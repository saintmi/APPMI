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ETUNJUK" sheetId="1" state="visible" r:id="rId1"/>
    <sheet xmlns:r="http://schemas.openxmlformats.org/officeDocument/2006/relationships" name="LIST" sheetId="2" state="hidden" r:id="rId2"/>
    <sheet xmlns:r="http://schemas.openxmlformats.org/officeDocument/2006/relationships" name="DATA KK" sheetId="3" state="visible" r:id="rId3"/>
    <sheet xmlns:r="http://schemas.openxmlformats.org/officeDocument/2006/relationships" name="DATA UMAT" sheetId="4" state="visible" r:id="rId4"/>
    <sheet xmlns:r="http://schemas.openxmlformats.org/officeDocument/2006/relationships" name="BAPTIS" sheetId="5" state="visible" r:id="rId5"/>
    <sheet xmlns:r="http://schemas.openxmlformats.org/officeDocument/2006/relationships" name="DITERIMA MASUK" sheetId="6" state="visible" r:id="rId6"/>
    <sheet xmlns:r="http://schemas.openxmlformats.org/officeDocument/2006/relationships" name="MUTASI" sheetId="7" state="visible" r:id="rId7"/>
    <sheet xmlns:r="http://schemas.openxmlformats.org/officeDocument/2006/relationships" name="PINDAH AGAMA" sheetId="8" state="visible" r:id="rId8"/>
    <sheet xmlns:r="http://schemas.openxmlformats.org/officeDocument/2006/relationships" name="KOMUNI PERTAMA" sheetId="9" state="visible" r:id="rId9"/>
    <sheet xmlns:r="http://schemas.openxmlformats.org/officeDocument/2006/relationships" name="PERKAWINAN GEREJANI" sheetId="10" state="visible" r:id="rId10"/>
    <sheet xmlns:r="http://schemas.openxmlformats.org/officeDocument/2006/relationships" name="PEMBUBARAN" sheetId="11" state="visible" r:id="rId11"/>
    <sheet xmlns:r="http://schemas.openxmlformats.org/officeDocument/2006/relationships" name="PERMINYAKAN SUCI" sheetId="12" state="visible" r:id="rId12"/>
    <sheet xmlns:r="http://schemas.openxmlformats.org/officeDocument/2006/relationships" name="KEMATIAN" sheetId="13" state="visible" r:id="rId13"/>
    <sheet xmlns:r="http://schemas.openxmlformats.org/officeDocument/2006/relationships" name="SEMINARI BIARA" sheetId="14" state="visible" r:id="rId14"/>
    <sheet xmlns:r="http://schemas.openxmlformats.org/officeDocument/2006/relationships" name="REKAP LINGKUNGAN" sheetId="15" state="visible" r:id="rId15"/>
    <sheet xmlns:r="http://schemas.openxmlformats.org/officeDocument/2006/relationships" name="REKAP DETAIL" sheetId="16" state="visible" r:id="rId16"/>
    <sheet xmlns:r="http://schemas.openxmlformats.org/officeDocument/2006/relationships" name="DASHBOARD" sheetId="17" state="visible" r:id="rId17"/>
  </sheets>
  <definedNames>
    <definedName name="Z_B3B2412A_7F2F_4B11_B85C_2AAD50B991FC_.wvu.FilterData" localSheetId="2" hidden="1">'DATA KK'!$A$1:$K$501</definedName>
    <definedName name="_xlnm._FilterDatabase" localSheetId="2" hidden="1">'DATA KK'!$A$1:$K$501</definedName>
    <definedName name="Z_7F1AB362_576E_4D04_860C_D9F6710AB5F8_.wvu.FilterData" localSheetId="3" hidden="1">'DATA UMAT'!$A$1:$Z$2001</definedName>
    <definedName name="_xlnm._FilterDatabase" localSheetId="3" hidden="1">'DATA UMAT'!$A$1:$Z$2001</definedName>
    <definedName name="Z_846EF93C_8E3A_4849_9541_E7A9456F6896_.wvu.FilterData" localSheetId="4" hidden="1">BAPTIS!$A$1:$H$1001</definedName>
    <definedName name="_xlnm._FilterDatabase" localSheetId="4" hidden="1">'BAPTIS'!$A$1:$H$1001</definedName>
    <definedName name="Z_23DF90E3_4EFC_4882_A5BA_6DD40254A76C_.wvu.FilterData" localSheetId="5" hidden="1">'DITERIMA MASUK'!$A$1:$G$1001</definedName>
    <definedName name="_xlnm._FilterDatabase" localSheetId="5" hidden="1">'DITERIMA MASUK'!$A$1:$G$1001</definedName>
    <definedName name="Z_441459C7_2420_49FD_A38B_6855EB44E1D3_.wvu.FilterData" localSheetId="6" hidden="1">MUTASI!$A$1:$I$1001</definedName>
    <definedName name="_xlnm._FilterDatabase" localSheetId="6" hidden="1">'MUTASI'!$A$1:$I$1001</definedName>
    <definedName name="Z_44385B2F_F1E0_45F9_B971_7834ED457526_.wvu.FilterData" localSheetId="7" hidden="1">'PINDAH AGAMA'!$A$1:$F$1001</definedName>
    <definedName name="_xlnm._FilterDatabase" localSheetId="7" hidden="1">'PINDAH AGAMA'!$A$1:$F$1001</definedName>
    <definedName name="Z_CC2D35CB_FD36_4C08_8D24_8BCEE018961D_.wvu.FilterData" localSheetId="8" hidden="1">'KOMUNI PERTAMA'!$A$1:$G$1001</definedName>
    <definedName name="_xlnm._FilterDatabase" localSheetId="8" hidden="1">'KOMUNI PERTAMA'!$A$1:$G$1001</definedName>
    <definedName name="Z_A0B3AF38_FE5D_461A_83B6_37D36D74733F_.wvu.FilterData" localSheetId="9" hidden="1">'PERKAWINAN GEREJANI'!$A$1:$F$1001</definedName>
    <definedName name="_xlnm._FilterDatabase" localSheetId="9" hidden="1">'PERKAWINAN GEREJANI'!$A$1:$F$1001</definedName>
    <definedName name="Z_66F128F3_D800_497E_8D93_4DF7CD310323_.wvu.FilterData" localSheetId="10" hidden="1">PEMBUBARAN!$A$1:$F$1001</definedName>
    <definedName name="_xlnm._FilterDatabase" localSheetId="10" hidden="1">'PEMBUBARAN'!$A$1:$F$1001</definedName>
    <definedName name="Z_0BAF3873_98E1_4CDE_8C1A_C1C308DF154B_.wvu.FilterData" localSheetId="11" hidden="1">'PERMINYAKAN SUCI'!$A$1:$F$1001</definedName>
    <definedName name="_xlnm._FilterDatabase" localSheetId="11" hidden="1">'PERMINYAKAN SUCI'!$A$1:$F$1001</definedName>
    <definedName name="Z_46B6236A_A1B1_4897_B27C_42CB414888C6_.wvu.FilterData" localSheetId="12" hidden="1">KEMATIAN!$A$1:$H$1001</definedName>
    <definedName name="_xlnm._FilterDatabase" localSheetId="12" hidden="1">'KEMATIAN'!$A$1:$H$1001</definedName>
    <definedName name="Z_3F4B3D9B_427D_4298_BF29_9AE48A412032_.wvu.FilterData" localSheetId="13" hidden="1">'SEMINARI BIARA'!$A$1:$H$1001</definedName>
    <definedName name="_xlnm._FilterDatabase" localSheetId="13" hidden="1">'SEMINARI BIARA'!$A$1:$H$1001</definedName>
    <definedName name="Z_B06ABE18_C276_44FC_950D_468967B64410_.wvu.FilterData" localSheetId="14" hidden="1">'REKAP LINGKUNGAN'!$A$4:$S$104</definedName>
    <definedName name="_xlnm._FilterDatabase" localSheetId="14" hidden="1">'REKAP LINGKUNGAN'!$A$4:$S$104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DD/MM/YYYY"/>
    <numFmt numFmtId="166" formatCode="yyyy-mm-dd h:mm:ss"/>
  </numFmts>
  <fonts count="15">
    <font>
      <name val="Calibri"/>
      <color theme="1"/>
      <sz val="11"/>
      <scheme val="minor"/>
    </font>
    <font>
      <name val="Arial"/>
      <b val="1"/>
      <color rgb="FFFFFFFF"/>
      <sz val="9"/>
    </font>
    <font>
      <name val="Calibri"/>
      <b val="1"/>
      <color rgb="FF17365D"/>
      <sz val="16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17365D"/>
      <sz val="11"/>
    </font>
    <font>
      <name val="Calibri"/>
      <b val="1"/>
      <color rgb="FFFFFFFF"/>
      <sz val="15"/>
    </font>
    <font/>
    <font>
      <name val="Calibri"/>
      <i val="1"/>
      <color rgb="FF666666"/>
      <sz val="11"/>
    </font>
    <font>
      <name val="Calibri"/>
      <i val="1"/>
      <color rgb="FF666666"/>
      <sz val="9"/>
    </font>
    <font>
      <name val="Arial"/>
      <b val="1"/>
      <color rgb="FFFFFFFF"/>
      <sz val="8"/>
    </font>
    <font>
      <name val="Calibri"/>
      <b val="1"/>
      <color rgb="FFFFFFFF"/>
      <sz val="18"/>
    </font>
    <font>
      <name val="Calibri"/>
      <b val="1"/>
      <color rgb="FF666666"/>
      <sz val="11"/>
    </font>
    <font>
      <name val="Calibri"/>
      <b val="1"/>
      <color rgb="FFFFFFFF"/>
      <sz val="11"/>
    </font>
    <font>
      <name val="Calibri"/>
      <b val="1"/>
      <color rgb="FF17365D"/>
      <sz val="22"/>
    </font>
  </fonts>
  <fills count="8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  <fill>
      <patternFill patternType="solid">
        <fgColor rgb="FFDCE9F7"/>
        <bgColor rgb="FFDCE9F7"/>
      </patternFill>
    </fill>
    <fill>
      <patternFill patternType="solid">
        <fgColor rgb="FFFFC7CE"/>
        <bgColor rgb="FFFFC7CE"/>
      </patternFill>
    </fill>
  </fills>
  <borders count="17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6" fillId="2" borderId="2" applyAlignment="1" pivotButton="0" quotePrefix="0" xfId="0">
      <alignment horizontal="center"/>
    </xf>
    <xf numFmtId="0" fontId="7" fillId="0" borderId="3" pivotButton="0" quotePrefix="0" xfId="0"/>
    <xf numFmtId="0" fontId="7" fillId="0" borderId="4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2" borderId="5" applyAlignment="1" pivotButton="0" quotePrefix="0" xfId="0">
      <alignment vertical="center" wrapText="1"/>
    </xf>
    <xf numFmtId="0" fontId="7" fillId="0" borderId="6" pivotButton="0" quotePrefix="0" xfId="0"/>
    <xf numFmtId="0" fontId="7" fillId="0" borderId="7" pivotButton="0" quotePrefix="0" xfId="0"/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1" fillId="2" borderId="2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13" fillId="3" borderId="8" applyAlignment="1" pivotButton="0" quotePrefix="0" xfId="0">
      <alignment horizontal="center"/>
    </xf>
    <xf numFmtId="0" fontId="14" fillId="4" borderId="9" applyAlignment="1" pivotButton="0" quotePrefix="0" xfId="0">
      <alignment horizontal="center" vertical="center"/>
    </xf>
    <xf numFmtId="0" fontId="7" fillId="0" borderId="10" pivotButton="0" quotePrefix="0" xfId="0"/>
    <xf numFmtId="0" fontId="14" fillId="4" borderId="11" applyAlignment="1" pivotButton="0" quotePrefix="0" xfId="0">
      <alignment horizontal="center" vertical="center"/>
    </xf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13" fillId="2" borderId="1" pivotButton="0" quotePrefix="0" xfId="0"/>
    <xf numFmtId="0" fontId="0" fillId="0" borderId="0" pivotButton="0" quotePrefix="0" xfId="0"/>
    <xf numFmtId="49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49" fontId="4" fillId="6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49" fontId="4" fillId="7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49" fontId="4" fillId="5" borderId="1" applyAlignment="1" pivotButton="0" quotePrefix="0" xfId="0">
      <alignment vertical="top" wrapText="1"/>
    </xf>
    <xf numFmtId="0" fontId="6" fillId="2" borderId="8" applyAlignment="1" pivotButton="0" quotePrefix="0" xfId="0">
      <alignment horizontal="center"/>
    </xf>
    <xf numFmtId="0" fontId="6" fillId="2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1" fillId="2" borderId="8" applyAlignment="1" pivotButton="0" quotePrefix="0" xfId="0">
      <alignment horizontal="center"/>
    </xf>
    <xf numFmtId="0" fontId="14" fillId="4" borderId="8" applyAlignment="1" pivotButton="0" quotePrefix="0" xfId="0">
      <alignment horizontal="center" vertical="center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CE4D6"/>
          <bgColor rgb="FFFCE4D6"/>
        </patternFill>
      </fill>
      <border/>
    </dxf>
  </dxfs>
  <tableStyles count="13" defaultTableStyle="TableStyleMedium9" defaultPivotStyle="PivotStyleLight16">
    <tableStyle name="DATA UMAT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ATA KK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BAPTI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ITERIMA MASUK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UTAS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INDAH AGAM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KOMUNI PERTAM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ERKAWINAN GEREJAN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EMBUBARA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ERMINYAKAN SUCI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KEMATIA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EMINARI BIARA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REKAP LINGKUNGAN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sz="1800" b="1" i="0">
                <a:solidFill>
                  <a:srgbClr val="757575"/>
                </a:solidFill>
                <a:latin typeface="+mn-lt"/>
              </a:rPr>
              <a:t>Jumlah Jiwa per Lingkungan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DASHBOARD!$B$13</f>
            </strRef>
          </tx>
          <spPr>
            <a:ln xmlns:a="http://schemas.openxmlformats.org/drawingml/2006/main">
              <a:prstDash val="solid"/>
            </a:ln>
          </spPr>
          <cat>
            <strRef>
              <f>DASHBOARD!$A$14:$A$33</f>
            </strRef>
          </cat>
          <val>
            <numRef>
              <f>DASHBOARD!$B$14:$B$33</f>
              <numCache/>
            </numRef>
          </val>
        </ser>
        <gapWidth val="150"/>
        <axId val="1182431588"/>
        <axId val="1757710918"/>
      </barChart>
      <catAx>
        <axId val="118243158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+mn-lt"/>
                  </a:rPr>
                  <a:t>Lingkungan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+mn-lt"/>
              </a:defRPr>
            </a:pPr>
            <a:r>
              <a:t/>
            </a:r>
          </a:p>
        </txPr>
        <crossAx val="1757710918"/>
        <lblOffset val="100"/>
      </catAx>
      <valAx>
        <axId val="1757710918"/>
        <scaling>
          <orientation val="minMax"/>
        </scaling>
        <delete val="0"/>
        <axPos val="l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18243158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Sensus 2026</author>
  </authors>
  <commentList>
    <comment ref="B2" authorId="0" shapeId="0">
      <text>
        <t>Keluarga baru dari hasil scan:
Documents\_fase3_batch\ADRIANI TODINGAN-KARTU KELUARGA.jpg</t>
      </text>
    </comment>
    <comment ref="E2" authorId="0" shapeId="0">
      <text>
        <t>Lingkungan tidak tercatat di sumber mana pun. Diisi perkiraan "St. Maria Immacula" karena berkas ini sensus Lingkungan Maria Immaculata - konfirmasi atau ganti bila keluarga ini bukan anggota lingkungan ini.</t>
      </text>
    </comment>
    <comment ref="I2" authorId="0" shapeId="0">
      <text>
        <t>Status perkawinan keluarga belum diketahui (Menikah / Lajang / Janda / Duda / Cerai Hidup / Kawin Belum Tercatat).</t>
      </text>
    </comment>
    <comment ref="B3" authorId="0" shapeId="0">
      <text>
        <t>Keluarga baru dari hasil scan:
Documents\_fase3_batch\AGUSTINUS WASA-KARTU KELUARGA.jpg</t>
      </text>
    </comment>
    <comment ref="E3" authorId="0" shapeId="0">
      <text>
        <t>Lingkungan tidak tercatat di sumber mana pun. Diisi perkiraan "St. Maria Immacula" karena berkas ini sensus Lingkungan Maria Immaculata - konfirmasi atau ganti bila keluarga ini bukan anggota lingkungan ini.</t>
      </text>
    </comment>
    <comment ref="I3" authorId="0" shapeId="0">
      <text>
        <t>Status perkawinan keluarga belum diketahui (Menikah / Lajang / Janda / Duda / Cerai Hidup / Kawin Belum Tercatat).</t>
      </text>
    </comment>
    <comment ref="B4" authorId="0" shapeId="0">
      <text>
        <t>Keluarga baru dari hasil scan:
Documents\_fase3_batch\ANA E. YAYUK SUPRAPTININGSIH-KARTU KELUARGA.jpg</t>
      </text>
    </comment>
    <comment ref="I4" authorId="0" shapeId="0">
      <text>
        <t>Status perkawinan keluarga belum diketahui (Menikah / Lajang / Janda / Duda / Cerai Hidup / Kawin Belum Tercatat).</t>
      </text>
    </comment>
    <comment ref="B5" authorId="0" shapeId="0">
      <text>
        <t>Keluarga baru dari hasil scan:
Documents\_fase3_batch\BARNABAS MUKHTAR-KARTU KELUARGA.jpg</t>
      </text>
    </comment>
    <comment ref="I5" authorId="0" shapeId="0">
      <text>
        <t>Status perkawinan keluarga belum diketahui (Menikah / Lajang / Janda / Duda / Cerai Hidup / Kawin Belum Tercatat).</t>
      </text>
    </comment>
    <comment ref="B6" authorId="0" shapeId="0">
      <text>
        <t>Keluarga baru dari hasil scan:
Documents\_fase3_batch\DARIANUS EGAR - KARTU KELUARGA.jpg</t>
      </text>
    </comment>
    <comment ref="I6" authorId="0" shapeId="0">
      <text>
        <t>Status perkawinan keluarga belum diketahui (Menikah / Lajang / Janda / Duda / Cerai Hidup / Kawin Belum Tercatat).</t>
      </text>
    </comment>
    <comment ref="B7" authorId="0" shapeId="0">
      <text>
        <t>Keluarga baru dari hasil scan:
Documents\_fase3_batch\MANGAPUL MANIK - KARTU KELUARGA.jpg</t>
      </text>
    </comment>
    <comment ref="E7" authorId="0" shapeId="0">
      <text>
        <t>Lingkungan tidak tercatat di sumber mana pun. Diisi perkiraan "St. Maria Immacula" karena berkas ini sensus Lingkungan Maria Immaculata - konfirmasi atau ganti bila keluarga ini bukan anggota lingkungan ini.</t>
      </text>
    </comment>
    <comment ref="I7" authorId="0" shapeId="0">
      <text>
        <t>Status perkawinan keluarga belum diketahui (Menikah / Lajang / Janda / Duda / Cerai Hidup / Kawin Belum Tercatat).</t>
      </text>
    </comment>
    <comment ref="B8" authorId="0" shapeId="0">
      <text>
        <t>Keluarga baru dari hasil scan:
Documents\_fase3_batch\P. SUYATI-KARTU KELUARGA.jpg</t>
      </text>
    </comment>
    <comment ref="I8" authorId="0" shapeId="0">
      <text>
        <t>Status perkawinan keluarga belum diketahui (Menikah / Lajang / Janda / Duda / Cerai Hidup / Kawin Belum Tercatat).</t>
      </text>
    </comment>
    <comment ref="B9" authorId="0" shapeId="0">
      <text>
        <t>Keluarga baru dari hasil scan:
Documents\_fase3_batch\PETRA KANISIA. D - KARTU KELUARGA.jpg</t>
      </text>
    </comment>
    <comment ref="E9" authorId="0" shapeId="0">
      <text>
        <t>Lingkungan tidak tercatat di sumber mana pun. Diisi perkiraan "St. Maria Immacula" karena berkas ini sensus Lingkungan Maria Immaculata - konfirmasi atau ganti bila keluarga ini bukan anggota lingkungan ini.</t>
      </text>
    </comment>
    <comment ref="I9" authorId="0" shapeId="0">
      <text>
        <t>Status perkawinan keluarga belum diketahui (Menikah / Lajang / Janda / Duda / Cerai Hidup / Kawin Belum Tercatat).</t>
      </text>
    </comment>
    <comment ref="B10" authorId="0" shapeId="0">
      <text>
        <t>Keluarga baru dari hasil scan:
Documents\_fase3_batch\PIOTR-KARTU KELUARGA.jpg</t>
      </text>
    </comment>
    <comment ref="I10" authorId="0" shapeId="0">
      <text>
        <t>Status perkawinan keluarga belum diketahui (Menikah / Lajang / Janda / Duda / Cerai Hidup / Kawin Belum Tercatat).</t>
      </text>
    </comment>
    <comment ref="B11" authorId="0" shapeId="0">
      <text>
        <t>Nomor KK belum ada - salin dari Kartu Keluarga aslinya.</t>
      </text>
    </comment>
    <comment ref="C11" authorId="0" shapeId="0">
      <text>
        <t>Alamat kosong - isi sesuai Kartu Keluarga.</t>
      </text>
    </comment>
    <comment ref="E11" authorId="0" shapeId="0">
      <text>
        <t>Lingkungan tidak tercatat di sumber mana pun. Diisi perkiraan "St. Maria Immacula" karena berkas ini sensus Lingkungan Maria Immaculata - konfirmasi atau ganti bila keluarga ini bukan anggota lingkungan ini.</t>
      </text>
    </comment>
    <comment ref="I11" authorId="0" shapeId="0">
      <text>
        <t>Status perkawinan keluarga belum diketahui (Menikah / Lajang / Janda / Duda / Cerai Hidup / Kawin Belum Tercatat).</t>
      </text>
    </comment>
    <comment ref="B12" authorId="0" shapeId="0">
      <text>
        <t>Nomor KK belum ada - salin dari Kartu Keluarga aslinya.</t>
      </text>
    </comment>
    <comment ref="C12" authorId="0" shapeId="0">
      <text>
        <t>Alamat kosong - isi sesuai Kartu Keluarga.</t>
      </text>
    </comment>
    <comment ref="E12" authorId="0" shapeId="0">
      <text>
        <t>Lingkungan tidak tercatat di sumber mana pun. Diisi perkiraan "St. Maria Immacula" karena berkas ini sensus Lingkungan Maria Immaculata - konfirmasi atau ganti bila keluarga ini bukan anggota lingkungan ini.</t>
      </text>
    </comment>
    <comment ref="I12" authorId="0" shapeId="0">
      <text>
        <t>Status perkawinan keluarga belum diketahui (Menikah / Lajang / Janda / Duda / Cerai Hidup / Kawin Belum Tercatat).</t>
      </text>
    </comment>
    <comment ref="B13" authorId="0" shapeId="0">
      <text>
        <t>Nomor KK belum ada - salin dari Kartu Keluarga aslinya.</t>
      </text>
    </comment>
    <comment ref="C13" authorId="0" shapeId="0">
      <text>
        <t>Alamat kosong - isi sesuai Kartu Keluarga.</t>
      </text>
    </comment>
    <comment ref="E13" authorId="0" shapeId="0">
      <text>
        <t>Lingkungan tidak tercatat di sumber mana pun. Diisi perkiraan "St. Maria Immacula" karena berkas ini sensus Lingkungan Maria Immaculata - konfirmasi atau ganti bila keluarga ini bukan anggota lingkungan ini.</t>
      </text>
    </comment>
    <comment ref="I13" authorId="0" shapeId="0">
      <text>
        <t>Status perkawinan keluarga belum diketahui (Menikah / Lajang / Janda / Duda / Cerai Hidup / Kawin Belum Tercatat).</t>
      </text>
    </comment>
  </commentList>
</comments>
</file>

<file path=xl/comments/comment2.xml><?xml version="1.0" encoding="utf-8"?>
<comments xmlns="http://schemas.openxmlformats.org/spreadsheetml/2006/main">
  <authors>
    <author>Sensus 2026</author>
  </authors>
  <commentList>
    <comment ref="A2" authorId="0" shapeId="0">
      <text>
        <t>Umat baru dari hasil scan:
Documents\_fase3_batch\ADRIANI TODINGAN-KARTU KELUARGA.jpg</t>
      </text>
    </comment>
    <comment ref="E2" authorId="0" shapeId="0">
      <text>
        <t>Dua sumber berbeda untuk Tanggal Lahir: "1981-06-12" dipakai, "1981-08-13" dibuang - pastikan pilihan ini benar.</t>
      </text>
    </comment>
    <comment ref="V2" authorId="0" shapeId="0">
      <text>
        <t>Dua sumber berbeda untuk NIK (opsional): "6471045206810004" dipakai, "6471045308810004" dibuang - pastikan pilihan ini benar.</t>
      </text>
    </comment>
    <comment ref="A3" authorId="0" shapeId="0">
      <text>
        <t>Umat baru dari hasil scan:
Documents\_fase3_batch\ADRIANI TODINGAN-KARTU KELUARGA.jpg</t>
      </text>
    </comment>
    <comment ref="A4" authorId="0" shapeId="0">
      <text>
        <t>Umat baru dari hasil scan:
Documents\_fase3_batch\AGUSTINUS WASA-KARTU KELUARGA.jpg</t>
      </text>
    </comment>
    <comment ref="A5" authorId="0" shapeId="0">
      <text>
        <t>Umat baru dari hasil scan:
Documents\_fase3_batch\AGUSTINUS WASA-KARTU KELUARGA.jpg</t>
      </text>
    </comment>
    <comment ref="A6" authorId="0" shapeId="0">
      <text>
        <t>Umat baru dari hasil scan:
Documents\_fase3_batch\AGUSTINUS WASA-KARTU KELUARGA.jpg</t>
      </text>
    </comment>
    <comment ref="A7" authorId="0" shapeId="0">
      <text>
        <t>Umat baru dari hasil scan:
Documents\_fase3_batch\ANA E. YAYUK SUPRAPTININGSIH-KARTU KELUARGA.jpg</t>
      </text>
    </comment>
    <comment ref="E7" authorId="0" shapeId="0">
      <text>
        <t>Dua sumber berbeda untuk Tanggal Lahir: "1957-08-08" dipakai, "1957-06-08" dibuang - pastikan pilihan ini benar.</t>
      </text>
    </comment>
    <comment ref="A8" authorId="0" shapeId="0">
      <text>
        <t>Umat baru dari hasil scan:
Documents\_fase3_batch\BARNABAS MUKHTAR-KARTU KELUARGA.jpg</t>
      </text>
    </comment>
    <comment ref="A9" authorId="0" shapeId="0">
      <text>
        <t>Umat baru dari hasil scan:
Documents\_fase3_batch\BARNABAS MUKHTAR-KARTU KELUARGA.jpg</t>
      </text>
    </comment>
    <comment ref="A10" authorId="0" shapeId="0">
      <text>
        <t>Umat baru dari hasil scan:
Documents\_fase3_batch\BARNABAS MUKHTAR-KARTU KELUARGA.jpg</t>
      </text>
    </comment>
    <comment ref="A11" authorId="0" shapeId="0">
      <text>
        <t>Umat baru dari hasil scan:
Documents\_fase3_batch\BARNABAS MUKHTAR-KARTU KELUARGA.jpg</t>
      </text>
    </comment>
    <comment ref="A12" authorId="0" shapeId="0">
      <text>
        <t>Umat baru dari hasil scan:
Documents\_fase3_batch\BARNABAS MUKHTAR-KARTU KELUARGA.jpg</t>
      </text>
    </comment>
    <comment ref="A13" authorId="0" shapeId="0">
      <text>
        <t>Umat baru dari hasil scan:
Documents\_fase3_batch\BENHUR MALAU-KARTU KELUARGA.jpg</t>
      </text>
    </comment>
    <comment ref="A14" authorId="0" shapeId="0">
      <text>
        <t>Umat baru dari hasil scan:
Documents\_fase3_batch\BENHUR MALAU-KARTU KELUARGA.jpg</t>
      </text>
    </comment>
    <comment ref="A15" authorId="0" shapeId="0">
      <text>
        <t>Umat baru dari hasil scan:
Documents\_fase3_batch\BENHUR MALAU-KARTU KELUARGA.jpg</t>
      </text>
    </comment>
    <comment ref="A16" authorId="0" shapeId="0">
      <text>
        <t>Umat baru dari hasil scan:
Documents\_fase3_batch\BENHUR MALAU-KARTU KELUARGA.jpg</t>
      </text>
    </comment>
    <comment ref="A17" authorId="0" shapeId="0">
      <text>
        <t>Umat baru dari hasil scan:
Documents\_fase3_batch\DARIANUS EGAR - KARTU KELUARGA.jpg</t>
      </text>
    </comment>
    <comment ref="D17" authorId="0" shapeId="0">
      <text>
        <t>Jenis kelamin kosong atau tidak dikenal - pilih Pria/Laki-laki atau Wanita/Perempuan.</t>
      </text>
    </comment>
    <comment ref="A18" authorId="0" shapeId="0">
      <text>
        <t>Umat baru dari hasil scan:
Documents\_fase3_batch\DARIANUS EGAR - KARTU KELUARGA.jpg</t>
      </text>
    </comment>
    <comment ref="A19" authorId="0" shapeId="0">
      <text>
        <t>Umat baru dari hasil scan:
Documents\_fase3_batch\MANGAPUL MANIK - KARTU KELUARGA.jpg</t>
      </text>
    </comment>
    <comment ref="A20" authorId="0" shapeId="0">
      <text>
        <t>Umat baru dari hasil scan:
Documents\_fase3_batch\MANGAPUL MANIK - KARTU KELUARGA.jpg</t>
      </text>
    </comment>
    <comment ref="A21" authorId="0" shapeId="0">
      <text>
        <t>Umat baru dari hasil scan:
Documents\_fase3_batch\MANGAPUL MANIK - KARTU KELUARGA.jpg</t>
      </text>
    </comment>
    <comment ref="A22" authorId="0" shapeId="0">
      <text>
        <t>Umat baru dari hasil scan:
Documents\_fase3_batch\P. SUYATI-KARTU KELUARGA.jpg</t>
      </text>
    </comment>
    <comment ref="A23" authorId="0" shapeId="0">
      <text>
        <t>Umat baru dari hasil scan:
Documents\_fase3_batch\P. SUYATI-KARTU KELUARGA.jpg</t>
      </text>
    </comment>
    <comment ref="A24" authorId="0" shapeId="0">
      <text>
        <t>Umat baru dari hasil scan:
Documents\_fase3_batch\PETRA KANISIA. D - KARTU KELUARGA.jpg</t>
      </text>
    </comment>
    <comment ref="A25" authorId="0" shapeId="0">
      <text>
        <t>Umat baru dari hasil scan:
Documents\_fase3_batch\PETRA KANISIA. D - KARTU KELUARGA.jpg</t>
      </text>
    </comment>
    <comment ref="A26" authorId="0" shapeId="0">
      <text>
        <t>Umat baru dari hasil scan:
Documents\_fase3_batch\PETRA KANISIA. D - KARTU KELUARGA.jpg</t>
      </text>
    </comment>
    <comment ref="A27" authorId="0" shapeId="0">
      <text>
        <t>Umat baru dari hasil scan:
Documents\_fase3_batch\PIOTR-KARTU KELUARGA.jpg</t>
      </text>
    </comment>
    <comment ref="A28" authorId="0" shapeId="0">
      <text>
        <t>Umat baru dari hasil scan:
Documents\_fase3_batch\PIOTR-KARTU KELUARGA.jpg</t>
      </text>
    </comment>
    <comment ref="L28" authorId="0" shapeId="0">
      <text>
        <t>Ada keterangan baptis (Buku I Hal 55 No.611) tetapi tanggal baptis kosong - buka surat baptisnya lalu isi.</t>
      </text>
    </comment>
    <comment ref="A29" authorId="0" shapeId="0">
      <text>
        <t>Umat baru dari hasil scan:
Documents\_fase3_batch\PIOTR-KARTU KELUARGA.jpg</t>
      </text>
    </comment>
    <comment ref="A30" authorId="0" shapeId="0">
      <text>
        <t>Umat baru dari hasil scan:
Documents\_fase3_batch\PIOTR-KARTU KELUARGA.jpg</t>
      </text>
    </comment>
    <comment ref="A31" authorId="0" shapeId="0">
      <text>
        <t>Umat baru dari hasil scan:
Documents\_fase3_batch\PIOTR-KARTU KELUARGA.jpg</t>
      </text>
    </comment>
    <comment ref="G31" authorId="0" shapeId="0">
      <text>
        <t>Agama Islam: yang bersangkutan bukan umat Katolik. Pastikan apakah tetap dicatat di DATA UMAT atau cukup jadi anggota keluarga di DATA KK.</t>
      </text>
    </comment>
    <comment ref="A32" authorId="0" shapeId="0">
      <text>
        <t>Umat baru dari hasil scan:
Documents\_fase3_batch\ANTHONIUS SALEM-KTP ANAK.jpg</t>
      </text>
    </comment>
    <comment ref="B32" authorId="0" shapeId="0">
      <text>
        <t>Belum tertaut ke keluarga mana pun - tautkan ke KK yang benar atau tambahkan keluarganya di DATA KK.</t>
      </text>
    </comment>
    <comment ref="D32" authorId="0" shapeId="0">
      <text>
        <t>Jenis kelamin kosong atau tidak dikenal - pilih Pria/Laki-laki atau Wanita/Perempuan.</t>
      </text>
    </comment>
    <comment ref="E32" authorId="0" shapeId="0">
      <text>
        <t>Tanggal lahir kosong - umur dan rekap umur tidak bisa dihitung.</t>
      </text>
    </comment>
    <comment ref="G32" authorId="0" shapeId="0">
      <text>
        <t>Agama kosong atau tidak dikenal - pilih dari daftar.</t>
      </text>
    </comment>
    <comment ref="A33" authorId="0" shapeId="0">
      <text>
        <t>Umat baru dari hasil scan:
Documents\_fase3_batch\ANTONIUS ARY PRASETYO-KTP ISTERI.jpg</t>
      </text>
    </comment>
    <comment ref="B33" authorId="0" shapeId="0">
      <text>
        <t>Belum tertaut ke keluarga mana pun - tautkan ke KK yang benar atau tambahkan keluarganya di DATA KK.</t>
      </text>
    </comment>
    <comment ref="D33" authorId="0" shapeId="0">
      <text>
        <t>Jenis kelamin kosong atau tidak dikenal - pilih Pria/Laki-laki atau Wanita/Perempuan.</t>
      </text>
    </comment>
    <comment ref="E33" authorId="0" shapeId="0">
      <text>
        <t>Tanggal lahir kosong - umur dan rekap umur tidak bisa dihitung.</t>
      </text>
    </comment>
    <comment ref="G33" authorId="0" shapeId="0">
      <text>
        <t>Agama kosong atau tidak dikenal - pilih dari daftar.</t>
      </text>
    </comment>
    <comment ref="A34" authorId="0" shapeId="0">
      <text>
        <t>Umat baru dari hasil scan:
Documents\_fase3_batch\ARSINUS PURBA - KTP ISTRI.jpg</t>
      </text>
    </comment>
    <comment ref="B34" authorId="0" shapeId="0">
      <text>
        <t>Belum tertaut ke keluarga mana pun - tautkan ke KK yang benar atau tambahkan keluarganya di DATA KK.</t>
      </text>
    </comment>
    <comment ref="D34" authorId="0" shapeId="0">
      <text>
        <t>Jenis kelamin kosong atau tidak dikenal - pilih Pria/Laki-laki atau Wanita/Perempuan.</t>
      </text>
    </comment>
    <comment ref="E34" authorId="0" shapeId="0">
      <text>
        <t>Tanggal lahir kosong - umur dan rekap umur tidak bisa dihitung.</t>
      </text>
    </comment>
    <comment ref="G34" authorId="0" shapeId="0">
      <text>
        <t>Agama kosong atau tidak dikenal - pilih dari daftar.</t>
      </text>
    </comment>
    <comment ref="A35" authorId="0" shapeId="0">
      <text>
        <t>Umat baru dari hasil scan:
Documents\_fase3_batch\BONEFASIUS SAGUR -KTP ISTRI.jpg</t>
      </text>
    </comment>
    <comment ref="B35" authorId="0" shapeId="0">
      <text>
        <t>Keluarga KK0010 belum punya nomor KK (DATA KK baris 11).</t>
      </text>
    </comment>
    <comment ref="A36" authorId="0" shapeId="0">
      <text>
        <t>Umat baru dari hasil scan:
Documents\_fase3_batch\BONEFASIUS SAGUR-KTP SUAMI.jpg</t>
      </text>
    </comment>
    <comment ref="B36" authorId="0" shapeId="0">
      <text>
        <t>Keluarga KK0010 belum punya nomor KK (DATA KK baris 11).</t>
      </text>
    </comment>
    <comment ref="D36" authorId="0" shapeId="0">
      <text>
        <t>Jenis kelamin kosong atau tidak dikenal - pilih Pria/Laki-laki atau Wanita/Perempuan.</t>
      </text>
    </comment>
    <comment ref="E36" authorId="0" shapeId="0">
      <text>
        <t>Tanggal lahir kosong - umur dan rekap umur tidak bisa dihitung.</t>
      </text>
    </comment>
    <comment ref="G36" authorId="0" shapeId="0">
      <text>
        <t>Agama kosong atau tidak dikenal - pilih dari daftar.</t>
      </text>
    </comment>
    <comment ref="A37" authorId="0" shapeId="0">
      <text>
        <t>Umat baru dari hasil scan:
Documents\_fase3_batch\C.PURWONGGO SATOTO - KTP ISTRI.jpg</t>
      </text>
    </comment>
    <comment ref="B37" authorId="0" shapeId="0">
      <text>
        <t>Belum tertaut ke keluarga mana pun - tautkan ke KK yang benar atau tambahkan keluarganya di DATA KK.</t>
      </text>
    </comment>
    <comment ref="D37" authorId="0" shapeId="0">
      <text>
        <t>Jenis kelamin kosong atau tidak dikenal - pilih Pria/Laki-laki atau Wanita/Perempuan.</t>
      </text>
    </comment>
    <comment ref="E37" authorId="0" shapeId="0">
      <text>
        <t>Tanggal lahir kosong - umur dan rekap umur tidak bisa dihitung.</t>
      </text>
    </comment>
    <comment ref="G37" authorId="0" shapeId="0">
      <text>
        <t>Agama kosong atau tidak dikenal - pilih dari daftar.</t>
      </text>
    </comment>
    <comment ref="A38" authorId="0" shapeId="0">
      <text>
        <t>Umat baru dari hasil scan:
Documents\_fase3_batch\CHRISTIAN HADIYANTO,SE-KTP ANAK KEDUA.jpg</t>
      </text>
    </comment>
    <comment ref="B38" authorId="0" shapeId="0">
      <text>
        <t>Belum tertaut ke keluarga mana pun - tautkan ke KK yang benar atau tambahkan keluarganya di DATA KK.</t>
      </text>
    </comment>
    <comment ref="D38" authorId="0" shapeId="0">
      <text>
        <t>Jenis kelamin kosong atau tidak dikenal - pilih Pria/Laki-laki atau Wanita/Perempuan.</t>
      </text>
    </comment>
    <comment ref="E38" authorId="0" shapeId="0">
      <text>
        <t>Tanggal lahir kosong - umur dan rekap umur tidak bisa dihitung.</t>
      </text>
    </comment>
    <comment ref="G38" authorId="0" shapeId="0">
      <text>
        <t>Agama kosong atau tidak dikenal - pilih dari daftar.</t>
      </text>
    </comment>
    <comment ref="A39" authorId="0" shapeId="0">
      <text>
        <t>Umat baru dari hasil scan:
Documents\_fase3_batch\CHRISTINA SELFANI RUNTU-KTP__p1__d1 - PROVINSI KALIMANTAN TIMUR _.jpg</t>
      </text>
    </comment>
    <comment ref="B39" authorId="0" shapeId="0">
      <text>
        <t>Belum tertaut ke keluarga mana pun - tautkan ke KK yang benar atau tambahkan keluarganya di DATA KK.</t>
      </text>
    </comment>
    <comment ref="C39" authorId="0" shapeId="0">
      <text>
        <t>Nama masih menempel potongan nama file scan ("CHRISTINA SELFANI RUNTU-KTP p1 d1 - PROVINSI KALIMANTAN TIMU") - LLM tidak membaca nama dari gambarnya, buka CHRISTINA SELFANI RUNTU-KTP__p1__d1 - PROVINSI KALIMANTAN TIMUR _.jpg lalu ketik nama yang benar.</t>
      </text>
    </comment>
    <comment ref="D39" authorId="0" shapeId="0">
      <text>
        <t>Jenis kelamin kosong atau tidak dikenal - pilih Pria/Laki-laki atau Wanita/Perempuan.</t>
      </text>
    </comment>
    <comment ref="E39" authorId="0" shapeId="0">
      <text>
        <t>Tanggal lahir kosong - umur dan rekap umur tidak bisa dihitung.</t>
      </text>
    </comment>
    <comment ref="G39" authorId="0" shapeId="0">
      <text>
        <t>Agama kosong atau tidak dikenal - pilih dari daftar.</t>
      </text>
    </comment>
    <comment ref="A40" authorId="0" shapeId="0">
      <text>
        <t>Umat baru dari hasil scan:
Documents\_fase3_batch\HENDRIX AGUNG APRIWINARTO - KTP.jpg</t>
      </text>
    </comment>
    <comment ref="B40" authorId="0" shapeId="0">
      <text>
        <t>Belum tertaut ke keluarga mana pun - tautkan ke KK yang benar atau tambahkan keluarganya di DATA KK.</t>
      </text>
    </comment>
    <comment ref="D40" authorId="0" shapeId="0">
      <text>
        <t>Jenis kelamin kosong atau tidak dikenal - pilih Pria/Laki-laki atau Wanita/Perempuan.</t>
      </text>
    </comment>
    <comment ref="E40" authorId="0" shapeId="0">
      <text>
        <t>Tanggal lahir kosong - umur dan rekap umur tidak bisa dihitung.</t>
      </text>
    </comment>
    <comment ref="G40" authorId="0" shapeId="0">
      <text>
        <t>Agama kosong atau tidak dikenal - pilih dari daftar.</t>
      </text>
    </comment>
    <comment ref="A41" authorId="0" shapeId="0">
      <text>
        <t>Umat baru dari hasil scan:
Documents\_fase3_batch\KARBINTANUS PEDO WAJA- KTP ISTERI.jpg</t>
      </text>
    </comment>
    <comment ref="B41" authorId="0" shapeId="0">
      <text>
        <t>Belum tertaut ke keluarga mana pun - tautkan ke KK yang benar atau tambahkan keluarganya di DATA KK.</t>
      </text>
    </comment>
    <comment ref="D41" authorId="0" shapeId="0">
      <text>
        <t>Jenis kelamin kosong atau tidak dikenal - pilih Pria/Laki-laki atau Wanita/Perempuan.</t>
      </text>
    </comment>
    <comment ref="E41" authorId="0" shapeId="0">
      <text>
        <t>Tanggal lahir kosong - umur dan rekap umur tidak bisa dihitung.</t>
      </text>
    </comment>
    <comment ref="G41" authorId="0" shapeId="0">
      <text>
        <t>Agama kosong atau tidak dikenal - pilih dari daftar.</t>
      </text>
    </comment>
    <comment ref="A42" authorId="0" shapeId="0">
      <text>
        <t>Umat baru dari hasil scan:
Documents\_fase3_batch\LAHANG ANYIE  - KTP ANAK PERTAMA.jpg</t>
      </text>
    </comment>
    <comment ref="B42" authorId="0" shapeId="0">
      <text>
        <t>Belum tertaut ke keluarga mana pun - tautkan ke KK yang benar atau tambahkan keluarganya di DATA KK.</t>
      </text>
    </comment>
    <comment ref="D42" authorId="0" shapeId="0">
      <text>
        <t>Jenis kelamin kosong atau tidak dikenal - pilih Pria/Laki-laki atau Wanita/Perempuan.</t>
      </text>
    </comment>
    <comment ref="E42" authorId="0" shapeId="0">
      <text>
        <t>Tanggal lahir kosong - umur dan rekap umur tidak bisa dihitung.</t>
      </text>
    </comment>
    <comment ref="G42" authorId="0" shapeId="0">
      <text>
        <t>Agama kosong atau tidak dikenal - pilih dari daftar.</t>
      </text>
    </comment>
    <comment ref="A43" authorId="0" shapeId="0">
      <text>
        <t>Umat baru dari hasil scan:
Documents\_fase3_batch\LAMBRITA TADIUS- KTP ANAK PERTAMA.jpg</t>
      </text>
    </comment>
    <comment ref="B43" authorId="0" shapeId="0">
      <text>
        <t>Belum tertaut ke keluarga mana pun - tautkan ke KK yang benar atau tambahkan keluarganya di DATA KK.</t>
      </text>
    </comment>
    <comment ref="D43" authorId="0" shapeId="0">
      <text>
        <t>Jenis kelamin kosong atau tidak dikenal - pilih Pria/Laki-laki atau Wanita/Perempuan.</t>
      </text>
    </comment>
    <comment ref="E43" authorId="0" shapeId="0">
      <text>
        <t>Tanggal lahir kosong - umur dan rekap umur tidak bisa dihitung.</t>
      </text>
    </comment>
    <comment ref="G43" authorId="0" shapeId="0">
      <text>
        <t>Agama kosong atau tidak dikenal - pilih dari daftar.</t>
      </text>
    </comment>
    <comment ref="A44" authorId="0" shapeId="0">
      <text>
        <t>Umat baru dari hasil scan:
Documents\_fase3_batch\LUSIA LERO- KTP__p1__d1 - KOTA BALIKPAPAN.jpg</t>
      </text>
    </comment>
    <comment ref="B44" authorId="0" shapeId="0">
      <text>
        <t>Belum tertaut ke keluarga mana pun - tautkan ke KK yang benar atau tambahkan keluarganya di DATA KK.</t>
      </text>
    </comment>
    <comment ref="C44" authorId="0" shapeId="0">
      <text>
        <t>Nama masih menempel potongan nama file scan ("LUSIA LERO- KTP p1 d1 - KOTA BALIKPAPAN") - LLM tidak membaca nama dari gambarnya, buka LUSIA LERO- KTP__p1__d1 - KOTA BALIKPAPAN.jpg lalu ketik nama yang benar.</t>
      </text>
    </comment>
    <comment ref="D44" authorId="0" shapeId="0">
      <text>
        <t>Jenis kelamin kosong atau tidak dikenal - pilih Pria/Laki-laki atau Wanita/Perempuan.</t>
      </text>
    </comment>
    <comment ref="E44" authorId="0" shapeId="0">
      <text>
        <t>Tanggal lahir kosong - umur dan rekap umur tidak bisa dihitung.</t>
      </text>
    </comment>
    <comment ref="G44" authorId="0" shapeId="0">
      <text>
        <t>Agama kosong atau tidak dikenal - pilih dari daftar.</t>
      </text>
    </comment>
    <comment ref="A45" authorId="0" shapeId="0">
      <text>
        <t>Umat baru dari hasil scan:
Documents\_fase3_batch\MAGDALENA -KTP ANAK.jpg</t>
      </text>
    </comment>
    <comment ref="B45" authorId="0" shapeId="0">
      <text>
        <t>Belum tertaut ke keluarga mana pun - tautkan ke KK yang benar atau tambahkan keluarganya di DATA KK.</t>
      </text>
    </comment>
    <comment ref="A46" authorId="0" shapeId="0">
      <text>
        <t>Umat baru dari hasil scan:
Documents\_fase3_batch\MAGDALENA-KTP.jpg</t>
      </text>
    </comment>
    <comment ref="B46" authorId="0" shapeId="0">
      <text>
        <t>Belum tertaut ke keluarga mana pun - tautkan ke KK yang benar atau tambahkan keluarganya di DATA KK.</t>
      </text>
    </comment>
    <comment ref="A47" authorId="0" shapeId="0">
      <text>
        <t>Umat baru dari hasil scan:
Documents\_fase3_batch\MARSELINUS PAMBO -KTP ISTRI.jpg</t>
      </text>
    </comment>
    <comment ref="B47" authorId="0" shapeId="0">
      <text>
        <t>Belum tertaut ke keluarga mana pun - tautkan ke KK yang benar atau tambahkan keluarganya di DATA KK.</t>
      </text>
    </comment>
    <comment ref="D47" authorId="0" shapeId="0">
      <text>
        <t>Jenis kelamin kosong atau tidak dikenal - pilih Pria/Laki-laki atau Wanita/Perempuan.</t>
      </text>
    </comment>
    <comment ref="E47" authorId="0" shapeId="0">
      <text>
        <t>Tanggal lahir kosong - umur dan rekap umur tidak bisa dihitung.</t>
      </text>
    </comment>
    <comment ref="G47" authorId="0" shapeId="0">
      <text>
        <t>Agama kosong atau tidak dikenal - pilih dari daftar.</t>
      </text>
    </comment>
    <comment ref="A48" authorId="0" shapeId="0">
      <text>
        <t>Umat baru dari hasil scan:
Documents\_fase3_batch\MARTINUS APRIADI PUTRA-KTP__p1__d1 - KOTA BALIKPAPAN.jpg</t>
      </text>
    </comment>
    <comment ref="B48" authorId="0" shapeId="0">
      <text>
        <t>Belum tertaut ke keluarga mana pun - tautkan ke KK yang benar atau tambahkan keluarganya di DATA KK.</t>
      </text>
    </comment>
    <comment ref="C48" authorId="0" shapeId="0">
      <text>
        <t>Nama masih menempel potongan nama file scan ("MARTINUS APRIADI PUTRA-KTP p1 d1 - KOTA BALIKPAPAN") - LLM tidak membaca nama dari gambarnya, buka MARTINUS APRIADI PUTRA-KTP__p1__d1 - KOTA BALIKPAPAN.jpg lalu ketik nama yang benar.</t>
      </text>
    </comment>
    <comment ref="D48" authorId="0" shapeId="0">
      <text>
        <t>Jenis kelamin kosong atau tidak dikenal - pilih Pria/Laki-laki atau Wanita/Perempuan.</t>
      </text>
    </comment>
    <comment ref="E48" authorId="0" shapeId="0">
      <text>
        <t>Tanggal lahir kosong - umur dan rekap umur tidak bisa dihitung.</t>
      </text>
    </comment>
    <comment ref="G48" authorId="0" shapeId="0">
      <text>
        <t>Agama kosong atau tidak dikenal - pilih dari daftar.</t>
      </text>
    </comment>
    <comment ref="A49" authorId="0" shapeId="0">
      <text>
        <t>Umat baru dari hasil scan:
Documents\_fase3_batch\MARTINUS PRASETYO ADINUGROHO-KTP__p1__d1 - PROVINS! KALIMANTAN TIMUR.jpg</t>
      </text>
    </comment>
    <comment ref="B49" authorId="0" shapeId="0">
      <text>
        <t>Belum tertaut ke keluarga mana pun - tautkan ke KK yang benar atau tambahkan keluarganya di DATA KK.</t>
      </text>
    </comment>
    <comment ref="C49" authorId="0" shapeId="0">
      <text>
        <t>Nama masih menempel potongan nama file scan ("MARTINUS PRASETYO ADINUGROHO-KTP p1 d1 - PROVINS! KALIMANTAN") - LLM tidak membaca nama dari gambarnya, buka MARTINUS PRASETYO ADINUGROHO-KTP__p1__d1 - PROVINS! KALIMANTAN TIMUR.jpg lalu ketik nama yang benar.</t>
      </text>
    </comment>
    <comment ref="D49" authorId="0" shapeId="0">
      <text>
        <t>Jenis kelamin kosong atau tidak dikenal - pilih Pria/Laki-laki atau Wanita/Perempuan.</t>
      </text>
    </comment>
    <comment ref="E49" authorId="0" shapeId="0">
      <text>
        <t>Tanggal lahir kosong - umur dan rekap umur tidak bisa dihitung.</t>
      </text>
    </comment>
    <comment ref="G49" authorId="0" shapeId="0">
      <text>
        <t>Agama kosong atau tidak dikenal - pilih dari daftar.</t>
      </text>
    </comment>
    <comment ref="A50" authorId="0" shapeId="0">
      <text>
        <t>Umat baru dari hasil scan:
Documents\_fase3_batch\MASENO SUGAYOGA-KTP ISTERI.jpg</t>
      </text>
    </comment>
    <comment ref="B50" authorId="0" shapeId="0">
      <text>
        <t>Belum tertaut ke keluarga mana pun - tautkan ke KK yang benar atau tambahkan keluarganya di DATA KK.</t>
      </text>
    </comment>
    <comment ref="D50" authorId="0" shapeId="0">
      <text>
        <t>Jenis kelamin kosong atau tidak dikenal - pilih Pria/Laki-laki atau Wanita/Perempuan.</t>
      </text>
    </comment>
    <comment ref="E50" authorId="0" shapeId="0">
      <text>
        <t>Tanggal lahir kosong - umur dan rekap umur tidak bisa dihitung.</t>
      </text>
    </comment>
    <comment ref="G50" authorId="0" shapeId="0">
      <text>
        <t>Agama kosong atau tidak dikenal - pilih dari daftar.</t>
      </text>
    </comment>
    <comment ref="A51" authorId="0" shapeId="0">
      <text>
        <t>Umat baru dari hasil scan:
Documents\_fase3_batch\MEIVINASARI-KTP__p1__d1 - PROVINSI KALIMANTAN TIMUR.jpg</t>
      </text>
    </comment>
    <comment ref="B51" authorId="0" shapeId="0">
      <text>
        <t>Belum tertaut ke keluarga mana pun - tautkan ke KK yang benar atau tambahkan keluarganya di DATA KK.</t>
      </text>
    </comment>
    <comment ref="C51" authorId="0" shapeId="0">
      <text>
        <t>Nama masih menempel potongan nama file scan ("MEIVINASARI-KTP p1 d1 - PROVINSI KALIMANTAN TIMUR") - LLM tidak membaca nama dari gambarnya, buka MEIVINASARI-KTP__p1__d1 - PROVINSI KALIMANTAN TIMUR.jpg lalu ketik nama yang benar.</t>
      </text>
    </comment>
    <comment ref="D51" authorId="0" shapeId="0">
      <text>
        <t>Jenis kelamin kosong atau tidak dikenal - pilih Pria/Laki-laki atau Wanita/Perempuan.</t>
      </text>
    </comment>
    <comment ref="E51" authorId="0" shapeId="0">
      <text>
        <t>Tanggal lahir kosong - umur dan rekap umur tidak bisa dihitung.</t>
      </text>
    </comment>
    <comment ref="G51" authorId="0" shapeId="0">
      <text>
        <t>Agama kosong atau tidak dikenal - pilih dari daftar.</t>
      </text>
    </comment>
    <comment ref="A52" authorId="0" shapeId="0">
      <text>
        <t>Umat baru dari hasil scan:
Documents\_fase3_batch\MURTIYONO - KTP ISTRI.jpg</t>
      </text>
    </comment>
    <comment ref="B52" authorId="0" shapeId="0">
      <text>
        <t>Keluarga KK0011 belum punya nomor KK (DATA KK baris 12).</t>
      </text>
    </comment>
    <comment ref="D52" authorId="0" shapeId="0">
      <text>
        <t>Jenis kelamin kosong atau tidak dikenal - pilih Pria/Laki-laki atau Wanita/Perempuan.</t>
      </text>
    </comment>
    <comment ref="E52" authorId="0" shapeId="0">
      <text>
        <t>Tanggal lahir kosong - umur dan rekap umur tidak bisa dihitung.</t>
      </text>
    </comment>
    <comment ref="G52" authorId="0" shapeId="0">
      <text>
        <t>Agama kosong atau tidak dikenal - pilih dari daftar.</t>
      </text>
    </comment>
    <comment ref="A53" authorId="0" shapeId="0">
      <text>
        <t>Umat baru dari hasil scan:
Documents\_fase3_batch\RIBKA RATTANG - KTP.jpg</t>
      </text>
    </comment>
    <comment ref="B53" authorId="0" shapeId="0">
      <text>
        <t>Belum tertaut ke keluarga mana pun - tautkan ke KK yang benar atau tambahkan keluarganya di DATA KK.</t>
      </text>
    </comment>
    <comment ref="D53" authorId="0" shapeId="0">
      <text>
        <t>Jenis kelamin kosong atau tidak dikenal - pilih Pria/Laki-laki atau Wanita/Perempuan.</t>
      </text>
    </comment>
    <comment ref="E53" authorId="0" shapeId="0">
      <text>
        <t>Tanggal lahir kosong - umur dan rekap umur tidak bisa dihitung.</t>
      </text>
    </comment>
    <comment ref="G53" authorId="0" shapeId="0">
      <text>
        <t>Agama kosong atau tidak dikenal - pilih dari daftar.</t>
      </text>
    </comment>
    <comment ref="A54" authorId="0" shapeId="0">
      <text>
        <t>Umat baru dari hasil scan:
Documents\_fase3_batch\RINALDY VIATOR TARIGAN- KTP__p1__d1 - Agama KRISTEN ee.jpg</t>
      </text>
    </comment>
    <comment ref="B54" authorId="0" shapeId="0">
      <text>
        <t>Belum tertaut ke keluarga mana pun - tautkan ke KK yang benar atau tambahkan keluarganya di DATA KK.</t>
      </text>
    </comment>
    <comment ref="C54" authorId="0" shapeId="0">
      <text>
        <t>Nama masih menempel potongan nama file scan ("RINALDY VIATOR TARIGAN- KTP p1 d1 - Agama KRISTEN ee") - LLM tidak membaca nama dari gambarnya, buka RINALDY VIATOR TARIGAN- KTP__p1__d1 - Agama KRISTEN ee.jpg lalu ketik nama yang benar.</t>
      </text>
    </comment>
    <comment ref="D54" authorId="0" shapeId="0">
      <text>
        <t>Jenis kelamin kosong atau tidak dikenal - pilih Pria/Laki-laki atau Wanita/Perempuan.</t>
      </text>
    </comment>
    <comment ref="E54" authorId="0" shapeId="0">
      <text>
        <t>Tanggal lahir kosong - umur dan rekap umur tidak bisa dihitung.</t>
      </text>
    </comment>
    <comment ref="G54" authorId="0" shapeId="0">
      <text>
        <t>Agama kosong atau tidak dikenal - pilih dari daftar.</t>
      </text>
    </comment>
    <comment ref="A55" authorId="0" shapeId="0">
      <text>
        <t>Umat baru dari hasil scan:
Documents\_fase3_batch\SIANTA IKWANTO-KTP ISTERI.jpg</t>
      </text>
    </comment>
    <comment ref="B55" authorId="0" shapeId="0">
      <text>
        <t>Belum tertaut ke keluarga mana pun - tautkan ke KK yang benar atau tambahkan keluarganya di DATA KK.</t>
      </text>
    </comment>
    <comment ref="D55" authorId="0" shapeId="0">
      <text>
        <t>Jenis kelamin kosong atau tidak dikenal - pilih Pria/Laki-laki atau Wanita/Perempuan.</t>
      </text>
    </comment>
    <comment ref="E55" authorId="0" shapeId="0">
      <text>
        <t>Tanggal lahir kosong - umur dan rekap umur tidak bisa dihitung.</t>
      </text>
    </comment>
    <comment ref="G55" authorId="0" shapeId="0">
      <text>
        <t>Agama kosong atau tidak dikenal - pilih dari daftar.</t>
      </text>
    </comment>
    <comment ref="A56" authorId="0" shapeId="0">
      <text>
        <t>Umat baru dari hasil scan:
Documents\_fase3_batch\SUKARMAN-KTP ANAK PERTAMA.jpg</t>
      </text>
    </comment>
    <comment ref="B56" authorId="0" shapeId="0">
      <text>
        <t>Belum tertaut ke keluarga mana pun - tautkan ke KK yang benar atau tambahkan keluarganya di DATA KK.</t>
      </text>
    </comment>
    <comment ref="D56" authorId="0" shapeId="0">
      <text>
        <t>Jenis kelamin kosong atau tidak dikenal - pilih Pria/Laki-laki atau Wanita/Perempuan.</t>
      </text>
    </comment>
    <comment ref="E56" authorId="0" shapeId="0">
      <text>
        <t>Tanggal lahir kosong - umur dan rekap umur tidak bisa dihitung.</t>
      </text>
    </comment>
    <comment ref="G56" authorId="0" shapeId="0">
      <text>
        <t>Agama kosong atau tidak dikenal - pilih dari daftar.</t>
      </text>
    </comment>
    <comment ref="A57" authorId="0" shapeId="0">
      <text>
        <t>Umat baru dari hasil scan:
Documents\_fase3_batch\TEDY WIBOWO-KTP__p1__d1 - KOTABAD RE Gt.jpg</t>
      </text>
    </comment>
    <comment ref="B57" authorId="0" shapeId="0">
      <text>
        <t>Belum tertaut ke keluarga mana pun - tautkan ke KK yang benar atau tambahkan keluarganya di DATA KK.</t>
      </text>
    </comment>
    <comment ref="C57" authorId="0" shapeId="0">
      <text>
        <t>Nama masih menempel potongan nama file scan ("TEDY WIBOWO-KTP p1 d1 - KOTABAD RE Gt") - LLM tidak membaca nama dari gambarnya, buka TEDY WIBOWO-KTP__p1__d1 - KOTABAD RE Gt.jpg lalu ketik nama yang benar.</t>
      </text>
    </comment>
    <comment ref="D57" authorId="0" shapeId="0">
      <text>
        <t>Jenis kelamin kosong atau tidak dikenal - pilih Pria/Laki-laki atau Wanita/Perempuan.</t>
      </text>
    </comment>
    <comment ref="E57" authorId="0" shapeId="0">
      <text>
        <t>Tanggal lahir kosong - umur dan rekap umur tidak bisa dihitung.</t>
      </text>
    </comment>
    <comment ref="G57" authorId="0" shapeId="0">
      <text>
        <t>Agama kosong atau tidak dikenal - pilih dari daftar.</t>
      </text>
    </comment>
    <comment ref="A58" authorId="0" shapeId="0">
      <text>
        <t>Umat baru dari hasil scan:
Documents\_fase3_batch\TEGUH WARDOYO-KTP__p1__d1.jpg</t>
      </text>
    </comment>
    <comment ref="B58" authorId="0" shapeId="0">
      <text>
        <t>Belum tertaut ke keluarga mana pun - tautkan ke KK yang benar atau tambahkan keluarganya di DATA KK.</t>
      </text>
    </comment>
    <comment ref="C58" authorId="0" shapeId="0">
      <text>
        <t>Nama masih menempel potongan nama file scan ("TEGUH WARDOYO-KTP p1 d1") - LLM tidak membaca nama dari gambarnya, buka TEGUH WARDOYO-KTP__p1__d1.jpg lalu ketik nama yang benar.</t>
      </text>
    </comment>
    <comment ref="D58" authorId="0" shapeId="0">
      <text>
        <t>Jenis kelamin kosong atau tidak dikenal - pilih Pria/Laki-laki atau Wanita/Perempuan.</t>
      </text>
    </comment>
    <comment ref="E58" authorId="0" shapeId="0">
      <text>
        <t>Tanggal lahir kosong - umur dan rekap umur tidak bisa dihitung.</t>
      </text>
    </comment>
    <comment ref="G58" authorId="0" shapeId="0">
      <text>
        <t>Agama kosong atau tidak dikenal - pilih dari daftar.</t>
      </text>
    </comment>
    <comment ref="A59" authorId="0" shapeId="0">
      <text>
        <t>Umat baru dari hasil scan:
Documents\_fase3_batch\THERESIA SUKARSI-KTP.jpg</t>
      </text>
    </comment>
    <comment ref="B59" authorId="0" shapeId="0">
      <text>
        <t>Belum tertaut ke keluarga mana pun - tautkan ke KK yang benar atau tambahkan keluarganya di DATA KK.</t>
      </text>
    </comment>
    <comment ref="D59" authorId="0" shapeId="0">
      <text>
        <t>Jenis kelamin kosong atau tidak dikenal - pilih Pria/Laki-laki atau Wanita/Perempuan.</t>
      </text>
    </comment>
    <comment ref="E59" authorId="0" shapeId="0">
      <text>
        <t>Tanggal lahir kosong - umur dan rekap umur tidak bisa dihitung.</t>
      </text>
    </comment>
    <comment ref="G59" authorId="0" shapeId="0">
      <text>
        <t>Agama kosong atau tidak dikenal - pilih dari daftar.</t>
      </text>
    </comment>
    <comment ref="A60" authorId="0" shapeId="0">
      <text>
        <t>Umat baru dari hasil scan:
Documents\_fase3_batch\ULFAH-KTP__p1__d1 - PROVINSI KALIMANTAN TIMUR.jpg</t>
      </text>
    </comment>
    <comment ref="B60" authorId="0" shapeId="0">
      <text>
        <t>Belum tertaut ke keluarga mana pun - tautkan ke KK yang benar atau tambahkan keluarganya di DATA KK.</t>
      </text>
    </comment>
    <comment ref="C60" authorId="0" shapeId="0">
      <text>
        <t>Nama masih menempel potongan nama file scan ("ULFAH-KTP p1 d1 - PROVINSI KALIMANTAN TIMUR") - LLM tidak membaca nama dari gambarnya, buka ULFAH-KTP__p1__d1 - PROVINSI KALIMANTAN TIMUR.jpg lalu ketik nama yang benar.</t>
      </text>
    </comment>
    <comment ref="D60" authorId="0" shapeId="0">
      <text>
        <t>Jenis kelamin kosong atau tidak dikenal - pilih Pria/Laki-laki atau Wanita/Perempuan.</t>
      </text>
    </comment>
    <comment ref="E60" authorId="0" shapeId="0">
      <text>
        <t>Tanggal lahir kosong - umur dan rekap umur tidak bisa dihitung.</t>
      </text>
    </comment>
    <comment ref="G60" authorId="0" shapeId="0">
      <text>
        <t>Agama kosong atau tidak dikenal - pilih dari daftar.</t>
      </text>
    </comment>
    <comment ref="A61" authorId="0" shapeId="0">
      <text>
        <t>Umat baru dari hasil scan:
Documents\_fase3_batch\WILFRIDUS SOI - KTP ISTRI.jpg</t>
      </text>
    </comment>
    <comment ref="B61" authorId="0" shapeId="0">
      <text>
        <t>Belum tertaut ke keluarga mana pun - tautkan ke KK yang benar atau tambahkan keluarganya di DATA KK.</t>
      </text>
    </comment>
    <comment ref="D61" authorId="0" shapeId="0">
      <text>
        <t>Jenis kelamin kosong atau tidak dikenal - pilih Pria/Laki-laki atau Wanita/Perempuan.</t>
      </text>
    </comment>
    <comment ref="E61" authorId="0" shapeId="0">
      <text>
        <t>Tanggal lahir kosong - umur dan rekap umur tidak bisa dihitung.</t>
      </text>
    </comment>
    <comment ref="G61" authorId="0" shapeId="0">
      <text>
        <t>Agama kosong atau tidak dikenal - pilih dari daftar.</t>
      </text>
    </comment>
    <comment ref="A62" authorId="0" shapeId="0">
      <text>
        <t>Umat baru dari hasil scan:
Documents\_fase3_batch\WILI BRODUS RAYMON AUGUSTINO - KTP ISTRI.jpg</t>
      </text>
    </comment>
    <comment ref="B62" authorId="0" shapeId="0">
      <text>
        <t>Belum tertaut ke keluarga mana pun - tautkan ke KK yang benar atau tambahkan keluarganya di DATA KK.</t>
      </text>
    </comment>
    <comment ref="D62" authorId="0" shapeId="0">
      <text>
        <t>Jenis kelamin kosong atau tidak dikenal - pilih Pria/Laki-laki atau Wanita/Perempuan.</t>
      </text>
    </comment>
    <comment ref="E62" authorId="0" shapeId="0">
      <text>
        <t>Tanggal lahir kosong - umur dan rekap umur tidak bisa dihitung.</t>
      </text>
    </comment>
    <comment ref="G62" authorId="0" shapeId="0">
      <text>
        <t>Agama kosong atau tidak dikenal - pilih dari daftar.</t>
      </text>
    </comment>
    <comment ref="A63" authorId="0" shapeId="0">
      <text>
        <t>Umat baru dari hasil scan:
Documents\_fase3_batch\WILIAM PRIHANDOKO-KTP ADIK ISTERI.jpg</t>
      </text>
    </comment>
    <comment ref="B63" authorId="0" shapeId="0">
      <text>
        <t>Belum tertaut ke keluarga mana pun - tautkan ke KK yang benar atau tambahkan keluarganya di DATA KK.</t>
      </text>
    </comment>
    <comment ref="D63" authorId="0" shapeId="0">
      <text>
        <t>Jenis kelamin kosong atau tidak dikenal - pilih Pria/Laki-laki atau Wanita/Perempuan.</t>
      </text>
    </comment>
    <comment ref="E63" authorId="0" shapeId="0">
      <text>
        <t>Tanggal lahir kosong - umur dan rekap umur tidak bisa dihitung.</t>
      </text>
    </comment>
    <comment ref="G63" authorId="0" shapeId="0">
      <text>
        <t>Agama kosong atau tidak dikenal - pilih dari daftar.</t>
      </text>
    </comment>
    <comment ref="A64" authorId="0" shapeId="0">
      <text>
        <t>Umat baru dari hasil scan:
Documents\_fase3_batch\YOHAN KURNIAWAN BUYUNG-KTP ANAK PERTAMA.jpg</t>
      </text>
    </comment>
    <comment ref="B64" authorId="0" shapeId="0">
      <text>
        <t>Belum tertaut ke keluarga mana pun - tautkan ke KK yang benar atau tambahkan keluarganya di DATA KK.</t>
      </text>
    </comment>
    <comment ref="D64" authorId="0" shapeId="0">
      <text>
        <t>Jenis kelamin kosong atau tidak dikenal - pilih Pria/Laki-laki atau Wanita/Perempuan.</t>
      </text>
    </comment>
    <comment ref="E64" authorId="0" shapeId="0">
      <text>
        <t>Tanggal lahir kosong - umur dan rekap umur tidak bisa dihitung.</t>
      </text>
    </comment>
    <comment ref="G64" authorId="0" shapeId="0">
      <text>
        <t>Agama kosong atau tidak dikenal - pilih dari daftar.</t>
      </text>
    </comment>
    <comment ref="A65" authorId="0" shapeId="0">
      <text>
        <t>Umat baru dari hasil scan:
Documents\_fase3_batch\YONAS SORRO - KTP.jpg</t>
      </text>
    </comment>
    <comment ref="B65" authorId="0" shapeId="0">
      <text>
        <t>Belum tertaut ke keluarga mana pun - tautkan ke KK yang benar atau tambahkan keluarganya di DATA KK.</t>
      </text>
    </comment>
    <comment ref="D65" authorId="0" shapeId="0">
      <text>
        <t>Jenis kelamin kosong atau tidak dikenal - pilih Pria/Laki-laki atau Wanita/Perempuan.</t>
      </text>
    </comment>
    <comment ref="E65" authorId="0" shapeId="0">
      <text>
        <t>Tanggal lahir kosong - umur dan rekap umur tidak bisa dihitung.</t>
      </text>
    </comment>
    <comment ref="G65" authorId="0" shapeId="0">
      <text>
        <t>Agama kosong atau tidak dikenal - pilih dari daftar.</t>
      </text>
    </comment>
    <comment ref="A66" authorId="0" shapeId="0">
      <text>
        <t>Umat baru dari hasil scan:
Documents\_fase3_batch\YUPENSIUS MURDIYONO - KTP ANAK.jpg</t>
      </text>
    </comment>
    <comment ref="B66" authorId="0" shapeId="0">
      <text>
        <t>Belum tertaut ke keluarga mana pun - tautkan ke KK yang benar atau tambahkan keluarganya di DATA KK.</t>
      </text>
    </comment>
    <comment ref="D66" authorId="0" shapeId="0">
      <text>
        <t>Jenis kelamin kosong atau tidak dikenal - pilih Pria/Laki-laki atau Wanita/Perempuan.</t>
      </text>
    </comment>
    <comment ref="E66" authorId="0" shapeId="0">
      <text>
        <t>Tanggal lahir kosong - umur dan rekap umur tidak bisa dihitung.</t>
      </text>
    </comment>
    <comment ref="G66" authorId="0" shapeId="0">
      <text>
        <t>Agama kosong atau tidak dikenal - pilih dari daftar.</t>
      </text>
    </comment>
    <comment ref="A67" authorId="0" shapeId="0">
      <text>
        <t>Umat baru dari hasil scan:
Documents\_fase3_batch\YUSUF-KTP ADIK KETIGA.jpg</t>
      </text>
    </comment>
    <comment ref="B67" authorId="0" shapeId="0">
      <text>
        <t>Belum tertaut ke keluarga mana pun - tautkan ke KK yang benar atau tambahkan keluarganya di DATA KK.</t>
      </text>
    </comment>
    <comment ref="D67" authorId="0" shapeId="0">
      <text>
        <t>Jenis kelamin kosong atau tidak dikenal - pilih Pria/Laki-laki atau Wanita/Perempuan.</t>
      </text>
    </comment>
    <comment ref="E67" authorId="0" shapeId="0">
      <text>
        <t>Tanggal lahir kosong - umur dan rekap umur tidak bisa dihitung.</t>
      </text>
    </comment>
    <comment ref="G67" authorId="0" shapeId="0">
      <text>
        <t>Agama kosong atau tidak dikenal - pilih dari daftar.</t>
      </text>
    </comment>
    <comment ref="A68" authorId="0" shapeId="0">
      <text>
        <t>Umat baru dari hasil scan:
Documents\_fase3_batch\ANA E. YAYUK SUPRAPTININGSIH-SURAT BAPTIS.jpg</t>
      </text>
    </comment>
    <comment ref="B68" authorId="0" shapeId="0">
      <text>
        <t>Belum tertaut ke keluarga mana pun - tautkan ke KK yang benar atau tambahkan keluarganya di DATA KK.</t>
      </text>
    </comment>
    <comment ref="D68" authorId="0" shapeId="0">
      <text>
        <t>Jenis kelamin kosong atau tidak dikenal - pilih Pria/Laki-laki atau Wanita/Perempuan.</t>
      </text>
    </comment>
    <comment ref="G68" authorId="0" shapeId="0">
      <text>
        <t>Agama kosong atau tidak dikenal - pilih dari daftar.</t>
      </text>
    </comment>
    <comment ref="A69" authorId="0" shapeId="0">
      <text>
        <t>Umat baru dari hasil scan:
Documents\_fase3_batch\ANTHONIUS SALEM -SURAT BAPTIS ANAK.jpg</t>
      </text>
    </comment>
    <comment ref="B69" authorId="0" shapeId="0">
      <text>
        <t>Belum tertaut ke keluarga mana pun - tautkan ke KK yang benar atau tambahkan keluarganya di DATA KK.</t>
      </text>
    </comment>
    <comment ref="D69" authorId="0" shapeId="0">
      <text>
        <t>Jenis kelamin kosong atau tidak dikenal - pilih Pria/Laki-laki atau Wanita/Perempuan.</t>
      </text>
    </comment>
    <comment ref="G69" authorId="0" shapeId="0">
      <text>
        <t>Agama kosong atau tidak dikenal - pilih dari daftar.</t>
      </text>
    </comment>
    <comment ref="A70" authorId="0" shapeId="0">
      <text>
        <t>Umat baru dari hasil scan:
Documents\_fase3_batch\BARNABAS MUKHTAR-SURAT BAPTIS.jpg</t>
      </text>
    </comment>
    <comment ref="B70" authorId="0" shapeId="0">
      <text>
        <t>Belum tertaut ke keluarga mana pun - tautkan ke KK yang benar atau tambahkan keluarganya di DATA KK.</t>
      </text>
    </comment>
    <comment ref="D70" authorId="0" shapeId="0">
      <text>
        <t>Jenis kelamin kosong atau tidak dikenal - pilih Pria/Laki-laki atau Wanita/Perempuan.</t>
      </text>
    </comment>
    <comment ref="G70" authorId="0" shapeId="0">
      <text>
        <t>Agama kosong atau tidak dikenal - pilih dari daftar.</t>
      </text>
    </comment>
    <comment ref="A71" authorId="0" shapeId="0">
      <text>
        <t>Umat baru dari hasil scan:
Documents\_fase3_batch\C. PURWONGGO SATOTO-SURAT BAPTIS ISTERI.jpg</t>
      </text>
    </comment>
    <comment ref="B71" authorId="0" shapeId="0">
      <text>
        <t>Belum tertaut ke keluarga mana pun - tautkan ke KK yang benar atau tambahkan keluarganya di DATA KK.</t>
      </text>
    </comment>
    <comment ref="D71" authorId="0" shapeId="0">
      <text>
        <t>Jenis kelamin kosong atau tidak dikenal - pilih Pria/Laki-laki atau Wanita/Perempuan.</t>
      </text>
    </comment>
    <comment ref="G71" authorId="0" shapeId="0">
      <text>
        <t>Agama kosong atau tidak dikenal - pilih dari daftar.</t>
      </text>
    </comment>
    <comment ref="A72" authorId="0" shapeId="0">
      <text>
        <t>Umat baru dari hasil scan:
Documents\_fase3_batch\HENDRIX AGUNG APRIWINARTO - KTP ISTRI.jpg</t>
      </text>
    </comment>
    <comment ref="B72" authorId="0" shapeId="0">
      <text>
        <t>Belum tertaut ke keluarga mana pun - tautkan ke KK yang benar atau tambahkan keluarganya di DATA KK.</t>
      </text>
    </comment>
    <comment ref="D72" authorId="0" shapeId="0">
      <text>
        <t>Jenis kelamin kosong atau tidak dikenal - pilih Pria/Laki-laki atau Wanita/Perempuan.</t>
      </text>
    </comment>
    <comment ref="G72" authorId="0" shapeId="0">
      <text>
        <t>Agama kosong atau tidak dikenal - pilih dari daftar.</t>
      </text>
    </comment>
    <comment ref="A73" authorId="0" shapeId="0">
      <text>
        <t>Umat baru dari hasil scan:
Documents\_fase3_batch\HENDRIX AGUNG APRIWINARTO - SURAT BAPTIS ISTRI.jpg</t>
      </text>
    </comment>
    <comment ref="B73" authorId="0" shapeId="0">
      <text>
        <t>Belum tertaut ke keluarga mana pun - tautkan ke KK yang benar atau tambahkan keluarganya di DATA KK.</t>
      </text>
    </comment>
    <comment ref="D73" authorId="0" shapeId="0">
      <text>
        <t>Jenis kelamin kosong atau tidak dikenal - pilih Pria/Laki-laki atau Wanita/Perempuan.</t>
      </text>
    </comment>
    <comment ref="G73" authorId="0" shapeId="0">
      <text>
        <t>Agama kosong atau tidak dikenal - pilih dari daftar.</t>
      </text>
    </comment>
    <comment ref="A74" authorId="0" shapeId="0">
      <text>
        <t>Umat baru dari hasil scan:
Documents\_fase3_batch\IGNATIUS BUDIARIYANTO-SURAT KRISMA ISTERI__p1__d1.jpg</t>
      </text>
    </comment>
    <comment ref="B74" authorId="0" shapeId="0">
      <text>
        <t>Belum tertaut ke keluarga mana pun - tautkan ke KK yang benar atau tambahkan keluarganya di DATA KK.</t>
      </text>
    </comment>
    <comment ref="D74" authorId="0" shapeId="0">
      <text>
        <t>Jenis kelamin kosong atau tidak dikenal - pilih Pria/Laki-laki atau Wanita/Perempuan.</t>
      </text>
    </comment>
    <comment ref="E74" authorId="0" shapeId="0">
      <text>
        <t>Tanggal lahir kosong - umur dan rekap umur tidak bisa dihitung.</t>
      </text>
    </comment>
    <comment ref="G74" authorId="0" shapeId="0">
      <text>
        <t>Agama kosong atau tidak dikenal - pilih dari daftar.</t>
      </text>
    </comment>
    <comment ref="A75" authorId="0" shapeId="0">
      <text>
        <t>Umat baru dari hasil scan:
Documents\_fase3_batch\IGNATIUS BUDIARIYANTO-SURAT KRISMA__p1__d1.jpg</t>
      </text>
    </comment>
    <comment ref="B75" authorId="0" shapeId="0">
      <text>
        <t>Belum tertaut ke keluarga mana pun - tautkan ke KK yang benar atau tambahkan keluarganya di DATA KK.</t>
      </text>
    </comment>
    <comment ref="D75" authorId="0" shapeId="0">
      <text>
        <t>Jenis kelamin kosong atau tidak dikenal - pilih Pria/Laki-laki atau Wanita/Perempuan.</t>
      </text>
    </comment>
    <comment ref="E75" authorId="0" shapeId="0">
      <text>
        <t>Tanggal lahir kosong - umur dan rekap umur tidak bisa dihitung.</t>
      </text>
    </comment>
    <comment ref="G75" authorId="0" shapeId="0">
      <text>
        <t>Agama kosong atau tidak dikenal - pilih dari daftar.</t>
      </text>
    </comment>
    <comment ref="A76" authorId="0" shapeId="0">
      <text>
        <t>Umat baru dari hasil scan:
Documents\_fase3_batch\MURTIYONO - SURAT BAPTIS ANAK.jpg</t>
      </text>
    </comment>
    <comment ref="B76" authorId="0" shapeId="0">
      <text>
        <t>Belum tertaut ke keluarga mana pun - tautkan ke KK yang benar atau tambahkan keluarganya di DATA KK.</t>
      </text>
    </comment>
    <comment ref="D76" authorId="0" shapeId="0">
      <text>
        <t>Jenis kelamin kosong atau tidak dikenal - pilih Pria/Laki-laki atau Wanita/Perempuan.</t>
      </text>
    </comment>
    <comment ref="G76" authorId="0" shapeId="0">
      <text>
        <t>Agama kosong atau tidak dikenal - pilih dari daftar.</t>
      </text>
    </comment>
    <comment ref="A77" authorId="0" shapeId="0">
      <text>
        <t>Umat baru dari hasil scan:
Documents\_fase3_batch\MURTIYONO - SURAT KRISMA ISTRI.jpg</t>
      </text>
    </comment>
    <comment ref="B77" authorId="0" shapeId="0">
      <text>
        <t>Keluarga KK0011 belum punya nomor KK (DATA KK baris 12).</t>
      </text>
    </comment>
    <comment ref="D77" authorId="0" shapeId="0">
      <text>
        <t>Jenis kelamin kosong atau tidak dikenal - pilih Pria/Laki-laki atau Wanita/Perempuan.</t>
      </text>
    </comment>
    <comment ref="E77" authorId="0" shapeId="0">
      <text>
        <t>Tanggal lahir kosong - umur dan rekap umur tidak bisa dihitung.</t>
      </text>
    </comment>
    <comment ref="G77" authorId="0" shapeId="0">
      <text>
        <t>Agama kosong atau tidak dikenal - pilih dari daftar.</t>
      </text>
    </comment>
    <comment ref="A78" authorId="0" shapeId="0">
      <text>
        <t>Umat baru dari hasil scan:
Documents\_fase3_batch\P. SUYATI-SURAT BAPTIS.jpg</t>
      </text>
    </comment>
    <comment ref="B78" authorId="0" shapeId="0">
      <text>
        <t>Belum tertaut ke keluarga mana pun - tautkan ke KK yang benar atau tambahkan keluarganya di DATA KK.</t>
      </text>
    </comment>
    <comment ref="D78" authorId="0" shapeId="0">
      <text>
        <t>Jenis kelamin kosong atau tidak dikenal - pilih Pria/Laki-laki atau Wanita/Perempuan.</t>
      </text>
    </comment>
    <comment ref="G78" authorId="0" shapeId="0">
      <text>
        <t>Agama kosong atau tidak dikenal - pilih dari daftar.</t>
      </text>
    </comment>
    <comment ref="A79" authorId="0" shapeId="0">
      <text>
        <t>Umat baru dari hasil scan:
Documents\_fase3_batch\RIBKA RATTANG - SURAT KOMUNI PERTAMA ADIK.jpg</t>
      </text>
    </comment>
    <comment ref="B79" authorId="0" shapeId="0">
      <text>
        <t>Belum tertaut ke keluarga mana pun - tautkan ke KK yang benar atau tambahkan keluarganya di DATA KK.</t>
      </text>
    </comment>
    <comment ref="D79" authorId="0" shapeId="0">
      <text>
        <t>Jenis kelamin kosong atau tidak dikenal - pilih Pria/Laki-laki atau Wanita/Perempuan.</t>
      </text>
    </comment>
    <comment ref="E79" authorId="0" shapeId="0">
      <text>
        <t>Tanggal lahir kosong - umur dan rekap umur tidak bisa dihitung.</t>
      </text>
    </comment>
    <comment ref="G79" authorId="0" shapeId="0">
      <text>
        <t>Agama kosong atau tidak dikenal - pilih dari daftar.</t>
      </text>
    </comment>
    <comment ref="A80" authorId="0" shapeId="0">
      <text>
        <t>Umat baru dari hasil scan:
Documents\_fase3_batch\SURAT BAPTIS-MARSELINUS PAMBO ISTRI.jpg</t>
      </text>
    </comment>
    <comment ref="B80" authorId="0" shapeId="0">
      <text>
        <t>Belum tertaut ke keluarga mana pun - tautkan ke KK yang benar atau tambahkan keluarganya di DATA KK.</t>
      </text>
    </comment>
    <comment ref="D80" authorId="0" shapeId="0">
      <text>
        <t>Jenis kelamin kosong atau tidak dikenal - pilih Pria/Laki-laki atau Wanita/Perempuan.</t>
      </text>
    </comment>
    <comment ref="G80" authorId="0" shapeId="0">
      <text>
        <t>Agama kosong atau tidak dikenal - pilih dari daftar.</t>
      </text>
    </comment>
    <comment ref="A81" authorId="0" shapeId="0">
      <text>
        <t>Umat baru dari hasil scan:
Documents\_fase3_batch\VERO DWI ANI-SURAT BAPTIS ANAK 1.jpg</t>
      </text>
    </comment>
    <comment ref="B81" authorId="0" shapeId="0">
      <text>
        <t>Belum tertaut ke keluarga mana pun - tautkan ke KK yang benar atau tambahkan keluarganya di DATA KK.</t>
      </text>
    </comment>
    <comment ref="D81" authorId="0" shapeId="0">
      <text>
        <t>Jenis kelamin kosong atau tidak dikenal - pilih Pria/Laki-laki atau Wanita/Perempuan.</t>
      </text>
    </comment>
    <comment ref="G81" authorId="0" shapeId="0">
      <text>
        <t>Agama kosong atau tidak dikenal - pilih dari daftar.</t>
      </text>
    </comment>
    <comment ref="A82" authorId="0" shapeId="0">
      <text>
        <t>Umat baru dari hasil scan:
Documents\_fase3_batch\VERO DWI ANI-SURAT BAPTIS ANAK 2.jpg</t>
      </text>
    </comment>
    <comment ref="B82" authorId="0" shapeId="0">
      <text>
        <t>Belum tertaut ke keluarga mana pun - tautkan ke KK yang benar atau tambahkan keluarganya di DATA KK.</t>
      </text>
    </comment>
    <comment ref="D82" authorId="0" shapeId="0">
      <text>
        <t>Jenis kelamin kosong atau tidak dikenal - pilih Pria/Laki-laki atau Wanita/Perempuan.</t>
      </text>
    </comment>
    <comment ref="G82" authorId="0" shapeId="0">
      <text>
        <t>Agama kosong atau tidak dikenal - pilih dari daftar.</t>
      </text>
    </comment>
    <comment ref="A83" authorId="0" shapeId="0">
      <text>
        <t>Umat baru dari hasil scan:
Documents\_fase3_batch\VERO DWI ANI-SURAT NIKAH SIPIL.jpg</t>
      </text>
    </comment>
    <comment ref="B83" authorId="0" shapeId="0">
      <text>
        <t>Keluarga KK0012 belum punya nomor KK (DATA KK baris 13).</t>
      </text>
    </comment>
    <comment ref="D83" authorId="0" shapeId="0">
      <text>
        <t>Jenis kelamin kosong atau tidak dikenal - pilih Pria/Laki-laki atau Wanita/Perempuan.</t>
      </text>
    </comment>
    <comment ref="E83" authorId="0" shapeId="0">
      <text>
        <t>Tanggal lahir kosong - umur dan rekap umur tidak bisa dihitung.</t>
      </text>
    </comment>
    <comment ref="G83" authorId="0" shapeId="0">
      <text>
        <t>Agama kosong atau tidak dikenal - pilih dari daftar.</t>
      </text>
    </comment>
  </commentList>
</comments>
</file>

<file path=xl/comments/comment3.xml><?xml version="1.0" encoding="utf-8"?>
<comments xmlns="http://schemas.openxmlformats.org/spreadsheetml/2006/main">
  <authors>
    <author>Sensus 2026</author>
  </authors>
  <commentList>
    <comment ref="F28" authorId="0" shapeId="0">
      <text>
        <t>Tanggal baptis belum ada (buka surat: PIOTR-SURAT BAPTIS ISTERI.jpg).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5391150" cy="27813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blDATAKK" displayName="TblDATAKK" ref="A1:K501" headerRowCount="1">
  <tableColumns count="11">
    <tableColumn id="1" name="ID KK"/>
    <tableColumn id="2" name="Nama KK"/>
    <tableColumn id="3" name="Alamat"/>
    <tableColumn id="4" name="Kelurahan"/>
    <tableColumn id="5" name="Lingkungan"/>
    <tableColumn id="6" name="Basis/Stasi"/>
    <tableColumn id="7" name="Telp/HP"/>
    <tableColumn id="8" name="Email"/>
    <tableColumn id="9" name="Status Perkawinan"/>
    <tableColumn id="10" name="Tanggal Input"/>
    <tableColumn id="11" name="Keterangan"/>
  </tableColumns>
  <tableStyleInfo name="DATA KK-style" showFirstColumn="1" showLastColumn="1" showRowStripes="1" showColumnStripes="0"/>
</table>
</file>

<file path=xl/tables/table2.xml><?xml version="1.0" encoding="utf-8"?>
<table xmlns="http://schemas.openxmlformats.org/spreadsheetml/2006/main" id="2" name="TblDATAUMAT" displayName="TblDATAUMAT" ref="A1:Z2001" headerRowCount="1">
  <tableColumns count="26">
    <tableColumn id="1" name="ID Umat"/>
    <tableColumn id="2" name="ID KK"/>
    <tableColumn id="3" name="Nama Lengkap"/>
    <tableColumn id="4" name="Jenis Kelamin"/>
    <tableColumn id="5" name="Tanggal Lahir"/>
    <tableColumn id="6" name="Umur 31/12/2026"/>
    <tableColumn id="7" name="Agama"/>
    <tableColumn id="8" name="Lingkungan"/>
    <tableColumn id="9" name="Basis/Stasi"/>
    <tableColumn id="10" name="Daerah/Desa"/>
    <tableColumn id="11" name="Status Umat"/>
    <tableColumn id="12" name="Tanggal Baptis"/>
    <tableColumn id="13" name="Paroki/Gereja Baptis"/>
    <tableColumn id="14" name="No Buku Baptis"/>
    <tableColumn id="15" name="Tanggal Komuni I"/>
    <tableColumn id="16" name="Paroki/Gereja Komuni I"/>
    <tableColumn id="17" name="Tanggal Krisma"/>
    <tableColumn id="18" name="Paroki/Gereja Krisma"/>
    <tableColumn id="19" name="Pendidikan Terakhir"/>
    <tableColumn id="20" name="Profesi"/>
    <tableColumn id="21" name="Golongan Darah"/>
    <tableColumn id="22" name="NIK (opsional)"/>
    <tableColumn id="23" name="No KK (opsional)"/>
    <tableColumn id="24" name="Telp/HP"/>
    <tableColumn id="25" name="Email"/>
    <tableColumn id="26" name="Keterangan"/>
  </tableColumns>
  <tableStyleInfo name="DATA UMAT-style" showFirstColumn="1" showLastColumn="1" showRowStripes="1" showColumnStripes="0"/>
</table>
</file>

<file path=xl/tables/table3.xml><?xml version="1.0" encoding="utf-8"?>
<table xmlns="http://schemas.openxmlformats.org/spreadsheetml/2006/main" id="3" name="TblBAPTIS" displayName="TblBAPTIS" ref="A1:H1001" headerRowCount="1">
  <tableColumns count="8">
    <tableColumn id="1" name="ID Umat"/>
    <tableColumn id="2" name="Nama"/>
    <tableColumn id="3" name="Lingkungan"/>
    <tableColumn id="4" name="Jenis Kelamin"/>
    <tableColumn id="5" name="Tanggal Lahir"/>
    <tableColumn id="6" name="Tanggal Baptis"/>
    <tableColumn id="7" name="Umur Saat Baptis"/>
    <tableColumn id="8" name="Keterangan"/>
  </tableColumns>
  <tableStyleInfo name="BAPTIS-style" showFirstColumn="1" showLastColumn="1" showRowStripes="1" showColumnStripes="0"/>
</table>
</file>

<file path=xl/tables/table4.xml><?xml version="1.0" encoding="utf-8"?>
<table xmlns="http://schemas.openxmlformats.org/spreadsheetml/2006/main" id="4" name="TblDITERIMAMASUK" displayName="TblDITERIMAMASUK" ref="A1:G1001" headerRowCount="1">
  <tableColumns count="7">
    <tableColumn id="1" name="ID Umat"/>
    <tableColumn id="2" name="Nama"/>
    <tableColumn id="3" name="Lingkungan"/>
    <tableColumn id="4" name="Tanggal Masuk"/>
    <tableColumn id="5" name="Asal Gereja Kristen"/>
    <tableColumn id="6" name="Tanpa Baptis"/>
    <tableColumn id="7" name="Keterangan"/>
  </tableColumns>
  <tableStyleInfo name="DITERIMA MASUK-style" showFirstColumn="1" showLastColumn="1" showRowStripes="1" showColumnStripes="0"/>
</table>
</file>

<file path=xl/tables/table5.xml><?xml version="1.0" encoding="utf-8"?>
<table xmlns="http://schemas.openxmlformats.org/spreadsheetml/2006/main" id="5" name="TblMUTASI" displayName="TblMUTASI" ref="A1:I1001" headerRowCount="1">
  <tableColumns count="9">
    <tableColumn id="1" name="ID Umat"/>
    <tableColumn id="2" name="Nama"/>
    <tableColumn id="3" name="Lingkungan"/>
    <tableColumn id="4" name="Jenis Mutasi"/>
    <tableColumn id="5" name="Tanggal Mutasi"/>
    <tableColumn id="6" name="Rute"/>
    <tableColumn id="7" name="Asal/Tujuan"/>
    <tableColumn id="8" name="Paroki/Keuskupan"/>
    <tableColumn id="9" name="Keterangan"/>
  </tableColumns>
  <tableStyleInfo name="MUTASI-style" showFirstColumn="1" showLastColumn="1" showRowStripes="1" showColumnStripes="0"/>
</table>
</file>

<file path=xl/tables/table6.xml><?xml version="1.0" encoding="utf-8"?>
<table xmlns="http://schemas.openxmlformats.org/spreadsheetml/2006/main" id="6" name="TblPINDAHAGAMA" displayName="TblPINDAHAGAMA" ref="A1:F1001" headerRowCount="1">
  <tableColumns count="6">
    <tableColumn id="1" name="ID Umat"/>
    <tableColumn id="2" name="Nama"/>
    <tableColumn id="3" name="Lingkungan"/>
    <tableColumn id="4" name="Tanggal Pindah Agama"/>
    <tableColumn id="5" name="Agama Baru"/>
    <tableColumn id="6" name="Keterangan"/>
  </tableColumns>
  <tableStyleInfo name="PINDAH AGAMA-style" showFirstColumn="1" showLastColumn="1" showRowStripes="1" showColumnStripes="0"/>
</table>
</file>

<file path=xl/tables/table7.xml><?xml version="1.0" encoding="utf-8"?>
<table xmlns="http://schemas.openxmlformats.org/spreadsheetml/2006/main" id="7" name="TblKOMUNIPERTAMA" displayName="TblKOMUNIPERTAMA" ref="A1:G1001" headerRowCount="1">
  <tableColumns count="7">
    <tableColumn id="1" name="ID Umat"/>
    <tableColumn id="2" name="Nama"/>
    <tableColumn id="3" name="Lingkungan"/>
    <tableColumn id="4" name="Jenis Kelamin"/>
    <tableColumn id="5" name="Tanggal Komuni I"/>
    <tableColumn id="6" name="Paroki/Gereja"/>
    <tableColumn id="7" name="Keterangan"/>
  </tableColumns>
  <tableStyleInfo name="KOMUNI PERTAMA-style" showFirstColumn="1" showLastColumn="1" showRowStripes="1" showColumnStripes="0"/>
</table>
</file>

<file path=xl/tables/table8.xml><?xml version="1.0" encoding="utf-8"?>
<table xmlns="http://schemas.openxmlformats.org/spreadsheetml/2006/main" id="8" name="TblPERKAWINANGEREJANI" displayName="TblPERKAWINANGEREJANI" ref="A1:F1001" headerRowCount="1">
  <tableColumns count="6">
    <tableColumn id="1" name="ID KK"/>
    <tableColumn id="2" name="Nama Pasangan"/>
    <tableColumn id="3" name="Lingkungan"/>
    <tableColumn id="4" name="Tanggal Perkawinan"/>
    <tableColumn id="5" name="Agama Pasangan"/>
    <tableColumn id="6" name="Keterangan"/>
  </tableColumns>
  <tableStyleInfo name="PERKAWINAN GEREJANI-style" showFirstColumn="1" showLastColumn="1" showRowStripes="1" showColumnStripes="0"/>
</table>
</file>

<file path=xl/tables/table9.xml><?xml version="1.0" encoding="utf-8"?>
<table xmlns="http://schemas.openxmlformats.org/spreadsheetml/2006/main" id="9" name="TblPEMBUBARAN" displayName="TblPEMBUBARAN" ref="A1:F1001" headerRowCount="1">
  <tableColumns count="6">
    <tableColumn id="1" name="ID KK"/>
    <tableColumn id="2" name="Nama Pasangan"/>
    <tableColumn id="3" name="Lingkungan"/>
    <tableColumn id="4" name="Tanggal Pembubaran"/>
    <tableColumn id="5" name="Pelaksanaan Lewat"/>
    <tableColumn id="6" name="Keterangan"/>
  </tableColumns>
  <tableStyleInfo name="PEMBUBARAN-style" showFirstColumn="1" showLastColumn="1" showRowStripes="1" showColumnStripes="0"/>
</table>
</file>

<file path=xl/tables/table10.xml><?xml version="1.0" encoding="utf-8"?>
<table xmlns="http://schemas.openxmlformats.org/spreadsheetml/2006/main" id="10" name="TblPERMINYAKANSUCI" displayName="TblPERMINYAKANSUCI" ref="A1:F1001" headerRowCount="1">
  <tableColumns count="6">
    <tableColumn id="1" name="ID Umat"/>
    <tableColumn id="2" name="Nama"/>
    <tableColumn id="3" name="Lingkungan"/>
    <tableColumn id="4" name="Jenis Kelamin"/>
    <tableColumn id="5" name="Tanggal Sakramen"/>
    <tableColumn id="6" name="Keterangan"/>
  </tableColumns>
  <tableStyleInfo name="PERMINYAKAN SUCI-style" showFirstColumn="1" showLastColumn="1" showRowStripes="1" showColumnStripes="0"/>
</table>
</file>

<file path=xl/tables/table11.xml><?xml version="1.0" encoding="utf-8"?>
<table xmlns="http://schemas.openxmlformats.org/spreadsheetml/2006/main" id="11" name="TblKEMATIAN" displayName="TblKEMATIAN" ref="A1:H1001" headerRowCount="1">
  <tableColumns count="8">
    <tableColumn id="1" name="ID Umat"/>
    <tableColumn id="2" name="Nama"/>
    <tableColumn id="3" name="Lingkungan"/>
    <tableColumn id="4" name="Jenis Kelamin"/>
    <tableColumn id="5" name="Tanggal Lahir"/>
    <tableColumn id="6" name="Tanggal Meninggal"/>
    <tableColumn id="7" name="Umur Saat Meninggal"/>
    <tableColumn id="8" name="Keterangan"/>
  </tableColumns>
  <tableStyleInfo name="KEMATIAN-style" showFirstColumn="1" showLastColumn="1" showRowStripes="1" showColumnStripes="0"/>
</table>
</file>

<file path=xl/tables/table12.xml><?xml version="1.0" encoding="utf-8"?>
<table xmlns="http://schemas.openxmlformats.org/spreadsheetml/2006/main" id="12" name="TblSEMINARIBIARA" displayName="TblSEMINARIBIARA" ref="A1:H1001" headerRowCount="1">
  <tableColumns count="8">
    <tableColumn id="1" name="ID Umat"/>
    <tableColumn id="2" name="Nama"/>
    <tableColumn id="3" name="Lingkungan"/>
    <tableColumn id="4" name="Jenis Kelamin"/>
    <tableColumn id="5" name="Jalur Seminari/Biara"/>
    <tableColumn id="6" name="Status"/>
    <tableColumn id="7" name="Tanggal Mulai/Status"/>
    <tableColumn id="8" name="Keterangan"/>
  </tableColumns>
  <tableStyleInfo name="SEMINARI BIARA-style" showFirstColumn="1" showLastColumn="1" showRowStripes="1" showColumnStripes="0"/>
</table>
</file>

<file path=xl/tables/table13.xml><?xml version="1.0" encoding="utf-8"?>
<table xmlns="http://schemas.openxmlformats.org/spreadsheetml/2006/main" id="13" name="TblRekapLingkungan" displayName="TblRekapLingkungan" ref="A4:S104" headerRowCount="1">
  <tableColumns count="19">
    <tableColumn id="1" name="Nama Lingkungan"/>
    <tableColumn id="2" name="KK"/>
    <tableColumn id="3" name="Jiwa"/>
    <tableColumn id="4" name="Baptis 2026"/>
    <tableColumn id="5" name="Diterima dari Kristen Lain"/>
    <tableColumn id="6" name="Pindah Masuk dari Paroki Lain"/>
    <tableColumn id="7" name="Pindah Masuk dari Keuskupan Lain"/>
    <tableColumn id="8" name="Meninggal"/>
    <tableColumn id="9" name="Pindah Keluar ke Paroki Lain"/>
    <tableColumn id="10" name="Pindah Keluar ke Keuskupan Lain"/>
    <tableColumn id="11" name="Pindah Agama"/>
    <tableColumn id="12" name="Saldo Perubahan"/>
    <tableColumn id="13" name="Komuni I"/>
    <tableColumn id="14" name="Perkawinan Gerejani"/>
    <tableColumn id="15" name="Pembubaran"/>
    <tableColumn id="16" name="Perminyakan Suci"/>
    <tableColumn id="17" name="Kematian"/>
    <tableColumn id="18" name="Mulai Seminari/Biara"/>
    <tableColumn id="19" name="Sedang Belajar Seminari"/>
  </tableColumns>
  <tableStyleInfo name="REKAP LINGKUNGA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ColWidth="14.43" defaultRowHeight="15" customHeight="1"/>
  <cols>
    <col width="5" customWidth="1" style="37" min="1" max="1"/>
    <col width="28" customWidth="1" style="37" min="2" max="2"/>
    <col width="100" customWidth="1" style="37" min="3" max="3"/>
    <col width="9" customWidth="1" style="37" min="4" max="26"/>
  </cols>
  <sheetData>
    <row r="1" ht="48" customHeight="1" s="37">
      <c r="A1" s="2" t="inlineStr">
        <is>
          <t>TEMPLATE DATABASE &amp; REKAP STATISTIK UMAT
PAROKI ST. KLEMENT I SEPINGGAN BALIKPAPAN — 2026</t>
        </is>
      </c>
    </row>
    <row r="2" ht="14.25" customHeight="1" s="37"/>
    <row r="3" ht="39.75" customHeight="1" s="37">
      <c r="A3" s="4" t="n">
        <v>1</v>
      </c>
      <c r="B3" s="5" t="inlineStr">
        <is>
          <t>Dasar</t>
        </is>
      </c>
      <c r="C3" s="9" t="inlineStr">
        <is>
          <t>Struktur rekap mengikuti PDF Statistik Paroki St. Klement I Balikpapan 2026: perkembangan jumlah umat, baptis, pindah agama, Komuni Pertama, perkawinan, pembubaran, perminyakan suci, kematian, dan seminari/biara.</t>
        </is>
      </c>
    </row>
    <row r="4" ht="39.75" customHeight="1" s="37">
      <c r="A4" s="4" t="n">
        <v>2</v>
      </c>
      <c r="B4" s="5" t="inlineStr">
        <is>
          <t>Cara kerja</t>
        </is>
      </c>
      <c r="C4" s="9" t="inlineStr">
        <is>
          <t>Satu baris DATA UMAT = satu orang. Peristiwa tahunan dicatat pada sheet kejadian. Sheet REKAP LINGKUNGAN dan REKAP DETAIL menghitung otomatis.</t>
        </is>
      </c>
    </row>
    <row r="5" ht="39.75" customHeight="1" s="37">
      <c r="A5" s="4" t="n">
        <v>3</v>
      </c>
      <c r="B5" s="5" t="inlineStr">
        <is>
          <t>Atribut wajib</t>
        </is>
      </c>
      <c r="C5" s="9" t="inlineStr">
        <is>
          <t>ID Umat, ID KK, Nama, Jenis Kelamin, Tanggal Lahir, Agama, Lingkungan, Basis/Stasi/Daerah, dan Status Umat.</t>
        </is>
      </c>
    </row>
    <row r="6" ht="39.75" customHeight="1" s="37">
      <c r="A6" s="4" t="n">
        <v>4</v>
      </c>
      <c r="B6" s="5" t="inlineStr">
        <is>
          <t>Kenaikan umat</t>
        </is>
      </c>
      <c r="C6" s="9" t="inlineStr">
        <is>
          <t>BAPTIS, DITERIMA MASUK, dan MUTASI (Masuk) dipakai untuk bagian 1.1.</t>
        </is>
      </c>
    </row>
    <row r="7" ht="39.75" customHeight="1" s="37">
      <c r="A7" s="4" t="n">
        <v>5</v>
      </c>
      <c r="B7" s="5" t="inlineStr">
        <is>
          <t>Pengurangan umat</t>
        </is>
      </c>
      <c r="C7" s="9" t="inlineStr">
        <is>
          <t>KEMATIAN, MUTASI (Keluar), dan PINDAH AGAMA dipakai untuk bagian 1.2.</t>
        </is>
      </c>
    </row>
    <row r="8" ht="39.75" customHeight="1" s="37">
      <c r="A8" s="4" t="n">
        <v>6</v>
      </c>
      <c r="B8" s="5" t="inlineStr">
        <is>
          <t>Baptis</t>
        </is>
      </c>
      <c r="C8" s="9" t="inlineStr">
        <is>
          <t>Tanggal baptis + tanggal lahir + jenis kelamin memungkinkan rekap umur: &lt;1 tahun; 1 s/d hampir 7 tahun; 7 tahun ke atas.</t>
        </is>
      </c>
    </row>
    <row r="9" ht="39.75" customHeight="1" s="37">
      <c r="A9" s="4" t="n">
        <v>7</v>
      </c>
      <c r="B9" s="5" t="inlineStr">
        <is>
          <t>Pindah agama</t>
        </is>
      </c>
      <c r="C9" s="9" t="inlineStr">
        <is>
          <t>Agama baru direkap menjadi Kristen Lain, Buddha, Konghucu, Islam, Hindu, Lain-lain.</t>
        </is>
      </c>
    </row>
    <row r="10" ht="39.75" customHeight="1" s="37">
      <c r="A10" s="4" t="n">
        <v>8</v>
      </c>
      <c r="B10" s="5" t="inlineStr">
        <is>
          <t>Kejadian sakramen</t>
        </is>
      </c>
      <c r="C10" s="9" t="inlineStr">
        <is>
          <t>Komuni Pertama, Perkawinan Gerejani, Pembubaran, Perminyakan Suci, Kematian, dan Seminari/Biara memiliki sheet khusus.</t>
        </is>
      </c>
    </row>
    <row r="11" ht="39.75" customHeight="1" s="37">
      <c r="A11" s="4" t="n">
        <v>9</v>
      </c>
      <c r="B11" s="5" t="inlineStr">
        <is>
          <t>Per lingkungan</t>
        </is>
      </c>
      <c r="C11" s="9" t="inlineStr">
        <is>
          <t>Isi nama lingkungan pada kolom A REKAP LINGKUNGAN. Tidak perlu mengetik angka rekap.</t>
        </is>
      </c>
    </row>
    <row r="12" ht="39.75" customHeight="1" s="37">
      <c r="A12" s="4" t="n">
        <v>10</v>
      </c>
      <c r="B12" s="5" t="inlineStr">
        <is>
          <t>Catatan</t>
        </is>
      </c>
      <c r="C12" s="9" t="inlineStr">
        <is>
          <t>PDF mencantumkan tenggat pengembalian 26 Januari 2025 pada bagian akhir, sedangkan judul statistik adalah 2026. Template ini tidak mengubah/menafsirkan tanggal tersebut; periode statistik otomatis tetap 1 Jan–31 Des 2026.</t>
        </is>
      </c>
    </row>
    <row r="13" ht="14.25" customHeight="1" s="37">
      <c r="A13" t="inlineStr">
        <is>
          <t>11</t>
        </is>
      </c>
      <c r="B13" t="inlineStr">
        <is>
          <t>Berkas ini</t>
        </is>
      </c>
      <c r="C13" t="inlineStr">
        <is>
          <t>Daftar TAMBAHAN umat dari hasil scan baru, dibuat 12-10-2026 01:24. Berkas utama "Form Statistik Umat fase 1-2.xlsx" tidak diubah - umat lama tetap di sana.</t>
        </is>
      </c>
    </row>
    <row r="14" ht="14.25" customHeight="1" s="37">
      <c r="A14" t="inlineStr">
        <is>
          <t>12</t>
        </is>
      </c>
      <c r="B14" t="inlineStr">
        <is>
          <t>Isi berkas</t>
        </is>
      </c>
      <c r="C14" t="inlineStr">
        <is>
          <t>82 umat tambahan (UM00185 - UM00266) dan 12 keluarga tambahan (KK0070, KK0071, KK0072, KK0073, KK0074, KK0075, KK0076, KK0077, KK0078, KK0079, KK0080, KK0081). 16 umat lama mendapat tambahan/perubahan isian dari batch ini dan belum ditulis ulang ke berkas utama.</t>
        </is>
      </c>
    </row>
    <row r="15" ht="14.25" customHeight="1" s="37">
      <c r="A15" t="inlineStr">
        <is>
          <t>13</t>
        </is>
      </c>
      <c r="B15" t="inlineStr">
        <is>
          <t>Cara menggabungkan</t>
        </is>
      </c>
      <c r="C15" t="inlineStr">
        <is>
          <t>Tambahkan baris DATA UMAT dan DATA KK dari berkas ini di bawah baris terakhir berkas utama, lalu buang baris contoh/kolom ID di sini. Nomor ID sudah lanjutan dan tidak bertabrakan: umat UM00185-UM00266, keluarga KK0070, KK0071, KK0072, KK0073, KK0074, KK0075, KK0076, KK0077, KK0078, KK0079, KK0080, KK0081. Kolom ID-KK yang menunjuk KK0001-KK0069 berarti anggotanya masuk keluarga yang sudah ada di berkas utama. Umat lama yang datanya diperbarui perlu diketik ulang ke berkas utama: UM00005, UM00010, UM00012, UM00031, UM00034, UM00040, UM00053, UM00059, UM00060, UM00061, UM00062, UM00069, UM00086, UM00088, UM00091, UM00151.</t>
        </is>
      </c>
    </row>
    <row r="16" ht="14.25" customHeight="1" s="37">
      <c r="A16" t="inlineStr">
        <is>
          <t>14</t>
        </is>
      </c>
      <c r="B16" t="inlineStr">
        <is>
          <t>Baris sejajar</t>
        </is>
      </c>
      <c r="C16" t="inlineStr">
        <is>
          <t>Sheet satu-jiwa memakai baris berurutan (baris 2 = orang pertama di berkas ini), dan PERKAWINAN GEREJANI/PEMBUBARAN memakai baris DATA KK berkas ini. Setelah digabung, baris ikut berkas utama.</t>
        </is>
      </c>
    </row>
    <row r="17" ht="14.25" customHeight="1" s="37">
      <c r="A17" t="inlineStr">
        <is>
          <t>15</t>
        </is>
      </c>
      <c r="B17" t="inlineStr">
        <is>
          <t>Warna</t>
        </is>
      </c>
      <c r="C17" t="inlineStr">
        <is>
          <t>Kuning = perlu dikonfirmasi, Pink = dua sumber berbeda, Biru muda = isian baru dari scan.</t>
        </is>
      </c>
    </row>
    <row r="18" ht="14.25" customHeight="1" s="37">
      <c r="A18" t="inlineStr">
        <is>
          <t>16</t>
        </is>
      </c>
      <c r="B18" t="inlineStr">
        <is>
          <t>Scan susulan</t>
        </is>
      </c>
      <c r="C18" t="inlineStr">
        <is>
          <t>Proses folder scan baru dengan: PHASE=3 node tools/process-sensus-2026.mjs, PHASE=3 node tools/llm-enrich-sensus.mjs, PHASE=3 python tools/crosscheck-sensus-2026.py, lalu python -X utf8 tools/r1_roster.py --runs=runs/sensus_2026_fase3 dan python -X utf8 tools/r3_tambahan.py. Berkas ini dibuat ulang dari template setiap kali, jadi koreksi manual perlu diketik ulang.</t>
        </is>
      </c>
    </row>
    <row r="19" ht="14.25" customHeight="1" s="37"/>
    <row r="20" ht="14.25" customHeight="1" s="37"/>
    <row r="21" ht="14.25" customHeight="1" s="37"/>
    <row r="22" ht="14.25" customHeight="1" s="37"/>
    <row r="23" ht="14.25" customHeight="1" s="37"/>
    <row r="24" ht="14.25" customHeight="1" s="37"/>
    <row r="25" ht="14.25" customHeight="1" s="37"/>
    <row r="26" ht="14.25" customHeight="1" s="37"/>
    <row r="27" ht="14.25" customHeight="1" s="37"/>
    <row r="28" ht="14.25" customHeight="1" s="37"/>
    <row r="29" ht="14.25" customHeight="1" s="37"/>
    <row r="30" ht="14.25" customHeight="1" s="37"/>
    <row r="31" ht="14.25" customHeight="1" s="37"/>
    <row r="32" ht="14.25" customHeight="1" s="37"/>
    <row r="33" ht="14.25" customHeight="1" s="37"/>
    <row r="34" ht="14.25" customHeight="1" s="37"/>
    <row r="35" ht="14.25" customHeight="1" s="37"/>
    <row r="36" ht="14.25" customHeight="1" s="37"/>
    <row r="37" ht="14.25" customHeight="1" s="37"/>
    <row r="38" ht="14.25" customHeight="1" s="37"/>
    <row r="39" ht="14.25" customHeight="1" s="37"/>
    <row r="40" ht="14.25" customHeight="1" s="37"/>
    <row r="41" ht="14.25" customHeight="1" s="37"/>
    <row r="42" ht="14.25" customHeight="1" s="37"/>
    <row r="43" ht="14.25" customHeight="1" s="37"/>
    <row r="44" ht="14.25" customHeight="1" s="37"/>
    <row r="45" ht="14.25" customHeight="1" s="37"/>
    <row r="46" ht="14.25" customHeight="1" s="37"/>
    <row r="47" ht="14.25" customHeight="1" s="37"/>
    <row r="48" ht="14.25" customHeight="1" s="37"/>
    <row r="49" ht="14.25" customHeight="1" s="37"/>
    <row r="50" ht="14.25" customHeight="1" s="37"/>
    <row r="51" ht="14.25" customHeight="1" s="37"/>
    <row r="52" ht="14.25" customHeight="1" s="37"/>
    <row r="53" ht="14.25" customHeight="1" s="37"/>
    <row r="54" ht="14.25" customHeight="1" s="37"/>
    <row r="55" ht="14.25" customHeight="1" s="37"/>
    <row r="56" ht="14.25" customHeight="1" s="37"/>
    <row r="57" ht="14.25" customHeight="1" s="37"/>
    <row r="58" ht="14.25" customHeight="1" s="37"/>
    <row r="59" ht="14.25" customHeight="1" s="37"/>
    <row r="60" ht="14.25" customHeight="1" s="37"/>
    <row r="61" ht="14.25" customHeight="1" s="37"/>
    <row r="62" ht="14.25" customHeight="1" s="37"/>
    <row r="63" ht="14.25" customHeight="1" s="37"/>
    <row r="64" ht="14.25" customHeight="1" s="37"/>
    <row r="65" ht="14.25" customHeight="1" s="37"/>
    <row r="66" ht="14.25" customHeight="1" s="37"/>
    <row r="67" ht="14.25" customHeight="1" s="37"/>
    <row r="68" ht="14.25" customHeight="1" s="37"/>
    <row r="69" ht="14.25" customHeight="1" s="37"/>
    <row r="70" ht="14.25" customHeight="1" s="37"/>
    <row r="71" ht="14.25" customHeight="1" s="37"/>
    <row r="72" ht="14.25" customHeight="1" s="37"/>
    <row r="73" ht="14.25" customHeight="1" s="37"/>
    <row r="74" ht="14.25" customHeight="1" s="37"/>
    <row r="75" ht="14.25" customHeight="1" s="37"/>
    <row r="76" ht="14.25" customHeight="1" s="37"/>
    <row r="77" ht="14.25" customHeight="1" s="37"/>
    <row r="78" ht="14.25" customHeight="1" s="37"/>
    <row r="79" ht="14.25" customHeight="1" s="37"/>
    <row r="80" ht="14.25" customHeight="1" s="37"/>
    <row r="81" ht="14.25" customHeight="1" s="37"/>
    <row r="82" ht="14.25" customHeight="1" s="37"/>
    <row r="83" ht="14.25" customHeight="1" s="37"/>
    <row r="84" ht="14.25" customHeight="1" s="37"/>
    <row r="85" ht="14.25" customHeight="1" s="37"/>
    <row r="86" ht="14.25" customHeight="1" s="37"/>
    <row r="87" ht="14.25" customHeight="1" s="37"/>
    <row r="88" ht="14.25" customHeight="1" s="37"/>
    <row r="89" ht="14.25" customHeight="1" s="37"/>
    <row r="90" ht="14.25" customHeight="1" s="37"/>
    <row r="91" ht="14.25" customHeight="1" s="37"/>
    <row r="92" ht="14.25" customHeight="1" s="37"/>
    <row r="93" ht="14.25" customHeight="1" s="37"/>
    <row r="94" ht="14.25" customHeight="1" s="37"/>
    <row r="95" ht="14.25" customHeight="1" s="37"/>
    <row r="96" ht="14.25" customHeight="1" s="37"/>
    <row r="97" ht="14.25" customHeight="1" s="37"/>
    <row r="98" ht="14.25" customHeight="1" s="37"/>
    <row r="99" ht="14.25" customHeight="1" s="37"/>
    <row r="100" ht="14.25" customHeight="1" s="37"/>
    <row r="101" ht="14.25" customHeight="1" s="37"/>
    <row r="102" ht="14.25" customHeight="1" s="37"/>
    <row r="103" ht="14.25" customHeight="1" s="37"/>
    <row r="104" ht="14.25" customHeight="1" s="37"/>
    <row r="105" ht="14.25" customHeight="1" s="37"/>
    <row r="106" ht="14.25" customHeight="1" s="37"/>
    <row r="107" ht="14.25" customHeight="1" s="37"/>
    <row r="108" ht="14.25" customHeight="1" s="37"/>
    <row r="109" ht="14.25" customHeight="1" s="37"/>
    <row r="110" ht="14.25" customHeight="1" s="37"/>
    <row r="111" ht="14.25" customHeight="1" s="37"/>
    <row r="112" ht="14.25" customHeight="1" s="37"/>
    <row r="113" ht="14.25" customHeight="1" s="37"/>
    <row r="114" ht="14.25" customHeight="1" s="37"/>
    <row r="115" ht="14.25" customHeight="1" s="37"/>
    <row r="116" ht="14.25" customHeight="1" s="37"/>
    <row r="117" ht="14.25" customHeight="1" s="37"/>
    <row r="118" ht="14.25" customHeight="1" s="37"/>
    <row r="119" ht="14.25" customHeight="1" s="37"/>
    <row r="120" ht="14.25" customHeight="1" s="37"/>
    <row r="121" ht="14.25" customHeight="1" s="37"/>
    <row r="122" ht="14.25" customHeight="1" s="37"/>
    <row r="123" ht="14.25" customHeight="1" s="37"/>
    <row r="124" ht="14.25" customHeight="1" s="37"/>
    <row r="125" ht="14.25" customHeight="1" s="37"/>
    <row r="126" ht="14.25" customHeight="1" s="37"/>
    <row r="127" ht="14.25" customHeight="1" s="37"/>
    <row r="128" ht="14.25" customHeight="1" s="37"/>
    <row r="129" ht="14.25" customHeight="1" s="37"/>
    <row r="130" ht="14.25" customHeight="1" s="37"/>
    <row r="131" ht="14.25" customHeight="1" s="37"/>
    <row r="132" ht="14.25" customHeight="1" s="37"/>
    <row r="133" ht="14.25" customHeight="1" s="37"/>
    <row r="134" ht="14.25" customHeight="1" s="37"/>
    <row r="135" ht="14.25" customHeight="1" s="37"/>
    <row r="136" ht="14.25" customHeight="1" s="37"/>
    <row r="137" ht="14.25" customHeight="1" s="37"/>
    <row r="138" ht="14.25" customHeight="1" s="37"/>
    <row r="139" ht="14.25" customHeight="1" s="37"/>
    <row r="140" ht="14.25" customHeight="1" s="37"/>
    <row r="141" ht="14.25" customHeight="1" s="37"/>
    <row r="142" ht="14.25" customHeight="1" s="37"/>
    <row r="143" ht="14.25" customHeight="1" s="37"/>
    <row r="144" ht="14.25" customHeight="1" s="37"/>
    <row r="145" ht="14.25" customHeight="1" s="37"/>
    <row r="146" ht="14.25" customHeight="1" s="37"/>
    <row r="147" ht="14.25" customHeight="1" s="37"/>
    <row r="148" ht="14.25" customHeight="1" s="37"/>
    <row r="149" ht="14.25" customHeight="1" s="37"/>
    <row r="150" ht="14.25" customHeight="1" s="37"/>
    <row r="151" ht="14.25" customHeight="1" s="37"/>
    <row r="152" ht="14.25" customHeight="1" s="37"/>
    <row r="153" ht="14.25" customHeight="1" s="37"/>
    <row r="154" ht="14.25" customHeight="1" s="37"/>
    <row r="155" ht="14.25" customHeight="1" s="37"/>
    <row r="156" ht="14.25" customHeight="1" s="37"/>
    <row r="157" ht="14.25" customHeight="1" s="37"/>
    <row r="158" ht="14.25" customHeight="1" s="37"/>
    <row r="159" ht="14.25" customHeight="1" s="37"/>
    <row r="160" ht="14.25" customHeight="1" s="37"/>
    <row r="161" ht="14.25" customHeight="1" s="37"/>
    <row r="162" ht="14.25" customHeight="1" s="37"/>
    <row r="163" ht="14.25" customHeight="1" s="37"/>
    <row r="164" ht="14.25" customHeight="1" s="37"/>
    <row r="165" ht="14.25" customHeight="1" s="37"/>
    <row r="166" ht="14.25" customHeight="1" s="37"/>
    <row r="167" ht="14.25" customHeight="1" s="37"/>
    <row r="168" ht="14.25" customHeight="1" s="37"/>
    <row r="169" ht="14.25" customHeight="1" s="37"/>
    <row r="170" ht="14.25" customHeight="1" s="37"/>
    <row r="171" ht="14.25" customHeight="1" s="37"/>
    <row r="172" ht="14.25" customHeight="1" s="37"/>
    <row r="173" ht="14.25" customHeight="1" s="37"/>
    <row r="174" ht="14.25" customHeight="1" s="37"/>
    <row r="175" ht="14.25" customHeight="1" s="37"/>
    <row r="176" ht="14.25" customHeight="1" s="37"/>
    <row r="177" ht="14.25" customHeight="1" s="37"/>
    <row r="178" ht="14.25" customHeight="1" s="37"/>
    <row r="179" ht="14.25" customHeight="1" s="37"/>
    <row r="180" ht="14.25" customHeight="1" s="37"/>
    <row r="181" ht="14.25" customHeight="1" s="37"/>
    <row r="182" ht="14.25" customHeight="1" s="37"/>
    <row r="183" ht="14.25" customHeight="1" s="37"/>
    <row r="184" ht="14.25" customHeight="1" s="37"/>
    <row r="185" ht="14.25" customHeight="1" s="37"/>
    <row r="186" ht="14.25" customHeight="1" s="37"/>
    <row r="187" ht="14.25" customHeight="1" s="37"/>
    <row r="188" ht="14.25" customHeight="1" s="37"/>
    <row r="189" ht="14.25" customHeight="1" s="37"/>
    <row r="190" ht="14.25" customHeight="1" s="37"/>
    <row r="191" ht="14.25" customHeight="1" s="37"/>
    <row r="192" ht="14.25" customHeight="1" s="37"/>
    <row r="193" ht="14.25" customHeight="1" s="37"/>
    <row r="194" ht="14.25" customHeight="1" s="37"/>
    <row r="195" ht="14.25" customHeight="1" s="37"/>
    <row r="196" ht="14.25" customHeight="1" s="37"/>
    <row r="197" ht="14.25" customHeight="1" s="37"/>
    <row r="198" ht="14.25" customHeight="1" s="37"/>
    <row r="199" ht="14.25" customHeight="1" s="37"/>
    <row r="200" ht="14.25" customHeight="1" s="37"/>
    <row r="201" ht="14.25" customHeight="1" s="37"/>
    <row r="202" ht="14.25" customHeight="1" s="37"/>
    <row r="203" ht="14.25" customHeight="1" s="37"/>
    <row r="204" ht="14.25" customHeight="1" s="37"/>
    <row r="205" ht="14.25" customHeight="1" s="37"/>
    <row r="206" ht="14.25" customHeight="1" s="37"/>
    <row r="207" ht="14.25" customHeight="1" s="37"/>
    <row r="208" ht="14.25" customHeight="1" s="37"/>
    <row r="209" ht="14.25" customHeight="1" s="37"/>
    <row r="210" ht="14.25" customHeight="1" s="37"/>
    <row r="211" ht="14.25" customHeight="1" s="37"/>
    <row r="212" ht="14.25" customHeight="1" s="37"/>
    <row r="213" ht="14.25" customHeight="1" s="37"/>
    <row r="214" ht="14.25" customHeight="1" s="37"/>
    <row r="215" ht="14.25" customHeight="1" s="37"/>
    <row r="216" ht="14.25" customHeight="1" s="37"/>
    <row r="217" ht="14.25" customHeight="1" s="37"/>
    <row r="218" ht="14.25" customHeight="1" s="37"/>
    <row r="219" ht="14.25" customHeight="1" s="37"/>
    <row r="220" ht="14.25" customHeight="1" s="37"/>
    <row r="221" ht="14.25" customHeight="1" s="37"/>
    <row r="222" ht="14.25" customHeight="1" s="37"/>
    <row r="223" ht="14.25" customHeight="1" s="37"/>
    <row r="224" ht="14.25" customHeight="1" s="37"/>
    <row r="225" ht="14.25" customHeight="1" s="37"/>
    <row r="226" ht="14.25" customHeight="1" s="37"/>
    <row r="227" ht="14.25" customHeight="1" s="37"/>
    <row r="228" ht="14.25" customHeight="1" s="37"/>
    <row r="229" ht="14.25" customHeight="1" s="37"/>
    <row r="230" ht="14.25" customHeight="1" s="37"/>
    <row r="231" ht="14.25" customHeight="1" s="37"/>
    <row r="232" ht="14.25" customHeight="1" s="37"/>
    <row r="233" ht="14.25" customHeight="1" s="37"/>
    <row r="234" ht="14.25" customHeight="1" s="37"/>
    <row r="235" ht="14.25" customHeight="1" s="37"/>
    <row r="236" ht="14.25" customHeight="1" s="37"/>
    <row r="237" ht="14.25" customHeight="1" s="37"/>
    <row r="238" ht="14.25" customHeight="1" s="37"/>
    <row r="239" ht="14.25" customHeight="1" s="37"/>
    <row r="240" ht="14.25" customHeight="1" s="37"/>
    <row r="241" ht="14.25" customHeight="1" s="37"/>
    <row r="242" ht="14.25" customHeight="1" s="37"/>
    <row r="243" ht="14.25" customHeight="1" s="37"/>
    <row r="244" ht="14.25" customHeight="1" s="37"/>
    <row r="245" ht="14.25" customHeight="1" s="37"/>
    <row r="246" ht="14.25" customHeight="1" s="37"/>
    <row r="247" ht="14.25" customHeight="1" s="37"/>
    <row r="248" ht="14.25" customHeight="1" s="37"/>
    <row r="249" ht="14.25" customHeight="1" s="37"/>
    <row r="250" ht="14.25" customHeight="1" s="37"/>
    <row r="251" ht="14.25" customHeight="1" s="37"/>
    <row r="252" ht="14.25" customHeight="1" s="37"/>
    <row r="253" ht="14.25" customHeight="1" s="37"/>
    <row r="254" ht="14.25" customHeight="1" s="37"/>
    <row r="255" ht="14.25" customHeight="1" s="37"/>
    <row r="256" ht="14.25" customHeight="1" s="37"/>
    <row r="257" ht="14.25" customHeight="1" s="37"/>
    <row r="258" ht="14.25" customHeight="1" s="37"/>
    <row r="259" ht="14.25" customHeight="1" s="37"/>
    <row r="260" ht="14.25" customHeight="1" s="37"/>
    <row r="261" ht="14.25" customHeight="1" s="37"/>
    <row r="262" ht="14.25" customHeight="1" s="37"/>
    <row r="263" ht="14.25" customHeight="1" s="37"/>
    <row r="264" ht="14.25" customHeight="1" s="37"/>
    <row r="265" ht="14.25" customHeight="1" s="37"/>
    <row r="266" ht="14.25" customHeight="1" s="37"/>
    <row r="267" ht="14.25" customHeight="1" s="37"/>
    <row r="268" ht="14.25" customHeight="1" s="37"/>
    <row r="269" ht="14.25" customHeight="1" s="37"/>
    <row r="270" ht="14.25" customHeight="1" s="37"/>
    <row r="271" ht="14.25" customHeight="1" s="37"/>
    <row r="272" ht="14.25" customHeight="1" s="37"/>
    <row r="273" ht="14.25" customHeight="1" s="37"/>
    <row r="274" ht="14.25" customHeight="1" s="37"/>
    <row r="275" ht="14.25" customHeight="1" s="37"/>
    <row r="276" ht="14.25" customHeight="1" s="37"/>
    <row r="277" ht="14.25" customHeight="1" s="37"/>
    <row r="278" ht="14.25" customHeight="1" s="37"/>
    <row r="279" ht="14.25" customHeight="1" s="37"/>
    <row r="280" ht="14.25" customHeight="1" s="37"/>
    <row r="281" ht="14.25" customHeight="1" s="37"/>
    <row r="282" ht="14.25" customHeight="1" s="37"/>
    <row r="283" ht="14.25" customHeight="1" s="37"/>
    <row r="284" ht="14.25" customHeight="1" s="37"/>
    <row r="285" ht="14.25" customHeight="1" s="37"/>
    <row r="286" ht="14.25" customHeight="1" s="37"/>
    <row r="287" ht="14.25" customHeight="1" s="37"/>
    <row r="288" ht="14.25" customHeight="1" s="37"/>
    <row r="289" ht="14.25" customHeight="1" s="37"/>
    <row r="290" ht="14.25" customHeight="1" s="37"/>
    <row r="291" ht="14.25" customHeight="1" s="37"/>
    <row r="292" ht="14.25" customHeight="1" s="37"/>
    <row r="293" ht="14.25" customHeight="1" s="37"/>
    <row r="294" ht="14.25" customHeight="1" s="37"/>
    <row r="295" ht="14.25" customHeight="1" s="37"/>
    <row r="296" ht="14.25" customHeight="1" s="37"/>
    <row r="297" ht="14.25" customHeight="1" s="37"/>
    <row r="298" ht="14.25" customHeight="1" s="37"/>
    <row r="299" ht="14.25" customHeight="1" s="37"/>
    <row r="300" ht="14.25" customHeight="1" s="37"/>
    <row r="301" ht="14.25" customHeight="1" s="37"/>
    <row r="302" ht="14.25" customHeight="1" s="37"/>
    <row r="303" ht="14.25" customHeight="1" s="37"/>
    <row r="304" ht="14.25" customHeight="1" s="37"/>
    <row r="305" ht="14.25" customHeight="1" s="37"/>
    <row r="306" ht="14.25" customHeight="1" s="37"/>
    <row r="307" ht="14.25" customHeight="1" s="37"/>
    <row r="308" ht="14.25" customHeight="1" s="37"/>
    <row r="309" ht="14.25" customHeight="1" s="37"/>
    <row r="310" ht="14.25" customHeight="1" s="37"/>
    <row r="311" ht="14.25" customHeight="1" s="37"/>
    <row r="312" ht="14.25" customHeight="1" s="37"/>
    <row r="313" ht="14.25" customHeight="1" s="37"/>
    <row r="314" ht="14.25" customHeight="1" s="37"/>
    <row r="315" ht="14.25" customHeight="1" s="37"/>
    <row r="316" ht="14.25" customHeight="1" s="37"/>
    <row r="317" ht="14.25" customHeight="1" s="37"/>
    <row r="318" ht="14.25" customHeight="1" s="37"/>
    <row r="319" ht="14.25" customHeight="1" s="37"/>
    <row r="320" ht="14.25" customHeight="1" s="37"/>
    <row r="321" ht="14.25" customHeight="1" s="37"/>
    <row r="322" ht="14.25" customHeight="1" s="37"/>
    <row r="323" ht="14.25" customHeight="1" s="37"/>
    <row r="324" ht="14.25" customHeight="1" s="37"/>
    <row r="325" ht="14.25" customHeight="1" s="37"/>
    <row r="326" ht="14.25" customHeight="1" s="37"/>
    <row r="327" ht="14.25" customHeight="1" s="37"/>
    <row r="328" ht="14.25" customHeight="1" s="37"/>
    <row r="329" ht="14.25" customHeight="1" s="37"/>
    <row r="330" ht="14.25" customHeight="1" s="37"/>
    <row r="331" ht="14.25" customHeight="1" s="37"/>
    <row r="332" ht="14.25" customHeight="1" s="37"/>
    <row r="333" ht="14.25" customHeight="1" s="37"/>
    <row r="334" ht="14.25" customHeight="1" s="37"/>
    <row r="335" ht="14.25" customHeight="1" s="37"/>
    <row r="336" ht="14.25" customHeight="1" s="37"/>
    <row r="337" ht="14.25" customHeight="1" s="37"/>
    <row r="338" ht="14.25" customHeight="1" s="37"/>
    <row r="339" ht="14.25" customHeight="1" s="37"/>
    <row r="340" ht="14.25" customHeight="1" s="37"/>
    <row r="341" ht="14.25" customHeight="1" s="37"/>
    <row r="342" ht="14.25" customHeight="1" s="37"/>
    <row r="343" ht="14.25" customHeight="1" s="37"/>
    <row r="344" ht="14.25" customHeight="1" s="37"/>
    <row r="345" ht="14.25" customHeight="1" s="37"/>
    <row r="346" ht="14.25" customHeight="1" s="37"/>
    <row r="347" ht="14.25" customHeight="1" s="37"/>
    <row r="348" ht="14.25" customHeight="1" s="37"/>
    <row r="349" ht="14.25" customHeight="1" s="37"/>
    <row r="350" ht="14.25" customHeight="1" s="37"/>
    <row r="351" ht="14.25" customHeight="1" s="37"/>
    <row r="352" ht="14.25" customHeight="1" s="37"/>
    <row r="353" ht="14.25" customHeight="1" s="37"/>
    <row r="354" ht="14.25" customHeight="1" s="37"/>
    <row r="355" ht="14.25" customHeight="1" s="37"/>
    <row r="356" ht="14.25" customHeight="1" s="37"/>
    <row r="357" ht="14.25" customHeight="1" s="37"/>
    <row r="358" ht="14.25" customHeight="1" s="37"/>
    <row r="359" ht="14.25" customHeight="1" s="37"/>
    <row r="360" ht="14.25" customHeight="1" s="37"/>
    <row r="361" ht="14.25" customHeight="1" s="37"/>
    <row r="362" ht="14.25" customHeight="1" s="37"/>
    <row r="363" ht="14.25" customHeight="1" s="37"/>
    <row r="364" ht="14.25" customHeight="1" s="37"/>
    <row r="365" ht="14.25" customHeight="1" s="37"/>
    <row r="366" ht="14.25" customHeight="1" s="37"/>
    <row r="367" ht="14.25" customHeight="1" s="37"/>
    <row r="368" ht="14.25" customHeight="1" s="37"/>
    <row r="369" ht="14.25" customHeight="1" s="37"/>
    <row r="370" ht="14.25" customHeight="1" s="37"/>
    <row r="371" ht="14.25" customHeight="1" s="37"/>
    <row r="372" ht="14.25" customHeight="1" s="37"/>
    <row r="373" ht="14.25" customHeight="1" s="37"/>
    <row r="374" ht="14.25" customHeight="1" s="37"/>
    <row r="375" ht="14.25" customHeight="1" s="37"/>
    <row r="376" ht="14.25" customHeight="1" s="37"/>
    <row r="377" ht="14.25" customHeight="1" s="37"/>
    <row r="378" ht="14.25" customHeight="1" s="37"/>
    <row r="379" ht="14.25" customHeight="1" s="37"/>
    <row r="380" ht="14.25" customHeight="1" s="37"/>
    <row r="381" ht="14.25" customHeight="1" s="37"/>
    <row r="382" ht="14.25" customHeight="1" s="37"/>
    <row r="383" ht="14.25" customHeight="1" s="37"/>
    <row r="384" ht="14.25" customHeight="1" s="37"/>
    <row r="385" ht="14.25" customHeight="1" s="37"/>
    <row r="386" ht="14.25" customHeight="1" s="37"/>
    <row r="387" ht="14.25" customHeight="1" s="37"/>
    <row r="388" ht="14.25" customHeight="1" s="37"/>
    <row r="389" ht="14.25" customHeight="1" s="37"/>
    <row r="390" ht="14.25" customHeight="1" s="37"/>
    <row r="391" ht="14.25" customHeight="1" s="37"/>
    <row r="392" ht="14.25" customHeight="1" s="37"/>
    <row r="393" ht="14.25" customHeight="1" s="37"/>
    <row r="394" ht="14.25" customHeight="1" s="37"/>
    <row r="395" ht="14.25" customHeight="1" s="37"/>
    <row r="396" ht="14.25" customHeight="1" s="37"/>
    <row r="397" ht="14.25" customHeight="1" s="37"/>
    <row r="398" ht="14.25" customHeight="1" s="37"/>
    <row r="399" ht="14.25" customHeight="1" s="37"/>
    <row r="400" ht="14.25" customHeight="1" s="37"/>
    <row r="401" ht="14.25" customHeight="1" s="37"/>
    <row r="402" ht="14.25" customHeight="1" s="37"/>
    <row r="403" ht="14.25" customHeight="1" s="37"/>
    <row r="404" ht="14.25" customHeight="1" s="37"/>
    <row r="405" ht="14.25" customHeight="1" s="37"/>
    <row r="406" ht="14.25" customHeight="1" s="37"/>
    <row r="407" ht="14.25" customHeight="1" s="37"/>
    <row r="408" ht="14.25" customHeight="1" s="37"/>
    <row r="409" ht="14.25" customHeight="1" s="37"/>
    <row r="410" ht="14.25" customHeight="1" s="37"/>
    <row r="411" ht="14.25" customHeight="1" s="37"/>
    <row r="412" ht="14.25" customHeight="1" s="37"/>
    <row r="413" ht="14.25" customHeight="1" s="37"/>
    <row r="414" ht="14.25" customHeight="1" s="37"/>
    <row r="415" ht="14.25" customHeight="1" s="37"/>
    <row r="416" ht="14.25" customHeight="1" s="37"/>
    <row r="417" ht="14.25" customHeight="1" s="37"/>
    <row r="418" ht="14.25" customHeight="1" s="37"/>
    <row r="419" ht="14.25" customHeight="1" s="37"/>
    <row r="420" ht="14.25" customHeight="1" s="37"/>
    <row r="421" ht="14.25" customHeight="1" s="37"/>
    <row r="422" ht="14.25" customHeight="1" s="37"/>
    <row r="423" ht="14.25" customHeight="1" s="37"/>
    <row r="424" ht="14.25" customHeight="1" s="37"/>
    <row r="425" ht="14.25" customHeight="1" s="37"/>
    <row r="426" ht="14.25" customHeight="1" s="37"/>
    <row r="427" ht="14.25" customHeight="1" s="37"/>
    <row r="428" ht="14.25" customHeight="1" s="37"/>
    <row r="429" ht="14.25" customHeight="1" s="37"/>
    <row r="430" ht="14.25" customHeight="1" s="37"/>
    <row r="431" ht="14.25" customHeight="1" s="37"/>
    <row r="432" ht="14.25" customHeight="1" s="37"/>
    <row r="433" ht="14.25" customHeight="1" s="37"/>
    <row r="434" ht="14.25" customHeight="1" s="37"/>
    <row r="435" ht="14.25" customHeight="1" s="37"/>
    <row r="436" ht="14.25" customHeight="1" s="37"/>
    <row r="437" ht="14.25" customHeight="1" s="37"/>
    <row r="438" ht="14.25" customHeight="1" s="37"/>
    <row r="439" ht="14.25" customHeight="1" s="37"/>
    <row r="440" ht="14.25" customHeight="1" s="37"/>
    <row r="441" ht="14.25" customHeight="1" s="37"/>
    <row r="442" ht="14.25" customHeight="1" s="37"/>
    <row r="443" ht="14.25" customHeight="1" s="37"/>
    <row r="444" ht="14.25" customHeight="1" s="37"/>
    <row r="445" ht="14.25" customHeight="1" s="37"/>
    <row r="446" ht="14.25" customHeight="1" s="37"/>
    <row r="447" ht="14.25" customHeight="1" s="37"/>
    <row r="448" ht="14.25" customHeight="1" s="37"/>
    <row r="449" ht="14.25" customHeight="1" s="37"/>
    <row r="450" ht="14.25" customHeight="1" s="37"/>
    <row r="451" ht="14.25" customHeight="1" s="37"/>
    <row r="452" ht="14.25" customHeight="1" s="37"/>
    <row r="453" ht="14.25" customHeight="1" s="37"/>
    <row r="454" ht="14.25" customHeight="1" s="37"/>
    <row r="455" ht="14.25" customHeight="1" s="37"/>
    <row r="456" ht="14.25" customHeight="1" s="37"/>
    <row r="457" ht="14.25" customHeight="1" s="37"/>
    <row r="458" ht="14.25" customHeight="1" s="37"/>
    <row r="459" ht="14.25" customHeight="1" s="37"/>
    <row r="460" ht="14.25" customHeight="1" s="37"/>
    <row r="461" ht="14.25" customHeight="1" s="37"/>
    <row r="462" ht="14.25" customHeight="1" s="37"/>
    <row r="463" ht="14.25" customHeight="1" s="37"/>
    <row r="464" ht="14.25" customHeight="1" s="37"/>
    <row r="465" ht="14.25" customHeight="1" s="37"/>
    <row r="466" ht="14.25" customHeight="1" s="37"/>
    <row r="467" ht="14.25" customHeight="1" s="37"/>
    <row r="468" ht="14.25" customHeight="1" s="37"/>
    <row r="469" ht="14.25" customHeight="1" s="37"/>
    <row r="470" ht="14.25" customHeight="1" s="37"/>
    <row r="471" ht="14.25" customHeight="1" s="37"/>
    <row r="472" ht="14.25" customHeight="1" s="37"/>
    <row r="473" ht="14.25" customHeight="1" s="37"/>
    <row r="474" ht="14.25" customHeight="1" s="37"/>
    <row r="475" ht="14.25" customHeight="1" s="37"/>
    <row r="476" ht="14.25" customHeight="1" s="37"/>
    <row r="477" ht="14.25" customHeight="1" s="37"/>
    <row r="478" ht="14.25" customHeight="1" s="37"/>
    <row r="479" ht="14.25" customHeight="1" s="37"/>
    <row r="480" ht="14.25" customHeight="1" s="37"/>
    <row r="481" ht="14.25" customHeight="1" s="37"/>
    <row r="482" ht="14.25" customHeight="1" s="37"/>
    <row r="483" ht="14.25" customHeight="1" s="37"/>
    <row r="484" ht="14.25" customHeight="1" s="37"/>
    <row r="485" ht="14.25" customHeight="1" s="37"/>
    <row r="486" ht="14.25" customHeight="1" s="37"/>
    <row r="487" ht="14.25" customHeight="1" s="37"/>
    <row r="488" ht="14.25" customHeight="1" s="37"/>
    <row r="489" ht="14.25" customHeight="1" s="37"/>
    <row r="490" ht="14.25" customHeight="1" s="37"/>
    <row r="491" ht="14.25" customHeight="1" s="37"/>
    <row r="492" ht="14.25" customHeight="1" s="37"/>
    <row r="493" ht="14.25" customHeight="1" s="37"/>
    <row r="494" ht="14.25" customHeight="1" s="37"/>
    <row r="495" ht="14.25" customHeight="1" s="37"/>
    <row r="496" ht="14.25" customHeight="1" s="37"/>
    <row r="497" ht="14.25" customHeight="1" s="37"/>
    <row r="498" ht="14.25" customHeight="1" s="37"/>
    <row r="499" ht="14.25" customHeight="1" s="37"/>
    <row r="500" ht="14.25" customHeight="1" s="37"/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</sheetData>
  <mergeCells count="1">
    <mergeCell ref="A1:C1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showGridLines="0" workbookViewId="0">
      <selection activeCell="A1" sqref="A1"/>
    </sheetView>
  </sheetViews>
  <sheetFormatPr baseColWidth="8" defaultColWidth="14.43" defaultRowHeight="15" customHeight="1"/>
  <cols>
    <col width="30" customWidth="1" style="37" min="1" max="9"/>
    <col width="9" customWidth="1" style="37" min="10" max="26"/>
  </cols>
  <sheetData>
    <row r="1" ht="14.25" customHeight="1" s="37">
      <c r="A1" s="7" t="inlineStr">
        <is>
          <t>Gender</t>
        </is>
      </c>
      <c r="B1" s="7" t="inlineStr">
        <is>
          <t>Agama</t>
        </is>
      </c>
      <c r="C1" s="7" t="inlineStr">
        <is>
          <t>Status Umat</t>
        </is>
      </c>
      <c r="D1" s="7" t="inlineStr">
        <is>
          <t>Jenis Mutasi</t>
        </is>
      </c>
      <c r="E1" s="7" t="inlineStr">
        <is>
          <t>Rute Mutasi</t>
        </is>
      </c>
      <c r="F1" s="7" t="inlineStr">
        <is>
          <t>Jenis Perkawinan</t>
        </is>
      </c>
      <c r="G1" s="7" t="inlineStr">
        <is>
          <t>Pembubaran</t>
        </is>
      </c>
      <c r="H1" s="7" t="inlineStr">
        <is>
          <t>Jalur Seminari/Biara</t>
        </is>
      </c>
      <c r="I1" s="7" t="inlineStr">
        <is>
          <t>Status Seminari</t>
        </is>
      </c>
    </row>
    <row r="2" ht="14.25" customHeight="1" s="37">
      <c r="A2" s="3" t="inlineStr">
        <is>
          <t>Pria/Laki-laki</t>
        </is>
      </c>
      <c r="B2" s="3" t="inlineStr">
        <is>
          <t>Katolik</t>
        </is>
      </c>
      <c r="C2" s="3" t="inlineStr">
        <is>
          <t>Aktif</t>
        </is>
      </c>
      <c r="D2" s="3" t="inlineStr">
        <is>
          <t>Masuk</t>
        </is>
      </c>
      <c r="E2" s="3" t="inlineStr">
        <is>
          <t>Paroki lain dalam keuskupan</t>
        </is>
      </c>
      <c r="F2" s="3" t="inlineStr">
        <is>
          <t>Keduanya Katolik</t>
        </is>
      </c>
      <c r="G2" s="3" t="inlineStr">
        <is>
          <t>Penguasa Gereja</t>
        </is>
      </c>
      <c r="H2" s="3" t="inlineStr">
        <is>
          <t>Seminari Menengah</t>
        </is>
      </c>
      <c r="I2" s="3" t="inlineStr">
        <is>
          <t>Mulai masuk 2026</t>
        </is>
      </c>
    </row>
    <row r="3" ht="14.25" customHeight="1" s="37">
      <c r="A3" s="3" t="inlineStr">
        <is>
          <t>Wanita/Perempuan</t>
        </is>
      </c>
      <c r="B3" s="3" t="inlineStr">
        <is>
          <t>Kristen Lain</t>
        </is>
      </c>
      <c r="C3" s="3" t="inlineStr">
        <is>
          <t>Meninggal</t>
        </is>
      </c>
      <c r="D3" s="3" t="inlineStr">
        <is>
          <t>Keluar</t>
        </is>
      </c>
      <c r="E3" s="3" t="inlineStr">
        <is>
          <t>Keuskupan lain</t>
        </is>
      </c>
      <c r="F3" s="3" t="inlineStr">
        <is>
          <t>Katolik dan Katekumen</t>
        </is>
      </c>
      <c r="G3" s="3" t="inlineStr">
        <is>
          <t>Catatan Sipil saja</t>
        </is>
      </c>
      <c r="H3" s="3" t="inlineStr">
        <is>
          <t>Seminari Tinggi/Frater</t>
        </is>
      </c>
      <c r="I3" s="3" t="inlineStr">
        <is>
          <t>Sedang belajar 2026</t>
        </is>
      </c>
    </row>
    <row r="4" ht="14.25" customHeight="1" s="37">
      <c r="B4" s="3" t="inlineStr">
        <is>
          <t>Islam</t>
        </is>
      </c>
      <c r="C4" s="3" t="inlineStr">
        <is>
          <t>Pindah Keluar</t>
        </is>
      </c>
      <c r="F4" s="3" t="inlineStr">
        <is>
          <t>Katolik dan Kristen Lain</t>
        </is>
      </c>
      <c r="G4" s="3" t="inlineStr">
        <is>
          <t>Lainnya</t>
        </is>
      </c>
      <c r="H4" s="3" t="inlineStr">
        <is>
          <t>Biara/Novisiat Bruder</t>
        </is>
      </c>
    </row>
    <row r="5" ht="14.25" customHeight="1" s="37">
      <c r="B5" s="3" t="inlineStr">
        <is>
          <t>Hindu</t>
        </is>
      </c>
      <c r="C5" s="3" t="inlineStr">
        <is>
          <t>Pindah Agama</t>
        </is>
      </c>
      <c r="F5" s="3" t="inlineStr">
        <is>
          <t>Katolik dan Non-Kristen</t>
        </is>
      </c>
      <c r="H5" s="3" t="inlineStr">
        <is>
          <t>Biara/Novisiat Suster</t>
        </is>
      </c>
    </row>
    <row r="6" ht="14.25" customHeight="1" s="37">
      <c r="B6" s="3" t="inlineStr">
        <is>
          <t>Buddha</t>
        </is>
      </c>
    </row>
    <row r="7" ht="14.25" customHeight="1" s="37">
      <c r="B7" s="3" t="inlineStr">
        <is>
          <t>Konghucu</t>
        </is>
      </c>
    </row>
    <row r="8" ht="14.25" customHeight="1" s="37">
      <c r="B8" s="3" t="inlineStr">
        <is>
          <t>Lain-lain</t>
        </is>
      </c>
    </row>
    <row r="9" ht="14.25" customHeight="1" s="37"/>
    <row r="10" ht="14.25" customHeight="1" s="37"/>
    <row r="11" ht="14.25" customHeight="1" s="37">
      <c r="B11" s="3" t="inlineStr">
        <is>
          <t>St. Andreas Rasul</t>
        </is>
      </c>
    </row>
    <row r="12" ht="14.25" customHeight="1" s="37">
      <c r="B12" s="3" t="inlineStr">
        <is>
          <t>St. Fransiskus Asisi</t>
        </is>
      </c>
    </row>
    <row r="13" ht="14.25" customHeight="1" s="37">
      <c r="B13" s="3" t="inlineStr">
        <is>
          <t>St. Maria Ratu Rosari</t>
        </is>
      </c>
    </row>
    <row r="14" ht="14.25" customHeight="1" s="37">
      <c r="B14" s="3" t="inlineStr">
        <is>
          <t>St. Albertus</t>
        </is>
      </c>
    </row>
    <row r="15" ht="14.25" customHeight="1" s="37">
      <c r="B15" s="3" t="inlineStr">
        <is>
          <t>St. Maria Salve Regina</t>
        </is>
      </c>
    </row>
    <row r="16" ht="14.25" customHeight="1" s="37">
      <c r="B16" s="3" t="inlineStr">
        <is>
          <t>St. Anna</t>
        </is>
      </c>
    </row>
    <row r="17" ht="14.25" customHeight="1" s="37">
      <c r="B17" s="3" t="inlineStr">
        <is>
          <t>St. Clara</t>
        </is>
      </c>
    </row>
    <row r="18" ht="14.25" customHeight="1" s="37">
      <c r="B18" s="3" t="inlineStr">
        <is>
          <t>St. Monica</t>
        </is>
      </c>
    </row>
    <row r="19" ht="14.25" customHeight="1" s="37">
      <c r="B19" s="3" t="inlineStr">
        <is>
          <t>St. Theresia dari Lisieux</t>
        </is>
      </c>
    </row>
    <row r="20" ht="14.25" customHeight="1" s="37">
      <c r="B20" s="3" t="inlineStr">
        <is>
          <t>St. Theresia dari Avilla</t>
        </is>
      </c>
    </row>
    <row r="21" ht="14.25" customHeight="1" s="37">
      <c r="B21" s="3" t="inlineStr">
        <is>
          <t>St. Gabriel</t>
        </is>
      </c>
    </row>
    <row r="22" ht="14.25" customHeight="1" s="37">
      <c r="B22" s="3" t="inlineStr">
        <is>
          <t>St. Maria La Salet</t>
        </is>
      </c>
    </row>
    <row r="23" ht="14.25" customHeight="1" s="37">
      <c r="B23" s="3" t="inlineStr">
        <is>
          <t>St. Maria Immacula</t>
        </is>
      </c>
    </row>
    <row r="24" ht="14.25" customHeight="1" s="37">
      <c r="B24" s="3" t="inlineStr">
        <is>
          <t>St. Lukas Penginji</t>
        </is>
      </c>
    </row>
    <row r="25" ht="14.25" customHeight="1" s="37">
      <c r="B25" s="3" t="inlineStr">
        <is>
          <t>St. Yosef Pekerja</t>
        </is>
      </c>
    </row>
    <row r="26" ht="14.25" customHeight="1" s="37">
      <c r="B26" s="3" t="inlineStr">
        <is>
          <t>Stasi Argosari</t>
        </is>
      </c>
    </row>
    <row r="27" ht="14.25" customHeight="1" s="37">
      <c r="B27" s="3" t="inlineStr">
        <is>
          <t>Stasi Handil</t>
        </is>
      </c>
    </row>
    <row r="28" ht="14.25" customHeight="1" s="37"/>
    <row r="29" ht="14.25" customHeight="1" s="37"/>
    <row r="30" ht="14.25" customHeight="1" s="37"/>
    <row r="31" ht="14.25" customHeight="1" s="37"/>
    <row r="32" ht="14.25" customHeight="1" s="37"/>
    <row r="33" ht="14.25" customHeight="1" s="37"/>
    <row r="34" ht="14.25" customHeight="1" s="37"/>
    <row r="35" ht="14.25" customHeight="1" s="37"/>
    <row r="36" ht="14.25" customHeight="1" s="37"/>
    <row r="37" ht="14.25" customHeight="1" s="37"/>
    <row r="38" ht="14.25" customHeight="1" s="37"/>
    <row r="39" ht="14.25" customHeight="1" s="37"/>
    <row r="40" ht="14.25" customHeight="1" s="37"/>
    <row r="41" ht="14.25" customHeight="1" s="37"/>
    <row r="42" ht="14.25" customHeight="1" s="37"/>
    <row r="43" ht="14.25" customHeight="1" s="37"/>
    <row r="44" ht="14.25" customHeight="1" s="37"/>
    <row r="45" ht="14.25" customHeight="1" s="37"/>
    <row r="46" ht="14.25" customHeight="1" s="37"/>
    <row r="47" ht="14.25" customHeight="1" s="37"/>
    <row r="48" ht="14.25" customHeight="1" s="37"/>
    <row r="49" ht="14.25" customHeight="1" s="37"/>
    <row r="50" ht="14.25" customHeight="1" s="37"/>
    <row r="51" ht="14.25" customHeight="1" s="37"/>
    <row r="52" ht="14.25" customHeight="1" s="37"/>
    <row r="53" ht="14.25" customHeight="1" s="37"/>
    <row r="54" ht="14.25" customHeight="1" s="37"/>
    <row r="55" ht="14.25" customHeight="1" s="37"/>
    <row r="56" ht="14.25" customHeight="1" s="37"/>
    <row r="57" ht="14.25" customHeight="1" s="37"/>
    <row r="58" ht="14.25" customHeight="1" s="37"/>
    <row r="59" ht="14.25" customHeight="1" s="37"/>
    <row r="60" ht="14.25" customHeight="1" s="37"/>
    <row r="61" ht="14.25" customHeight="1" s="37"/>
    <row r="62" ht="14.25" customHeight="1" s="37"/>
    <row r="63" ht="14.25" customHeight="1" s="37"/>
    <row r="64" ht="14.25" customHeight="1" s="37"/>
    <row r="65" ht="14.25" customHeight="1" s="37"/>
    <row r="66" ht="14.25" customHeight="1" s="37"/>
    <row r="67" ht="14.25" customHeight="1" s="37"/>
    <row r="68" ht="14.25" customHeight="1" s="37"/>
    <row r="69" ht="14.25" customHeight="1" s="37"/>
    <row r="70" ht="14.25" customHeight="1" s="37"/>
    <row r="71" ht="14.25" customHeight="1" s="37"/>
    <row r="72" ht="14.25" customHeight="1" s="37"/>
    <row r="73" ht="14.25" customHeight="1" s="37"/>
    <row r="74" ht="14.25" customHeight="1" s="37"/>
    <row r="75" ht="14.25" customHeight="1" s="37"/>
    <row r="76" ht="14.25" customHeight="1" s="37"/>
    <row r="77" ht="14.25" customHeight="1" s="37"/>
    <row r="78" ht="14.25" customHeight="1" s="37"/>
    <row r="79" ht="14.25" customHeight="1" s="37"/>
    <row r="80" ht="14.25" customHeight="1" s="37"/>
    <row r="81" ht="14.25" customHeight="1" s="37"/>
    <row r="82" ht="14.25" customHeight="1" s="37"/>
    <row r="83" ht="14.25" customHeight="1" s="37"/>
    <row r="84" ht="14.25" customHeight="1" s="37"/>
    <row r="85" ht="14.25" customHeight="1" s="37"/>
    <row r="86" ht="14.25" customHeight="1" s="37"/>
    <row r="87" ht="14.25" customHeight="1" s="37"/>
    <row r="88" ht="14.25" customHeight="1" s="37"/>
    <row r="89" ht="14.25" customHeight="1" s="37"/>
    <row r="90" ht="14.25" customHeight="1" s="37"/>
    <row r="91" ht="14.25" customHeight="1" s="37"/>
    <row r="92" ht="14.25" customHeight="1" s="37"/>
    <row r="93" ht="14.25" customHeight="1" s="37"/>
    <row r="94" ht="14.25" customHeight="1" s="37"/>
    <row r="95" ht="14.25" customHeight="1" s="37"/>
    <row r="96" ht="14.25" customHeight="1" s="37"/>
    <row r="97" ht="14.25" customHeight="1" s="37"/>
    <row r="98" ht="14.25" customHeight="1" s="37"/>
    <row r="99" ht="14.25" customHeight="1" s="37"/>
    <row r="100" ht="14.25" customHeight="1" s="37"/>
    <row r="101" ht="14.25" customHeight="1" s="37"/>
    <row r="102" ht="14.25" customHeight="1" s="37"/>
    <row r="103" ht="14.25" customHeight="1" s="37"/>
    <row r="104" ht="14.25" customHeight="1" s="37"/>
    <row r="105" ht="14.25" customHeight="1" s="37"/>
    <row r="106" ht="14.25" customHeight="1" s="37"/>
    <row r="107" ht="14.25" customHeight="1" s="37"/>
    <row r="108" ht="14.25" customHeight="1" s="37"/>
    <row r="109" ht="14.25" customHeight="1" s="37"/>
    <row r="110" ht="14.25" customHeight="1" s="37"/>
    <row r="111" ht="14.25" customHeight="1" s="37"/>
    <row r="112" ht="14.25" customHeight="1" s="37"/>
    <row r="113" ht="14.25" customHeight="1" s="37"/>
    <row r="114" ht="14.25" customHeight="1" s="37"/>
    <row r="115" ht="14.25" customHeight="1" s="37"/>
    <row r="116" ht="14.25" customHeight="1" s="37"/>
    <row r="117" ht="14.25" customHeight="1" s="37"/>
    <row r="118" ht="14.25" customHeight="1" s="37"/>
    <row r="119" ht="14.25" customHeight="1" s="37"/>
    <row r="120" ht="14.25" customHeight="1" s="37"/>
    <row r="121" ht="14.25" customHeight="1" s="37"/>
    <row r="122" ht="14.25" customHeight="1" s="37"/>
    <row r="123" ht="14.25" customHeight="1" s="37"/>
    <row r="124" ht="14.25" customHeight="1" s="37"/>
    <row r="125" ht="14.25" customHeight="1" s="37"/>
    <row r="126" ht="14.25" customHeight="1" s="37"/>
    <row r="127" ht="14.25" customHeight="1" s="37"/>
    <row r="128" ht="14.25" customHeight="1" s="37"/>
    <row r="129" ht="14.25" customHeight="1" s="37"/>
    <row r="130" ht="14.25" customHeight="1" s="37"/>
    <row r="131" ht="14.25" customHeight="1" s="37"/>
    <row r="132" ht="14.25" customHeight="1" s="37"/>
    <row r="133" ht="14.25" customHeight="1" s="37"/>
    <row r="134" ht="14.25" customHeight="1" s="37"/>
    <row r="135" ht="14.25" customHeight="1" s="37"/>
    <row r="136" ht="14.25" customHeight="1" s="37"/>
    <row r="137" ht="14.25" customHeight="1" s="37"/>
    <row r="138" ht="14.25" customHeight="1" s="37"/>
    <row r="139" ht="14.25" customHeight="1" s="37"/>
    <row r="140" ht="14.25" customHeight="1" s="37"/>
    <row r="141" ht="14.25" customHeight="1" s="37"/>
    <row r="142" ht="14.25" customHeight="1" s="37"/>
    <row r="143" ht="14.25" customHeight="1" s="37"/>
    <row r="144" ht="14.25" customHeight="1" s="37"/>
    <row r="145" ht="14.25" customHeight="1" s="37"/>
    <row r="146" ht="14.25" customHeight="1" s="37"/>
    <row r="147" ht="14.25" customHeight="1" s="37"/>
    <row r="148" ht="14.25" customHeight="1" s="37"/>
    <row r="149" ht="14.25" customHeight="1" s="37"/>
    <row r="150" ht="14.25" customHeight="1" s="37"/>
    <row r="151" ht="14.25" customHeight="1" s="37"/>
    <row r="152" ht="14.25" customHeight="1" s="37"/>
    <row r="153" ht="14.25" customHeight="1" s="37"/>
    <row r="154" ht="14.25" customHeight="1" s="37"/>
    <row r="155" ht="14.25" customHeight="1" s="37"/>
    <row r="156" ht="14.25" customHeight="1" s="37"/>
    <row r="157" ht="14.25" customHeight="1" s="37"/>
    <row r="158" ht="14.25" customHeight="1" s="37"/>
    <row r="159" ht="14.25" customHeight="1" s="37"/>
    <row r="160" ht="14.25" customHeight="1" s="37"/>
    <row r="161" ht="14.25" customHeight="1" s="37"/>
    <row r="162" ht="14.25" customHeight="1" s="37"/>
    <row r="163" ht="14.25" customHeight="1" s="37"/>
    <row r="164" ht="14.25" customHeight="1" s="37"/>
    <row r="165" ht="14.25" customHeight="1" s="37"/>
    <row r="166" ht="14.25" customHeight="1" s="37"/>
    <row r="167" ht="14.25" customHeight="1" s="37"/>
    <row r="168" ht="14.25" customHeight="1" s="37"/>
    <row r="169" ht="14.25" customHeight="1" s="37"/>
    <row r="170" ht="14.25" customHeight="1" s="37"/>
    <row r="171" ht="14.25" customHeight="1" s="37"/>
    <row r="172" ht="14.25" customHeight="1" s="37"/>
    <row r="173" ht="14.25" customHeight="1" s="37"/>
    <row r="174" ht="14.25" customHeight="1" s="37"/>
    <row r="175" ht="14.25" customHeight="1" s="37"/>
    <row r="176" ht="14.25" customHeight="1" s="37"/>
    <row r="177" ht="14.25" customHeight="1" s="37"/>
    <row r="178" ht="14.25" customHeight="1" s="37"/>
    <row r="179" ht="14.25" customHeight="1" s="37"/>
    <row r="180" ht="14.25" customHeight="1" s="37"/>
    <row r="181" ht="14.25" customHeight="1" s="37"/>
    <row r="182" ht="14.25" customHeight="1" s="37"/>
    <row r="183" ht="14.25" customHeight="1" s="37"/>
    <row r="184" ht="14.25" customHeight="1" s="37"/>
    <row r="185" ht="14.25" customHeight="1" s="37"/>
    <row r="186" ht="14.25" customHeight="1" s="37"/>
    <row r="187" ht="14.25" customHeight="1" s="37"/>
    <row r="188" ht="14.25" customHeight="1" s="37"/>
    <row r="189" ht="14.25" customHeight="1" s="37"/>
    <row r="190" ht="14.25" customHeight="1" s="37"/>
    <row r="191" ht="14.25" customHeight="1" s="37"/>
    <row r="192" ht="14.25" customHeight="1" s="37"/>
    <row r="193" ht="14.25" customHeight="1" s="37"/>
    <row r="194" ht="14.25" customHeight="1" s="37"/>
    <row r="195" ht="14.25" customHeight="1" s="37"/>
    <row r="196" ht="14.25" customHeight="1" s="37"/>
    <row r="197" ht="14.25" customHeight="1" s="37"/>
    <row r="198" ht="14.25" customHeight="1" s="37"/>
    <row r="199" ht="14.25" customHeight="1" s="37"/>
    <row r="200" ht="14.25" customHeight="1" s="37"/>
    <row r="201" ht="14.25" customHeight="1" s="37"/>
    <row r="202" ht="14.25" customHeight="1" s="37"/>
    <row r="203" ht="14.25" customHeight="1" s="37"/>
    <row r="204" ht="14.25" customHeight="1" s="37"/>
    <row r="205" ht="14.25" customHeight="1" s="37"/>
    <row r="206" ht="14.25" customHeight="1" s="37"/>
    <row r="207" ht="14.25" customHeight="1" s="37"/>
    <row r="208" ht="14.25" customHeight="1" s="37"/>
    <row r="209" ht="14.25" customHeight="1" s="37"/>
    <row r="210" ht="14.25" customHeight="1" s="37"/>
    <row r="211" ht="14.25" customHeight="1" s="37"/>
    <row r="212" ht="14.25" customHeight="1" s="37"/>
    <row r="213" ht="14.25" customHeight="1" s="37"/>
    <row r="214" ht="14.25" customHeight="1" s="37"/>
    <row r="215" ht="14.25" customHeight="1" s="37"/>
    <row r="216" ht="14.25" customHeight="1" s="37"/>
    <row r="217" ht="14.25" customHeight="1" s="37"/>
    <row r="218" ht="14.25" customHeight="1" s="37"/>
    <row r="219" ht="14.25" customHeight="1" s="37"/>
    <row r="220" ht="14.25" customHeight="1" s="37"/>
    <row r="221" ht="14.25" customHeight="1" s="37"/>
    <row r="222" ht="14.25" customHeight="1" s="37"/>
    <row r="223" ht="14.25" customHeight="1" s="37"/>
    <row r="224" ht="14.25" customHeight="1" s="37"/>
    <row r="225" ht="14.25" customHeight="1" s="37"/>
    <row r="226" ht="14.25" customHeight="1" s="37"/>
    <row r="227" ht="14.25" customHeight="1" s="37"/>
    <row r="228" ht="14.25" customHeight="1" s="37"/>
    <row r="229" ht="14.25" customHeight="1" s="37"/>
    <row r="230" ht="14.25" customHeight="1" s="37"/>
    <row r="231" ht="14.25" customHeight="1" s="37"/>
    <row r="232" ht="14.25" customHeight="1" s="37"/>
    <row r="233" ht="14.25" customHeight="1" s="37"/>
    <row r="234" ht="14.25" customHeight="1" s="37"/>
    <row r="235" ht="14.25" customHeight="1" s="37"/>
    <row r="236" ht="14.25" customHeight="1" s="37"/>
    <row r="237" ht="14.25" customHeight="1" s="37"/>
    <row r="238" ht="14.25" customHeight="1" s="37"/>
    <row r="239" ht="14.25" customHeight="1" s="37"/>
    <row r="240" ht="14.25" customHeight="1" s="37"/>
    <row r="241" ht="14.25" customHeight="1" s="37"/>
    <row r="242" ht="14.25" customHeight="1" s="37"/>
    <row r="243" ht="14.25" customHeight="1" s="37"/>
    <row r="244" ht="14.25" customHeight="1" s="37"/>
    <row r="245" ht="14.25" customHeight="1" s="37"/>
    <row r="246" ht="14.25" customHeight="1" s="37"/>
    <row r="247" ht="14.25" customHeight="1" s="37"/>
    <row r="248" ht="14.25" customHeight="1" s="37"/>
    <row r="249" ht="14.25" customHeight="1" s="37"/>
    <row r="250" ht="14.25" customHeight="1" s="37"/>
    <row r="251" ht="14.25" customHeight="1" s="37"/>
    <row r="252" ht="14.25" customHeight="1" s="37"/>
    <row r="253" ht="14.25" customHeight="1" s="37"/>
    <row r="254" ht="14.25" customHeight="1" s="37"/>
    <row r="255" ht="14.25" customHeight="1" s="37"/>
    <row r="256" ht="14.25" customHeight="1" s="37"/>
    <row r="257" ht="14.25" customHeight="1" s="37"/>
    <row r="258" ht="14.25" customHeight="1" s="37"/>
    <row r="259" ht="14.25" customHeight="1" s="37"/>
    <row r="260" ht="14.25" customHeight="1" s="37"/>
    <row r="261" ht="14.25" customHeight="1" s="37"/>
    <row r="262" ht="14.25" customHeight="1" s="37"/>
    <row r="263" ht="14.25" customHeight="1" s="37"/>
    <row r="264" ht="14.25" customHeight="1" s="37"/>
    <row r="265" ht="14.25" customHeight="1" s="37"/>
    <row r="266" ht="14.25" customHeight="1" s="37"/>
    <row r="267" ht="14.25" customHeight="1" s="37"/>
    <row r="268" ht="14.25" customHeight="1" s="37"/>
    <row r="269" ht="14.25" customHeight="1" s="37"/>
    <row r="270" ht="14.25" customHeight="1" s="37"/>
    <row r="271" ht="14.25" customHeight="1" s="37"/>
    <row r="272" ht="14.25" customHeight="1" s="37"/>
    <row r="273" ht="14.25" customHeight="1" s="37"/>
    <row r="274" ht="14.25" customHeight="1" s="37"/>
    <row r="275" ht="14.25" customHeight="1" s="37"/>
    <row r="276" ht="14.25" customHeight="1" s="37"/>
    <row r="277" ht="14.25" customHeight="1" s="37"/>
    <row r="278" ht="14.25" customHeight="1" s="37"/>
    <row r="279" ht="14.25" customHeight="1" s="37"/>
    <row r="280" ht="14.25" customHeight="1" s="37"/>
    <row r="281" ht="14.25" customHeight="1" s="37"/>
    <row r="282" ht="14.25" customHeight="1" s="37"/>
    <row r="283" ht="14.25" customHeight="1" s="37"/>
    <row r="284" ht="14.25" customHeight="1" s="37"/>
    <row r="285" ht="14.25" customHeight="1" s="37"/>
    <row r="286" ht="14.25" customHeight="1" s="37"/>
    <row r="287" ht="14.25" customHeight="1" s="37"/>
    <row r="288" ht="14.25" customHeight="1" s="37"/>
    <row r="289" ht="14.25" customHeight="1" s="37"/>
    <row r="290" ht="14.25" customHeight="1" s="37"/>
    <row r="291" ht="14.25" customHeight="1" s="37"/>
    <row r="292" ht="14.25" customHeight="1" s="37"/>
    <row r="293" ht="14.25" customHeight="1" s="37"/>
    <row r="294" ht="14.25" customHeight="1" s="37"/>
    <row r="295" ht="14.25" customHeight="1" s="37"/>
    <row r="296" ht="14.25" customHeight="1" s="37"/>
    <row r="297" ht="14.25" customHeight="1" s="37"/>
    <row r="298" ht="14.25" customHeight="1" s="37"/>
    <row r="299" ht="14.25" customHeight="1" s="37"/>
    <row r="300" ht="14.25" customHeight="1" s="37"/>
    <row r="301" ht="14.25" customHeight="1" s="37"/>
    <row r="302" ht="14.25" customHeight="1" s="37"/>
    <row r="303" ht="14.25" customHeight="1" s="37"/>
    <row r="304" ht="14.25" customHeight="1" s="37"/>
    <row r="305" ht="14.25" customHeight="1" s="37"/>
    <row r="306" ht="14.25" customHeight="1" s="37"/>
    <row r="307" ht="14.25" customHeight="1" s="37"/>
    <row r="308" ht="14.25" customHeight="1" s="37"/>
    <row r="309" ht="14.25" customHeight="1" s="37"/>
    <row r="310" ht="14.25" customHeight="1" s="37"/>
    <row r="311" ht="14.25" customHeight="1" s="37"/>
    <row r="312" ht="14.25" customHeight="1" s="37"/>
    <row r="313" ht="14.25" customHeight="1" s="37"/>
    <row r="314" ht="14.25" customHeight="1" s="37"/>
    <row r="315" ht="14.25" customHeight="1" s="37"/>
    <row r="316" ht="14.25" customHeight="1" s="37"/>
    <row r="317" ht="14.25" customHeight="1" s="37"/>
    <row r="318" ht="14.25" customHeight="1" s="37"/>
    <row r="319" ht="14.25" customHeight="1" s="37"/>
    <row r="320" ht="14.25" customHeight="1" s="37"/>
    <row r="321" ht="14.25" customHeight="1" s="37"/>
    <row r="322" ht="14.25" customHeight="1" s="37"/>
    <row r="323" ht="14.25" customHeight="1" s="37"/>
    <row r="324" ht="14.25" customHeight="1" s="37"/>
    <row r="325" ht="14.25" customHeight="1" s="37"/>
    <row r="326" ht="14.25" customHeight="1" s="37"/>
    <row r="327" ht="14.25" customHeight="1" s="37"/>
    <row r="328" ht="14.25" customHeight="1" s="37"/>
    <row r="329" ht="14.25" customHeight="1" s="37"/>
    <row r="330" ht="14.25" customHeight="1" s="37"/>
    <row r="331" ht="14.25" customHeight="1" s="37"/>
    <row r="332" ht="14.25" customHeight="1" s="37"/>
    <row r="333" ht="14.25" customHeight="1" s="37"/>
    <row r="334" ht="14.25" customHeight="1" s="37"/>
    <row r="335" ht="14.25" customHeight="1" s="37"/>
    <row r="336" ht="14.25" customHeight="1" s="37"/>
    <row r="337" ht="14.25" customHeight="1" s="37"/>
    <row r="338" ht="14.25" customHeight="1" s="37"/>
    <row r="339" ht="14.25" customHeight="1" s="37"/>
    <row r="340" ht="14.25" customHeight="1" s="37"/>
    <row r="341" ht="14.25" customHeight="1" s="37"/>
    <row r="342" ht="14.25" customHeight="1" s="37"/>
    <row r="343" ht="14.25" customHeight="1" s="37"/>
    <row r="344" ht="14.25" customHeight="1" s="37"/>
    <row r="345" ht="14.25" customHeight="1" s="37"/>
    <row r="346" ht="14.25" customHeight="1" s="37"/>
    <row r="347" ht="14.25" customHeight="1" s="37"/>
    <row r="348" ht="14.25" customHeight="1" s="37"/>
    <row r="349" ht="14.25" customHeight="1" s="37"/>
    <row r="350" ht="14.25" customHeight="1" s="37"/>
    <row r="351" ht="14.25" customHeight="1" s="37"/>
    <row r="352" ht="14.25" customHeight="1" s="37"/>
    <row r="353" ht="14.25" customHeight="1" s="37"/>
    <row r="354" ht="14.25" customHeight="1" s="37"/>
    <row r="355" ht="14.25" customHeight="1" s="37"/>
    <row r="356" ht="14.25" customHeight="1" s="37"/>
    <row r="357" ht="14.25" customHeight="1" s="37"/>
    <row r="358" ht="14.25" customHeight="1" s="37"/>
    <row r="359" ht="14.25" customHeight="1" s="37"/>
    <row r="360" ht="14.25" customHeight="1" s="37"/>
    <row r="361" ht="14.25" customHeight="1" s="37"/>
    <row r="362" ht="14.25" customHeight="1" s="37"/>
    <row r="363" ht="14.25" customHeight="1" s="37"/>
    <row r="364" ht="14.25" customHeight="1" s="37"/>
    <row r="365" ht="14.25" customHeight="1" s="37"/>
    <row r="366" ht="14.25" customHeight="1" s="37"/>
    <row r="367" ht="14.25" customHeight="1" s="37"/>
    <row r="368" ht="14.25" customHeight="1" s="37"/>
    <row r="369" ht="14.25" customHeight="1" s="37"/>
    <row r="370" ht="14.25" customHeight="1" s="37"/>
    <row r="371" ht="14.25" customHeight="1" s="37"/>
    <row r="372" ht="14.25" customHeight="1" s="37"/>
    <row r="373" ht="14.25" customHeight="1" s="37"/>
    <row r="374" ht="14.25" customHeight="1" s="37"/>
    <row r="375" ht="14.25" customHeight="1" s="37"/>
    <row r="376" ht="14.25" customHeight="1" s="37"/>
    <row r="377" ht="14.25" customHeight="1" s="37"/>
    <row r="378" ht="14.25" customHeight="1" s="37"/>
    <row r="379" ht="14.25" customHeight="1" s="37"/>
    <row r="380" ht="14.25" customHeight="1" s="37"/>
    <row r="381" ht="14.25" customHeight="1" s="37"/>
    <row r="382" ht="14.25" customHeight="1" s="37"/>
    <row r="383" ht="14.25" customHeight="1" s="37"/>
    <row r="384" ht="14.25" customHeight="1" s="37"/>
    <row r="385" ht="14.25" customHeight="1" s="37"/>
    <row r="386" ht="14.25" customHeight="1" s="37"/>
    <row r="387" ht="14.25" customHeight="1" s="37"/>
    <row r="388" ht="14.25" customHeight="1" s="37"/>
    <row r="389" ht="14.25" customHeight="1" s="37"/>
    <row r="390" ht="14.25" customHeight="1" s="37"/>
    <row r="391" ht="14.25" customHeight="1" s="37"/>
    <row r="392" ht="14.25" customHeight="1" s="37"/>
    <row r="393" ht="14.25" customHeight="1" s="37"/>
    <row r="394" ht="14.25" customHeight="1" s="37"/>
    <row r="395" ht="14.25" customHeight="1" s="37"/>
    <row r="396" ht="14.25" customHeight="1" s="37"/>
    <row r="397" ht="14.25" customHeight="1" s="37"/>
    <row r="398" ht="14.25" customHeight="1" s="37"/>
    <row r="399" ht="14.25" customHeight="1" s="37"/>
    <row r="400" ht="14.25" customHeight="1" s="37"/>
    <row r="401" ht="14.25" customHeight="1" s="37"/>
    <row r="402" ht="14.25" customHeight="1" s="37"/>
    <row r="403" ht="14.25" customHeight="1" s="37"/>
    <row r="404" ht="14.25" customHeight="1" s="37"/>
    <row r="405" ht="14.25" customHeight="1" s="37"/>
    <row r="406" ht="14.25" customHeight="1" s="37"/>
    <row r="407" ht="14.25" customHeight="1" s="37"/>
    <row r="408" ht="14.25" customHeight="1" s="37"/>
    <row r="409" ht="14.25" customHeight="1" s="37"/>
    <row r="410" ht="14.25" customHeight="1" s="37"/>
    <row r="411" ht="14.25" customHeight="1" s="37"/>
    <row r="412" ht="14.25" customHeight="1" s="37"/>
    <row r="413" ht="14.25" customHeight="1" s="37"/>
    <row r="414" ht="14.25" customHeight="1" s="37"/>
    <row r="415" ht="14.25" customHeight="1" s="37"/>
    <row r="416" ht="14.25" customHeight="1" s="37"/>
    <row r="417" ht="14.25" customHeight="1" s="37"/>
    <row r="418" ht="14.25" customHeight="1" s="37"/>
    <row r="419" ht="14.25" customHeight="1" s="37"/>
    <row r="420" ht="14.25" customHeight="1" s="37"/>
    <row r="421" ht="14.25" customHeight="1" s="37"/>
    <row r="422" ht="14.25" customHeight="1" s="37"/>
    <row r="423" ht="14.25" customHeight="1" s="37"/>
    <row r="424" ht="14.25" customHeight="1" s="37"/>
    <row r="425" ht="14.25" customHeight="1" s="37"/>
    <row r="426" ht="14.25" customHeight="1" s="37"/>
    <row r="427" ht="14.25" customHeight="1" s="37"/>
    <row r="428" ht="14.25" customHeight="1" s="37"/>
    <row r="429" ht="14.25" customHeight="1" s="37"/>
    <row r="430" ht="14.25" customHeight="1" s="37"/>
    <row r="431" ht="14.25" customHeight="1" s="37"/>
    <row r="432" ht="14.25" customHeight="1" s="37"/>
    <row r="433" ht="14.25" customHeight="1" s="37"/>
    <row r="434" ht="14.25" customHeight="1" s="37"/>
    <row r="435" ht="14.25" customHeight="1" s="37"/>
    <row r="436" ht="14.25" customHeight="1" s="37"/>
    <row r="437" ht="14.25" customHeight="1" s="37"/>
    <row r="438" ht="14.25" customHeight="1" s="37"/>
    <row r="439" ht="14.25" customHeight="1" s="37"/>
    <row r="440" ht="14.25" customHeight="1" s="37"/>
    <row r="441" ht="14.25" customHeight="1" s="37"/>
    <row r="442" ht="14.25" customHeight="1" s="37"/>
    <row r="443" ht="14.25" customHeight="1" s="37"/>
    <row r="444" ht="14.25" customHeight="1" s="37"/>
    <row r="445" ht="14.25" customHeight="1" s="37"/>
    <row r="446" ht="14.25" customHeight="1" s="37"/>
    <row r="447" ht="14.25" customHeight="1" s="37"/>
    <row r="448" ht="14.25" customHeight="1" s="37"/>
    <row r="449" ht="14.25" customHeight="1" s="37"/>
    <row r="450" ht="14.25" customHeight="1" s="37"/>
    <row r="451" ht="14.25" customHeight="1" s="37"/>
    <row r="452" ht="14.25" customHeight="1" s="37"/>
    <row r="453" ht="14.25" customHeight="1" s="37"/>
    <row r="454" ht="14.25" customHeight="1" s="37"/>
    <row r="455" ht="14.25" customHeight="1" s="37"/>
    <row r="456" ht="14.25" customHeight="1" s="37"/>
    <row r="457" ht="14.25" customHeight="1" s="37"/>
    <row r="458" ht="14.25" customHeight="1" s="37"/>
    <row r="459" ht="14.25" customHeight="1" s="37"/>
    <row r="460" ht="14.25" customHeight="1" s="37"/>
    <row r="461" ht="14.25" customHeight="1" s="37"/>
    <row r="462" ht="14.25" customHeight="1" s="37"/>
    <row r="463" ht="14.25" customHeight="1" s="37"/>
    <row r="464" ht="14.25" customHeight="1" s="37"/>
    <row r="465" ht="14.25" customHeight="1" s="37"/>
    <row r="466" ht="14.25" customHeight="1" s="37"/>
    <row r="467" ht="14.25" customHeight="1" s="37"/>
    <row r="468" ht="14.25" customHeight="1" s="37"/>
    <row r="469" ht="14.25" customHeight="1" s="37"/>
    <row r="470" ht="14.25" customHeight="1" s="37"/>
    <row r="471" ht="14.25" customHeight="1" s="37"/>
    <row r="472" ht="14.25" customHeight="1" s="37"/>
    <row r="473" ht="14.25" customHeight="1" s="37"/>
    <row r="474" ht="14.25" customHeight="1" s="37"/>
    <row r="475" ht="14.25" customHeight="1" s="37"/>
    <row r="476" ht="14.25" customHeight="1" s="37"/>
    <row r="477" ht="14.25" customHeight="1" s="37"/>
    <row r="478" ht="14.25" customHeight="1" s="37"/>
    <row r="479" ht="14.25" customHeight="1" s="37"/>
    <row r="480" ht="14.25" customHeight="1" s="37"/>
    <row r="481" ht="14.25" customHeight="1" s="37"/>
    <row r="482" ht="14.25" customHeight="1" s="37"/>
    <row r="483" ht="14.25" customHeight="1" s="37"/>
    <row r="484" ht="14.25" customHeight="1" s="37"/>
    <row r="485" ht="14.25" customHeight="1" s="37"/>
    <row r="486" ht="14.25" customHeight="1" s="37"/>
    <row r="487" ht="14.25" customHeight="1" s="37"/>
    <row r="488" ht="14.25" customHeight="1" s="37"/>
    <row r="489" ht="14.25" customHeight="1" s="37"/>
    <row r="490" ht="14.25" customHeight="1" s="37"/>
    <row r="491" ht="14.25" customHeight="1" s="37"/>
    <row r="492" ht="14.25" customHeight="1" s="37"/>
    <row r="493" ht="14.25" customHeight="1" s="37"/>
    <row r="494" ht="14.25" customHeight="1" s="37"/>
    <row r="495" ht="14.25" customHeight="1" s="37"/>
    <row r="496" ht="14.25" customHeight="1" s="37"/>
    <row r="497" ht="14.25" customHeight="1" s="37"/>
    <row r="498" ht="14.25" customHeight="1" s="37"/>
    <row r="499" ht="14.25" customHeight="1" s="37"/>
    <row r="500" ht="14.25" customHeight="1" s="37"/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</sheetData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38" customWidth="1" style="37" min="3" max="3"/>
    <col width="22" customWidth="1" style="37" min="4" max="5"/>
    <col width="20" customWidth="1" style="37" min="6" max="6"/>
    <col width="18" customWidth="1" style="37" min="7" max="7"/>
    <col width="26" customWidth="1" style="37" min="8" max="8"/>
    <col width="24" customWidth="1" style="37" min="9" max="9"/>
    <col width="15" customWidth="1" style="37" min="10" max="10"/>
    <col width="30" customWidth="1" style="37" min="11" max="11"/>
    <col width="9" customWidth="1" style="37" min="12" max="26"/>
  </cols>
  <sheetData>
    <row r="1" ht="14.25" customHeight="1" s="37">
      <c r="A1" s="7" t="inlineStr">
        <is>
          <t>ID KK</t>
        </is>
      </c>
      <c r="B1" s="7" t="inlineStr">
        <is>
          <t>Nama KK</t>
        </is>
      </c>
      <c r="C1" s="7" t="inlineStr">
        <is>
          <t>Alamat</t>
        </is>
      </c>
      <c r="D1" s="7" t="inlineStr">
        <is>
          <t>Kelurahan</t>
        </is>
      </c>
      <c r="E1" s="7" t="inlineStr">
        <is>
          <t>Lingkungan</t>
        </is>
      </c>
      <c r="F1" s="7" t="inlineStr">
        <is>
          <t>Basis/Stasi</t>
        </is>
      </c>
      <c r="G1" s="7" t="inlineStr">
        <is>
          <t>Telp/HP</t>
        </is>
      </c>
      <c r="H1" s="7" t="inlineStr">
        <is>
          <t>Email</t>
        </is>
      </c>
      <c r="I1" s="7" t="inlineStr">
        <is>
          <t>Status Perkawinan</t>
        </is>
      </c>
      <c r="J1" s="7" t="inlineStr">
        <is>
          <t>Tanggal Input</t>
        </is>
      </c>
      <c r="K1" s="7" t="inlineStr">
        <is>
          <t>Keterangan</t>
        </is>
      </c>
    </row>
    <row r="2" ht="14.25" customHeight="1" s="37">
      <c r="A2" s="38" t="inlineStr">
        <is>
          <t>KK0070</t>
        </is>
      </c>
      <c r="B2" s="39" t="inlineStr">
        <is>
          <t>ADRIANI TODINGAN</t>
        </is>
      </c>
      <c r="C2" s="9" t="inlineStr">
        <is>
          <t>KOMPLEK PENDETA NO.24</t>
        </is>
      </c>
      <c r="D2" s="9" t="inlineStr">
        <is>
          <t>Sepinggan Raya</t>
        </is>
      </c>
      <c r="E2" s="40" t="inlineStr">
        <is>
          <t>St. Maria Immacula</t>
        </is>
      </c>
      <c r="F2" s="9" t="n"/>
      <c r="G2" s="9" t="n"/>
      <c r="H2" s="9" t="n"/>
      <c r="I2" s="40" t="n"/>
      <c r="J2" s="9" t="n"/>
      <c r="K2" s="9" t="inlineStr">
        <is>
          <t>Lingkungan perkiraan, belum terkonfirmasi. Keluarga baru dari scan: ADRIANI TODINGAN-KARTU KELUARGA.jpg No KK 6471051309160016.</t>
        </is>
      </c>
    </row>
    <row r="3" ht="14.25" customHeight="1" s="37">
      <c r="A3" s="38" t="inlineStr">
        <is>
          <t>KK0071</t>
        </is>
      </c>
      <c r="B3" s="39" t="inlineStr">
        <is>
          <t>AGUSTINUS WASA</t>
        </is>
      </c>
      <c r="C3" s="9" t="inlineStr">
        <is>
          <t>JL. SEPINGGAN RAYA NO. 01</t>
        </is>
      </c>
      <c r="D3" s="9" t="inlineStr">
        <is>
          <t>Sepinggan Raya</t>
        </is>
      </c>
      <c r="E3" s="40" t="inlineStr">
        <is>
          <t>St. Maria Immacula</t>
        </is>
      </c>
      <c r="F3" s="9" t="n"/>
      <c r="G3" s="9" t="n"/>
      <c r="H3" s="9" t="n"/>
      <c r="I3" s="40" t="n"/>
      <c r="J3" s="9" t="n"/>
      <c r="K3" s="9" t="inlineStr">
        <is>
          <t>Lingkungan perkiraan, belum terkonfirmasi. Keluarga baru dari scan: AGUSTINUS WASA-KARTU KELUARGA.jpg No KK 7413030311230001.</t>
        </is>
      </c>
    </row>
    <row r="4" ht="14.25" customHeight="1" s="37">
      <c r="A4" s="38" t="inlineStr">
        <is>
          <t>KK0072</t>
        </is>
      </c>
      <c r="B4" s="39" t="inlineStr">
        <is>
          <t>ANA. E. YAYUK SUPRAPTININGSIH</t>
        </is>
      </c>
      <c r="C4" s="9" t="inlineStr">
        <is>
          <t>JL.MARSMA R ISWAHYUDI GG MELAI I NO. 39</t>
        </is>
      </c>
      <c r="D4" s="9" t="inlineStr">
        <is>
          <t>Sepinggan</t>
        </is>
      </c>
      <c r="E4" s="9" t="inlineStr">
        <is>
          <t>St. Maria Immacula</t>
        </is>
      </c>
      <c r="F4" s="9" t="n"/>
      <c r="G4" s="9" t="n"/>
      <c r="H4" s="9" t="n"/>
      <c r="I4" s="40" t="n"/>
      <c r="J4" s="9" t="n"/>
      <c r="K4" s="9" t="inlineStr">
        <is>
          <t>Lingkungan: nomor KK cocok dengan daftar WEB KASRI 2023. Keluarga baru dari scan: ANA E. YAYUK SUPRAPTININGSIH-KARTU KELUARGA.jpg No KK 6471052305050001.</t>
        </is>
      </c>
    </row>
    <row r="5" ht="14.25" customHeight="1" s="37">
      <c r="A5" s="38" t="inlineStr">
        <is>
          <t>KK0073</t>
        </is>
      </c>
      <c r="B5" s="39" t="inlineStr">
        <is>
          <t>MUHTAR</t>
        </is>
      </c>
      <c r="C5" s="9" t="inlineStr">
        <is>
          <t>JL. MARSMA R. ISWAHYUDI NO.39</t>
        </is>
      </c>
      <c r="D5" s="9" t="inlineStr">
        <is>
          <t>Sepinggan Raya</t>
        </is>
      </c>
      <c r="E5" s="9" t="inlineStr">
        <is>
          <t>St. Maria Immacula</t>
        </is>
      </c>
      <c r="F5" s="9" t="n"/>
      <c r="G5" s="9" t="n"/>
      <c r="H5" s="9" t="n"/>
      <c r="I5" s="40" t="n"/>
      <c r="J5" s="9" t="n"/>
      <c r="K5" s="9" t="inlineStr">
        <is>
          <t>Lingkungan: nomor KK cocok dengan daftar WEB KASRI 2023. Keluarga baru dari scan: BARNABAS MUKHTAR-KARTU KELUARGA.jpg No KK 6471051906080002.</t>
        </is>
      </c>
    </row>
    <row r="6" ht="14.25" customHeight="1" s="37">
      <c r="A6" s="38" t="inlineStr">
        <is>
          <t>KK0074</t>
        </is>
      </c>
      <c r="B6" s="39" t="inlineStr">
        <is>
          <t>DARIANUS EGAR</t>
        </is>
      </c>
      <c r="C6" s="9" t="inlineStr">
        <is>
          <t>JL. MT. HARYONO NO. 25 RT. 12</t>
        </is>
      </c>
      <c r="D6" s="9" t="inlineStr">
        <is>
          <t>Damai Baru</t>
        </is>
      </c>
      <c r="E6" s="9" t="inlineStr">
        <is>
          <t>St. Maria Immacula</t>
        </is>
      </c>
      <c r="F6" s="9" t="n"/>
      <c r="G6" s="9" t="n"/>
      <c r="H6" s="9" t="n"/>
      <c r="I6" s="40" t="n"/>
      <c r="J6" s="9" t="n"/>
      <c r="K6" s="9" t="inlineStr">
        <is>
          <t>Lingkungan: nomor KK cocok dengan daftar WEB KASRI 2023. Keluarga baru dari scan: DARIANUS EGAR - KARTU KELUARGA.jpg No KK 6471052108070007.</t>
        </is>
      </c>
    </row>
    <row r="7" ht="14.25" customHeight="1" s="37">
      <c r="A7" s="38" t="inlineStr">
        <is>
          <t>KK0075</t>
        </is>
      </c>
      <c r="B7" s="39" t="inlineStr">
        <is>
          <t>MANGAPUL MANIK</t>
        </is>
      </c>
      <c r="C7" s="9" t="inlineStr">
        <is>
          <t>JL. PRONA III NO.62</t>
        </is>
      </c>
      <c r="D7" s="9" t="inlineStr">
        <is>
          <t>Sepinggan</t>
        </is>
      </c>
      <c r="E7" s="40" t="inlineStr">
        <is>
          <t>St. Maria Immacula</t>
        </is>
      </c>
      <c r="F7" s="9" t="n"/>
      <c r="G7" s="9" t="n"/>
      <c r="H7" s="9" t="n"/>
      <c r="I7" s="40" t="n"/>
      <c r="J7" s="9" t="n"/>
      <c r="K7" s="9" t="inlineStr">
        <is>
          <t>Lingkungan perkiraan, belum terkonfirmasi. Keluarga baru dari scan: MANGAPUL MANIK - KARTU KELUARGA.jpg No KK 6471050103100079.</t>
        </is>
      </c>
    </row>
    <row r="8" ht="14.25" customHeight="1" s="37">
      <c r="A8" s="38" t="inlineStr">
        <is>
          <t>KK0076</t>
        </is>
      </c>
      <c r="B8" s="39" t="inlineStr">
        <is>
          <t>P.SUYATI</t>
        </is>
      </c>
      <c r="C8" s="9" t="inlineStr">
        <is>
          <t>JL. MULAWARMAN GN.SLAMET RIADI</t>
        </is>
      </c>
      <c r="D8" s="9" t="inlineStr">
        <is>
          <t>Sepinggan</t>
        </is>
      </c>
      <c r="E8" s="9" t="inlineStr">
        <is>
          <t>St. Maria Immacula</t>
        </is>
      </c>
      <c r="F8" s="9" t="n"/>
      <c r="G8" s="9" t="n"/>
      <c r="H8" s="9" t="n"/>
      <c r="I8" s="40" t="n"/>
      <c r="J8" s="9" t="n"/>
      <c r="K8" s="9" t="inlineStr">
        <is>
          <t>Lingkungan: nomor KK cocok dengan daftar WEB KASRI 2023. Keluarga baru dari scan: P. SUYATI-KARTU KELUARGA.jpg No KK 6471053011070019.</t>
        </is>
      </c>
    </row>
    <row r="9" ht="14.25" customHeight="1" s="37">
      <c r="A9" s="38" t="inlineStr">
        <is>
          <t>KK0077</t>
        </is>
      </c>
      <c r="B9" s="39" t="inlineStr">
        <is>
          <t>PETRA KANISIA. D</t>
        </is>
      </c>
      <c r="C9" s="9" t="inlineStr">
        <is>
          <t>JL. MULAWARMAN</t>
        </is>
      </c>
      <c r="D9" s="9" t="inlineStr">
        <is>
          <t>Sepinggan Raya</t>
        </is>
      </c>
      <c r="E9" s="40" t="inlineStr">
        <is>
          <t>St. Maria Immacula</t>
        </is>
      </c>
      <c r="F9" s="9" t="n"/>
      <c r="G9" s="9" t="n"/>
      <c r="H9" s="9" t="n"/>
      <c r="I9" s="40" t="n"/>
      <c r="J9" s="9" t="n"/>
      <c r="K9" s="9" t="inlineStr">
        <is>
          <t>Lingkungan perkiraan, belum terkonfirmasi. Keluarga baru dari scan: PETRA KANISIA. D - KARTU KELUARGA.jpg No KK 6471051111250007.</t>
        </is>
      </c>
    </row>
    <row r="10" ht="14.25" customHeight="1" s="37">
      <c r="A10" s="38" t="inlineStr">
        <is>
          <t>KK0078</t>
        </is>
      </c>
      <c r="B10" s="39" t="inlineStr">
        <is>
          <t>PIOTR MACIEJ OLSZEWSKI</t>
        </is>
      </c>
      <c r="C10" s="9" t="inlineStr">
        <is>
          <t>JL. DAKSA RAYA RESIDEN PH3 BLOK PH3 NO.10</t>
        </is>
      </c>
      <c r="D10" s="9" t="inlineStr">
        <is>
          <t>Sepinggan</t>
        </is>
      </c>
      <c r="E10" s="9" t="inlineStr">
        <is>
          <t>St. Maria Immacula</t>
        </is>
      </c>
      <c r="F10" s="9" t="n"/>
      <c r="G10" s="9" t="n"/>
      <c r="H10" s="9" t="n"/>
      <c r="I10" s="40" t="n"/>
      <c r="J10" s="9" t="n"/>
      <c r="K10" s="9" t="inlineStr">
        <is>
          <t>Lingkungan: nomor KK cocok dengan daftar WEB KASRI 2023. Keluarga baru dari scan: PIOTR-KARTU KELUARGA.jpg No KK 6471052807200001.</t>
        </is>
      </c>
    </row>
    <row r="11" ht="14.25" customHeight="1" s="37">
      <c r="A11" s="38" t="inlineStr">
        <is>
          <t>KK0079</t>
        </is>
      </c>
      <c r="B11" s="40" t="inlineStr">
        <is>
          <t>BONEFASIUS SAGUR</t>
        </is>
      </c>
      <c r="C11" s="40" t="n"/>
      <c r="D11" s="9" t="n"/>
      <c r="E11" s="40" t="inlineStr">
        <is>
          <t>St. Maria Immacula</t>
        </is>
      </c>
      <c r="F11" s="9" t="n"/>
      <c r="G11" s="9" t="n"/>
      <c r="H11" s="9" t="n"/>
      <c r="I11" s="40" t="n"/>
      <c r="J11" s="9" t="n"/>
      <c r="K11" s="9" t="inlineStr">
        <is>
          <t>Lingkungan perkiraan, belum terkonfirmasi. Keluarga ini dibentuk dari surat perkawinan Documents\_fase3_batch\BONEFASIUS SAGUR-AKTA NIKAH SIPIL.jpg karena belum ada Kartu Keluarga - lengkapi nomor KK, alamat, dan lingkungan. Keluarga baru dari scan: BONEFASIUS SAGUR-AKTA NIKAH SIPIL.jpg</t>
        </is>
      </c>
    </row>
    <row r="12" ht="14.25" customHeight="1" s="37">
      <c r="A12" s="38" t="inlineStr">
        <is>
          <t>KK0080</t>
        </is>
      </c>
      <c r="B12" s="40" t="inlineStr">
        <is>
          <t>MURTIYONO</t>
        </is>
      </c>
      <c r="C12" s="40" t="n"/>
      <c r="D12" s="9" t="n"/>
      <c r="E12" s="40" t="inlineStr">
        <is>
          <t>St. Maria Immacula</t>
        </is>
      </c>
      <c r="F12" s="9" t="n"/>
      <c r="G12" s="9" t="n"/>
      <c r="H12" s="9" t="n"/>
      <c r="I12" s="40" t="n"/>
      <c r="J12" s="9" t="n"/>
      <c r="K12" s="9" t="inlineStr">
        <is>
          <t>Lingkungan perkiraan, belum terkonfirmasi. Keluarga ini dibentuk dari surat perkawinan Documents\_fase3_batch\MURTIYONO - SURAT NIKAH GEREJA.jpg karena belum ada Kartu Keluarga - lengkapi nomor KK, alamat, dan lingkungan. Keluarga baru dari scan: MURTIYONO - SURAT NIKAH GEREJA.jpg</t>
        </is>
      </c>
    </row>
    <row r="13" ht="14.25" customHeight="1" s="37">
      <c r="A13" s="38" t="inlineStr">
        <is>
          <t>KK0081</t>
        </is>
      </c>
      <c r="B13" s="40" t="inlineStr">
        <is>
          <t>LINTONG AMALSYAH MANURUNG</t>
        </is>
      </c>
      <c r="C13" s="40" t="n"/>
      <c r="D13" s="9" t="n"/>
      <c r="E13" s="40" t="inlineStr">
        <is>
          <t>St. Maria Immacula</t>
        </is>
      </c>
      <c r="F13" s="9" t="n"/>
      <c r="G13" s="9" t="n"/>
      <c r="H13" s="9" t="n"/>
      <c r="I13" s="40" t="n"/>
      <c r="J13" s="9" t="n"/>
      <c r="K13" s="9" t="inlineStr">
        <is>
          <t>Lingkungan perkiraan, belum terkonfirmasi. Keluarga ini dibentuk dari surat perkawinan Documents\_fase3_batch\VERO DWI ANI-SURAT NIKAH SIPIL.jpg karena belum ada Kartu Keluarga - lengkapi nomor KK, alamat, dan lingkungan. Keluarga baru dari scan: VERO DWI ANI-SURAT NIKAH SIPIL.jpg</t>
        </is>
      </c>
    </row>
    <row r="14" ht="14.25" customHeight="1" s="37">
      <c r="A14" s="9">
        <f>IF(B14="","","KK"&amp;TEXT(ROW()-1,"0000"))</f>
        <v/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14.25" customHeight="1" s="37">
      <c r="A15" s="9">
        <f>IF(B15="","","KK"&amp;TEXT(ROW()-1,"0000"))</f>
        <v/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 ht="14.25" customHeight="1" s="37">
      <c r="A16" s="9">
        <f>IF(B16="","","KK"&amp;TEXT(ROW()-1,"0000"))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14.25" customHeight="1" s="37">
      <c r="A17" s="9">
        <f>IF(B17="","","KK"&amp;TEXT(ROW()-1,"0000"))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14.25" customHeight="1" s="37">
      <c r="A18" s="9">
        <f>IF(B18="","","KK"&amp;TEXT(ROW()-1,"0000"))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14.25" customHeight="1" s="37">
      <c r="A19" s="9">
        <f>IF(B19="","","KK"&amp;TEXT(ROW()-1,"0000"))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 ht="14.25" customHeight="1" s="37">
      <c r="A20" s="9">
        <f>IF(B20="","","KK"&amp;TEXT(ROW()-1,"0000"))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14.25" customHeight="1" s="37">
      <c r="A21" s="9">
        <f>IF(B21="","","KK"&amp;TEXT(ROW()-1,"0000"))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 ht="14.25" customHeight="1" s="37">
      <c r="A22" s="9">
        <f>IF(B22="","","KK"&amp;TEXT(ROW()-1,"0000"))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14.25" customHeight="1" s="37">
      <c r="A23" s="9">
        <f>IF(B23="","","KK"&amp;TEXT(ROW()-1,"0000"))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 ht="14.25" customHeight="1" s="37">
      <c r="A24" s="9">
        <f>IF(B24="","","KK"&amp;TEXT(ROW()-1,"0000"))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14.25" customHeight="1" s="37">
      <c r="A25" s="9">
        <f>IF(B25="","","KK"&amp;TEXT(ROW()-1,"0000"))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 ht="14.25" customHeight="1" s="37">
      <c r="A26" s="9">
        <f>IF(B26="","","KK"&amp;TEXT(ROW()-1,"0000"))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14.25" customHeight="1" s="37">
      <c r="A27" s="9">
        <f>IF(B27="","","KK"&amp;TEXT(ROW()-1,"0000"))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14.25" customHeight="1" s="37">
      <c r="A28" s="9">
        <f>IF(B28="","","KK"&amp;TEXT(ROW()-1,"0000"))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14.25" customHeight="1" s="37">
      <c r="A29" s="9">
        <f>IF(B29="","","KK"&amp;TEXT(ROW()-1,"0000"))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 ht="14.25" customHeight="1" s="37">
      <c r="A30" s="9">
        <f>IF(B30="","","KK"&amp;TEXT(ROW()-1,"0000"))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14.25" customHeight="1" s="37">
      <c r="A31" s="9">
        <f>IF(B31="","","KK"&amp;TEXT(ROW()-1,"0000"))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 ht="14.25" customHeight="1" s="37">
      <c r="A32" s="9">
        <f>IF(B32="","","KK"&amp;TEXT(ROW()-1,"0000"))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14.25" customHeight="1" s="37">
      <c r="A33" s="9">
        <f>IF(B33="","","KK"&amp;TEXT(ROW()-1,"0000"))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 ht="14.25" customHeight="1" s="37">
      <c r="A34" s="9">
        <f>IF(B34="","","KK"&amp;TEXT(ROW()-1,"0000"))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14.25" customHeight="1" s="37">
      <c r="A35" s="9">
        <f>IF(B35="","","KK"&amp;TEXT(ROW()-1,"0000"))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 ht="14.25" customHeight="1" s="37">
      <c r="A36" s="9">
        <f>IF(B36="","","KK"&amp;TEXT(ROW()-1,"0000"))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14.25" customHeight="1" s="37">
      <c r="A37" s="9">
        <f>IF(B37="","","KK"&amp;TEXT(ROW()-1,"0000"))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 ht="14.25" customHeight="1" s="37">
      <c r="A38" s="9">
        <f>IF(B38="","","KK"&amp;TEXT(ROW()-1,"0000"))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14.25" customHeight="1" s="37">
      <c r="A39" s="9">
        <f>IF(B39="","","KK"&amp;TEXT(ROW()-1,"0000"))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14.25" customHeight="1" s="37">
      <c r="A40" s="9">
        <f>IF(B40="","","KK"&amp;TEXT(ROW()-1,"0000"))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14.25" customHeight="1" s="37">
      <c r="A41" s="9">
        <f>IF(B41="","","KK"&amp;TEXT(ROW()-1,"0000"))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 ht="14.25" customHeight="1" s="37">
      <c r="A42" s="9">
        <f>IF(B42="","","KK"&amp;TEXT(ROW()-1,"0000"))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14.25" customHeight="1" s="37">
      <c r="A43" s="9">
        <f>IF(B43="","","KK"&amp;TEXT(ROW()-1,"0000"))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 ht="14.25" customHeight="1" s="37">
      <c r="A44" s="9">
        <f>IF(B44="","","KK"&amp;TEXT(ROW()-1,"0000"))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14.25" customHeight="1" s="37">
      <c r="A45" s="9">
        <f>IF(B45="","","KK"&amp;TEXT(ROW()-1,"0000"))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 ht="14.25" customHeight="1" s="37">
      <c r="A46" s="9">
        <f>IF(B46="","","KK"&amp;TEXT(ROW()-1,"0000"))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14.25" customHeight="1" s="37">
      <c r="A47" s="9">
        <f>IF(B47="","","KK"&amp;TEXT(ROW()-1,"0000"))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 ht="14.25" customHeight="1" s="37">
      <c r="A48" s="9">
        <f>IF(B48="","","KK"&amp;TEXT(ROW()-1,"0000"))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14.25" customHeight="1" s="37">
      <c r="A49" s="9">
        <f>IF(B49="","","KK"&amp;TEXT(ROW()-1,"0000"))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 ht="14.25" customHeight="1" s="37">
      <c r="A50" s="9">
        <f>IF(B50="","","KK"&amp;TEXT(ROW()-1,"0000"))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14.25" customHeight="1" s="37">
      <c r="A51" s="9">
        <f>IF(B51="","","KK"&amp;TEXT(ROW()-1,"0000"))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 ht="14.25" customHeight="1" s="37">
      <c r="A52" s="9">
        <f>IF(B52="","","KK"&amp;TEXT(ROW()-1,"0000"))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14.25" customHeight="1" s="37">
      <c r="A53" s="9">
        <f>IF(B53="","","KK"&amp;TEXT(ROW()-1,"0000"))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4.25" customHeight="1" s="37">
      <c r="A54" s="9">
        <f>IF(B54="","","KK"&amp;TEXT(ROW()-1,"0000"))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4.25" customHeight="1" s="37">
      <c r="A55" s="9">
        <f>IF(B55="","","KK"&amp;TEXT(ROW()-1,"0000"))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14.25" customHeight="1" s="37">
      <c r="A56" s="9">
        <f>IF(B56="","","KK"&amp;TEXT(ROW()-1,"0000"))</f>
        <v/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4.25" customHeight="1" s="37">
      <c r="A57" s="9">
        <f>IF(B57="","","KK"&amp;TEXT(ROW()-1,"0000"))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14.25" customHeight="1" s="37">
      <c r="A58" s="9">
        <f>IF(B58="","","KK"&amp;TEXT(ROW()-1,"0000"))</f>
        <v/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4.25" customHeight="1" s="37">
      <c r="A59" s="9">
        <f>IF(B59="","","KK"&amp;TEXT(ROW()-1,"0000"))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14.25" customHeight="1" s="37">
      <c r="A60" s="9">
        <f>IF(B60="","","KK"&amp;TEXT(ROW()-1,"0000"))</f>
        <v/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4.25" customHeight="1" s="37">
      <c r="A61" s="9">
        <f>IF(B62="","","KK"&amp;TEXT(ROW()-1,"0000"))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4.25" customHeight="1" s="37">
      <c r="A62" s="9">
        <f>IF(B63="","","KK"&amp;TEXT(ROW()-1,"0000"))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4.25" customHeight="1" s="37">
      <c r="A63" s="9">
        <f>IF(B64="","","KK"&amp;TEXT(ROW()-1,"0000"))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4.25" customHeight="1" s="37">
      <c r="A64" s="9">
        <f>IF(B65="","","KK"&amp;TEXT(ROW()-1,"0000"))</f>
        <v/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4.25" customHeight="1" s="37">
      <c r="A65" s="9">
        <f>IF(B66="","","KK"&amp;TEXT(ROW()-1,"0000"))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4.25" customHeight="1" s="37">
      <c r="A66" s="9">
        <f>IF(B67="","","KK"&amp;TEXT(ROW()-1,"0000"))</f>
        <v/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4.25" customHeight="1" s="37">
      <c r="A67" s="9">
        <f>IF(B68="","","KK"&amp;TEXT(ROW()-1,"0000"))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4.25" customHeight="1" s="37">
      <c r="A68" s="9">
        <f>IF(B69="","","KK"&amp;TEXT(ROW()-1,"0000"))</f>
        <v/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4.25" customHeight="1" s="37">
      <c r="A69" s="9">
        <f>IF(B70="","","KK"&amp;TEXT(ROW()-1,"0000"))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4.25" customHeight="1" s="37">
      <c r="A70" s="9">
        <f>IF(B71="","","KK"&amp;TEXT(ROW()-1,"0000"))</f>
        <v/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4.25" customHeight="1" s="37">
      <c r="A71" s="9">
        <f>IF(B72="","","KK"&amp;TEXT(ROW()-1,"0000"))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4.25" customHeight="1" s="37">
      <c r="A72" s="9">
        <f>IF(B73="","","KK"&amp;TEXT(ROW()-1,"0000"))</f>
        <v/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4.25" customHeight="1" s="37">
      <c r="A73" s="9">
        <f>IF(B74="","","KK"&amp;TEXT(ROW()-1,"0000"))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4.25" customHeight="1" s="37">
      <c r="A74" s="9">
        <f>IF(B75="","","KK"&amp;TEXT(ROW()-1,"0000"))</f>
        <v/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4.25" customHeight="1" s="37">
      <c r="A75" s="9">
        <f>IF(B76="","","KK"&amp;TEXT(ROW()-1,"0000"))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4.25" customHeight="1" s="37">
      <c r="A76" s="9">
        <f>IF(B77="","","KK"&amp;TEXT(ROW()-1,"0000"))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4.25" customHeight="1" s="37">
      <c r="A77" s="9">
        <f>IF(B78="","","KK"&amp;TEXT(ROW()-1,"0000"))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4.25" customHeight="1" s="37">
      <c r="A78" s="9">
        <f>IF(B79="","","KK"&amp;TEXT(ROW()-1,"0000"))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4.25" customHeight="1" s="37">
      <c r="A79" s="9">
        <f>IF(B80="","","KK"&amp;TEXT(ROW()-1,"0000"))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4.25" customHeight="1" s="37">
      <c r="A80" s="9">
        <f>IF(B81="","","KK"&amp;TEXT(ROW()-1,"0000"))</f>
        <v/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4.25" customHeight="1" s="37">
      <c r="A81" s="9">
        <f>IF(B82="","","KK"&amp;TEXT(ROW()-1,"0000"))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4.25" customHeight="1" s="37">
      <c r="A82" s="9">
        <f>IF(B83="","","KK"&amp;TEXT(ROW()-1,"0000"))</f>
        <v/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4.25" customHeight="1" s="37">
      <c r="A83" s="9">
        <f>IF(B84="","","KK"&amp;TEXT(ROW()-1,"0000"))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4.25" customHeight="1" s="37">
      <c r="A84" s="9">
        <f>IF(B85="","","KK"&amp;TEXT(ROW()-1,"0000"))</f>
        <v/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4.25" customHeight="1" s="37">
      <c r="A85" s="9">
        <f>IF(B86="","","KK"&amp;TEXT(ROW()-1,"0000"))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4.25" customHeight="1" s="37">
      <c r="A86" s="9">
        <f>IF(B87="","","KK"&amp;TEXT(ROW()-1,"0000"))</f>
        <v/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4.25" customHeight="1" s="37">
      <c r="A87" s="9">
        <f>IF(B88="","","KK"&amp;TEXT(ROW()-1,"0000"))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4.25" customHeight="1" s="37">
      <c r="A88" s="9">
        <f>IF(B89="","","KK"&amp;TEXT(ROW()-1,"0000"))</f>
        <v/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4.25" customHeight="1" s="37">
      <c r="A89" s="9">
        <f>IF(B90="","","KK"&amp;TEXT(ROW()-1,"0000"))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4.25" customHeight="1" s="37">
      <c r="A90" s="9">
        <f>IF(B91="","","KK"&amp;TEXT(ROW()-1,"0000"))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4.25" customHeight="1" s="37">
      <c r="A91" s="9">
        <f>IF(B92="","","KK"&amp;TEXT(ROW()-1,"0000"))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4.25" customHeight="1" s="37">
      <c r="A92" s="9">
        <f>IF(B93="","","KK"&amp;TEXT(ROW()-1,"0000"))</f>
        <v/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4.25" customHeight="1" s="37">
      <c r="A93" s="9">
        <f>IF(B94="","","KK"&amp;TEXT(ROW()-1,"0000"))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4.25" customHeight="1" s="37">
      <c r="A94" s="9">
        <f>IF(B95="","","KK"&amp;TEXT(ROW()-1,"0000"))</f>
        <v/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4.25" customHeight="1" s="37">
      <c r="A95" s="9">
        <f>IF(B96="","","KK"&amp;TEXT(ROW()-1,"0000"))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4.25" customHeight="1" s="37">
      <c r="A96" s="9">
        <f>IF(B97="","","KK"&amp;TEXT(ROW()-1,"0000"))</f>
        <v/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4.25" customHeight="1" s="37">
      <c r="A97" s="9">
        <f>IF(B98="","","KK"&amp;TEXT(ROW()-1,"0000"))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4.25" customHeight="1" s="37">
      <c r="A98" s="9">
        <f>IF(B99="","","KK"&amp;TEXT(ROW()-1,"0000"))</f>
        <v/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4.25" customHeight="1" s="37">
      <c r="A99" s="9">
        <f>IF(B100="","","KK"&amp;TEXT(ROW()-1,"0000"))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4.25" customHeight="1" s="37">
      <c r="A100" s="9">
        <f>IF(B101="","","KK"&amp;TEXT(ROW()-1,"0000"))</f>
        <v/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4.25" customHeight="1" s="37">
      <c r="A101" s="9">
        <f>IF(B102="","","KK"&amp;TEXT(ROW()-1,"0000"))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4.25" customHeight="1" s="37">
      <c r="A102" s="9">
        <f>IF(B103="","","KK"&amp;TEXT(ROW()-1,"0000"))</f>
        <v/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4.25" customHeight="1" s="37">
      <c r="A103" s="9">
        <f>IF(B104="","","KK"&amp;TEXT(ROW()-1,"0000"))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4.25" customHeight="1" s="37">
      <c r="A104" s="9">
        <f>IF(B105="","","KK"&amp;TEXT(ROW()-1,"0000"))</f>
        <v/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4.25" customHeight="1" s="37">
      <c r="A105" s="9">
        <f>IF(B106="","","KK"&amp;TEXT(ROW()-1,"0000"))</f>
        <v/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14.25" customHeight="1" s="37">
      <c r="A106" s="9">
        <f>IF(B107="","","KK"&amp;TEXT(ROW()-1,"0000"))</f>
        <v/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4.25" customHeight="1" s="37">
      <c r="A107" s="9">
        <f>IF(B108="","","KK"&amp;TEXT(ROW()-1,"0000"))</f>
        <v/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14.25" customHeight="1" s="37">
      <c r="A108" s="9">
        <f>IF(B109="","","KK"&amp;TEXT(ROW()-1,"0000"))</f>
        <v/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4.25" customHeight="1" s="37">
      <c r="A109" s="9">
        <f>IF(B110="","","KK"&amp;TEXT(ROW()-1,"0000"))</f>
        <v/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14.25" customHeight="1" s="37">
      <c r="A110" s="9">
        <f>IF(B111="","","KK"&amp;TEXT(ROW()-1,"0000"))</f>
        <v/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4.25" customHeight="1" s="37">
      <c r="A111" s="9">
        <f>IF(B112="","","KK"&amp;TEXT(ROW()-1,"0000"))</f>
        <v/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4.25" customHeight="1" s="37">
      <c r="A112" s="9">
        <f>IF(B113="","","KK"&amp;TEXT(ROW()-1,"0000"))</f>
        <v/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4.25" customHeight="1" s="37">
      <c r="A113" s="9">
        <f>IF(B114="","","KK"&amp;TEXT(ROW()-1,"0000"))</f>
        <v/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14.25" customHeight="1" s="37">
      <c r="A114" s="9">
        <f>IF(B115="","","KK"&amp;TEXT(ROW()-1,"0000"))</f>
        <v/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4.25" customHeight="1" s="37">
      <c r="A115" s="9">
        <f>IF(B116="","","KK"&amp;TEXT(ROW()-1,"0000"))</f>
        <v/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14.25" customHeight="1" s="37">
      <c r="A116" s="9">
        <f>IF(B117="","","KK"&amp;TEXT(ROW()-1,"0000"))</f>
        <v/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4.25" customHeight="1" s="37">
      <c r="A117" s="9">
        <f>IF(B118="","","KK"&amp;TEXT(ROW()-1,"0000"))</f>
        <v/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14.25" customHeight="1" s="37">
      <c r="A118" s="9">
        <f>IF(B119="","","KK"&amp;TEXT(ROW()-1,"0000"))</f>
        <v/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4.25" customHeight="1" s="37">
      <c r="A119" s="9">
        <f>IF(B120="","","KK"&amp;TEXT(ROW()-1,"0000"))</f>
        <v/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14.25" customHeight="1" s="37">
      <c r="A120" s="9">
        <f>IF(B121="","","KK"&amp;TEXT(ROW()-1,"0000"))</f>
        <v/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4.25" customHeight="1" s="37">
      <c r="A121" s="9">
        <f>IF(B122="","","KK"&amp;TEXT(ROW()-1,"0000"))</f>
        <v/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14.25" customHeight="1" s="37">
      <c r="A122" s="9">
        <f>IF(B123="","","KK"&amp;TEXT(ROW()-1,"0000"))</f>
        <v/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4.25" customHeight="1" s="37">
      <c r="A123" s="9">
        <f>IF(B124="","","KK"&amp;TEXT(ROW()-1,"0000"))</f>
        <v/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14.25" customHeight="1" s="37">
      <c r="A124" s="9">
        <f>IF(B125="","","KK"&amp;TEXT(ROW()-1,"0000"))</f>
        <v/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4.25" customHeight="1" s="37">
      <c r="A125" s="9">
        <f>IF(B126="","","KK"&amp;TEXT(ROW()-1,"0000"))</f>
        <v/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 ht="14.25" customHeight="1" s="37">
      <c r="A126" s="9">
        <f>IF(B127="","","KK"&amp;TEXT(ROW()-1,"0000"))</f>
        <v/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4.25" customHeight="1" s="37">
      <c r="A127" s="9">
        <f>IF(B128="","","KK"&amp;TEXT(ROW()-1,"0000"))</f>
        <v/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 ht="14.25" customHeight="1" s="37">
      <c r="A128" s="9">
        <f>IF(B129="","","KK"&amp;TEXT(ROW()-1,"0000"))</f>
        <v/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4.25" customHeight="1" s="37">
      <c r="A129" s="9">
        <f>IF(B130="","","KK"&amp;TEXT(ROW()-1,"0000"))</f>
        <v/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 ht="14.25" customHeight="1" s="37">
      <c r="A130" s="9">
        <f>IF(B131="","","KK"&amp;TEXT(ROW()-1,"0000"))</f>
        <v/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4.25" customHeight="1" s="37">
      <c r="A131" s="9">
        <f>IF(B132="","","KK"&amp;TEXT(ROW()-1,"0000"))</f>
        <v/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 ht="14.25" customHeight="1" s="37">
      <c r="A132" s="9">
        <f>IF(B133="","","KK"&amp;TEXT(ROW()-1,"0000"))</f>
        <v/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4.25" customHeight="1" s="37">
      <c r="A133" s="9">
        <f>IF(B134="","","KK"&amp;TEXT(ROW()-1,"0000"))</f>
        <v/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 ht="14.25" customHeight="1" s="37">
      <c r="A134" s="9">
        <f>IF(B135="","","KK"&amp;TEXT(ROW()-1,"0000"))</f>
        <v/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4.25" customHeight="1" s="37">
      <c r="A135" s="9">
        <f>IF(B136="","","KK"&amp;TEXT(ROW()-1,"0000"))</f>
        <v/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 ht="14.25" customHeight="1" s="37">
      <c r="A136" s="9">
        <f>IF(B137="","","KK"&amp;TEXT(ROW()-1,"0000"))</f>
        <v/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4.25" customHeight="1" s="37">
      <c r="A137" s="9">
        <f>IF(B138="","","KK"&amp;TEXT(ROW()-1,"0000"))</f>
        <v/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 ht="14.25" customHeight="1" s="37">
      <c r="A138" s="9">
        <f>IF(B139="","","KK"&amp;TEXT(ROW()-1,"0000"))</f>
        <v/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4.25" customHeight="1" s="37">
      <c r="A139" s="9">
        <f>IF(B140="","","KK"&amp;TEXT(ROW()-1,"0000"))</f>
        <v/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 ht="14.25" customHeight="1" s="37">
      <c r="A140" s="9">
        <f>IF(B141="","","KK"&amp;TEXT(ROW()-1,"0000"))</f>
        <v/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4.25" customHeight="1" s="37">
      <c r="A141" s="9">
        <f>IF(B142="","","KK"&amp;TEXT(ROW()-1,"0000"))</f>
        <v/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 ht="14.25" customHeight="1" s="37">
      <c r="A142" s="9">
        <f>IF(B143="","","KK"&amp;TEXT(ROW()-1,"0000"))</f>
        <v/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4.25" customHeight="1" s="37">
      <c r="A143" s="9">
        <f>IF(B144="","","KK"&amp;TEXT(ROW()-1,"0000"))</f>
        <v/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4.25" customHeight="1" s="37">
      <c r="A144" s="9">
        <f>IF(B145="","","KK"&amp;TEXT(ROW()-1,"0000"))</f>
        <v/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4.25" customHeight="1" s="37">
      <c r="A145" s="9">
        <f>IF(B146="","","KK"&amp;TEXT(ROW()-1,"0000"))</f>
        <v/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 ht="14.25" customHeight="1" s="37">
      <c r="A146" s="9">
        <f>IF(B147="","","KK"&amp;TEXT(ROW()-1,"0000"))</f>
        <v/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4.25" customHeight="1" s="37">
      <c r="A147" s="9">
        <f>IF(B148="","","KK"&amp;TEXT(ROW()-1,"0000"))</f>
        <v/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 ht="14.25" customHeight="1" s="37">
      <c r="A148" s="9">
        <f>IF(B149="","","KK"&amp;TEXT(ROW()-1,"0000"))</f>
        <v/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4.25" customHeight="1" s="37">
      <c r="A149" s="9">
        <f>IF(B150="","","KK"&amp;TEXT(ROW()-1,"0000"))</f>
        <v/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 ht="14.25" customHeight="1" s="37">
      <c r="A150" s="9">
        <f>IF(B151="","","KK"&amp;TEXT(ROW()-1,"0000"))</f>
        <v/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4.25" customHeight="1" s="37">
      <c r="A151" s="9">
        <f>IF(B152="","","KK"&amp;TEXT(ROW()-1,"0000"))</f>
        <v/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 ht="14.25" customHeight="1" s="37">
      <c r="A152" s="9">
        <f>IF(B153="","","KK"&amp;TEXT(ROW()-1,"0000"))</f>
        <v/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4.25" customHeight="1" s="37">
      <c r="A153" s="9">
        <f>IF(B154="","","KK"&amp;TEXT(ROW()-1,"0000"))</f>
        <v/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 ht="14.25" customHeight="1" s="37">
      <c r="A154" s="9">
        <f>IF(B155="","","KK"&amp;TEXT(ROW()-1,"0000"))</f>
        <v/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4.25" customHeight="1" s="37">
      <c r="A155" s="9">
        <f>IF(B156="","","KK"&amp;TEXT(ROW()-1,"0000"))</f>
        <v/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 ht="14.25" customHeight="1" s="37">
      <c r="A156" s="9">
        <f>IF(B157="","","KK"&amp;TEXT(ROW()-1,"0000"))</f>
        <v/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4.25" customHeight="1" s="37">
      <c r="A157" s="9">
        <f>IF(B158="","","KK"&amp;TEXT(ROW()-1,"0000"))</f>
        <v/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 ht="14.25" customHeight="1" s="37">
      <c r="A158" s="9">
        <f>IF(B159="","","KK"&amp;TEXT(ROW()-1,"0000"))</f>
        <v/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4.25" customHeight="1" s="37">
      <c r="A159" s="9">
        <f>IF(B160="","","KK"&amp;TEXT(ROW()-1,"0000"))</f>
        <v/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 ht="14.25" customHeight="1" s="37">
      <c r="A160" s="9">
        <f>IF(B161="","","KK"&amp;TEXT(ROW()-1,"0000"))</f>
        <v/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4.25" customHeight="1" s="37">
      <c r="A161" s="9">
        <f>IF(B162="","","KK"&amp;TEXT(ROW()-1,"0000"))</f>
        <v/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4.25" customHeight="1" s="37">
      <c r="A162" s="9">
        <f>IF(B163="","","KK"&amp;TEXT(ROW()-1,"0000"))</f>
        <v/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4.25" customHeight="1" s="37">
      <c r="A163" s="9">
        <f>IF(B164="","","KK"&amp;TEXT(ROW()-1,"0000"))</f>
        <v/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 ht="14.25" customHeight="1" s="37">
      <c r="A164" s="9">
        <f>IF(B165="","","KK"&amp;TEXT(ROW()-1,"0000"))</f>
        <v/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4.25" customHeight="1" s="37">
      <c r="A165" s="9">
        <f>IF(B166="","","KK"&amp;TEXT(ROW()-1,"0000"))</f>
        <v/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 ht="14.25" customHeight="1" s="37">
      <c r="A166" s="9">
        <f>IF(B167="","","KK"&amp;TEXT(ROW()-1,"0000"))</f>
        <v/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4.25" customHeight="1" s="37">
      <c r="A167" s="9">
        <f>IF(B168="","","KK"&amp;TEXT(ROW()-1,"0000"))</f>
        <v/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 ht="14.25" customHeight="1" s="37">
      <c r="A168" s="9">
        <f>IF(B169="","","KK"&amp;TEXT(ROW()-1,"0000"))</f>
        <v/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4.25" customHeight="1" s="37">
      <c r="A169" s="9">
        <f>IF(B170="","","KK"&amp;TEXT(ROW()-1,"0000"))</f>
        <v/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 ht="14.25" customHeight="1" s="37">
      <c r="A170" s="9">
        <f>IF(B171="","","KK"&amp;TEXT(ROW()-1,"0000"))</f>
        <v/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4.25" customHeight="1" s="37">
      <c r="A171" s="9">
        <f>IF(B172="","","KK"&amp;TEXT(ROW()-1,"0000"))</f>
        <v/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 ht="14.25" customHeight="1" s="37">
      <c r="A172" s="9">
        <f>IF(B173="","","KK"&amp;TEXT(ROW()-1,"0000"))</f>
        <v/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4.25" customHeight="1" s="37">
      <c r="A173" s="9">
        <f>IF(B174="","","KK"&amp;TEXT(ROW()-1,"0000"))</f>
        <v/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 ht="14.25" customHeight="1" s="37">
      <c r="A174" s="9">
        <f>IF(B175="","","KK"&amp;TEXT(ROW()-1,"0000"))</f>
        <v/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4.25" customHeight="1" s="37">
      <c r="A175" s="9">
        <f>IF(B176="","","KK"&amp;TEXT(ROW()-1,"0000"))</f>
        <v/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 ht="14.25" customHeight="1" s="37">
      <c r="A176" s="9">
        <f>IF(B177="","","KK"&amp;TEXT(ROW()-1,"0000"))</f>
        <v/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4.25" customHeight="1" s="37">
      <c r="A177" s="9">
        <f>IF(B178="","","KK"&amp;TEXT(ROW()-1,"0000"))</f>
        <v/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 ht="14.25" customHeight="1" s="37">
      <c r="A178" s="9">
        <f>IF(B179="","","KK"&amp;TEXT(ROW()-1,"0000"))</f>
        <v/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4.25" customHeight="1" s="37">
      <c r="A179" s="9">
        <f>IF(B180="","","KK"&amp;TEXT(ROW()-1,"0000"))</f>
        <v/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 ht="14.25" customHeight="1" s="37">
      <c r="A180" s="9">
        <f>IF(B181="","","KK"&amp;TEXT(ROW()-1,"0000"))</f>
        <v/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4.25" customHeight="1" s="37">
      <c r="A181" s="9">
        <f>IF(B182="","","KK"&amp;TEXT(ROW()-1,"0000"))</f>
        <v/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 ht="14.25" customHeight="1" s="37">
      <c r="A182" s="9">
        <f>IF(B183="","","KK"&amp;TEXT(ROW()-1,"0000"))</f>
        <v/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4.25" customHeight="1" s="37">
      <c r="A183" s="9">
        <f>IF(B184="","","KK"&amp;TEXT(ROW()-1,"0000"))</f>
        <v/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 ht="14.25" customHeight="1" s="37">
      <c r="A184" s="9">
        <f>IF(B185="","","KK"&amp;TEXT(ROW()-1,"0000"))</f>
        <v/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4.25" customHeight="1" s="37">
      <c r="A185" s="9">
        <f>IF(B186="","","KK"&amp;TEXT(ROW()-1,"0000"))</f>
        <v/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 ht="14.25" customHeight="1" s="37">
      <c r="A186" s="9">
        <f>IF(B187="","","KK"&amp;TEXT(ROW()-1,"0000"))</f>
        <v/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4.25" customHeight="1" s="37">
      <c r="A187" s="9">
        <f>IF(B188="","","KK"&amp;TEXT(ROW()-1,"0000"))</f>
        <v/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 ht="14.25" customHeight="1" s="37">
      <c r="A188" s="9">
        <f>IF(B189="","","KK"&amp;TEXT(ROW()-1,"0000"))</f>
        <v/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4.25" customHeight="1" s="37">
      <c r="A189" s="9">
        <f>IF(B190="","","KK"&amp;TEXT(ROW()-1,"0000"))</f>
        <v/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 ht="14.25" customHeight="1" s="37">
      <c r="A190" s="9">
        <f>IF(B191="","","KK"&amp;TEXT(ROW()-1,"0000"))</f>
        <v/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4.25" customHeight="1" s="37">
      <c r="A191" s="9">
        <f>IF(B192="","","KK"&amp;TEXT(ROW()-1,"0000"))</f>
        <v/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 ht="14.25" customHeight="1" s="37">
      <c r="A192" s="9">
        <f>IF(B193="","","KK"&amp;TEXT(ROW()-1,"0000"))</f>
        <v/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4.25" customHeight="1" s="37">
      <c r="A193" s="9">
        <f>IF(B194="","","KK"&amp;TEXT(ROW()-1,"0000"))</f>
        <v/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 ht="14.25" customHeight="1" s="37">
      <c r="A194" s="9">
        <f>IF(B195="","","KK"&amp;TEXT(ROW()-1,"0000"))</f>
        <v/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4.25" customHeight="1" s="37">
      <c r="A195" s="9">
        <f>IF(B196="","","KK"&amp;TEXT(ROW()-1,"0000"))</f>
        <v/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 ht="14.25" customHeight="1" s="37">
      <c r="A196" s="9">
        <f>IF(B197="","","KK"&amp;TEXT(ROW()-1,"0000"))</f>
        <v/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4.25" customHeight="1" s="37">
      <c r="A197" s="9">
        <f>IF(B198="","","KK"&amp;TEXT(ROW()-1,"0000"))</f>
        <v/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 ht="14.25" customHeight="1" s="37">
      <c r="A198" s="9">
        <f>IF(B199="","","KK"&amp;TEXT(ROW()-1,"0000"))</f>
        <v/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4.25" customHeight="1" s="37">
      <c r="A199" s="9">
        <f>IF(B200="","","KK"&amp;TEXT(ROW()-1,"0000"))</f>
        <v/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 ht="14.25" customHeight="1" s="37">
      <c r="A200" s="9">
        <f>IF(B201="","","KK"&amp;TEXT(ROW()-1,"0000"))</f>
        <v/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14.25" customHeight="1" s="37">
      <c r="A201" s="9">
        <f>IF(B202="","","KK"&amp;TEXT(ROW()-1,"0000"))</f>
        <v/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 ht="14.25" customHeight="1" s="37">
      <c r="A202" s="9">
        <f>IF(B203="","","KK"&amp;TEXT(ROW()-1,"0000"))</f>
        <v/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14.25" customHeight="1" s="37">
      <c r="A203" s="9">
        <f>IF(B204="","","KK"&amp;TEXT(ROW()-1,"0000"))</f>
        <v/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 ht="14.25" customHeight="1" s="37">
      <c r="A204" s="9">
        <f>IF(B205="","","KK"&amp;TEXT(ROW()-1,"0000"))</f>
        <v/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14.25" customHeight="1" s="37">
      <c r="A205" s="9">
        <f>IF(B206="","","KK"&amp;TEXT(ROW()-1,"0000"))</f>
        <v/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 ht="14.25" customHeight="1" s="37">
      <c r="A206" s="9">
        <f>IF(B207="","","KK"&amp;TEXT(ROW()-1,"0000"))</f>
        <v/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14.25" customHeight="1" s="37">
      <c r="A207" s="9">
        <f>IF(B208="","","KK"&amp;TEXT(ROW()-1,"0000"))</f>
        <v/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 ht="14.25" customHeight="1" s="37">
      <c r="A208" s="9">
        <f>IF(B209="","","KK"&amp;TEXT(ROW()-1,"0000"))</f>
        <v/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14.25" customHeight="1" s="37">
      <c r="A209" s="9">
        <f>IF(B210="","","KK"&amp;TEXT(ROW()-1,"0000"))</f>
        <v/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 ht="14.25" customHeight="1" s="37">
      <c r="A210" s="9">
        <f>IF(B211="","","KK"&amp;TEXT(ROW()-1,"0000"))</f>
        <v/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14.25" customHeight="1" s="37">
      <c r="A211" s="9">
        <f>IF(B212="","","KK"&amp;TEXT(ROW()-1,"0000"))</f>
        <v/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 ht="14.25" customHeight="1" s="37">
      <c r="A212" s="9">
        <f>IF(B213="","","KK"&amp;TEXT(ROW()-1,"0000"))</f>
        <v/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14.25" customHeight="1" s="37">
      <c r="A213" s="9">
        <f>IF(B214="","","KK"&amp;TEXT(ROW()-1,"0000"))</f>
        <v/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 ht="14.25" customHeight="1" s="37">
      <c r="A214" s="9">
        <f>IF(B215="","","KK"&amp;TEXT(ROW()-1,"0000"))</f>
        <v/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14.25" customHeight="1" s="37">
      <c r="A215" s="9">
        <f>IF(B216="","","KK"&amp;TEXT(ROW()-1,"0000"))</f>
        <v/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 ht="14.25" customHeight="1" s="37">
      <c r="A216" s="9">
        <f>IF(B217="","","KK"&amp;TEXT(ROW()-1,"0000"))</f>
        <v/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14.25" customHeight="1" s="37">
      <c r="A217" s="9">
        <f>IF(B218="","","KK"&amp;TEXT(ROW()-1,"0000"))</f>
        <v/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 ht="14.25" customHeight="1" s="37">
      <c r="A218" s="9">
        <f>IF(B219="","","KK"&amp;TEXT(ROW()-1,"0000"))</f>
        <v/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14.25" customHeight="1" s="37">
      <c r="A219" s="9">
        <f>IF(B220="","","KK"&amp;TEXT(ROW()-1,"0000"))</f>
        <v/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 ht="14.25" customHeight="1" s="37">
      <c r="A220" s="9">
        <f>IF(B221="","","KK"&amp;TEXT(ROW()-1,"0000"))</f>
        <v/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14.25" customHeight="1" s="37">
      <c r="A221" s="9">
        <f>IF(B222="","","KK"&amp;TEXT(ROW()-1,"0000"))</f>
        <v/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 ht="14.25" customHeight="1" s="37">
      <c r="A222" s="9">
        <f>IF(B223="","","KK"&amp;TEXT(ROW()-1,"0000"))</f>
        <v/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14.25" customHeight="1" s="37">
      <c r="A223" s="9">
        <f>IF(B224="","","KK"&amp;TEXT(ROW()-1,"0000"))</f>
        <v/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 ht="14.25" customHeight="1" s="37">
      <c r="A224" s="9">
        <f>IF(B225="","","KK"&amp;TEXT(ROW()-1,"0000"))</f>
        <v/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14.25" customHeight="1" s="37">
      <c r="A225" s="9">
        <f>IF(B226="","","KK"&amp;TEXT(ROW()-1,"0000"))</f>
        <v/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 ht="14.25" customHeight="1" s="37">
      <c r="A226" s="9">
        <f>IF(B227="","","KK"&amp;TEXT(ROW()-1,"0000"))</f>
        <v/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14.25" customHeight="1" s="37">
      <c r="A227" s="9">
        <f>IF(B228="","","KK"&amp;TEXT(ROW()-1,"0000"))</f>
        <v/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 ht="14.25" customHeight="1" s="37">
      <c r="A228" s="9">
        <f>IF(B229="","","KK"&amp;TEXT(ROW()-1,"0000"))</f>
        <v/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14.25" customHeight="1" s="37">
      <c r="A229" s="9">
        <f>IF(B230="","","KK"&amp;TEXT(ROW()-1,"0000"))</f>
        <v/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 ht="14.25" customHeight="1" s="37">
      <c r="A230" s="9">
        <f>IF(B231="","","KK"&amp;TEXT(ROW()-1,"0000"))</f>
        <v/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14.25" customHeight="1" s="37">
      <c r="A231" s="9">
        <f>IF(B232="","","KK"&amp;TEXT(ROW()-1,"0000"))</f>
        <v/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 ht="14.25" customHeight="1" s="37">
      <c r="A232" s="9">
        <f>IF(B233="","","KK"&amp;TEXT(ROW()-1,"0000"))</f>
        <v/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14.25" customHeight="1" s="37">
      <c r="A233" s="9">
        <f>IF(B234="","","KK"&amp;TEXT(ROW()-1,"0000"))</f>
        <v/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 ht="14.25" customHeight="1" s="37">
      <c r="A234" s="9">
        <f>IF(B235="","","KK"&amp;TEXT(ROW()-1,"0000"))</f>
        <v/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14.25" customHeight="1" s="37">
      <c r="A235" s="9">
        <f>IF(B236="","","KK"&amp;TEXT(ROW()-1,"0000"))</f>
        <v/>
      </c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 ht="14.25" customHeight="1" s="37">
      <c r="A236" s="9">
        <f>IF(B237="","","KK"&amp;TEXT(ROW()-1,"0000"))</f>
        <v/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14.25" customHeight="1" s="37">
      <c r="A237" s="9">
        <f>IF(B238="","","KK"&amp;TEXT(ROW()-1,"0000"))</f>
        <v/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 ht="14.25" customHeight="1" s="37">
      <c r="A238" s="9">
        <f>IF(B239="","","KK"&amp;TEXT(ROW()-1,"0000"))</f>
        <v/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14.25" customHeight="1" s="37">
      <c r="A239" s="9">
        <f>IF(B240="","","KK"&amp;TEXT(ROW()-1,"0000"))</f>
        <v/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 ht="14.25" customHeight="1" s="37">
      <c r="A240" s="9">
        <f>IF(B241="","","KK"&amp;TEXT(ROW()-1,"0000"))</f>
        <v/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14.25" customHeight="1" s="37">
      <c r="A241" s="9">
        <f>IF(B242="","","KK"&amp;TEXT(ROW()-1,"0000"))</f>
        <v/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 ht="14.25" customHeight="1" s="37">
      <c r="A242" s="9">
        <f>IF(B243="","","KK"&amp;TEXT(ROW()-1,"0000"))</f>
        <v/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14.25" customHeight="1" s="37">
      <c r="A243" s="9">
        <f>IF(B244="","","KK"&amp;TEXT(ROW()-1,"0000"))</f>
        <v/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 ht="14.25" customHeight="1" s="37">
      <c r="A244" s="9">
        <f>IF(B245="","","KK"&amp;TEXT(ROW()-1,"0000"))</f>
        <v/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14.25" customHeight="1" s="37">
      <c r="A245" s="9">
        <f>IF(B246="","","KK"&amp;TEXT(ROW()-1,"0000"))</f>
        <v/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 ht="14.25" customHeight="1" s="37">
      <c r="A246" s="9">
        <f>IF(B247="","","KK"&amp;TEXT(ROW()-1,"0000"))</f>
        <v/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14.25" customHeight="1" s="37">
      <c r="A247" s="9">
        <f>IF(B248="","","KK"&amp;TEXT(ROW()-1,"0000"))</f>
        <v/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 ht="14.25" customHeight="1" s="37">
      <c r="A248" s="9">
        <f>IF(B249="","","KK"&amp;TEXT(ROW()-1,"0000"))</f>
        <v/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14.25" customHeight="1" s="37">
      <c r="A249" s="9">
        <f>IF(B250="","","KK"&amp;TEXT(ROW()-1,"0000"))</f>
        <v/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 ht="14.25" customHeight="1" s="37">
      <c r="A250" s="9">
        <f>IF(B251="","","KK"&amp;TEXT(ROW()-1,"0000"))</f>
        <v/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4.25" customHeight="1" s="37">
      <c r="A251" s="9">
        <f>IF(B252="","","KK"&amp;TEXT(ROW()-1,"0000"))</f>
        <v/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4.25" customHeight="1" s="37">
      <c r="A252" s="9">
        <f>IF(B253="","","KK"&amp;TEXT(ROW()-1,"0000"))</f>
        <v/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4.25" customHeight="1" s="37">
      <c r="A253" s="9">
        <f>IF(B254="","","KK"&amp;TEXT(ROW()-1,"0000"))</f>
        <v/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4.25" customHeight="1" s="37">
      <c r="A254" s="9">
        <f>IF(B255="","","KK"&amp;TEXT(ROW()-1,"0000"))</f>
        <v/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4.25" customHeight="1" s="37">
      <c r="A255" s="9">
        <f>IF(B256="","","KK"&amp;TEXT(ROW()-1,"0000"))</f>
        <v/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4.25" customHeight="1" s="37">
      <c r="A256" s="9">
        <f>IF(B257="","","KK"&amp;TEXT(ROW()-1,"0000"))</f>
        <v/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4.25" customHeight="1" s="37">
      <c r="A257" s="9">
        <f>IF(B258="","","KK"&amp;TEXT(ROW()-1,"0000"))</f>
        <v/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4.25" customHeight="1" s="37">
      <c r="A258" s="9">
        <f>IF(B259="","","KK"&amp;TEXT(ROW()-1,"0000"))</f>
        <v/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4.25" customHeight="1" s="37">
      <c r="A259" s="9">
        <f>IF(B260="","","KK"&amp;TEXT(ROW()-1,"0000"))</f>
        <v/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4.25" customHeight="1" s="37">
      <c r="A260" s="9">
        <f>IF(B261="","","KK"&amp;TEXT(ROW()-1,"0000"))</f>
        <v/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4.25" customHeight="1" s="37">
      <c r="A261" s="9">
        <f>IF(B262="","","KK"&amp;TEXT(ROW()-1,"0000"))</f>
        <v/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4.25" customHeight="1" s="37">
      <c r="A262" s="9">
        <f>IF(B263="","","KK"&amp;TEXT(ROW()-1,"0000"))</f>
        <v/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4.25" customHeight="1" s="37">
      <c r="A263" s="9">
        <f>IF(B264="","","KK"&amp;TEXT(ROW()-1,"0000"))</f>
        <v/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4.25" customHeight="1" s="37">
      <c r="A264" s="9">
        <f>IF(B265="","","KK"&amp;TEXT(ROW()-1,"0000"))</f>
        <v/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4.25" customHeight="1" s="37">
      <c r="A265" s="9">
        <f>IF(B266="","","KK"&amp;TEXT(ROW()-1,"0000"))</f>
        <v/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4.25" customHeight="1" s="37">
      <c r="A266" s="9">
        <f>IF(B267="","","KK"&amp;TEXT(ROW()-1,"0000"))</f>
        <v/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4.25" customHeight="1" s="37">
      <c r="A267" s="9">
        <f>IF(B268="","","KK"&amp;TEXT(ROW()-1,"0000"))</f>
        <v/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4.25" customHeight="1" s="37">
      <c r="A268" s="9">
        <f>IF(B269="","","KK"&amp;TEXT(ROW()-1,"0000"))</f>
        <v/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4.25" customHeight="1" s="37">
      <c r="A269" s="9">
        <f>IF(B270="","","KK"&amp;TEXT(ROW()-1,"0000"))</f>
        <v/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4.25" customHeight="1" s="37">
      <c r="A270" s="9">
        <f>IF(B271="","","KK"&amp;TEXT(ROW()-1,"0000"))</f>
        <v/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4.25" customHeight="1" s="37">
      <c r="A271" s="9">
        <f>IF(B272="","","KK"&amp;TEXT(ROW()-1,"0000"))</f>
        <v/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4.25" customHeight="1" s="37">
      <c r="A272" s="9">
        <f>IF(B273="","","KK"&amp;TEXT(ROW()-1,"0000"))</f>
        <v/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4.25" customHeight="1" s="37">
      <c r="A273" s="9">
        <f>IF(B274="","","KK"&amp;TEXT(ROW()-1,"0000"))</f>
        <v/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4.25" customHeight="1" s="37">
      <c r="A274" s="9">
        <f>IF(B275="","","KK"&amp;TEXT(ROW()-1,"0000"))</f>
        <v/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4.25" customHeight="1" s="37">
      <c r="A275" s="9">
        <f>IF(B276="","","KK"&amp;TEXT(ROW()-1,"0000"))</f>
        <v/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4.25" customHeight="1" s="37">
      <c r="A276" s="9">
        <f>IF(B277="","","KK"&amp;TEXT(ROW()-1,"0000"))</f>
        <v/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4.25" customHeight="1" s="37">
      <c r="A277" s="9">
        <f>IF(B278="","","KK"&amp;TEXT(ROW()-1,"0000"))</f>
        <v/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4.25" customHeight="1" s="37">
      <c r="A278" s="9">
        <f>IF(B279="","","KK"&amp;TEXT(ROW()-1,"0000"))</f>
        <v/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4.25" customHeight="1" s="37">
      <c r="A279" s="9">
        <f>IF(B280="","","KK"&amp;TEXT(ROW()-1,"0000"))</f>
        <v/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4.25" customHeight="1" s="37">
      <c r="A280" s="9">
        <f>IF(B281="","","KK"&amp;TEXT(ROW()-1,"0000"))</f>
        <v/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4.25" customHeight="1" s="37">
      <c r="A281" s="9">
        <f>IF(B282="","","KK"&amp;TEXT(ROW()-1,"0000"))</f>
        <v/>
      </c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4.25" customHeight="1" s="37">
      <c r="A282" s="9">
        <f>IF(B283="","","KK"&amp;TEXT(ROW()-1,"0000"))</f>
        <v/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4.25" customHeight="1" s="37">
      <c r="A283" s="9">
        <f>IF(B284="","","KK"&amp;TEXT(ROW()-1,"0000"))</f>
        <v/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4.25" customHeight="1" s="37">
      <c r="A284" s="9">
        <f>IF(B285="","","KK"&amp;TEXT(ROW()-1,"0000"))</f>
        <v/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4.25" customHeight="1" s="37">
      <c r="A285" s="9">
        <f>IF(B286="","","KK"&amp;TEXT(ROW()-1,"0000"))</f>
        <v/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4.25" customHeight="1" s="37">
      <c r="A286" s="9">
        <f>IF(B287="","","KK"&amp;TEXT(ROW()-1,"0000"))</f>
        <v/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4.25" customHeight="1" s="37">
      <c r="A287" s="9">
        <f>IF(B288="","","KK"&amp;TEXT(ROW()-1,"0000"))</f>
        <v/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4.25" customHeight="1" s="37">
      <c r="A288" s="9">
        <f>IF(B289="","","KK"&amp;TEXT(ROW()-1,"0000"))</f>
        <v/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4.25" customHeight="1" s="37">
      <c r="A289" s="9">
        <f>IF(B290="","","KK"&amp;TEXT(ROW()-1,"0000"))</f>
        <v/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4.25" customHeight="1" s="37">
      <c r="A290" s="9">
        <f>IF(B291="","","KK"&amp;TEXT(ROW()-1,"0000"))</f>
        <v/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4.25" customHeight="1" s="37">
      <c r="A291" s="9">
        <f>IF(B292="","","KK"&amp;TEXT(ROW()-1,"0000"))</f>
        <v/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4.25" customHeight="1" s="37">
      <c r="A292" s="9">
        <f>IF(B293="","","KK"&amp;TEXT(ROW()-1,"0000"))</f>
        <v/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4.25" customHeight="1" s="37">
      <c r="A293" s="9">
        <f>IF(B294="","","KK"&amp;TEXT(ROW()-1,"0000"))</f>
        <v/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4.25" customHeight="1" s="37">
      <c r="A294" s="9">
        <f>IF(B295="","","KK"&amp;TEXT(ROW()-1,"0000"))</f>
        <v/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4.25" customHeight="1" s="37">
      <c r="A295" s="9">
        <f>IF(B296="","","KK"&amp;TEXT(ROW()-1,"0000"))</f>
        <v/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4.25" customHeight="1" s="37">
      <c r="A296" s="9">
        <f>IF(B297="","","KK"&amp;TEXT(ROW()-1,"0000"))</f>
        <v/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4.25" customHeight="1" s="37">
      <c r="A297" s="9">
        <f>IF(B298="","","KK"&amp;TEXT(ROW()-1,"0000"))</f>
        <v/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4.25" customHeight="1" s="37">
      <c r="A298" s="9">
        <f>IF(B299="","","KK"&amp;TEXT(ROW()-1,"0000"))</f>
        <v/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4.25" customHeight="1" s="37">
      <c r="A299" s="9">
        <f>IF(B300="","","KK"&amp;TEXT(ROW()-1,"0000"))</f>
        <v/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4.25" customHeight="1" s="37">
      <c r="A300" s="9">
        <f>IF(B301="","","KK"&amp;TEXT(ROW()-1,"0000"))</f>
        <v/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4.25" customHeight="1" s="37">
      <c r="A301" s="9">
        <f>IF(B302="","","KK"&amp;TEXT(ROW()-1,"0000"))</f>
        <v/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4.25" customHeight="1" s="37">
      <c r="A302" s="9">
        <f>IF(B303="","","KK"&amp;TEXT(ROW()-1,"0000"))</f>
        <v/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4.25" customHeight="1" s="37">
      <c r="A303" s="9">
        <f>IF(B304="","","KK"&amp;TEXT(ROW()-1,"0000"))</f>
        <v/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4.25" customHeight="1" s="37">
      <c r="A304" s="9">
        <f>IF(B305="","","KK"&amp;TEXT(ROW()-1,"0000"))</f>
        <v/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4.25" customHeight="1" s="37">
      <c r="A305" s="9">
        <f>IF(B306="","","KK"&amp;TEXT(ROW()-1,"0000"))</f>
        <v/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4.25" customHeight="1" s="37">
      <c r="A306" s="9">
        <f>IF(B307="","","KK"&amp;TEXT(ROW()-1,"0000"))</f>
        <v/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4.25" customHeight="1" s="37">
      <c r="A307" s="9">
        <f>IF(B308="","","KK"&amp;TEXT(ROW()-1,"0000"))</f>
        <v/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4.25" customHeight="1" s="37">
      <c r="A308" s="9">
        <f>IF(B309="","","KK"&amp;TEXT(ROW()-1,"0000"))</f>
        <v/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4.25" customHeight="1" s="37">
      <c r="A309" s="9">
        <f>IF(B310="","","KK"&amp;TEXT(ROW()-1,"0000"))</f>
        <v/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4.25" customHeight="1" s="37">
      <c r="A310" s="9">
        <f>IF(B311="","","KK"&amp;TEXT(ROW()-1,"0000"))</f>
        <v/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4.25" customHeight="1" s="37">
      <c r="A311" s="9">
        <f>IF(B312="","","KK"&amp;TEXT(ROW()-1,"0000"))</f>
        <v/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4.25" customHeight="1" s="37">
      <c r="A312" s="9">
        <f>IF(B313="","","KK"&amp;TEXT(ROW()-1,"0000"))</f>
        <v/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4.25" customHeight="1" s="37">
      <c r="A313" s="9">
        <f>IF(B314="","","KK"&amp;TEXT(ROW()-1,"0000"))</f>
        <v/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4.25" customHeight="1" s="37">
      <c r="A314" s="9">
        <f>IF(B315="","","KK"&amp;TEXT(ROW()-1,"0000"))</f>
        <v/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4.25" customHeight="1" s="37">
      <c r="A315" s="9">
        <f>IF(B316="","","KK"&amp;TEXT(ROW()-1,"0000"))</f>
        <v/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4.25" customHeight="1" s="37">
      <c r="A316" s="9">
        <f>IF(B317="","","KK"&amp;TEXT(ROW()-1,"0000"))</f>
        <v/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4.25" customHeight="1" s="37">
      <c r="A317" s="9">
        <f>IF(B318="","","KK"&amp;TEXT(ROW()-1,"0000"))</f>
        <v/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4.25" customHeight="1" s="37">
      <c r="A318" s="9">
        <f>IF(B319="","","KK"&amp;TEXT(ROW()-1,"0000"))</f>
        <v/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4.25" customHeight="1" s="37">
      <c r="A319" s="9">
        <f>IF(B320="","","KK"&amp;TEXT(ROW()-1,"0000"))</f>
        <v/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4.25" customHeight="1" s="37">
      <c r="A320" s="9">
        <f>IF(B321="","","KK"&amp;TEXT(ROW()-1,"0000"))</f>
        <v/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4.25" customHeight="1" s="37">
      <c r="A321" s="9">
        <f>IF(B322="","","KK"&amp;TEXT(ROW()-1,"0000"))</f>
        <v/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4.25" customHeight="1" s="37">
      <c r="A322" s="9">
        <f>IF(B323="","","KK"&amp;TEXT(ROW()-1,"0000"))</f>
        <v/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4.25" customHeight="1" s="37">
      <c r="A323" s="9">
        <f>IF(B324="","","KK"&amp;TEXT(ROW()-1,"0000"))</f>
        <v/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4.25" customHeight="1" s="37">
      <c r="A324" s="9">
        <f>IF(B325="","","KK"&amp;TEXT(ROW()-1,"0000"))</f>
        <v/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4.25" customHeight="1" s="37">
      <c r="A325" s="9">
        <f>IF(B326="","","KK"&amp;TEXT(ROW()-1,"0000"))</f>
        <v/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4.25" customHeight="1" s="37">
      <c r="A326" s="9">
        <f>IF(B327="","","KK"&amp;TEXT(ROW()-1,"0000"))</f>
        <v/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4.25" customHeight="1" s="37">
      <c r="A327" s="9">
        <f>IF(B328="","","KK"&amp;TEXT(ROW()-1,"0000"))</f>
        <v/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4.25" customHeight="1" s="37">
      <c r="A328" s="9">
        <f>IF(B329="","","KK"&amp;TEXT(ROW()-1,"0000"))</f>
        <v/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4.25" customHeight="1" s="37">
      <c r="A329" s="9">
        <f>IF(B330="","","KK"&amp;TEXT(ROW()-1,"0000"))</f>
        <v/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4.25" customHeight="1" s="37">
      <c r="A330" s="9">
        <f>IF(B331="","","KK"&amp;TEXT(ROW()-1,"0000"))</f>
        <v/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4.25" customHeight="1" s="37">
      <c r="A331" s="9">
        <f>IF(B332="","","KK"&amp;TEXT(ROW()-1,"0000"))</f>
        <v/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4.25" customHeight="1" s="37">
      <c r="A332" s="9">
        <f>IF(B333="","","KK"&amp;TEXT(ROW()-1,"0000"))</f>
        <v/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4.25" customHeight="1" s="37">
      <c r="A333" s="9">
        <f>IF(B334="","","KK"&amp;TEXT(ROW()-1,"0000"))</f>
        <v/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4.25" customHeight="1" s="37">
      <c r="A334" s="9">
        <f>IF(B335="","","KK"&amp;TEXT(ROW()-1,"0000"))</f>
        <v/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4.25" customHeight="1" s="37">
      <c r="A335" s="9">
        <f>IF(B336="","","KK"&amp;TEXT(ROW()-1,"0000"))</f>
        <v/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4.25" customHeight="1" s="37">
      <c r="A336" s="9">
        <f>IF(B337="","","KK"&amp;TEXT(ROW()-1,"0000"))</f>
        <v/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4.25" customHeight="1" s="37">
      <c r="A337" s="9">
        <f>IF(B338="","","KK"&amp;TEXT(ROW()-1,"0000"))</f>
        <v/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4.25" customHeight="1" s="37">
      <c r="A338" s="9">
        <f>IF(B339="","","KK"&amp;TEXT(ROW()-1,"0000"))</f>
        <v/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4.25" customHeight="1" s="37">
      <c r="A339" s="9">
        <f>IF(B340="","","KK"&amp;TEXT(ROW()-1,"0000"))</f>
        <v/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4.25" customHeight="1" s="37">
      <c r="A340" s="9">
        <f>IF(B341="","","KK"&amp;TEXT(ROW()-1,"0000"))</f>
        <v/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4.25" customHeight="1" s="37">
      <c r="A341" s="9">
        <f>IF(B342="","","KK"&amp;TEXT(ROW()-1,"0000"))</f>
        <v/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4.25" customHeight="1" s="37">
      <c r="A342" s="9">
        <f>IF(B343="","","KK"&amp;TEXT(ROW()-1,"0000"))</f>
        <v/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4.25" customHeight="1" s="37">
      <c r="A343" s="9">
        <f>IF(B344="","","KK"&amp;TEXT(ROW()-1,"0000"))</f>
        <v/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4.25" customHeight="1" s="37">
      <c r="A344" s="9">
        <f>IF(B345="","","KK"&amp;TEXT(ROW()-1,"0000"))</f>
        <v/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4.25" customHeight="1" s="37">
      <c r="A345" s="9">
        <f>IF(B346="","","KK"&amp;TEXT(ROW()-1,"0000"))</f>
        <v/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4.25" customHeight="1" s="37">
      <c r="A346" s="9">
        <f>IF(B347="","","KK"&amp;TEXT(ROW()-1,"0000"))</f>
        <v/>
      </c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4.25" customHeight="1" s="37">
      <c r="A347" s="9">
        <f>IF(B348="","","KK"&amp;TEXT(ROW()-1,"0000"))</f>
        <v/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4.25" customHeight="1" s="37">
      <c r="A348" s="9">
        <f>IF(B349="","","KK"&amp;TEXT(ROW()-1,"0000"))</f>
        <v/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4.25" customHeight="1" s="37">
      <c r="A349" s="9">
        <f>IF(B350="","","KK"&amp;TEXT(ROW()-1,"0000"))</f>
        <v/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4.25" customHeight="1" s="37">
      <c r="A350" s="9">
        <f>IF(B351="","","KK"&amp;TEXT(ROW()-1,"0000"))</f>
        <v/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4.25" customHeight="1" s="37">
      <c r="A351" s="9">
        <f>IF(B352="","","KK"&amp;TEXT(ROW()-1,"0000"))</f>
        <v/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4.25" customHeight="1" s="37">
      <c r="A352" s="9">
        <f>IF(B353="","","KK"&amp;TEXT(ROW()-1,"0000"))</f>
        <v/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4.25" customHeight="1" s="37">
      <c r="A353" s="9">
        <f>IF(B354="","","KK"&amp;TEXT(ROW()-1,"0000"))</f>
        <v/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4.25" customHeight="1" s="37">
      <c r="A354" s="9">
        <f>IF(B355="","","KK"&amp;TEXT(ROW()-1,"0000"))</f>
        <v/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4.25" customHeight="1" s="37">
      <c r="A355" s="9">
        <f>IF(B356="","","KK"&amp;TEXT(ROW()-1,"0000"))</f>
        <v/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4.25" customHeight="1" s="37">
      <c r="A356" s="9">
        <f>IF(B357="","","KK"&amp;TEXT(ROW()-1,"0000"))</f>
        <v/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4.25" customHeight="1" s="37">
      <c r="A357" s="9">
        <f>IF(B358="","","KK"&amp;TEXT(ROW()-1,"0000"))</f>
        <v/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4.25" customHeight="1" s="37">
      <c r="A358" s="9">
        <f>IF(B359="","","KK"&amp;TEXT(ROW()-1,"0000"))</f>
        <v/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4.25" customHeight="1" s="37">
      <c r="A359" s="9">
        <f>IF(B360="","","KK"&amp;TEXT(ROW()-1,"0000"))</f>
        <v/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4.25" customHeight="1" s="37">
      <c r="A360" s="9">
        <f>IF(B361="","","KK"&amp;TEXT(ROW()-1,"0000"))</f>
        <v/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4.25" customHeight="1" s="37">
      <c r="A361" s="9">
        <f>IF(B362="","","KK"&amp;TEXT(ROW()-1,"0000"))</f>
        <v/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4.25" customHeight="1" s="37">
      <c r="A362" s="9">
        <f>IF(B363="","","KK"&amp;TEXT(ROW()-1,"0000"))</f>
        <v/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4.25" customHeight="1" s="37">
      <c r="A363" s="9">
        <f>IF(B364="","","KK"&amp;TEXT(ROW()-1,"0000"))</f>
        <v/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4.25" customHeight="1" s="37">
      <c r="A364" s="9">
        <f>IF(B365="","","KK"&amp;TEXT(ROW()-1,"0000"))</f>
        <v/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4.25" customHeight="1" s="37">
      <c r="A365" s="9">
        <f>IF(B366="","","KK"&amp;TEXT(ROW()-1,"0000"))</f>
        <v/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4.25" customHeight="1" s="37">
      <c r="A366" s="9">
        <f>IF(B367="","","KK"&amp;TEXT(ROW()-1,"0000"))</f>
        <v/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4.25" customHeight="1" s="37">
      <c r="A367" s="9">
        <f>IF(B368="","","KK"&amp;TEXT(ROW()-1,"0000"))</f>
        <v/>
      </c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4.25" customHeight="1" s="37">
      <c r="A368" s="9">
        <f>IF(B369="","","KK"&amp;TEXT(ROW()-1,"0000"))</f>
        <v/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4.25" customHeight="1" s="37">
      <c r="A369" s="9">
        <f>IF(B370="","","KK"&amp;TEXT(ROW()-1,"0000"))</f>
        <v/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4.25" customHeight="1" s="37">
      <c r="A370" s="9">
        <f>IF(B371="","","KK"&amp;TEXT(ROW()-1,"0000"))</f>
        <v/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4.25" customHeight="1" s="37">
      <c r="A371" s="9">
        <f>IF(B372="","","KK"&amp;TEXT(ROW()-1,"0000"))</f>
        <v/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4.25" customHeight="1" s="37">
      <c r="A372" s="9">
        <f>IF(B373="","","KK"&amp;TEXT(ROW()-1,"0000"))</f>
        <v/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4.25" customHeight="1" s="37">
      <c r="A373" s="9">
        <f>IF(B374="","","KK"&amp;TEXT(ROW()-1,"0000"))</f>
        <v/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4.25" customHeight="1" s="37">
      <c r="A374" s="9">
        <f>IF(B375="","","KK"&amp;TEXT(ROW()-1,"0000"))</f>
        <v/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4.25" customHeight="1" s="37">
      <c r="A375" s="9">
        <f>IF(B376="","","KK"&amp;TEXT(ROW()-1,"0000"))</f>
        <v/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4.25" customHeight="1" s="37">
      <c r="A376" s="9">
        <f>IF(B377="","","KK"&amp;TEXT(ROW()-1,"0000"))</f>
        <v/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4.25" customHeight="1" s="37">
      <c r="A377" s="9">
        <f>IF(B378="","","KK"&amp;TEXT(ROW()-1,"0000"))</f>
        <v/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4.25" customHeight="1" s="37">
      <c r="A378" s="9">
        <f>IF(B379="","","KK"&amp;TEXT(ROW()-1,"0000"))</f>
        <v/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4.25" customHeight="1" s="37">
      <c r="A379" s="9">
        <f>IF(B380="","","KK"&amp;TEXT(ROW()-1,"0000"))</f>
        <v/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4.25" customHeight="1" s="37">
      <c r="A380" s="9">
        <f>IF(B381="","","KK"&amp;TEXT(ROW()-1,"0000"))</f>
        <v/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4.25" customHeight="1" s="37">
      <c r="A381" s="9">
        <f>IF(B382="","","KK"&amp;TEXT(ROW()-1,"0000"))</f>
        <v/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4.25" customHeight="1" s="37">
      <c r="A382" s="9">
        <f>IF(B383="","","KK"&amp;TEXT(ROW()-1,"0000"))</f>
        <v/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4.25" customHeight="1" s="37">
      <c r="A383" s="9">
        <f>IF(B384="","","KK"&amp;TEXT(ROW()-1,"0000"))</f>
        <v/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4.25" customHeight="1" s="37">
      <c r="A384" s="9">
        <f>IF(B385="","","KK"&amp;TEXT(ROW()-1,"0000"))</f>
        <v/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4.25" customHeight="1" s="37">
      <c r="A385" s="9">
        <f>IF(B386="","","KK"&amp;TEXT(ROW()-1,"0000"))</f>
        <v/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4.25" customHeight="1" s="37">
      <c r="A386" s="9">
        <f>IF(B387="","","KK"&amp;TEXT(ROW()-1,"0000"))</f>
        <v/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4.25" customHeight="1" s="37">
      <c r="A387" s="9">
        <f>IF(B388="","","KK"&amp;TEXT(ROW()-1,"0000"))</f>
        <v/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4.25" customHeight="1" s="37">
      <c r="A388" s="9">
        <f>IF(B389="","","KK"&amp;TEXT(ROW()-1,"0000"))</f>
        <v/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4.25" customHeight="1" s="37">
      <c r="A389" s="9">
        <f>IF(B390="","","KK"&amp;TEXT(ROW()-1,"0000"))</f>
        <v/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4.25" customHeight="1" s="37">
      <c r="A390" s="9">
        <f>IF(B391="","","KK"&amp;TEXT(ROW()-1,"0000"))</f>
        <v/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4.25" customHeight="1" s="37">
      <c r="A391" s="9">
        <f>IF(B392="","","KK"&amp;TEXT(ROW()-1,"0000"))</f>
        <v/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4.25" customHeight="1" s="37">
      <c r="A392" s="9">
        <f>IF(B393="","","KK"&amp;TEXT(ROW()-1,"0000"))</f>
        <v/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4.25" customHeight="1" s="37">
      <c r="A393" s="9">
        <f>IF(B394="","","KK"&amp;TEXT(ROW()-1,"0000"))</f>
        <v/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4.25" customHeight="1" s="37">
      <c r="A394" s="9">
        <f>IF(B395="","","KK"&amp;TEXT(ROW()-1,"0000"))</f>
        <v/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4.25" customHeight="1" s="37">
      <c r="A395" s="9">
        <f>IF(B396="","","KK"&amp;TEXT(ROW()-1,"0000"))</f>
        <v/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4.25" customHeight="1" s="37">
      <c r="A396" s="9">
        <f>IF(B397="","","KK"&amp;TEXT(ROW()-1,"0000"))</f>
        <v/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4.25" customHeight="1" s="37">
      <c r="A397" s="9">
        <f>IF(B398="","","KK"&amp;TEXT(ROW()-1,"0000"))</f>
        <v/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4.25" customHeight="1" s="37">
      <c r="A398" s="9">
        <f>IF(B399="","","KK"&amp;TEXT(ROW()-1,"0000"))</f>
        <v/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4.25" customHeight="1" s="37">
      <c r="A399" s="9">
        <f>IF(B400="","","KK"&amp;TEXT(ROW()-1,"0000"))</f>
        <v/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4.25" customHeight="1" s="37">
      <c r="A400" s="9">
        <f>IF(B401="","","KK"&amp;TEXT(ROW()-1,"0000"))</f>
        <v/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4.25" customHeight="1" s="37">
      <c r="A401" s="9">
        <f>IF(B402="","","KK"&amp;TEXT(ROW()-1,"0000"))</f>
        <v/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4.25" customHeight="1" s="37">
      <c r="A402" s="9">
        <f>IF(B403="","","KK"&amp;TEXT(ROW()-1,"0000"))</f>
        <v/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4.25" customHeight="1" s="37">
      <c r="A403" s="9">
        <f>IF(B404="","","KK"&amp;TEXT(ROW()-1,"0000"))</f>
        <v/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4.25" customHeight="1" s="37">
      <c r="A404" s="9">
        <f>IF(B405="","","KK"&amp;TEXT(ROW()-1,"0000"))</f>
        <v/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4.25" customHeight="1" s="37">
      <c r="A405" s="9">
        <f>IF(B406="","","KK"&amp;TEXT(ROW()-1,"0000"))</f>
        <v/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4.25" customHeight="1" s="37">
      <c r="A406" s="9">
        <f>IF(B407="","","KK"&amp;TEXT(ROW()-1,"0000"))</f>
        <v/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4.25" customHeight="1" s="37">
      <c r="A407" s="9">
        <f>IF(B408="","","KK"&amp;TEXT(ROW()-1,"0000"))</f>
        <v/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4.25" customHeight="1" s="37">
      <c r="A408" s="9">
        <f>IF(B409="","","KK"&amp;TEXT(ROW()-1,"0000"))</f>
        <v/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4.25" customHeight="1" s="37">
      <c r="A409" s="9">
        <f>IF(B410="","","KK"&amp;TEXT(ROW()-1,"0000"))</f>
        <v/>
      </c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4.25" customHeight="1" s="37">
      <c r="A410" s="9">
        <f>IF(B411="","","KK"&amp;TEXT(ROW()-1,"0000"))</f>
        <v/>
      </c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4.25" customHeight="1" s="37">
      <c r="A411" s="9">
        <f>IF(B412="","","KK"&amp;TEXT(ROW()-1,"0000"))</f>
        <v/>
      </c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4.25" customHeight="1" s="37">
      <c r="A412" s="9">
        <f>IF(B413="","","KK"&amp;TEXT(ROW()-1,"0000"))</f>
        <v/>
      </c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4.25" customHeight="1" s="37">
      <c r="A413" s="9">
        <f>IF(B414="","","KK"&amp;TEXT(ROW()-1,"0000"))</f>
        <v/>
      </c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4.25" customHeight="1" s="37">
      <c r="A414" s="9">
        <f>IF(B415="","","KK"&amp;TEXT(ROW()-1,"0000"))</f>
        <v/>
      </c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4.25" customHeight="1" s="37">
      <c r="A415" s="9">
        <f>IF(B416="","","KK"&amp;TEXT(ROW()-1,"0000"))</f>
        <v/>
      </c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4.25" customHeight="1" s="37">
      <c r="A416" s="9">
        <f>IF(B417="","","KK"&amp;TEXT(ROW()-1,"0000"))</f>
        <v/>
      </c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4.25" customHeight="1" s="37">
      <c r="A417" s="9">
        <f>IF(B418="","","KK"&amp;TEXT(ROW()-1,"0000"))</f>
        <v/>
      </c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4.25" customHeight="1" s="37">
      <c r="A418" s="9">
        <f>IF(B419="","","KK"&amp;TEXT(ROW()-1,"0000"))</f>
        <v/>
      </c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4.25" customHeight="1" s="37">
      <c r="A419" s="9">
        <f>IF(B420="","","KK"&amp;TEXT(ROW()-1,"0000"))</f>
        <v/>
      </c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4.25" customHeight="1" s="37">
      <c r="A420" s="9">
        <f>IF(B421="","","KK"&amp;TEXT(ROW()-1,"0000"))</f>
        <v/>
      </c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4.25" customHeight="1" s="37">
      <c r="A421" s="9">
        <f>IF(B422="","","KK"&amp;TEXT(ROW()-1,"0000"))</f>
        <v/>
      </c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4.25" customHeight="1" s="37">
      <c r="A422" s="9">
        <f>IF(B423="","","KK"&amp;TEXT(ROW()-1,"0000"))</f>
        <v/>
      </c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4.25" customHeight="1" s="37">
      <c r="A423" s="9">
        <f>IF(B424="","","KK"&amp;TEXT(ROW()-1,"0000"))</f>
        <v/>
      </c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4.25" customHeight="1" s="37">
      <c r="A424" s="9">
        <f>IF(B425="","","KK"&amp;TEXT(ROW()-1,"0000"))</f>
        <v/>
      </c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4.25" customHeight="1" s="37">
      <c r="A425" s="9">
        <f>IF(B426="","","KK"&amp;TEXT(ROW()-1,"0000"))</f>
        <v/>
      </c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4.25" customHeight="1" s="37">
      <c r="A426" s="9">
        <f>IF(B427="","","KK"&amp;TEXT(ROW()-1,"0000"))</f>
        <v/>
      </c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4.25" customHeight="1" s="37">
      <c r="A427" s="9">
        <f>IF(B428="","","KK"&amp;TEXT(ROW()-1,"0000"))</f>
        <v/>
      </c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4.25" customHeight="1" s="37">
      <c r="A428" s="9">
        <f>IF(B429="","","KK"&amp;TEXT(ROW()-1,"0000"))</f>
        <v/>
      </c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4.25" customHeight="1" s="37">
      <c r="A429" s="9">
        <f>IF(B430="","","KK"&amp;TEXT(ROW()-1,"0000"))</f>
        <v/>
      </c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4.25" customHeight="1" s="37">
      <c r="A430" s="9">
        <f>IF(B431="","","KK"&amp;TEXT(ROW()-1,"0000"))</f>
        <v/>
      </c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4.25" customHeight="1" s="37">
      <c r="A431" s="9">
        <f>IF(B432="","","KK"&amp;TEXT(ROW()-1,"0000"))</f>
        <v/>
      </c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4.25" customHeight="1" s="37">
      <c r="A432" s="9">
        <f>IF(B433="","","KK"&amp;TEXT(ROW()-1,"0000"))</f>
        <v/>
      </c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4.25" customHeight="1" s="37">
      <c r="A433" s="9">
        <f>IF(B434="","","KK"&amp;TEXT(ROW()-1,"0000"))</f>
        <v/>
      </c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4.25" customHeight="1" s="37">
      <c r="A434" s="9">
        <f>IF(B435="","","KK"&amp;TEXT(ROW()-1,"0000"))</f>
        <v/>
      </c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4.25" customHeight="1" s="37">
      <c r="A435" s="9">
        <f>IF(B436="","","KK"&amp;TEXT(ROW()-1,"0000"))</f>
        <v/>
      </c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4.25" customHeight="1" s="37">
      <c r="A436" s="9">
        <f>IF(B437="","","KK"&amp;TEXT(ROW()-1,"0000"))</f>
        <v/>
      </c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4.25" customHeight="1" s="37">
      <c r="A437" s="9">
        <f>IF(B438="","","KK"&amp;TEXT(ROW()-1,"0000"))</f>
        <v/>
      </c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4.25" customHeight="1" s="37">
      <c r="A438" s="9">
        <f>IF(B439="","","KK"&amp;TEXT(ROW()-1,"0000"))</f>
        <v/>
      </c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4.25" customHeight="1" s="37">
      <c r="A439" s="9">
        <f>IF(B440="","","KK"&amp;TEXT(ROW()-1,"0000"))</f>
        <v/>
      </c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4.25" customHeight="1" s="37">
      <c r="A440" s="9">
        <f>IF(B441="","","KK"&amp;TEXT(ROW()-1,"0000"))</f>
        <v/>
      </c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4.25" customHeight="1" s="37">
      <c r="A441" s="9">
        <f>IF(B442="","","KK"&amp;TEXT(ROW()-1,"0000"))</f>
        <v/>
      </c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4.25" customHeight="1" s="37">
      <c r="A442" s="9">
        <f>IF(B443="","","KK"&amp;TEXT(ROW()-1,"0000"))</f>
        <v/>
      </c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4.25" customHeight="1" s="37">
      <c r="A443" s="9">
        <f>IF(B444="","","KK"&amp;TEXT(ROW()-1,"0000"))</f>
        <v/>
      </c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4.25" customHeight="1" s="37">
      <c r="A444" s="9">
        <f>IF(B445="","","KK"&amp;TEXT(ROW()-1,"0000"))</f>
        <v/>
      </c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4.25" customHeight="1" s="37">
      <c r="A445" s="9">
        <f>IF(B446="","","KK"&amp;TEXT(ROW()-1,"0000"))</f>
        <v/>
      </c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4.25" customHeight="1" s="37">
      <c r="A446" s="9">
        <f>IF(B447="","","KK"&amp;TEXT(ROW()-1,"0000"))</f>
        <v/>
      </c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4.25" customHeight="1" s="37">
      <c r="A447" s="9">
        <f>IF(B448="","","KK"&amp;TEXT(ROW()-1,"0000"))</f>
        <v/>
      </c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4.25" customHeight="1" s="37">
      <c r="A448" s="9">
        <f>IF(B449="","","KK"&amp;TEXT(ROW()-1,"0000"))</f>
        <v/>
      </c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4.25" customHeight="1" s="37">
      <c r="A449" s="9">
        <f>IF(B450="","","KK"&amp;TEXT(ROW()-1,"0000"))</f>
        <v/>
      </c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4.25" customHeight="1" s="37">
      <c r="A450" s="9">
        <f>IF(B451="","","KK"&amp;TEXT(ROW()-1,"0000"))</f>
        <v/>
      </c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4.25" customHeight="1" s="37">
      <c r="A451" s="9">
        <f>IF(B452="","","KK"&amp;TEXT(ROW()-1,"0000"))</f>
        <v/>
      </c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4.25" customHeight="1" s="37">
      <c r="A452" s="9">
        <f>IF(B453="","","KK"&amp;TEXT(ROW()-1,"0000"))</f>
        <v/>
      </c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4.25" customHeight="1" s="37">
      <c r="A453" s="9">
        <f>IF(B454="","","KK"&amp;TEXT(ROW()-1,"0000"))</f>
        <v/>
      </c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4.25" customHeight="1" s="37">
      <c r="A454" s="9">
        <f>IF(B455="","","KK"&amp;TEXT(ROW()-1,"0000"))</f>
        <v/>
      </c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4.25" customHeight="1" s="37">
      <c r="A455" s="9">
        <f>IF(B456="","","KK"&amp;TEXT(ROW()-1,"0000"))</f>
        <v/>
      </c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4.25" customHeight="1" s="37">
      <c r="A456" s="9">
        <f>IF(B457="","","KK"&amp;TEXT(ROW()-1,"0000"))</f>
        <v/>
      </c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4.25" customHeight="1" s="37">
      <c r="A457" s="9">
        <f>IF(B458="","","KK"&amp;TEXT(ROW()-1,"0000"))</f>
        <v/>
      </c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4.25" customHeight="1" s="37">
      <c r="A458" s="9">
        <f>IF(B459="","","KK"&amp;TEXT(ROW()-1,"0000"))</f>
        <v/>
      </c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4.25" customHeight="1" s="37">
      <c r="A459" s="9">
        <f>IF(B460="","","KK"&amp;TEXT(ROW()-1,"0000"))</f>
        <v/>
      </c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4.25" customHeight="1" s="37">
      <c r="A460" s="9">
        <f>IF(B461="","","KK"&amp;TEXT(ROW()-1,"0000"))</f>
        <v/>
      </c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4.25" customHeight="1" s="37">
      <c r="A461" s="9">
        <f>IF(B462="","","KK"&amp;TEXT(ROW()-1,"0000"))</f>
        <v/>
      </c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4.25" customHeight="1" s="37">
      <c r="A462" s="9">
        <f>IF(B463="","","KK"&amp;TEXT(ROW()-1,"0000"))</f>
        <v/>
      </c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4.25" customHeight="1" s="37">
      <c r="A463" s="9">
        <f>IF(B464="","","KK"&amp;TEXT(ROW()-1,"0000"))</f>
        <v/>
      </c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4.25" customHeight="1" s="37">
      <c r="A464" s="9">
        <f>IF(B465="","","KK"&amp;TEXT(ROW()-1,"0000"))</f>
        <v/>
      </c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4.25" customHeight="1" s="37">
      <c r="A465" s="9">
        <f>IF(B466="","","KK"&amp;TEXT(ROW()-1,"0000"))</f>
        <v/>
      </c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4.25" customHeight="1" s="37">
      <c r="A466" s="9">
        <f>IF(B467="","","KK"&amp;TEXT(ROW()-1,"0000"))</f>
        <v/>
      </c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4.25" customHeight="1" s="37">
      <c r="A467" s="9">
        <f>IF(B468="","","KK"&amp;TEXT(ROW()-1,"0000"))</f>
        <v/>
      </c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4.25" customHeight="1" s="37">
      <c r="A468" s="9">
        <f>IF(B469="","","KK"&amp;TEXT(ROW()-1,"0000"))</f>
        <v/>
      </c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4.25" customHeight="1" s="37">
      <c r="A469" s="9">
        <f>IF(B470="","","KK"&amp;TEXT(ROW()-1,"0000"))</f>
        <v/>
      </c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4.25" customHeight="1" s="37">
      <c r="A470" s="9">
        <f>IF(B471="","","KK"&amp;TEXT(ROW()-1,"0000"))</f>
        <v/>
      </c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4.25" customHeight="1" s="37">
      <c r="A471" s="9">
        <f>IF(B472="","","KK"&amp;TEXT(ROW()-1,"0000"))</f>
        <v/>
      </c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4.25" customHeight="1" s="37">
      <c r="A472" s="9">
        <f>IF(B473="","","KK"&amp;TEXT(ROW()-1,"0000"))</f>
        <v/>
      </c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4.25" customHeight="1" s="37">
      <c r="A473" s="9">
        <f>IF(B474="","","KK"&amp;TEXT(ROW()-1,"0000"))</f>
        <v/>
      </c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4.25" customHeight="1" s="37">
      <c r="A474" s="9">
        <f>IF(B475="","","KK"&amp;TEXT(ROW()-1,"0000"))</f>
        <v/>
      </c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4.25" customHeight="1" s="37">
      <c r="A475" s="9">
        <f>IF(B476="","","KK"&amp;TEXT(ROW()-1,"0000"))</f>
        <v/>
      </c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4.25" customHeight="1" s="37">
      <c r="A476" s="9">
        <f>IF(B477="","","KK"&amp;TEXT(ROW()-1,"0000"))</f>
        <v/>
      </c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4.25" customHeight="1" s="37">
      <c r="A477" s="9">
        <f>IF(B478="","","KK"&amp;TEXT(ROW()-1,"0000"))</f>
        <v/>
      </c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4.25" customHeight="1" s="37">
      <c r="A478" s="9">
        <f>IF(B479="","","KK"&amp;TEXT(ROW()-1,"0000"))</f>
        <v/>
      </c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4.25" customHeight="1" s="37">
      <c r="A479" s="9">
        <f>IF(B480="","","KK"&amp;TEXT(ROW()-1,"0000"))</f>
        <v/>
      </c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4.25" customHeight="1" s="37">
      <c r="A480" s="9">
        <f>IF(B481="","","KK"&amp;TEXT(ROW()-1,"0000"))</f>
        <v/>
      </c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4.25" customHeight="1" s="37">
      <c r="A481" s="9">
        <f>IF(B482="","","KK"&amp;TEXT(ROW()-1,"0000"))</f>
        <v/>
      </c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4.25" customHeight="1" s="37">
      <c r="A482" s="9">
        <f>IF(B483="","","KK"&amp;TEXT(ROW()-1,"0000"))</f>
        <v/>
      </c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4.25" customHeight="1" s="37">
      <c r="A483" s="9">
        <f>IF(B484="","","KK"&amp;TEXT(ROW()-1,"0000"))</f>
        <v/>
      </c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4.25" customHeight="1" s="37">
      <c r="A484" s="9">
        <f>IF(B485="","","KK"&amp;TEXT(ROW()-1,"0000"))</f>
        <v/>
      </c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4.25" customHeight="1" s="37">
      <c r="A485" s="9">
        <f>IF(B486="","","KK"&amp;TEXT(ROW()-1,"0000"))</f>
        <v/>
      </c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4.25" customHeight="1" s="37">
      <c r="A486" s="9">
        <f>IF(B487="","","KK"&amp;TEXT(ROW()-1,"0000"))</f>
        <v/>
      </c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4.25" customHeight="1" s="37">
      <c r="A487" s="9">
        <f>IF(B488="","","KK"&amp;TEXT(ROW()-1,"0000"))</f>
        <v/>
      </c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4.25" customHeight="1" s="37">
      <c r="A488" s="9">
        <f>IF(B489="","","KK"&amp;TEXT(ROW()-1,"0000"))</f>
        <v/>
      </c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4.25" customHeight="1" s="37">
      <c r="A489" s="9">
        <f>IF(B490="","","KK"&amp;TEXT(ROW()-1,"0000"))</f>
        <v/>
      </c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4.25" customHeight="1" s="37">
      <c r="A490" s="9">
        <f>IF(B491="","","KK"&amp;TEXT(ROW()-1,"0000"))</f>
        <v/>
      </c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4.25" customHeight="1" s="37">
      <c r="A491" s="9">
        <f>IF(B492="","","KK"&amp;TEXT(ROW()-1,"0000"))</f>
        <v/>
      </c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4.25" customHeight="1" s="37">
      <c r="A492" s="9">
        <f>IF(B493="","","KK"&amp;TEXT(ROW()-1,"0000"))</f>
        <v/>
      </c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4.25" customHeight="1" s="37">
      <c r="A493" s="9">
        <f>IF(B494="","","KK"&amp;TEXT(ROW()-1,"0000"))</f>
        <v/>
      </c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4.25" customHeight="1" s="37">
      <c r="A494" s="9">
        <f>IF(B495="","","KK"&amp;TEXT(ROW()-1,"0000"))</f>
        <v/>
      </c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4.25" customHeight="1" s="37">
      <c r="A495" s="9">
        <f>IF(B496="","","KK"&amp;TEXT(ROW()-1,"0000"))</f>
        <v/>
      </c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4.25" customHeight="1" s="37">
      <c r="A496" s="9">
        <f>IF(B497="","","KK"&amp;TEXT(ROW()-1,"0000"))</f>
        <v/>
      </c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4.25" customHeight="1" s="37">
      <c r="A497" s="9">
        <f>IF(B498="","","KK"&amp;TEXT(ROW()-1,"0000"))</f>
        <v/>
      </c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4.25" customHeight="1" s="37">
      <c r="A498" s="9">
        <f>IF(B499="","","KK"&amp;TEXT(ROW()-1,"0000"))</f>
        <v/>
      </c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4.25" customHeight="1" s="37">
      <c r="A499" s="9">
        <f>IF(B500="","","KK"&amp;TEXT(ROW()-1,"0000"))</f>
        <v/>
      </c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4.25" customHeight="1" s="37">
      <c r="A500" s="9">
        <f>IF(B501="","","KK"&amp;TEXT(ROW()-1,"0000"))</f>
        <v/>
      </c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</sheetData>
  <autoFilter ref="$A$1:$K$501"/>
  <dataValidations count="2">
    <dataValidation sqref="I2:I501" showDropDown="0" showInputMessage="0" showErrorMessage="0" allowBlank="1" type="list">
      <formula1>LIST!$B$2:$B$8</formula1>
    </dataValidation>
    <dataValidation sqref="E2:E501" showDropDown="0" showInputMessage="0" showErrorMessage="1" allowBlank="1" type="list">
      <formula1>LIST!$B$11:$B$27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" customWidth="1" style="37" min="1" max="1"/>
    <col width="12" customWidth="1" style="37" min="2" max="2"/>
    <col width="28" customWidth="1" style="37" min="3" max="3"/>
    <col width="18" customWidth="1" style="37" min="4" max="4"/>
    <col width="15" customWidth="1" style="37" min="5" max="5"/>
    <col width="13" customWidth="1" style="37" min="6" max="6"/>
    <col width="18" customWidth="1" style="37" min="7" max="7"/>
    <col width="22" customWidth="1" style="37" min="8" max="8"/>
    <col width="20" customWidth="1" style="37" min="9" max="9"/>
    <col width="22" customWidth="1" style="37" min="10" max="10"/>
    <col width="18" customWidth="1" style="37" min="11" max="11"/>
    <col width="15" customWidth="1" style="37" min="12" max="12"/>
    <col width="25" customWidth="1" style="37" min="13" max="13"/>
    <col width="16" customWidth="1" style="37" min="14" max="14"/>
    <col width="15" customWidth="1" style="37" min="15" max="15"/>
    <col width="25" customWidth="1" style="37" min="16" max="16"/>
    <col width="15" customWidth="1" style="37" min="17" max="17"/>
    <col width="25" customWidth="1" style="37" min="18" max="18"/>
    <col width="22" customWidth="1" style="37" min="19" max="19"/>
    <col width="24" customWidth="1" style="37" min="20" max="20"/>
    <col width="15" customWidth="1" style="37" min="21" max="21"/>
    <col width="20" customWidth="1" style="37" min="22" max="22"/>
    <col width="18" customWidth="1" style="37" min="23" max="24"/>
    <col width="25" customWidth="1" style="37" min="25" max="25"/>
    <col width="30" customWidth="1" style="37" min="26" max="26"/>
  </cols>
  <sheetData>
    <row r="1" ht="14.25" customHeight="1" s="37">
      <c r="A1" s="7" t="inlineStr">
        <is>
          <t>ID Umat</t>
        </is>
      </c>
      <c r="B1" s="7" t="inlineStr">
        <is>
          <t>ID KK</t>
        </is>
      </c>
      <c r="C1" s="7" t="inlineStr">
        <is>
          <t>Nama Lengkap</t>
        </is>
      </c>
      <c r="D1" s="7" t="inlineStr">
        <is>
          <t>Jenis Kelamin</t>
        </is>
      </c>
      <c r="E1" s="7" t="inlineStr">
        <is>
          <t>Tanggal Lahir</t>
        </is>
      </c>
      <c r="F1" s="7" t="inlineStr">
        <is>
          <t>Umur 31/12/2026</t>
        </is>
      </c>
      <c r="G1" s="7" t="inlineStr">
        <is>
          <t>Agama</t>
        </is>
      </c>
      <c r="H1" s="7" t="inlineStr">
        <is>
          <t>Lingkungan</t>
        </is>
      </c>
      <c r="I1" s="7" t="inlineStr">
        <is>
          <t>Basis/Stasi</t>
        </is>
      </c>
      <c r="J1" s="7" t="inlineStr">
        <is>
          <t>Daerah/Desa</t>
        </is>
      </c>
      <c r="K1" s="7" t="inlineStr">
        <is>
          <t>Status Umat</t>
        </is>
      </c>
      <c r="L1" s="7" t="inlineStr">
        <is>
          <t>Tanggal Baptis</t>
        </is>
      </c>
      <c r="M1" s="7" t="inlineStr">
        <is>
          <t>Paroki/Gereja Baptis</t>
        </is>
      </c>
      <c r="N1" s="7" t="inlineStr">
        <is>
          <t>No Buku Baptis</t>
        </is>
      </c>
      <c r="O1" s="7" t="inlineStr">
        <is>
          <t>Tanggal Komuni I</t>
        </is>
      </c>
      <c r="P1" s="7" t="inlineStr">
        <is>
          <t>Paroki/Gereja Komuni I</t>
        </is>
      </c>
      <c r="Q1" s="7" t="inlineStr">
        <is>
          <t>Tanggal Krisma</t>
        </is>
      </c>
      <c r="R1" s="7" t="inlineStr">
        <is>
          <t>Paroki/Gereja Krisma</t>
        </is>
      </c>
      <c r="S1" s="7" t="inlineStr">
        <is>
          <t>Pendidikan Terakhir</t>
        </is>
      </c>
      <c r="T1" s="7" t="inlineStr">
        <is>
          <t>Profesi</t>
        </is>
      </c>
      <c r="U1" s="7" t="inlineStr">
        <is>
          <t>Golongan Darah</t>
        </is>
      </c>
      <c r="V1" s="7" t="inlineStr">
        <is>
          <t>NIK (opsional)</t>
        </is>
      </c>
      <c r="W1" s="7" t="inlineStr">
        <is>
          <t>No KK (opsional)</t>
        </is>
      </c>
      <c r="X1" s="7" t="inlineStr">
        <is>
          <t>Telp/HP</t>
        </is>
      </c>
      <c r="Y1" s="7" t="inlineStr">
        <is>
          <t>Email</t>
        </is>
      </c>
      <c r="Z1" s="7" t="inlineStr">
        <is>
          <t>Keterangan</t>
        </is>
      </c>
    </row>
    <row r="2" ht="14.25" customHeight="1" s="37">
      <c r="A2" s="41" t="inlineStr">
        <is>
          <t>UM00185</t>
        </is>
      </c>
      <c r="B2" s="38" t="inlineStr">
        <is>
          <t>KK0070</t>
        </is>
      </c>
      <c r="C2" s="9" t="inlineStr">
        <is>
          <t>ADRIANI TODINGAN</t>
        </is>
      </c>
      <c r="D2" s="9" t="inlineStr">
        <is>
          <t>Wanita/Perempuan</t>
        </is>
      </c>
      <c r="E2" s="42" t="n">
        <v>29749</v>
      </c>
      <c r="F2" s="9">
        <f>IF(E2="","",DATEDIF(E2,DATE(2026,12,31),"Y"))</f>
        <v/>
      </c>
      <c r="G2" s="9" t="inlineStr">
        <is>
          <t>Katolik</t>
        </is>
      </c>
      <c r="H2" s="9" t="inlineStr">
        <is>
          <t>St. Maria Immacula</t>
        </is>
      </c>
      <c r="I2" s="9" t="n"/>
      <c r="J2" s="9" t="inlineStr">
        <is>
          <t>KOMPLEK PENTA NO.24</t>
        </is>
      </c>
      <c r="K2" s="9" t="inlineStr">
        <is>
          <t>Aktif</t>
        </is>
      </c>
      <c r="L2" s="9" t="n"/>
      <c r="M2" s="9" t="n"/>
      <c r="N2" s="9" t="n"/>
      <c r="O2" s="9" t="n"/>
      <c r="P2" s="9" t="n"/>
      <c r="Q2" s="9" t="n"/>
      <c r="R2" s="9" t="n"/>
      <c r="S2" s="9" t="inlineStr">
        <is>
          <t>SLTA/SEDERAJAT</t>
        </is>
      </c>
      <c r="T2" s="9" t="inlineStr">
        <is>
          <t>KARYAWAN SWASTA</t>
        </is>
      </c>
      <c r="U2" s="9" t="inlineStr">
        <is>
          <t>B</t>
        </is>
      </c>
      <c r="V2" s="43" t="inlineStr">
        <is>
          <t>6471045206810004</t>
        </is>
      </c>
      <c r="W2" s="38" t="inlineStr">
        <is>
          <t>6471051309160016</t>
        </is>
      </c>
      <c r="X2" s="9" t="n"/>
      <c r="Y2" s="9" t="n"/>
      <c r="Z2" s="9" t="inlineStr">
        <is>
          <t>BARU dari scan: ADRIANI TODINGAN-KARTU KELUARGA.jpg Terisi otomatis dari scan: Agama, Daerah/Desa, Golongan Darah, Jenis Kelamin, No KK (opsional), Pendidikan Terakhir, Profesi. Beda sumber Tanggal Lahir: "1981-06-12" vs "1981-08-13". Beda sumber NIK (opsional): "6471045206810004" vs "6471045308810…</t>
        </is>
      </c>
    </row>
    <row r="3" ht="14.25" customHeight="1" s="37">
      <c r="A3" s="41" t="inlineStr">
        <is>
          <t>UM00186</t>
        </is>
      </c>
      <c r="B3" s="38" t="inlineStr">
        <is>
          <t>KK0070</t>
        </is>
      </c>
      <c r="C3" s="9" t="inlineStr">
        <is>
          <t>AUSTRIN ELISABETH MOOSBRUGGER</t>
        </is>
      </c>
      <c r="D3" s="9" t="inlineStr">
        <is>
          <t>Wanita/Perempuan</t>
        </is>
      </c>
      <c r="E3" s="44" t="n">
        <v>41335</v>
      </c>
      <c r="F3" s="9">
        <f>IF(E3="","",DATEDIF(E3,DATE(2026,12,31),"Y"))</f>
        <v/>
      </c>
      <c r="G3" s="9" t="inlineStr">
        <is>
          <t>Katolik</t>
        </is>
      </c>
      <c r="H3" s="9" t="inlineStr">
        <is>
          <t>St. Maria Immacula</t>
        </is>
      </c>
      <c r="I3" s="9" t="n"/>
      <c r="J3" s="9" t="n"/>
      <c r="K3" s="9" t="inlineStr">
        <is>
          <t>Aktif</t>
        </is>
      </c>
      <c r="L3" s="9" t="n"/>
      <c r="M3" s="9" t="n"/>
      <c r="N3" s="9" t="n"/>
      <c r="O3" s="9" t="n"/>
      <c r="P3" s="9" t="n"/>
      <c r="Q3" s="9" t="n"/>
      <c r="R3" s="9" t="n"/>
      <c r="S3" s="9" t="inlineStr">
        <is>
          <t>TIDAK SEKOLAH</t>
        </is>
      </c>
      <c r="T3" s="9" t="inlineStr">
        <is>
          <t>TIDAK BEKERJA</t>
        </is>
      </c>
      <c r="U3" s="9" t="n"/>
      <c r="V3" s="38" t="inlineStr">
        <is>
          <t>6471014203130002</t>
        </is>
      </c>
      <c r="W3" s="38" t="inlineStr">
        <is>
          <t>6471051309160016</t>
        </is>
      </c>
      <c r="X3" s="9" t="n"/>
      <c r="Y3" s="9" t="n"/>
      <c r="Z3" s="9" t="inlineStr">
        <is>
          <t>BARU dari scan: ADRIANI TODINGAN-KARTU KELUARGA.jpg Terisi otomatis dari scan: Agama, Jenis Kelamin, No KK (opsional), Pendidikan Terakhir, Profesi. Hubungan dalam KK: ANAK.</t>
        </is>
      </c>
    </row>
    <row r="4" ht="14.25" customHeight="1" s="37">
      <c r="A4" s="41" t="inlineStr">
        <is>
          <t>UM00187</t>
        </is>
      </c>
      <c r="B4" s="38" t="inlineStr">
        <is>
          <t>KK0071</t>
        </is>
      </c>
      <c r="C4" s="9" t="inlineStr">
        <is>
          <t>AGUSTINUS WASA</t>
        </is>
      </c>
      <c r="D4" s="9" t="inlineStr">
        <is>
          <t>Pria/Laki-laki</t>
        </is>
      </c>
      <c r="E4" s="44" t="n">
        <v>34569</v>
      </c>
      <c r="F4" s="9">
        <f>IF(E4="","",DATEDIF(E4,DATE(2026,12,31),"Y"))</f>
        <v/>
      </c>
      <c r="G4" s="9" t="inlineStr">
        <is>
          <t>Katolik</t>
        </is>
      </c>
      <c r="H4" s="9" t="inlineStr">
        <is>
          <t>St. Maria Immacula</t>
        </is>
      </c>
      <c r="I4" s="9" t="n"/>
      <c r="J4" s="9" t="inlineStr">
        <is>
          <t>JL. SEPINGGAN RAYA NO. 01 RT/RW 015/000</t>
        </is>
      </c>
      <c r="K4" s="9" t="inlineStr">
        <is>
          <t>Aktif</t>
        </is>
      </c>
      <c r="L4" s="9" t="n"/>
      <c r="M4" s="9" t="n"/>
      <c r="N4" s="9" t="n"/>
      <c r="O4" s="9" t="n"/>
      <c r="P4" s="9" t="n"/>
      <c r="Q4" s="9" t="n"/>
      <c r="R4" s="9" t="n"/>
      <c r="S4" s="9" t="inlineStr">
        <is>
          <t>TAMAT SD/SEDERAJAT</t>
        </is>
      </c>
      <c r="T4" s="9" t="inlineStr">
        <is>
          <t>SOPIR</t>
        </is>
      </c>
      <c r="U4" s="9" t="inlineStr">
        <is>
          <t>O</t>
        </is>
      </c>
      <c r="V4" s="38" t="inlineStr">
        <is>
          <t>5307010408940001</t>
        </is>
      </c>
      <c r="W4" s="38" t="inlineStr">
        <is>
          <t>7413030311230001</t>
        </is>
      </c>
      <c r="X4" s="9" t="n"/>
      <c r="Y4" s="9" t="n"/>
      <c r="Z4" s="9" t="inlineStr">
        <is>
          <t>BARU dari scan: AGUSTINUS WASA-KARTU KELUARGA.jpg Terisi otomatis dari scan: Agama, Daerah/Desa, Golongan Darah, Jenis Kelamin, No KK (opsional), Pendidikan Terakhir, Profesi. Hubungan dalam KK: KEPALA KELUARGA.</t>
        </is>
      </c>
    </row>
    <row r="5" ht="14.25" customHeight="1" s="37">
      <c r="A5" s="41" t="inlineStr">
        <is>
          <t>UM00188</t>
        </is>
      </c>
      <c r="B5" s="38" t="inlineStr">
        <is>
          <t>KK0071</t>
        </is>
      </c>
      <c r="C5" s="9" t="inlineStr">
        <is>
          <t>ASTRALIS KAY TULANG</t>
        </is>
      </c>
      <c r="D5" s="9" t="inlineStr">
        <is>
          <t>Wanita/Perempuan</t>
        </is>
      </c>
      <c r="E5" s="44" t="n">
        <v>37350</v>
      </c>
      <c r="F5" s="9">
        <f>IF(E5="","",DATEDIF(E5,DATE(2026,12,31),"Y"))</f>
        <v/>
      </c>
      <c r="G5" s="9" t="inlineStr">
        <is>
          <t>Katolik</t>
        </is>
      </c>
      <c r="H5" s="9" t="inlineStr">
        <is>
          <t>St. Maria Immacula</t>
        </is>
      </c>
      <c r="I5" s="9" t="n"/>
      <c r="J5" s="9" t="n"/>
      <c r="K5" s="9" t="inlineStr">
        <is>
          <t>Aktif</t>
        </is>
      </c>
      <c r="L5" s="9" t="n"/>
      <c r="M5" s="9" t="n"/>
      <c r="N5" s="9" t="n"/>
      <c r="O5" s="44" t="n">
        <v>45087</v>
      </c>
      <c r="P5" s="9" t="inlineStr">
        <is>
          <t>St. Klement I Sepinggan Balikpapan</t>
        </is>
      </c>
      <c r="Q5" s="9" t="n"/>
      <c r="R5" s="9" t="n"/>
      <c r="S5" s="9" t="inlineStr">
        <is>
          <t>BELUM TAMAT SD/SEDERAJAT</t>
        </is>
      </c>
      <c r="T5" s="9" t="inlineStr">
        <is>
          <t>BELUM/TIDAK BEKERJA</t>
        </is>
      </c>
      <c r="U5" s="9" t="n"/>
      <c r="V5" s="38" t="inlineStr">
        <is>
          <t>6401084404020001</t>
        </is>
      </c>
      <c r="W5" s="38" t="inlineStr">
        <is>
          <t>7413030311230001</t>
        </is>
      </c>
      <c r="X5" s="9" t="n"/>
      <c r="Y5" s="9" t="n"/>
      <c r="Z5" s="9" t="inlineStr">
        <is>
          <t>BARU dari scan: AGUSTINUS WASA-KARTU KELUARGA.jpg Terisi otomatis dari scan: Agama, Jenis Kelamin, No KK (opsional), Paroki/Gereja Komuni I, Pendidikan Terakhir, Profesi, Tanggal Komuni I. Hubungan dalam KK: ISTRI.</t>
        </is>
      </c>
    </row>
    <row r="6" ht="14.25" customHeight="1" s="37">
      <c r="A6" s="41" t="inlineStr">
        <is>
          <t>UM00189</t>
        </is>
      </c>
      <c r="B6" s="38" t="inlineStr">
        <is>
          <t>KK0071</t>
        </is>
      </c>
      <c r="C6" s="9" t="inlineStr">
        <is>
          <t>VALERIANUS KELVIN ALVIANO NULUS SERA</t>
        </is>
      </c>
      <c r="D6" s="9" t="inlineStr">
        <is>
          <t>Pria/Laki-laki</t>
        </is>
      </c>
      <c r="E6" s="44" t="n">
        <v>43935</v>
      </c>
      <c r="F6" s="9">
        <f>IF(E6="","",DATEDIF(E6,DATE(2026,12,31),"Y"))</f>
        <v/>
      </c>
      <c r="G6" s="9" t="inlineStr">
        <is>
          <t>Katolik</t>
        </is>
      </c>
      <c r="H6" s="9" t="inlineStr">
        <is>
          <t>St. Maria Immacula</t>
        </is>
      </c>
      <c r="I6" s="9" t="n"/>
      <c r="J6" s="9" t="n"/>
      <c r="K6" s="9" t="inlineStr">
        <is>
          <t>Aktif</t>
        </is>
      </c>
      <c r="L6" s="44" t="n">
        <v>44969</v>
      </c>
      <c r="M6" s="9" t="inlineStr">
        <is>
          <t>St. Martinus Lanud Dhomber</t>
        </is>
      </c>
      <c r="N6" s="38" t="inlineStr">
        <is>
          <t>Liber I Pag. 205 No. 1687</t>
        </is>
      </c>
      <c r="O6" s="9" t="n"/>
      <c r="P6" s="9" t="n"/>
      <c r="Q6" s="9" t="n"/>
      <c r="R6" s="9" t="n"/>
      <c r="S6" s="9" t="inlineStr">
        <is>
          <t>TIDAK/BELUM SEKOLAH</t>
        </is>
      </c>
      <c r="T6" s="9" t="inlineStr">
        <is>
          <t>BELUM/TIDAK BEKERJA</t>
        </is>
      </c>
      <c r="U6" s="9" t="n"/>
      <c r="V6" s="38" t="inlineStr">
        <is>
          <t>6471051404200005</t>
        </is>
      </c>
      <c r="W6" s="38" t="inlineStr">
        <is>
          <t>7413030311230001</t>
        </is>
      </c>
      <c r="X6" s="9" t="n"/>
      <c r="Y6" s="9" t="n"/>
      <c r="Z6" s="9" t="inlineStr">
        <is>
          <t>BARU dari scan: AGUSTINUS WASA-KARTU KELUARGA.jpg Terisi otomatis dari scan: Agama, Jenis Kelamin, No Buku Baptis, No KK (opsional), Paroki/Gereja Baptis, Pendidikan Terakhir, Profesi, Tanggal Baptis. Hubungan dalam KK: ANAK.</t>
        </is>
      </c>
    </row>
    <row r="7" ht="14.25" customHeight="1" s="37">
      <c r="A7" s="41" t="inlineStr">
        <is>
          <t>UM00190</t>
        </is>
      </c>
      <c r="B7" s="38" t="inlineStr">
        <is>
          <t>KK0072</t>
        </is>
      </c>
      <c r="C7" s="9" t="inlineStr">
        <is>
          <t>ANA. E. YAYUK SUPRAPTININGSIH</t>
        </is>
      </c>
      <c r="D7" s="9" t="inlineStr">
        <is>
          <t>Wanita/Perempuan</t>
        </is>
      </c>
      <c r="E7" s="42" t="n">
        <v>21040</v>
      </c>
      <c r="F7" s="9">
        <f>IF(E7="","",DATEDIF(E7,DATE(2026,12,31),"Y"))</f>
        <v/>
      </c>
      <c r="G7" s="9" t="inlineStr">
        <is>
          <t>Katolik</t>
        </is>
      </c>
      <c r="H7" s="9" t="inlineStr">
        <is>
          <t>St. Maria Immacula</t>
        </is>
      </c>
      <c r="I7" s="9" t="n"/>
      <c r="J7" s="9" t="inlineStr">
        <is>
          <t>JL. MARSMA R ISWAHYUDI GG MELAI I NO. 39 RT/RW 020/000</t>
        </is>
      </c>
      <c r="K7" s="9" t="inlineStr">
        <is>
          <t>Aktif</t>
        </is>
      </c>
      <c r="L7" s="9" t="n"/>
      <c r="M7" s="9" t="n"/>
      <c r="N7" s="9" t="n"/>
      <c r="O7" s="9" t="n"/>
      <c r="P7" s="9" t="n"/>
      <c r="Q7" s="9" t="n"/>
      <c r="R7" s="9" t="n"/>
      <c r="S7" s="9" t="inlineStr">
        <is>
          <t>SLTP/SEDERAJAT</t>
        </is>
      </c>
      <c r="T7" s="9" t="inlineStr">
        <is>
          <t>MENGURUS RUMAH TANGGA</t>
        </is>
      </c>
      <c r="U7" s="9" t="inlineStr">
        <is>
          <t>O</t>
        </is>
      </c>
      <c r="V7" s="38" t="inlineStr">
        <is>
          <t>6471054806570001</t>
        </is>
      </c>
      <c r="W7" s="38" t="inlineStr">
        <is>
          <t>6471052305050001</t>
        </is>
      </c>
      <c r="X7" s="9" t="n"/>
      <c r="Y7" s="9" t="n"/>
      <c r="Z7" s="9" t="inlineStr">
        <is>
          <t>BARU dari scan: ANA E. YAYUK SUPRAPTININGSIH-KARTU KELUARGA.jpg Terisi otomatis dari scan: Agama, Daerah/Desa, Golongan Darah, Jenis Kelamin, No KK (opsional), Pendidikan Terakhir, Profesi. Beda sumber Tanggal Lahir: "1957-08-08" vs "1957-06-08". Hubungan dalam KK: KEPALA KELUARGA.</t>
        </is>
      </c>
    </row>
    <row r="8" ht="14.25" customHeight="1" s="37">
      <c r="A8" s="41" t="inlineStr">
        <is>
          <t>UM00191</t>
        </is>
      </c>
      <c r="B8" s="38" t="inlineStr">
        <is>
          <t>KK0073</t>
        </is>
      </c>
      <c r="C8" s="9" t="inlineStr">
        <is>
          <t>MUHTAR</t>
        </is>
      </c>
      <c r="D8" s="9" t="inlineStr">
        <is>
          <t>Pria/Laki-laki</t>
        </is>
      </c>
      <c r="E8" s="44" t="n">
        <v>26249</v>
      </c>
      <c r="F8" s="9">
        <f>IF(E8="","",DATEDIF(E8,DATE(2026,12,31),"Y"))</f>
        <v/>
      </c>
      <c r="G8" s="9" t="inlineStr">
        <is>
          <t>Katolik</t>
        </is>
      </c>
      <c r="H8" s="9" t="inlineStr">
        <is>
          <t>St. Maria Immacula</t>
        </is>
      </c>
      <c r="I8" s="9" t="n"/>
      <c r="J8" s="9" t="n"/>
      <c r="K8" s="9" t="inlineStr">
        <is>
          <t>Aktif</t>
        </is>
      </c>
      <c r="L8" s="9" t="n"/>
      <c r="M8" s="9" t="n"/>
      <c r="N8" s="9" t="n"/>
      <c r="O8" s="9" t="n"/>
      <c r="P8" s="9" t="n"/>
      <c r="Q8" s="9" t="n"/>
      <c r="R8" s="9" t="n"/>
      <c r="S8" s="9" t="inlineStr">
        <is>
          <t>SLTA/SEDERAJAT</t>
        </is>
      </c>
      <c r="T8" s="9" t="inlineStr">
        <is>
          <t>KARYAWAN SWASTA</t>
        </is>
      </c>
      <c r="U8" s="9" t="n"/>
      <c r="V8" s="38" t="inlineStr">
        <is>
          <t>6471061211710003</t>
        </is>
      </c>
      <c r="W8" s="38" t="inlineStr">
        <is>
          <t>6471051906080002</t>
        </is>
      </c>
      <c r="X8" s="9" t="n"/>
      <c r="Y8" s="9" t="n"/>
      <c r="Z8" s="9" t="inlineStr">
        <is>
          <t>BARU dari scan: BARNABAS MUKHTAR-KARTU KELUARGA.jpg Terisi otomatis dari scan: Agama, Jenis Kelamin, No KK (opsional), Pendidikan Terakhir, Profesi. Hubungan dalam KK: KEPALA KELUARGA.</t>
        </is>
      </c>
    </row>
    <row r="9" ht="14.25" customHeight="1" s="37">
      <c r="A9" s="41" t="inlineStr">
        <is>
          <t>UM00192</t>
        </is>
      </c>
      <c r="B9" s="38" t="inlineStr">
        <is>
          <t>KK0073</t>
        </is>
      </c>
      <c r="C9" s="9" t="inlineStr">
        <is>
          <t>IMRAH</t>
        </is>
      </c>
      <c r="D9" s="9" t="inlineStr">
        <is>
          <t>Wanita/Perempuan</t>
        </is>
      </c>
      <c r="E9" s="44" t="n">
        <v>28855</v>
      </c>
      <c r="F9" s="9">
        <f>IF(E9="","",DATEDIF(E9,DATE(2026,12,31),"Y"))</f>
        <v/>
      </c>
      <c r="G9" s="9" t="inlineStr">
        <is>
          <t>Katolik</t>
        </is>
      </c>
      <c r="H9" s="9" t="inlineStr">
        <is>
          <t>St. Maria Immacula</t>
        </is>
      </c>
      <c r="I9" s="9" t="n"/>
      <c r="J9" s="9" t="n"/>
      <c r="K9" s="9" t="inlineStr">
        <is>
          <t>Aktif</t>
        </is>
      </c>
      <c r="L9" s="9" t="n"/>
      <c r="M9" s="9" t="n"/>
      <c r="N9" s="9" t="n"/>
      <c r="O9" s="9" t="n"/>
      <c r="P9" s="9" t="n"/>
      <c r="Q9" s="9" t="n"/>
      <c r="R9" s="9" t="inlineStr">
        <is>
          <t>ST. YUSUF</t>
        </is>
      </c>
      <c r="S9" s="9" t="inlineStr">
        <is>
          <t>SLTA/SEDERAJAT</t>
        </is>
      </c>
      <c r="T9" s="9" t="inlineStr">
        <is>
          <t>IBU RUMAH TANGGA</t>
        </is>
      </c>
      <c r="U9" s="9" t="n"/>
      <c r="V9" s="38" t="inlineStr">
        <is>
          <t>6471057112780013</t>
        </is>
      </c>
      <c r="W9" s="38" t="inlineStr">
        <is>
          <t>6471051906080002</t>
        </is>
      </c>
      <c r="X9" s="9" t="n"/>
      <c r="Y9" s="9" t="n"/>
      <c r="Z9" s="9" t="inlineStr">
        <is>
          <t>BARU dari scan: BARNABAS MUKHTAR-KARTU KELUARGA.jpg Terisi otomatis dari scan: Agama, Jenis Kelamin, No KK (opsional), Paroki/Gereja Krisma, Pendidikan Terakhir, Profesi. Hubungan dalam KK: ISTRI.</t>
        </is>
      </c>
    </row>
    <row r="10" ht="14.25" customHeight="1" s="37">
      <c r="A10" s="41" t="inlineStr">
        <is>
          <t>UM00193</t>
        </is>
      </c>
      <c r="B10" s="38" t="inlineStr">
        <is>
          <t>KK0073</t>
        </is>
      </c>
      <c r="C10" s="9" t="inlineStr">
        <is>
          <t>VALENTINA YUHAJNORA ROSARI</t>
        </is>
      </c>
      <c r="D10" s="9" t="inlineStr">
        <is>
          <t>Wanita/Perempuan</t>
        </is>
      </c>
      <c r="E10" s="44" t="n">
        <v>37090</v>
      </c>
      <c r="F10" s="9">
        <f>IF(E10="","",DATEDIF(E10,DATE(2026,12,31),"Y"))</f>
        <v/>
      </c>
      <c r="G10" s="9" t="inlineStr">
        <is>
          <t>Katolik</t>
        </is>
      </c>
      <c r="H10" s="9" t="inlineStr">
        <is>
          <t>St. Maria Immacula</t>
        </is>
      </c>
      <c r="I10" s="9" t="n"/>
      <c r="J10" s="9" t="n"/>
      <c r="K10" s="9" t="inlineStr">
        <is>
          <t>Aktif</t>
        </is>
      </c>
      <c r="L10" s="9" t="n"/>
      <c r="M10" s="9" t="n"/>
      <c r="N10" s="9" t="n"/>
      <c r="O10" s="9" t="n"/>
      <c r="P10" s="9" t="n"/>
      <c r="Q10" s="44" t="n">
        <v>43436</v>
      </c>
      <c r="R10" s="9" t="inlineStr">
        <is>
          <t>St. Klement I Balikpapan</t>
        </is>
      </c>
      <c r="S10" s="9" t="inlineStr">
        <is>
          <t>SLTP/SEDERAJAT</t>
        </is>
      </c>
      <c r="T10" s="9" t="inlineStr">
        <is>
          <t>PELAJAR/MAHASISWA</t>
        </is>
      </c>
      <c r="U10" s="9" t="n"/>
      <c r="V10" s="38" t="inlineStr">
        <is>
          <t>6471055807010002</t>
        </is>
      </c>
      <c r="W10" s="38" t="inlineStr">
        <is>
          <t>6471051906080002</t>
        </is>
      </c>
      <c r="X10" s="9" t="n"/>
      <c r="Y10" s="9" t="n"/>
      <c r="Z10" s="9" t="inlineStr">
        <is>
          <t>BARU dari scan: BARNABAS MUKHTAR-KARTU KELUARGA.jpg Terisi otomatis dari scan: Agama, Jenis Kelamin, No KK (opsional), Paroki/Gereja Krisma, Pendidikan Terakhir, Profesi, Tanggal Krisma. Hubungan dalam KK: ANAK.</t>
        </is>
      </c>
    </row>
    <row r="11" ht="14.25" customHeight="1" s="37">
      <c r="A11" s="41" t="inlineStr">
        <is>
          <t>UM00194</t>
        </is>
      </c>
      <c r="B11" s="38" t="inlineStr">
        <is>
          <t>KK0073</t>
        </is>
      </c>
      <c r="C11" s="9" t="inlineStr">
        <is>
          <t>VALENTINUS HENDY DEROSARI</t>
        </is>
      </c>
      <c r="D11" s="9" t="inlineStr">
        <is>
          <t>Pria/Laki-laki</t>
        </is>
      </c>
      <c r="E11" s="44" t="n">
        <v>39568</v>
      </c>
      <c r="F11" s="9">
        <f>IF(E11="","",DATEDIF(E11,DATE(2026,12,31),"Y"))</f>
        <v/>
      </c>
      <c r="G11" s="9" t="inlineStr">
        <is>
          <t>Katolik</t>
        </is>
      </c>
      <c r="H11" s="9" t="inlineStr">
        <is>
          <t>St. Maria Immacula</t>
        </is>
      </c>
      <c r="I11" s="9" t="n"/>
      <c r="J11" s="9" t="n"/>
      <c r="K11" s="9" t="inlineStr">
        <is>
          <t>Aktif</t>
        </is>
      </c>
      <c r="L11" s="9" t="n"/>
      <c r="M11" s="9" t="n"/>
      <c r="N11" s="9" t="n"/>
      <c r="O11" s="9" t="n"/>
      <c r="P11" s="9" t="n"/>
      <c r="Q11" s="9" t="n"/>
      <c r="R11" s="9" t="n"/>
      <c r="S11" s="9" t="inlineStr">
        <is>
          <t>TDK/BELUM TAMAT SD</t>
        </is>
      </c>
      <c r="T11" s="9" t="inlineStr">
        <is>
          <t>PELAJAR/MAHASISWA</t>
        </is>
      </c>
      <c r="U11" s="9" t="n"/>
      <c r="V11" s="38" t="inlineStr">
        <is>
          <t>6471053004080001</t>
        </is>
      </c>
      <c r="W11" s="38" t="inlineStr">
        <is>
          <t>6471051906080002</t>
        </is>
      </c>
      <c r="X11" s="9" t="n"/>
      <c r="Y11" s="9" t="n"/>
      <c r="Z11" s="9" t="inlineStr">
        <is>
          <t>BARU dari scan: BARNABAS MUKHTAR-KARTU KELUARGA.jpg Terisi otomatis dari scan: Agama, Jenis Kelamin, No KK (opsional), Pendidikan Terakhir, Profesi. Hubungan dalam KK: ANAK.</t>
        </is>
      </c>
    </row>
    <row r="12" ht="14.25" customHeight="1" s="37">
      <c r="A12" s="41" t="inlineStr">
        <is>
          <t>UM00195</t>
        </is>
      </c>
      <c r="B12" s="38" t="inlineStr">
        <is>
          <t>KK0073</t>
        </is>
      </c>
      <c r="C12" s="9" t="inlineStr">
        <is>
          <t>HENDRIKUS RUSDIANTO</t>
        </is>
      </c>
      <c r="D12" s="9" t="inlineStr">
        <is>
          <t>Pria/Laki-laki</t>
        </is>
      </c>
      <c r="E12" s="44" t="n">
        <v>35770</v>
      </c>
      <c r="F12" s="9">
        <f>IF(E12="","",DATEDIF(E12,DATE(2026,12,31),"Y"))</f>
        <v/>
      </c>
      <c r="G12" s="9" t="inlineStr">
        <is>
          <t>Katolik</t>
        </is>
      </c>
      <c r="H12" s="9" t="inlineStr">
        <is>
          <t>St. Maria Immacula</t>
        </is>
      </c>
      <c r="I12" s="9" t="n"/>
      <c r="J12" s="9" t="n"/>
      <c r="K12" s="9" t="inlineStr">
        <is>
          <t>Aktif</t>
        </is>
      </c>
      <c r="L12" s="9" t="n"/>
      <c r="M12" s="9" t="n"/>
      <c r="N12" s="9" t="n"/>
      <c r="O12" s="9" t="n"/>
      <c r="P12" s="9" t="n"/>
      <c r="Q12" s="9" t="n"/>
      <c r="R12" s="9" t="n"/>
      <c r="S12" s="9" t="inlineStr">
        <is>
          <t>SLTA/SEDERAJAT</t>
        </is>
      </c>
      <c r="T12" s="9" t="inlineStr">
        <is>
          <t>TIDAK BEKERJA</t>
        </is>
      </c>
      <c r="U12" s="9" t="n"/>
      <c r="V12" s="38" t="inlineStr">
        <is>
          <t>5203130612970002</t>
        </is>
      </c>
      <c r="W12" s="38" t="inlineStr">
        <is>
          <t>6471051906080002</t>
        </is>
      </c>
      <c r="X12" s="9" t="n"/>
      <c r="Y12" s="9" t="n"/>
      <c r="Z12" s="9" t="inlineStr">
        <is>
          <t>BARU dari scan: BARNABAS MUKHTAR-KARTU KELUARGA.jpg Terisi otomatis dari scan: Agama, Jenis Kelamin, No KK (opsional), Pendidikan Terakhir, Profesi. Hubungan dalam KK: FAMILI LAIN.</t>
        </is>
      </c>
    </row>
    <row r="13" ht="14.25" customHeight="1" s="37">
      <c r="A13" s="41" t="inlineStr">
        <is>
          <t>UM00196</t>
        </is>
      </c>
      <c r="B13" s="38" t="inlineStr">
        <is>
          <t>KK0014</t>
        </is>
      </c>
      <c r="C13" s="9" t="inlineStr">
        <is>
          <t>BENHUR MALAU</t>
        </is>
      </c>
      <c r="D13" s="9" t="inlineStr">
        <is>
          <t>Pria/Laki-laki</t>
        </is>
      </c>
      <c r="E13" s="44" t="n">
        <v>26206</v>
      </c>
      <c r="F13" s="9">
        <f>IF(E13="","",DATEDIF(E13,DATE(2026,12,31),"Y"))</f>
        <v/>
      </c>
      <c r="G13" s="9" t="inlineStr">
        <is>
          <t>Katolik</t>
        </is>
      </c>
      <c r="H13" s="9" t="inlineStr">
        <is>
          <t>St. Maria Immacula</t>
        </is>
      </c>
      <c r="I13" s="9" t="n"/>
      <c r="J13" s="9" t="n"/>
      <c r="K13" s="9" t="inlineStr">
        <is>
          <t>Aktif</t>
        </is>
      </c>
      <c r="L13" s="9" t="n"/>
      <c r="M13" s="9" t="n"/>
      <c r="N13" s="9" t="n"/>
      <c r="O13" s="9" t="n"/>
      <c r="P13" s="9" t="n"/>
      <c r="Q13" s="9" t="n"/>
      <c r="R13" s="9" t="n"/>
      <c r="S13" s="9" t="inlineStr">
        <is>
          <t>SLTA/SEDERAJAT</t>
        </is>
      </c>
      <c r="T13" s="9" t="inlineStr">
        <is>
          <t>KARYAWAN SWASTA</t>
        </is>
      </c>
      <c r="U13" s="9" t="n"/>
      <c r="V13" s="38" t="inlineStr">
        <is>
          <t>6471013009710002</t>
        </is>
      </c>
      <c r="W13" s="38" t="inlineStr">
        <is>
          <t>6471052806160018</t>
        </is>
      </c>
      <c r="X13" s="9" t="n"/>
      <c r="Y13" s="9" t="n"/>
      <c r="Z13" s="9" t="inlineStr">
        <is>
          <t>BARU dari scan: BENHUR MALAU-KARTU KELUARGA.jpg Terisi otomatis dari scan: Agama, Jenis Kelamin, No KK (opsional), Pendidikan Terakhir, Profesi. Hubungan dalam KK: KEPALA KELUARGA.</t>
        </is>
      </c>
    </row>
    <row r="14" ht="14.25" customHeight="1" s="37">
      <c r="A14" s="41" t="inlineStr">
        <is>
          <t>UM00197</t>
        </is>
      </c>
      <c r="B14" s="38" t="inlineStr">
        <is>
          <t>KK0014</t>
        </is>
      </c>
      <c r="C14" s="9" t="inlineStr">
        <is>
          <t>NETTY NAPITUPULU</t>
        </is>
      </c>
      <c r="D14" s="9" t="inlineStr">
        <is>
          <t>Wanita/Perempuan</t>
        </is>
      </c>
      <c r="E14" s="44" t="n">
        <v>28467</v>
      </c>
      <c r="F14" s="9">
        <f>IF(E14="","",DATEDIF(E14,DATE(2026,12,31),"Y"))</f>
        <v/>
      </c>
      <c r="G14" s="9" t="inlineStr">
        <is>
          <t>Katolik</t>
        </is>
      </c>
      <c r="H14" s="9" t="inlineStr">
        <is>
          <t>St. Maria Immacula</t>
        </is>
      </c>
      <c r="I14" s="9" t="n"/>
      <c r="J14" s="9" t="n"/>
      <c r="K14" s="9" t="inlineStr">
        <is>
          <t>Aktif</t>
        </is>
      </c>
      <c r="L14" s="9" t="n"/>
      <c r="M14" s="9" t="n"/>
      <c r="N14" s="9" t="n"/>
      <c r="O14" s="9" t="n"/>
      <c r="P14" s="9" t="n"/>
      <c r="Q14" s="9" t="n"/>
      <c r="R14" s="9" t="n"/>
      <c r="S14" s="9" t="inlineStr">
        <is>
          <t>SLTA/SEDERAJAT</t>
        </is>
      </c>
      <c r="T14" s="9" t="inlineStr">
        <is>
          <t>IBU RUMAH TANGGA</t>
        </is>
      </c>
      <c r="U14" s="9" t="n"/>
      <c r="V14" s="38" t="inlineStr">
        <is>
          <t>6471014812770002</t>
        </is>
      </c>
      <c r="W14" s="38" t="inlineStr">
        <is>
          <t>6471052806160018</t>
        </is>
      </c>
      <c r="X14" s="9" t="n"/>
      <c r="Y14" s="9" t="n"/>
      <c r="Z14" s="9" t="inlineStr">
        <is>
          <t>BARU dari scan: BENHUR MALAU-KARTU KELUARGA.jpg Terisi otomatis dari scan: Agama, Jenis Kelamin, No KK (opsional), Pendidikan Terakhir, Profesi. Hubungan dalam KK: ISTRI.</t>
        </is>
      </c>
    </row>
    <row r="15" ht="14.25" customHeight="1" s="37">
      <c r="A15" s="41" t="inlineStr">
        <is>
          <t>UM00198</t>
        </is>
      </c>
      <c r="B15" s="38" t="inlineStr">
        <is>
          <t>KK0014</t>
        </is>
      </c>
      <c r="C15" s="9" t="inlineStr">
        <is>
          <t>AGNES MONICA PUTRI MALAU</t>
        </is>
      </c>
      <c r="D15" s="9" t="inlineStr">
        <is>
          <t>Wanita/Perempuan</t>
        </is>
      </c>
      <c r="E15" s="44" t="n">
        <v>37751</v>
      </c>
      <c r="F15" s="9">
        <f>IF(E15="","",DATEDIF(E15,DATE(2026,12,31),"Y"))</f>
        <v/>
      </c>
      <c r="G15" s="9" t="inlineStr">
        <is>
          <t>Katolik</t>
        </is>
      </c>
      <c r="H15" s="9" t="inlineStr">
        <is>
          <t>St. Maria Immacula</t>
        </is>
      </c>
      <c r="I15" s="9" t="n"/>
      <c r="J15" s="9" t="n"/>
      <c r="K15" s="9" t="inlineStr">
        <is>
          <t>Aktif</t>
        </is>
      </c>
      <c r="L15" s="9" t="n"/>
      <c r="M15" s="9" t="n"/>
      <c r="N15" s="9" t="n"/>
      <c r="O15" s="9" t="n"/>
      <c r="P15" s="9" t="n"/>
      <c r="Q15" s="9" t="n"/>
      <c r="R15" s="9" t="n"/>
      <c r="S15" s="9" t="inlineStr">
        <is>
          <t>SD/SEDERAJAT</t>
        </is>
      </c>
      <c r="T15" s="9" t="inlineStr">
        <is>
          <t>PELAJAR/MAHASISWA</t>
        </is>
      </c>
      <c r="U15" s="9" t="n"/>
      <c r="V15" s="38" t="inlineStr">
        <is>
          <t>6471015005030002</t>
        </is>
      </c>
      <c r="W15" s="38" t="inlineStr">
        <is>
          <t>6471052806160018</t>
        </is>
      </c>
      <c r="X15" s="9" t="n"/>
      <c r="Y15" s="9" t="n"/>
      <c r="Z15" s="9" t="inlineStr">
        <is>
          <t>BARU dari scan: BENHUR MALAU-KARTU KELUARGA.jpg Terisi otomatis dari scan: Agama, Jenis Kelamin, No KK (opsional), Pendidikan Terakhir, Profesi. Hubungan dalam KK: ANAK.</t>
        </is>
      </c>
    </row>
    <row r="16" ht="14.25" customHeight="1" s="37">
      <c r="A16" s="41" t="inlineStr">
        <is>
          <t>UM00199</t>
        </is>
      </c>
      <c r="B16" s="38" t="inlineStr">
        <is>
          <t>KK0014</t>
        </is>
      </c>
      <c r="C16" s="9" t="inlineStr">
        <is>
          <t>STEFANIE SOLUNA MALAU</t>
        </is>
      </c>
      <c r="D16" s="9" t="inlineStr">
        <is>
          <t>Wanita/Perempuan</t>
        </is>
      </c>
      <c r="E16" s="44" t="n">
        <v>39474</v>
      </c>
      <c r="F16" s="9">
        <f>IF(E16="","",DATEDIF(E16,DATE(2026,12,31),"Y"))</f>
        <v/>
      </c>
      <c r="G16" s="9" t="inlineStr">
        <is>
          <t>Katolik</t>
        </is>
      </c>
      <c r="H16" s="9" t="inlineStr">
        <is>
          <t>St. Maria Immacula</t>
        </is>
      </c>
      <c r="I16" s="9" t="n"/>
      <c r="J16" s="9" t="n"/>
      <c r="K16" s="9" t="inlineStr">
        <is>
          <t>Aktif</t>
        </is>
      </c>
      <c r="L16" s="9" t="n"/>
      <c r="M16" s="9" t="n"/>
      <c r="N16" s="9" t="n"/>
      <c r="O16" s="9" t="n"/>
      <c r="P16" s="9" t="n"/>
      <c r="Q16" s="9" t="n"/>
      <c r="R16" s="9" t="n"/>
      <c r="S16" s="9" t="inlineStr">
        <is>
          <t>TDK/BELUM TAMAT SD</t>
        </is>
      </c>
      <c r="T16" s="9" t="inlineStr">
        <is>
          <t>PELAJAR/MAHASISWA</t>
        </is>
      </c>
      <c r="U16" s="9" t="n"/>
      <c r="V16" s="38" t="inlineStr">
        <is>
          <t>6471016701070002</t>
        </is>
      </c>
      <c r="W16" s="38" t="inlineStr">
        <is>
          <t>6471052806160018</t>
        </is>
      </c>
      <c r="X16" s="9" t="n"/>
      <c r="Y16" s="9" t="n"/>
      <c r="Z16" s="9" t="inlineStr">
        <is>
          <t>BARU dari scan: BENHUR MALAU-KARTU KELUARGA.jpg Terisi otomatis dari scan: Agama, Jenis Kelamin, No KK (opsional), Pendidikan Terakhir, Profesi. Hubungan dalam KK: ANAK.</t>
        </is>
      </c>
    </row>
    <row r="17" ht="14.25" customHeight="1" s="37">
      <c r="A17" s="41" t="inlineStr">
        <is>
          <t>UM00200</t>
        </is>
      </c>
      <c r="B17" s="38" t="inlineStr">
        <is>
          <t>KK0074</t>
        </is>
      </c>
      <c r="C17" s="9" t="inlineStr">
        <is>
          <t>DARIANUS EGAR</t>
        </is>
      </c>
      <c r="D17" s="40" t="n"/>
      <c r="E17" s="44" t="n">
        <v>27885</v>
      </c>
      <c r="F17" s="9">
        <f>IF(E17="","",DATEDIF(E17,DATE(2026,12,31),"Y"))</f>
        <v/>
      </c>
      <c r="G17" s="9" t="inlineStr">
        <is>
          <t>Katolik</t>
        </is>
      </c>
      <c r="H17" s="9" t="inlineStr">
        <is>
          <t>St. Maria Immacula</t>
        </is>
      </c>
      <c r="I17" s="9" t="n"/>
      <c r="J17" s="9" t="n"/>
      <c r="K17" s="9" t="inlineStr">
        <is>
          <t>Aktif</t>
        </is>
      </c>
      <c r="L17" s="9" t="n"/>
      <c r="M17" s="9" t="n"/>
      <c r="N17" s="9" t="n"/>
      <c r="O17" s="9" t="n"/>
      <c r="P17" s="9" t="n"/>
      <c r="Q17" s="9" t="n"/>
      <c r="R17" s="9" t="n"/>
      <c r="S17" s="9" t="inlineStr">
        <is>
          <t>SLTA/SEDERAJAT</t>
        </is>
      </c>
      <c r="T17" s="9" t="inlineStr">
        <is>
          <t>KARYAWAN SWASTA</t>
        </is>
      </c>
      <c r="U17" s="9" t="n"/>
      <c r="V17" s="38" t="inlineStr">
        <is>
          <t>6471050505760022</t>
        </is>
      </c>
      <c r="W17" s="38" t="inlineStr">
        <is>
          <t>6471052108070007</t>
        </is>
      </c>
      <c r="X17" s="9" t="n"/>
      <c r="Y17" s="9" t="n"/>
      <c r="Z17" s="9" t="inlineStr">
        <is>
          <t>BARU dari scan: DARIANUS EGAR - KARTU KELUARGA.jpg Terisi otomatis dari scan: Agama, No KK (opsional), Pendidikan Terakhir, Profesi. Hubungan dalam KK: KEPALA KELUARGA.</t>
        </is>
      </c>
    </row>
    <row r="18" ht="14.25" customHeight="1" s="37">
      <c r="A18" s="41" t="inlineStr">
        <is>
          <t>UM00201</t>
        </is>
      </c>
      <c r="B18" s="38" t="inlineStr">
        <is>
          <t>KK0074</t>
        </is>
      </c>
      <c r="C18" s="9" t="inlineStr">
        <is>
          <t>MARTINA NITA</t>
        </is>
      </c>
      <c r="D18" s="9" t="inlineStr">
        <is>
          <t>Wanita/Perempuan</t>
        </is>
      </c>
      <c r="E18" s="44" t="n">
        <v>28604</v>
      </c>
      <c r="F18" s="9">
        <f>IF(E18="","",DATEDIF(E18,DATE(2026,12,31),"Y"))</f>
        <v/>
      </c>
      <c r="G18" s="9" t="inlineStr">
        <is>
          <t>Katolik</t>
        </is>
      </c>
      <c r="H18" s="9" t="inlineStr">
        <is>
          <t>St. Maria Immacula</t>
        </is>
      </c>
      <c r="I18" s="9" t="n"/>
      <c r="J18" s="9" t="inlineStr">
        <is>
          <t>JL. MT. HARYONO NO. 25 RT 055</t>
        </is>
      </c>
      <c r="K18" s="9" t="inlineStr">
        <is>
          <t>Aktif</t>
        </is>
      </c>
      <c r="L18" s="9" t="n"/>
      <c r="M18" s="9" t="n"/>
      <c r="N18" s="9" t="n"/>
      <c r="O18" s="9" t="n"/>
      <c r="P18" s="9" t="n"/>
      <c r="Q18" s="9" t="n"/>
      <c r="R18" s="9" t="n"/>
      <c r="S18" s="9" t="inlineStr">
        <is>
          <t>TAMAT SD/SEDERAJAT</t>
        </is>
      </c>
      <c r="T18" s="9" t="inlineStr">
        <is>
          <t>PEMBANTU RUMAH TANGGA</t>
        </is>
      </c>
      <c r="U18" s="9" t="inlineStr">
        <is>
          <t>O</t>
        </is>
      </c>
      <c r="V18" s="38" t="inlineStr">
        <is>
          <t>6471056404780002</t>
        </is>
      </c>
      <c r="W18" s="38" t="inlineStr">
        <is>
          <t>6471052108070007</t>
        </is>
      </c>
      <c r="X18" s="9" t="n"/>
      <c r="Y18" s="9" t="n"/>
      <c r="Z18" s="9" t="inlineStr">
        <is>
          <t>BARU dari scan: DARIANUS EGAR - KARTU KELUARGA.jpg Terisi otomatis dari scan: Agama, Daerah/Desa, Golongan Darah, Jenis Kelamin, No KK (opsional), Pendidikan Terakhir, Profesi. Hubungan dalam KK: ISTRI.</t>
        </is>
      </c>
    </row>
    <row r="19" ht="14.25" customHeight="1" s="37">
      <c r="A19" s="41" t="inlineStr">
        <is>
          <t>UM00202</t>
        </is>
      </c>
      <c r="B19" s="38" t="inlineStr">
        <is>
          <t>KK0075</t>
        </is>
      </c>
      <c r="C19" s="9" t="inlineStr">
        <is>
          <t>MANGAPUL MANIK</t>
        </is>
      </c>
      <c r="D19" s="9" t="inlineStr">
        <is>
          <t>Pria/Laki-laki</t>
        </is>
      </c>
      <c r="E19" s="44" t="n">
        <v>19797</v>
      </c>
      <c r="F19" s="9">
        <f>IF(E19="","",DATEDIF(E19,DATE(2026,12,31),"Y"))</f>
        <v/>
      </c>
      <c r="G19" s="9" t="inlineStr">
        <is>
          <t>Katolik</t>
        </is>
      </c>
      <c r="H19" s="9" t="inlineStr">
        <is>
          <t>St. Maria Immacula</t>
        </is>
      </c>
      <c r="I19" s="9" t="n"/>
      <c r="J19" s="9" t="inlineStr">
        <is>
          <t>JL. PRONA III NO. 62 RT. 054/000</t>
        </is>
      </c>
      <c r="K19" s="9" t="inlineStr">
        <is>
          <t>Aktif</t>
        </is>
      </c>
      <c r="L19" s="9" t="n"/>
      <c r="M19" s="9" t="n"/>
      <c r="N19" s="9" t="n"/>
      <c r="O19" s="9" t="n"/>
      <c r="P19" s="9" t="n"/>
      <c r="Q19" s="44" t="n">
        <v>26223</v>
      </c>
      <c r="R19" s="9" t="inlineStr">
        <is>
          <t>Paroki S. Mikael Pangururan Samosir</t>
        </is>
      </c>
      <c r="S19" s="9" t="inlineStr">
        <is>
          <t>AKADEMI/DIPLOMA III/SARJANA MUDA</t>
        </is>
      </c>
      <c r="T19" s="9" t="inlineStr">
        <is>
          <t>BURUH HARIAN LEPAS</t>
        </is>
      </c>
      <c r="U19" s="9" t="inlineStr">
        <is>
          <t>AB</t>
        </is>
      </c>
      <c r="V19" s="38" t="inlineStr">
        <is>
          <t>6471051403540003</t>
        </is>
      </c>
      <c r="W19" s="38" t="inlineStr">
        <is>
          <t>6471050103100079</t>
        </is>
      </c>
      <c r="X19" s="9" t="n"/>
      <c r="Y19" s="9" t="n"/>
      <c r="Z19" s="9" t="inlineStr">
        <is>
          <t>BARU dari scan: MANGAPUL MANIK - KARTU KELUARGA.jpg Terisi otomatis dari scan: Agama, Daerah/Desa, Golongan Darah, Jenis Kelamin, No KK (opsional), Paroki/Gereja Krisma, Pendidikan Terakhir, Profesi, Tanggal Krisma. Hubungan dalam KK: KEPALA KELUARGA.</t>
        </is>
      </c>
    </row>
    <row r="20" ht="14.25" customHeight="1" s="37">
      <c r="A20" s="41" t="inlineStr">
        <is>
          <t>UM00203</t>
        </is>
      </c>
      <c r="B20" s="38" t="inlineStr">
        <is>
          <t>KK0075</t>
        </is>
      </c>
      <c r="C20" s="9" t="inlineStr">
        <is>
          <t>RESTAULINA NAIBAHO</t>
        </is>
      </c>
      <c r="D20" s="9" t="inlineStr">
        <is>
          <t>Wanita/Perempuan</t>
        </is>
      </c>
      <c r="E20" s="44" t="n">
        <v>22294</v>
      </c>
      <c r="F20" s="9">
        <f>IF(E20="","",DATEDIF(E20,DATE(2026,12,31),"Y"))</f>
        <v/>
      </c>
      <c r="G20" s="9" t="inlineStr">
        <is>
          <t>Katolik</t>
        </is>
      </c>
      <c r="H20" s="9" t="inlineStr">
        <is>
          <t>St. Maria Immacula</t>
        </is>
      </c>
      <c r="I20" s="9" t="n"/>
      <c r="J20" s="9" t="inlineStr">
        <is>
          <t>JL. PRONA III NO 62 RT/RW 054/000</t>
        </is>
      </c>
      <c r="K20" s="9" t="inlineStr">
        <is>
          <t>Aktif</t>
        </is>
      </c>
      <c r="L20" s="44" t="n">
        <v>24536</v>
      </c>
      <c r="M20" s="9" t="inlineStr">
        <is>
          <t>Pangururan</t>
        </is>
      </c>
      <c r="N20" s="38" t="inlineStr">
        <is>
          <t>LIBER III PAG. 149 NO. 2374</t>
        </is>
      </c>
      <c r="O20" s="9" t="n"/>
      <c r="P20" s="9" t="n"/>
      <c r="Q20" s="9" t="n"/>
      <c r="R20" s="9" t="n"/>
      <c r="S20" s="9" t="inlineStr">
        <is>
          <t>SLTA/SEDERAJAT</t>
        </is>
      </c>
      <c r="T20" s="9" t="inlineStr">
        <is>
          <t>MENGURUS RUMAH TANGGA</t>
        </is>
      </c>
      <c r="U20" s="9" t="inlineStr">
        <is>
          <t>O</t>
        </is>
      </c>
      <c r="V20" s="38" t="inlineStr">
        <is>
          <t>6471055301610001</t>
        </is>
      </c>
      <c r="W20" s="38" t="inlineStr">
        <is>
          <t>6471050103100079</t>
        </is>
      </c>
      <c r="X20" s="9" t="n"/>
      <c r="Y20" s="9" t="n"/>
      <c r="Z20" s="9" t="inlineStr">
        <is>
          <t>BARU dari scan: MANGAPUL MANIK - KARTU KELUARGA.jpg Terisi otomatis dari scan: Agama, Daerah/Desa, Golongan Darah, Jenis Kelamin, No Buku Baptis, No KK (opsional), Paroki/Gereja Baptis, Pendidikan Terakhir, Profesi, Tanggal Baptis. Hubungan dalam KK: ISTRI.</t>
        </is>
      </c>
    </row>
    <row r="21" ht="14.25" customHeight="1" s="37">
      <c r="A21" s="41" t="inlineStr">
        <is>
          <t>UM00204</t>
        </is>
      </c>
      <c r="B21" s="38" t="inlineStr">
        <is>
          <t>KK0075</t>
        </is>
      </c>
      <c r="C21" s="9" t="inlineStr">
        <is>
          <t>SOFIAN MANIK</t>
        </is>
      </c>
      <c r="D21" s="9" t="inlineStr">
        <is>
          <t>Pria/Laki-laki</t>
        </is>
      </c>
      <c r="E21" s="44" t="n">
        <v>31169</v>
      </c>
      <c r="F21" s="9">
        <f>IF(E21="","",DATEDIF(E21,DATE(2026,12,31),"Y"))</f>
        <v/>
      </c>
      <c r="G21" s="9" t="inlineStr">
        <is>
          <t>Katolik</t>
        </is>
      </c>
      <c r="H21" s="9" t="inlineStr">
        <is>
          <t>St. Maria Immacula</t>
        </is>
      </c>
      <c r="I21" s="9" t="n"/>
      <c r="J21" s="9" t="n"/>
      <c r="K21" s="9" t="inlineStr">
        <is>
          <t>Aktif</t>
        </is>
      </c>
      <c r="L21" s="9" t="n"/>
      <c r="M21" s="9" t="n"/>
      <c r="N21" s="9" t="n"/>
      <c r="O21" s="9" t="n"/>
      <c r="P21" s="9" t="n"/>
      <c r="Q21" s="9" t="n"/>
      <c r="R21" s="9" t="n"/>
      <c r="S21" s="9" t="inlineStr">
        <is>
          <t>SLTP/SEDERAJAT</t>
        </is>
      </c>
      <c r="T21" s="9" t="inlineStr">
        <is>
          <t>BELUM/TIDAK BEKERJA</t>
        </is>
      </c>
      <c r="U21" s="9" t="n"/>
      <c r="V21" s="38" t="inlineStr">
        <is>
          <t>6471050205850005</t>
        </is>
      </c>
      <c r="W21" s="38" t="inlineStr">
        <is>
          <t>6471050103100079</t>
        </is>
      </c>
      <c r="X21" s="9" t="n"/>
      <c r="Y21" s="9" t="n"/>
      <c r="Z21" s="9" t="inlineStr">
        <is>
          <t>BARU dari scan: MANGAPUL MANIK - KARTU KELUARGA.jpg Terisi otomatis dari scan: Agama, Jenis Kelamin, No KK (opsional), Pendidikan Terakhir, Profesi. Hubungan dalam KK: ANAK.</t>
        </is>
      </c>
    </row>
    <row r="22" ht="14.25" customHeight="1" s="37">
      <c r="A22" s="41" t="inlineStr">
        <is>
          <t>UM00205</t>
        </is>
      </c>
      <c r="B22" s="38" t="inlineStr">
        <is>
          <t>KK0076</t>
        </is>
      </c>
      <c r="C22" s="9" t="inlineStr">
        <is>
          <t>P.SUYATI</t>
        </is>
      </c>
      <c r="D22" s="9" t="inlineStr">
        <is>
          <t>Wanita/Perempuan</t>
        </is>
      </c>
      <c r="E22" s="44" t="n">
        <v>16473</v>
      </c>
      <c r="F22" s="9">
        <f>IF(E22="","",DATEDIF(E22,DATE(2026,12,31),"Y"))</f>
        <v/>
      </c>
      <c r="G22" s="9" t="inlineStr">
        <is>
          <t>Katolik</t>
        </is>
      </c>
      <c r="H22" s="9" t="inlineStr">
        <is>
          <t>St. Maria Immacula</t>
        </is>
      </c>
      <c r="I22" s="9" t="n"/>
      <c r="J22" s="9" t="inlineStr">
        <is>
          <t>JL MULAWARMAN GN.SLAMET RIADI RT. 012/000</t>
        </is>
      </c>
      <c r="K22" s="9" t="inlineStr">
        <is>
          <t>Aktif</t>
        </is>
      </c>
      <c r="L22" s="9" t="n"/>
      <c r="M22" s="9" t="n"/>
      <c r="N22" s="9" t="n"/>
      <c r="O22" s="9" t="n"/>
      <c r="P22" s="9" t="n"/>
      <c r="Q22" s="9" t="n"/>
      <c r="R22" s="9" t="n"/>
      <c r="S22" s="9" t="inlineStr">
        <is>
          <t>SLTP/SEDERAJAT</t>
        </is>
      </c>
      <c r="T22" s="9" t="inlineStr">
        <is>
          <t>MENGURUS RUMAH TANGGA</t>
        </is>
      </c>
      <c r="U22" s="9" t="inlineStr">
        <is>
          <t>A</t>
        </is>
      </c>
      <c r="V22" s="38" t="inlineStr">
        <is>
          <t>6471054502450001</t>
        </is>
      </c>
      <c r="W22" s="38" t="inlineStr">
        <is>
          <t>6471053011070019</t>
        </is>
      </c>
      <c r="X22" s="9" t="n"/>
      <c r="Y22" s="9" t="n"/>
      <c r="Z22" s="9" t="inlineStr">
        <is>
          <t>BARU dari scan: P. SUYATI-KARTU KELUARGA.jpg Terisi otomatis dari scan: Agama, Daerah/Desa, Golongan Darah, Jenis Kelamin, No KK (opsional), Pendidikan Terakhir, Profesi. Hubungan dalam KK: KEPALA KELUARGA.</t>
        </is>
      </c>
    </row>
    <row r="23" ht="14.25" customHeight="1" s="37">
      <c r="A23" s="41" t="inlineStr">
        <is>
          <t>UM00206</t>
        </is>
      </c>
      <c r="B23" s="38" t="inlineStr">
        <is>
          <t>KK0076</t>
        </is>
      </c>
      <c r="C23" s="9" t="inlineStr">
        <is>
          <t>APRINI DWI CHRISTANTY</t>
        </is>
      </c>
      <c r="D23" s="9" t="inlineStr">
        <is>
          <t>Wanita/Perempuan</t>
        </is>
      </c>
      <c r="E23" s="44" t="n">
        <v>24947</v>
      </c>
      <c r="F23" s="9">
        <f>IF(E23="","",DATEDIF(E23,DATE(2026,12,31),"Y"))</f>
        <v/>
      </c>
      <c r="G23" s="9" t="inlineStr">
        <is>
          <t>Katolik</t>
        </is>
      </c>
      <c r="H23" s="9" t="inlineStr">
        <is>
          <t>St. Maria Immacula</t>
        </is>
      </c>
      <c r="I23" s="9" t="n"/>
      <c r="J23" s="9" t="inlineStr">
        <is>
          <t>JL. MULAWARMAN GN. SLAMET RIADI RT. 012/000</t>
        </is>
      </c>
      <c r="K23" s="9" t="inlineStr">
        <is>
          <t>Aktif</t>
        </is>
      </c>
      <c r="L23" s="44" t="n">
        <v>28058</v>
      </c>
      <c r="M23" s="9" t="inlineStr">
        <is>
          <t>Sepinggan</t>
        </is>
      </c>
      <c r="N23" s="38" t="inlineStr">
        <is>
          <t>1.975</t>
        </is>
      </c>
      <c r="O23" s="9" t="n"/>
      <c r="P23" s="9" t="n"/>
      <c r="Q23" s="9" t="n"/>
      <c r="R23" s="9" t="n"/>
      <c r="S23" s="9" t="inlineStr">
        <is>
          <t>SLTA/SEDERAJAT</t>
        </is>
      </c>
      <c r="T23" s="9" t="inlineStr">
        <is>
          <t>KARYAWAN SWASTA</t>
        </is>
      </c>
      <c r="U23" s="9" t="inlineStr">
        <is>
          <t>A</t>
        </is>
      </c>
      <c r="V23" s="38" t="inlineStr">
        <is>
          <t>6471055904680003</t>
        </is>
      </c>
      <c r="W23" s="38" t="inlineStr">
        <is>
          <t>6471053011070019</t>
        </is>
      </c>
      <c r="X23" s="9" t="n"/>
      <c r="Y23" s="9" t="n"/>
      <c r="Z23" s="9" t="inlineStr">
        <is>
          <t>BARU dari scan: P. SUYATI-KARTU KELUARGA.jpg Terisi otomatis dari scan: Agama, Daerah/Desa, Golongan Darah, Jenis Kelamin, No Buku Baptis, No KK (opsional), Paroki/Gereja Baptis, Pendidikan Terakhir, Profesi, Tanggal Baptis. Hubungan dalam KK: ANAK.</t>
        </is>
      </c>
    </row>
    <row r="24" ht="14.25" customHeight="1" s="37">
      <c r="A24" s="41" t="inlineStr">
        <is>
          <t>UM00207</t>
        </is>
      </c>
      <c r="B24" s="38" t="inlineStr">
        <is>
          <t>KK0077</t>
        </is>
      </c>
      <c r="C24" s="9" t="inlineStr">
        <is>
          <t>PETRA KANISIA. D</t>
        </is>
      </c>
      <c r="D24" s="9" t="inlineStr">
        <is>
          <t>Wanita/Perempuan</t>
        </is>
      </c>
      <c r="E24" s="44" t="n">
        <v>24995</v>
      </c>
      <c r="F24" s="9">
        <f>IF(E24="","",DATEDIF(E24,DATE(2026,12,31),"Y"))</f>
        <v/>
      </c>
      <c r="G24" s="9" t="inlineStr">
        <is>
          <t>Katolik</t>
        </is>
      </c>
      <c r="H24" s="9" t="inlineStr">
        <is>
          <t>St. Maria Immacula</t>
        </is>
      </c>
      <c r="I24" s="9" t="n"/>
      <c r="J24" s="9" t="inlineStr">
        <is>
          <t>JL. MULAWARMAN RT 022/000</t>
        </is>
      </c>
      <c r="K24" s="9" t="inlineStr">
        <is>
          <t>Aktif</t>
        </is>
      </c>
      <c r="L24" s="9" t="n"/>
      <c r="M24" s="9" t="n"/>
      <c r="N24" s="9" t="n"/>
      <c r="O24" s="9" t="n"/>
      <c r="P24" s="9" t="n"/>
      <c r="Q24" s="9" t="n"/>
      <c r="R24" s="9" t="n"/>
      <c r="S24" s="9" t="inlineStr">
        <is>
          <t>SLTP/SEDERAJAT</t>
        </is>
      </c>
      <c r="T24" s="9" t="inlineStr">
        <is>
          <t>MENGURUS RUMAH TANGGA</t>
        </is>
      </c>
      <c r="U24" s="9" t="inlineStr">
        <is>
          <t>O</t>
        </is>
      </c>
      <c r="V24" s="38" t="inlineStr">
        <is>
          <t>6471054606680009</t>
        </is>
      </c>
      <c r="W24" s="38" t="inlineStr">
        <is>
          <t>6471051111250007</t>
        </is>
      </c>
      <c r="X24" s="9" t="n"/>
      <c r="Y24" s="9" t="n"/>
      <c r="Z24" s="9" t="inlineStr">
        <is>
          <t>BARU dari scan: PETRA KANISIA. D - KARTU KELUARGA.jpg Terisi otomatis dari scan: Agama, Daerah/Desa, Golongan Darah, Jenis Kelamin, No KK (opsional), Pendidikan Terakhir, Profesi. Hubungan dalam KK: KEPALA KELUARGA.</t>
        </is>
      </c>
    </row>
    <row r="25" ht="14.25" customHeight="1" s="37">
      <c r="A25" s="41" t="inlineStr">
        <is>
          <t>UM00208</t>
        </is>
      </c>
      <c r="B25" s="38" t="inlineStr">
        <is>
          <t>KK0077</t>
        </is>
      </c>
      <c r="C25" s="9" t="inlineStr">
        <is>
          <t>MARIA KRISTINA TITIN</t>
        </is>
      </c>
      <c r="D25" s="9" t="inlineStr">
        <is>
          <t>Wanita/Perempuan</t>
        </is>
      </c>
      <c r="E25" s="44" t="n">
        <v>35774</v>
      </c>
      <c r="F25" s="9">
        <f>IF(E25="","",DATEDIF(E25,DATE(2026,12,31),"Y"))</f>
        <v/>
      </c>
      <c r="G25" s="9" t="inlineStr">
        <is>
          <t>Katolik</t>
        </is>
      </c>
      <c r="H25" s="9" t="inlineStr">
        <is>
          <t>St. Maria Immacula</t>
        </is>
      </c>
      <c r="I25" s="9" t="n"/>
      <c r="J25" s="9" t="n"/>
      <c r="K25" s="9" t="inlineStr">
        <is>
          <t>Aktif</t>
        </is>
      </c>
      <c r="L25" s="44" t="n">
        <v>36953</v>
      </c>
      <c r="M25" s="9" t="inlineStr">
        <is>
          <t>TANAH GROGOT, PASIR, KALTIM.</t>
        </is>
      </c>
      <c r="N25" s="38" t="inlineStr">
        <is>
          <t>1282</t>
        </is>
      </c>
      <c r="O25" s="9" t="n"/>
      <c r="P25" s="9" t="n"/>
      <c r="Q25" s="9" t="n"/>
      <c r="R25" s="9" t="n"/>
      <c r="S25" s="9" t="inlineStr">
        <is>
          <t>TAMAT SD/SEDERAJAT</t>
        </is>
      </c>
      <c r="T25" s="9" t="inlineStr">
        <is>
          <t>PELAJAR/MAHASISWA</t>
        </is>
      </c>
      <c r="U25" s="9" t="n"/>
      <c r="V25" s="38" t="inlineStr">
        <is>
          <t>6471055012970006</t>
        </is>
      </c>
      <c r="W25" s="38" t="inlineStr">
        <is>
          <t>6471051111250007</t>
        </is>
      </c>
      <c r="X25" s="9" t="n"/>
      <c r="Y25" s="9" t="n"/>
      <c r="Z25" s="9" t="inlineStr">
        <is>
          <t>BARU dari scan: PETRA KANISIA. D - KARTU KELUARGA.jpg Terisi otomatis dari scan: Agama, Jenis Kelamin, No Buku Baptis, No KK (opsional), Paroki/Gereja Baptis, Pendidikan Terakhir, Profesi, Tanggal Baptis. Hubungan dalam KK: ANAK.</t>
        </is>
      </c>
    </row>
    <row r="26" ht="14.25" customHeight="1" s="37">
      <c r="A26" s="41" t="inlineStr">
        <is>
          <t>UM00209</t>
        </is>
      </c>
      <c r="B26" s="38" t="inlineStr">
        <is>
          <t>KK0077</t>
        </is>
      </c>
      <c r="C26" s="9" t="inlineStr">
        <is>
          <t>AGUSTINUS HELDER CEMARA</t>
        </is>
      </c>
      <c r="D26" s="9" t="inlineStr">
        <is>
          <t>Pria/Laki-laki</t>
        </is>
      </c>
      <c r="E26" s="44" t="n">
        <v>36762</v>
      </c>
      <c r="F26" s="9">
        <f>IF(E26="","",DATEDIF(E26,DATE(2026,12,31),"Y"))</f>
        <v/>
      </c>
      <c r="G26" s="9" t="inlineStr">
        <is>
          <t>Katolik</t>
        </is>
      </c>
      <c r="H26" s="9" t="inlineStr">
        <is>
          <t>St. Maria Immacula</t>
        </is>
      </c>
      <c r="I26" s="9" t="n"/>
      <c r="J26" s="9" t="inlineStr">
        <is>
          <t>JL MULAWARMAN RT. 022/000</t>
        </is>
      </c>
      <c r="K26" s="9" t="inlineStr">
        <is>
          <t>Aktif</t>
        </is>
      </c>
      <c r="L26" s="44" t="n">
        <v>36949</v>
      </c>
      <c r="M26" s="9" t="inlineStr">
        <is>
          <t>TANAH GROGOT, PASIR, KALTIM.</t>
        </is>
      </c>
      <c r="N26" s="38" t="inlineStr">
        <is>
          <t>I</t>
        </is>
      </c>
      <c r="O26" s="9" t="n"/>
      <c r="P26" s="9" t="n"/>
      <c r="Q26" s="9" t="n"/>
      <c r="R26" s="9" t="n"/>
      <c r="S26" s="9" t="inlineStr">
        <is>
          <t>TAMAT SD/SEDERAJAT</t>
        </is>
      </c>
      <c r="T26" s="9" t="inlineStr">
        <is>
          <t>PELAJAR/MAHASISWA</t>
        </is>
      </c>
      <c r="U26" s="9" t="n"/>
      <c r="V26" s="38" t="inlineStr">
        <is>
          <t>6471052408000006</t>
        </is>
      </c>
      <c r="W26" s="38" t="inlineStr">
        <is>
          <t>6471051111250007</t>
        </is>
      </c>
      <c r="X26" s="9" t="n"/>
      <c r="Y26" s="9" t="n"/>
      <c r="Z26" s="9" t="inlineStr">
        <is>
          <t>BARU dari scan: PETRA KANISIA. D - KARTU KELUARGA.jpg Terisi otomatis dari scan: Agama, Daerah/Desa, Jenis Kelamin, No Buku Baptis, No KK (opsional), Paroki/Gereja Baptis, Pendidikan Terakhir, Profesi, Tanggal Baptis. Hubungan dalam KK: ANAK.</t>
        </is>
      </c>
    </row>
    <row r="27" ht="14.25" customHeight="1" s="37">
      <c r="A27" s="41" t="inlineStr">
        <is>
          <t>UM00210</t>
        </is>
      </c>
      <c r="B27" s="38" t="inlineStr">
        <is>
          <t>KK0078</t>
        </is>
      </c>
      <c r="C27" s="9" t="inlineStr">
        <is>
          <t>PIOTR MACIEJ OLSZEWSKI</t>
        </is>
      </c>
      <c r="D27" s="9" t="inlineStr">
        <is>
          <t>Pria/Laki-laki</t>
        </is>
      </c>
      <c r="E27" s="44" t="n">
        <v>25587</v>
      </c>
      <c r="F27" s="9">
        <f>IF(E27="","",DATEDIF(E27,DATE(2026,12,31),"Y"))</f>
        <v/>
      </c>
      <c r="G27" s="9" t="inlineStr">
        <is>
          <t>Katolik</t>
        </is>
      </c>
      <c r="H27" s="9" t="inlineStr">
        <is>
          <t>St. Maria Immacula</t>
        </is>
      </c>
      <c r="I27" s="9" t="n"/>
      <c r="J27" s="9" t="n"/>
      <c r="K27" s="9" t="inlineStr">
        <is>
          <t>Aktif</t>
        </is>
      </c>
      <c r="L27" s="9" t="n"/>
      <c r="M27" s="9" t="n"/>
      <c r="N27" s="9" t="n"/>
      <c r="O27" s="9" t="n"/>
      <c r="P27" s="9" t="n"/>
      <c r="Q27" s="9" t="n"/>
      <c r="R27" s="9" t="n"/>
      <c r="S27" s="9" t="inlineStr">
        <is>
          <t>OTHERS</t>
        </is>
      </c>
      <c r="T27" s="9" t="inlineStr">
        <is>
          <t>OTHERS</t>
        </is>
      </c>
      <c r="U27" s="9" t="n"/>
      <c r="V27" s="38" t="inlineStr">
        <is>
          <t>6471051901700007</t>
        </is>
      </c>
      <c r="W27" s="38" t="inlineStr">
        <is>
          <t>6471052807200001</t>
        </is>
      </c>
      <c r="X27" s="9" t="n"/>
      <c r="Y27" s="9" t="n"/>
      <c r="Z27" s="9" t="inlineStr">
        <is>
          <t>BARU dari scan: PIOTR-KARTU KELUARGA.jpg Terisi otomatis dari scan: Agama, Jenis Kelamin, No KK (opsional), Pendidikan Terakhir, Profesi. Hubungan dalam KK: KEPALA KELUARGA.</t>
        </is>
      </c>
    </row>
    <row r="28" ht="14.25" customHeight="1" s="37">
      <c r="A28" s="41" t="inlineStr">
        <is>
          <t>UM00211</t>
        </is>
      </c>
      <c r="B28" s="38" t="inlineStr">
        <is>
          <t>KK0078</t>
        </is>
      </c>
      <c r="C28" s="9" t="inlineStr">
        <is>
          <t>LUSIANA LIA</t>
        </is>
      </c>
      <c r="D28" s="9" t="inlineStr">
        <is>
          <t>Wanita/Perempuan</t>
        </is>
      </c>
      <c r="E28" s="44" t="n">
        <v>31031</v>
      </c>
      <c r="F28" s="9">
        <f>IF(E28="","",DATEDIF(E28,DATE(2026,12,31),"Y"))</f>
        <v/>
      </c>
      <c r="G28" s="9" t="inlineStr">
        <is>
          <t>Katolik</t>
        </is>
      </c>
      <c r="H28" s="9" t="inlineStr">
        <is>
          <t>St. Maria Immacula</t>
        </is>
      </c>
      <c r="I28" s="9" t="n"/>
      <c r="J28" s="9" t="n"/>
      <c r="K28" s="9" t="inlineStr">
        <is>
          <t>Aktif</t>
        </is>
      </c>
      <c r="L28" s="40" t="n"/>
      <c r="M28" s="9" t="inlineStr">
        <is>
          <t>ST. JOSEPH BONTANG KALTIM</t>
        </is>
      </c>
      <c r="N28" s="38" t="inlineStr">
        <is>
          <t>Buku I Hal 55 No.611</t>
        </is>
      </c>
      <c r="O28" s="9" t="n"/>
      <c r="P28" s="9" t="n"/>
      <c r="Q28" s="9" t="n"/>
      <c r="R28" s="9" t="n"/>
      <c r="S28" s="9" t="inlineStr">
        <is>
          <t>AKADEMI/DIPLOMA III/SARJANA MUDA</t>
        </is>
      </c>
      <c r="T28" s="9" t="inlineStr">
        <is>
          <t>BELUM/TIDAK BEKERJA</t>
        </is>
      </c>
      <c r="U28" s="9" t="n"/>
      <c r="V28" s="38" t="inlineStr">
        <is>
          <t>6471055512840009</t>
        </is>
      </c>
      <c r="W28" s="38" t="inlineStr">
        <is>
          <t>6471052807200001</t>
        </is>
      </c>
      <c r="X28" s="9" t="n"/>
      <c r="Y28" s="9" t="n"/>
      <c r="Z28" s="9" t="inlineStr">
        <is>
          <t>BARU dari scan: PIOTR-KARTU KELUARGA.jpg Terisi otomatis dari scan: Agama, Jenis Kelamin, No Buku Baptis, No KK (opsional), Paroki/Gereja Baptis, Pendidikan Terakhir, Profesi. Hubungan dalam KK: ISTRI.</t>
        </is>
      </c>
    </row>
    <row r="29" ht="14.25" customHeight="1" s="37">
      <c r="A29" s="41" t="inlineStr">
        <is>
          <t>UM00212</t>
        </is>
      </c>
      <c r="B29" s="38" t="inlineStr">
        <is>
          <t>KK0078</t>
        </is>
      </c>
      <c r="C29" s="9" t="inlineStr">
        <is>
          <t>MARYSIA BARBARA NUR OLSZEWSKA</t>
        </is>
      </c>
      <c r="D29" s="9" t="inlineStr">
        <is>
          <t>Wanita/Perempuan</t>
        </is>
      </c>
      <c r="E29" s="44" t="n">
        <v>42947</v>
      </c>
      <c r="F29" s="9">
        <f>IF(E29="","",DATEDIF(E29,DATE(2026,12,31),"Y"))</f>
        <v/>
      </c>
      <c r="G29" s="9" t="inlineStr">
        <is>
          <t>Katolik</t>
        </is>
      </c>
      <c r="H29" s="9" t="inlineStr">
        <is>
          <t>St. Maria Immacula</t>
        </is>
      </c>
      <c r="I29" s="9" t="n"/>
      <c r="J29" s="9" t="n"/>
      <c r="K29" s="9" t="inlineStr">
        <is>
          <t>Aktif</t>
        </is>
      </c>
      <c r="L29" s="9" t="n"/>
      <c r="M29" s="9" t="n"/>
      <c r="N29" s="9" t="n"/>
      <c r="O29" s="9" t="n"/>
      <c r="P29" s="9" t="n"/>
      <c r="Q29" s="9" t="n"/>
      <c r="R29" s="9" t="n"/>
      <c r="S29" s="9" t="inlineStr">
        <is>
          <t>TIDAK/BELUM SEKOLAH</t>
        </is>
      </c>
      <c r="T29" s="9" t="inlineStr">
        <is>
          <t>BELUM/TIDAK BEKERJA</t>
        </is>
      </c>
      <c r="U29" s="9" t="n"/>
      <c r="V29" s="38" t="inlineStr">
        <is>
          <t>6471057107170001</t>
        </is>
      </c>
      <c r="W29" s="38" t="inlineStr">
        <is>
          <t>6471052807200001</t>
        </is>
      </c>
      <c r="X29" s="9" t="n"/>
      <c r="Y29" s="9" t="n"/>
      <c r="Z29" s="9" t="inlineStr">
        <is>
          <t>BARU dari scan: PIOTR-KARTU KELUARGA.jpg Terisi otomatis dari scan: Agama, Jenis Kelamin, No KK (opsional), Pendidikan Terakhir, Profesi. Hubungan dalam KK: ANAK.</t>
        </is>
      </c>
    </row>
    <row r="30" ht="14.25" customHeight="1" s="37">
      <c r="A30" s="41" t="inlineStr">
        <is>
          <t>UM00213</t>
        </is>
      </c>
      <c r="B30" s="38" t="inlineStr">
        <is>
          <t>KK0078</t>
        </is>
      </c>
      <c r="C30" s="9" t="inlineStr">
        <is>
          <t>MALGOSIA NUR OLSZEWSKA</t>
        </is>
      </c>
      <c r="D30" s="9" t="inlineStr">
        <is>
          <t>Wanita/Perempuan</t>
        </is>
      </c>
      <c r="E30" s="44" t="n">
        <v>44869</v>
      </c>
      <c r="F30" s="9">
        <f>IF(E30="","",DATEDIF(E30,DATE(2026,12,31),"Y"))</f>
        <v/>
      </c>
      <c r="G30" s="9" t="inlineStr">
        <is>
          <t>Katolik</t>
        </is>
      </c>
      <c r="H30" s="9" t="inlineStr">
        <is>
          <t>St. Maria Immacula</t>
        </is>
      </c>
      <c r="I30" s="9" t="n"/>
      <c r="J30" s="9" t="n"/>
      <c r="K30" s="9" t="inlineStr">
        <is>
          <t>Aktif</t>
        </is>
      </c>
      <c r="L30" s="9" t="n"/>
      <c r="M30" s="9" t="n"/>
      <c r="N30" s="9" t="n"/>
      <c r="O30" s="9" t="n"/>
      <c r="P30" s="9" t="n"/>
      <c r="Q30" s="9" t="n"/>
      <c r="R30" s="9" t="n"/>
      <c r="S30" s="9" t="inlineStr">
        <is>
          <t>TIDAK/BELUM SEKOLAH</t>
        </is>
      </c>
      <c r="T30" s="9" t="inlineStr">
        <is>
          <t>BELUM/TIDAK BEKERJA</t>
        </is>
      </c>
      <c r="U30" s="9" t="n"/>
      <c r="V30" s="38" t="inlineStr">
        <is>
          <t>6471054411220005</t>
        </is>
      </c>
      <c r="W30" s="38" t="inlineStr">
        <is>
          <t>6471052807200001</t>
        </is>
      </c>
      <c r="X30" s="9" t="n"/>
      <c r="Y30" s="9" t="n"/>
      <c r="Z30" s="9" t="inlineStr">
        <is>
          <t>BARU dari scan: PIOTR-KARTU KELUARGA.jpg Terisi otomatis dari scan: Agama, Jenis Kelamin, No KK (opsional), Pendidikan Terakhir, Profesi. Hubungan dalam KK: ANAK.</t>
        </is>
      </c>
    </row>
    <row r="31" ht="14.25" customHeight="1" s="37">
      <c r="A31" s="41" t="inlineStr">
        <is>
          <t>UM00214</t>
        </is>
      </c>
      <c r="B31" s="38" t="inlineStr">
        <is>
          <t>KK0078</t>
        </is>
      </c>
      <c r="C31" s="9" t="inlineStr">
        <is>
          <t>MAREK PIOTR OLSZEWSKI</t>
        </is>
      </c>
      <c r="D31" s="9" t="inlineStr">
        <is>
          <t>Pria/Laki-laki</t>
        </is>
      </c>
      <c r="E31" s="44" t="n">
        <v>45559</v>
      </c>
      <c r="F31" s="9">
        <f>IF(E31="","",DATEDIF(E31,DATE(2026,12,31),"Y"))</f>
        <v/>
      </c>
      <c r="G31" s="40" t="inlineStr">
        <is>
          <t>Islam</t>
        </is>
      </c>
      <c r="H31" s="9" t="inlineStr">
        <is>
          <t>St. Maria Immacula</t>
        </is>
      </c>
      <c r="I31" s="9" t="n"/>
      <c r="J31" s="9" t="n"/>
      <c r="K31" s="9" t="inlineStr">
        <is>
          <t>Aktif</t>
        </is>
      </c>
      <c r="L31" s="9" t="n"/>
      <c r="M31" s="9" t="n"/>
      <c r="N31" s="9" t="n"/>
      <c r="O31" s="9" t="n"/>
      <c r="P31" s="9" t="n"/>
      <c r="Q31" s="9" t="n"/>
      <c r="R31" s="9" t="n"/>
      <c r="S31" s="9" t="inlineStr">
        <is>
          <t>TIDAK/BELUM SEKOLAH</t>
        </is>
      </c>
      <c r="T31" s="9" t="inlineStr">
        <is>
          <t>BELUM/TIDAK BEKERJA</t>
        </is>
      </c>
      <c r="U31" s="9" t="n"/>
      <c r="V31" s="38" t="inlineStr">
        <is>
          <t>6471052409240004</t>
        </is>
      </c>
      <c r="W31" s="38" t="inlineStr">
        <is>
          <t>6471052807200001</t>
        </is>
      </c>
      <c r="X31" s="9" t="n"/>
      <c r="Y31" s="9" t="n"/>
      <c r="Z31" s="9" t="inlineStr">
        <is>
          <t>BARU dari scan: PIOTR-KARTU KELUARGA.jpg Terisi otomatis dari scan: Agama, Jenis Kelamin, No KK (opsional), Pendidikan Terakhir, Profesi. Hubungan dalam KK: ANAK.</t>
        </is>
      </c>
    </row>
    <row r="32" ht="14.25" customHeight="1" s="37">
      <c r="A32" s="41" t="inlineStr">
        <is>
          <t>UM00215</t>
        </is>
      </c>
      <c r="B32" s="40" t="n"/>
      <c r="C32" s="9" t="inlineStr">
        <is>
          <t>ANTHONIUS SALEM</t>
        </is>
      </c>
      <c r="D32" s="40" t="n"/>
      <c r="E32" s="40" t="n"/>
      <c r="F32" s="9">
        <f>IF(E32="","",DATEDIF(E32,DATE(2026,12,31),"Y"))</f>
        <v/>
      </c>
      <c r="G32" s="40" t="n"/>
      <c r="H32" s="9" t="inlineStr">
        <is>
          <t>St. Maria Immacula</t>
        </is>
      </c>
      <c r="I32" s="9" t="n"/>
      <c r="J32" s="9" t="n"/>
      <c r="K32" s="9" t="inlineStr">
        <is>
          <t>Aktif</t>
        </is>
      </c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inlineStr">
        <is>
          <t>BARU dari scan: ANTHONIUS SALEM-KTP ANAK.jpg</t>
        </is>
      </c>
    </row>
    <row r="33" ht="14.25" customHeight="1" s="37">
      <c r="A33" s="41" t="inlineStr">
        <is>
          <t>UM00216</t>
        </is>
      </c>
      <c r="B33" s="40" t="n"/>
      <c r="C33" s="9" t="inlineStr">
        <is>
          <t>ANTONIUS ARY PRASETYO</t>
        </is>
      </c>
      <c r="D33" s="40" t="n"/>
      <c r="E33" s="40" t="n"/>
      <c r="F33" s="9">
        <f>IF(E33="","",DATEDIF(E33,DATE(2026,12,31),"Y"))</f>
        <v/>
      </c>
      <c r="G33" s="40" t="n"/>
      <c r="H33" s="9" t="inlineStr">
        <is>
          <t>St. Maria Immacula</t>
        </is>
      </c>
      <c r="I33" s="9" t="n"/>
      <c r="J33" s="9" t="n"/>
      <c r="K33" s="9" t="inlineStr">
        <is>
          <t>Aktif</t>
        </is>
      </c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inlineStr">
        <is>
          <t>BARU dari scan: ANTONIUS ARY PRASETYO-KTP ISTERI.jpg</t>
        </is>
      </c>
    </row>
    <row r="34" ht="14.25" customHeight="1" s="37">
      <c r="A34" s="41" t="inlineStr">
        <is>
          <t>UM00217</t>
        </is>
      </c>
      <c r="B34" s="40" t="n"/>
      <c r="C34" s="9" t="inlineStr">
        <is>
          <t>ARSINUS PURBA</t>
        </is>
      </c>
      <c r="D34" s="40" t="n"/>
      <c r="E34" s="40" t="n"/>
      <c r="F34" s="9">
        <f>IF(E34="","",DATEDIF(E34,DATE(2026,12,31),"Y"))</f>
        <v/>
      </c>
      <c r="G34" s="40" t="n"/>
      <c r="H34" s="9" t="inlineStr">
        <is>
          <t>St. Maria Immacula</t>
        </is>
      </c>
      <c r="I34" s="9" t="n"/>
      <c r="J34" s="9" t="n"/>
      <c r="K34" s="9" t="inlineStr">
        <is>
          <t>Aktif</t>
        </is>
      </c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inlineStr">
        <is>
          <t>BARU dari scan: ARSINUS PURBA - KTP ISTRI.jpg</t>
        </is>
      </c>
    </row>
    <row r="35" ht="14.25" customHeight="1" s="37">
      <c r="A35" s="41" t="inlineStr">
        <is>
          <t>UM00218</t>
        </is>
      </c>
      <c r="B35" s="45" t="inlineStr">
        <is>
          <t>KK0079</t>
        </is>
      </c>
      <c r="C35" s="9" t="inlineStr">
        <is>
          <t>ELISABET JETIA</t>
        </is>
      </c>
      <c r="D35" s="9" t="inlineStr">
        <is>
          <t>Wanita/Perempuan</t>
        </is>
      </c>
      <c r="E35" s="44" t="n">
        <v>36727</v>
      </c>
      <c r="F35" s="9">
        <f>IF(E35="","",DATEDIF(E35,DATE(2026,12,31),"Y"))</f>
        <v/>
      </c>
      <c r="G35" s="9" t="inlineStr">
        <is>
          <t>Katolik</t>
        </is>
      </c>
      <c r="H35" s="9" t="inlineStr">
        <is>
          <t>St. Maria Immacula</t>
        </is>
      </c>
      <c r="I35" s="9" t="n"/>
      <c r="J35" s="9" t="inlineStr">
        <is>
          <t>JL MULAWARMAN GANG SELAMET RIYADI II RT 012/000</t>
        </is>
      </c>
      <c r="K35" s="9" t="inlineStr">
        <is>
          <t>Aktif</t>
        </is>
      </c>
      <c r="L35" s="9" t="n"/>
      <c r="M35" s="9" t="n"/>
      <c r="N35" s="9" t="n"/>
      <c r="O35" s="9" t="n"/>
      <c r="P35" s="9" t="n"/>
      <c r="Q35" s="9" t="n"/>
      <c r="R35" s="9" t="n"/>
      <c r="S35" s="9" t="n"/>
      <c r="T35" s="9" t="inlineStr">
        <is>
          <t>KARYAWAN SWASTA</t>
        </is>
      </c>
      <c r="U35" s="9" t="n"/>
      <c r="V35" s="38" t="inlineStr">
        <is>
          <t>5310136007000002</t>
        </is>
      </c>
      <c r="W35" s="9" t="n"/>
      <c r="X35" s="9" t="n"/>
      <c r="Y35" s="9" t="n"/>
      <c r="Z35" s="9" t="inlineStr">
        <is>
          <t>BARU dari scan: BONEFASIUS SAGUR -KTP ISTRI.jpg Terisi otomatis dari scan: Agama, Daerah/Desa, Jenis Kelamin, Profesi.</t>
        </is>
      </c>
    </row>
    <row r="36" ht="14.25" customHeight="1" s="37">
      <c r="A36" s="41" t="inlineStr">
        <is>
          <t>UM00219</t>
        </is>
      </c>
      <c r="B36" s="45" t="inlineStr">
        <is>
          <t>KK0079</t>
        </is>
      </c>
      <c r="C36" s="9" t="inlineStr">
        <is>
          <t>BONEFASIUS SAGUR</t>
        </is>
      </c>
      <c r="D36" s="40" t="n"/>
      <c r="E36" s="40" t="n"/>
      <c r="F36" s="9">
        <f>IF(E36="","",DATEDIF(E36,DATE(2026,12,31),"Y"))</f>
        <v/>
      </c>
      <c r="G36" s="40" t="n"/>
      <c r="H36" s="9" t="inlineStr">
        <is>
          <t>St. Maria Immacula</t>
        </is>
      </c>
      <c r="I36" s="9" t="n"/>
      <c r="J36" s="9" t="n"/>
      <c r="K36" s="9" t="inlineStr">
        <is>
          <t>Aktif</t>
        </is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inlineStr">
        <is>
          <t>BARU dari scan: BONEFASIUS SAGUR-KTP SUAMI.jpg</t>
        </is>
      </c>
    </row>
    <row r="37" ht="14.25" customHeight="1" s="37">
      <c r="A37" s="41" t="inlineStr">
        <is>
          <t>UM00220</t>
        </is>
      </c>
      <c r="B37" s="40" t="n"/>
      <c r="C37" s="9" t="inlineStr">
        <is>
          <t>C.PURWONGGO SATOTO</t>
        </is>
      </c>
      <c r="D37" s="40" t="n"/>
      <c r="E37" s="40" t="n"/>
      <c r="F37" s="9">
        <f>IF(E37="","",DATEDIF(E37,DATE(2026,12,31),"Y"))</f>
        <v/>
      </c>
      <c r="G37" s="40" t="n"/>
      <c r="H37" s="9" t="inlineStr">
        <is>
          <t>St. Maria Immacula</t>
        </is>
      </c>
      <c r="I37" s="9" t="n"/>
      <c r="J37" s="9" t="n"/>
      <c r="K37" s="9" t="inlineStr">
        <is>
          <t>Aktif</t>
        </is>
      </c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inlineStr">
        <is>
          <t>BARU dari scan: C.PURWONGGO SATOTO - KTP ISTRI.jpg</t>
        </is>
      </c>
    </row>
    <row r="38" ht="14.25" customHeight="1" s="37">
      <c r="A38" s="41" t="inlineStr">
        <is>
          <t>UM00221</t>
        </is>
      </c>
      <c r="B38" s="40" t="n"/>
      <c r="C38" s="9" t="inlineStr">
        <is>
          <t>CHRISTIAN HADIYANTO,SE</t>
        </is>
      </c>
      <c r="D38" s="40" t="n"/>
      <c r="E38" s="40" t="n"/>
      <c r="F38" s="9">
        <f>IF(E38="","",DATEDIF(E38,DATE(2026,12,31),"Y"))</f>
        <v/>
      </c>
      <c r="G38" s="40" t="n"/>
      <c r="H38" s="9" t="inlineStr">
        <is>
          <t>St. Maria Immacula</t>
        </is>
      </c>
      <c r="I38" s="9" t="n"/>
      <c r="J38" s="9" t="n"/>
      <c r="K38" s="9" t="inlineStr">
        <is>
          <t>Aktif</t>
        </is>
      </c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inlineStr">
        <is>
          <t>BARU dari scan: CHRISTIAN HADIYANTO,SE-KTP ANAK KEDUA.jpg</t>
        </is>
      </c>
    </row>
    <row r="39" ht="14.25" customHeight="1" s="37">
      <c r="A39" s="41" t="inlineStr">
        <is>
          <t>UM00222</t>
        </is>
      </c>
      <c r="B39" s="40" t="n"/>
      <c r="C39" s="40" t="inlineStr">
        <is>
          <t>CHRISTINA SELFANI RUNTU-KTP p1 d1 - PROVINSI KALIMANTAN TIMUR</t>
        </is>
      </c>
      <c r="D39" s="40" t="n"/>
      <c r="E39" s="40" t="n"/>
      <c r="F39" s="9">
        <f>IF(E39="","",DATEDIF(E39,DATE(2026,12,31),"Y"))</f>
        <v/>
      </c>
      <c r="G39" s="40" t="n"/>
      <c r="H39" s="9" t="inlineStr">
        <is>
          <t>St. Maria Immacula</t>
        </is>
      </c>
      <c r="I39" s="9" t="n"/>
      <c r="J39" s="9" t="n"/>
      <c r="K39" s="9" t="inlineStr">
        <is>
          <t>Aktif</t>
        </is>
      </c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inlineStr">
        <is>
          <t>BARU dari scan: CHRISTINA SELFANI RUNTU-KTP__p1__d1 - PROVINSI KALIMANTAN TIMUR _.jpg</t>
        </is>
      </c>
    </row>
    <row r="40" ht="14.25" customHeight="1" s="37">
      <c r="A40" s="41" t="inlineStr">
        <is>
          <t>UM00223</t>
        </is>
      </c>
      <c r="B40" s="40" t="n"/>
      <c r="C40" s="9" t="inlineStr">
        <is>
          <t>HENDRIX AGUNG APRIWINARTO</t>
        </is>
      </c>
      <c r="D40" s="40" t="n"/>
      <c r="E40" s="40" t="n"/>
      <c r="F40" s="9">
        <f>IF(E40="","",DATEDIF(E40,DATE(2026,12,31),"Y"))</f>
        <v/>
      </c>
      <c r="G40" s="40" t="n"/>
      <c r="H40" s="9" t="inlineStr">
        <is>
          <t>St. Maria Immacula</t>
        </is>
      </c>
      <c r="I40" s="9" t="n"/>
      <c r="J40" s="9" t="n"/>
      <c r="K40" s="9" t="inlineStr">
        <is>
          <t>Aktif</t>
        </is>
      </c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inlineStr">
        <is>
          <t>BARU dari scan: HENDRIX AGUNG APRIWINARTO - KTP.jpg</t>
        </is>
      </c>
    </row>
    <row r="41" ht="14.25" customHeight="1" s="37">
      <c r="A41" s="41" t="inlineStr">
        <is>
          <t>UM00224</t>
        </is>
      </c>
      <c r="B41" s="40" t="n"/>
      <c r="C41" s="9" t="inlineStr">
        <is>
          <t>KARBINTANUS PEDO WAJA</t>
        </is>
      </c>
      <c r="D41" s="40" t="n"/>
      <c r="E41" s="40" t="n"/>
      <c r="F41" s="9">
        <f>IF(E41="","",DATEDIF(E41,DATE(2026,12,31),"Y"))</f>
        <v/>
      </c>
      <c r="G41" s="40" t="n"/>
      <c r="H41" s="9" t="inlineStr">
        <is>
          <t>St. Maria Immacula</t>
        </is>
      </c>
      <c r="I41" s="9" t="n"/>
      <c r="J41" s="9" t="n"/>
      <c r="K41" s="9" t="inlineStr">
        <is>
          <t>Aktif</t>
        </is>
      </c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inlineStr">
        <is>
          <t>BARU dari scan: KARBINTANUS PEDO WAJA- KTP ISTERI.jpg</t>
        </is>
      </c>
    </row>
    <row r="42" ht="14.25" customHeight="1" s="37">
      <c r="A42" s="41" t="inlineStr">
        <is>
          <t>UM00225</t>
        </is>
      </c>
      <c r="B42" s="40" t="n"/>
      <c r="C42" s="9" t="inlineStr">
        <is>
          <t>LAHANG ANYIE</t>
        </is>
      </c>
      <c r="D42" s="40" t="n"/>
      <c r="E42" s="40" t="n"/>
      <c r="F42" s="9">
        <f>IF(E42="","",DATEDIF(E42,DATE(2026,12,31),"Y"))</f>
        <v/>
      </c>
      <c r="G42" s="40" t="n"/>
      <c r="H42" s="9" t="inlineStr">
        <is>
          <t>St. Maria Immacula</t>
        </is>
      </c>
      <c r="I42" s="9" t="n"/>
      <c r="J42" s="9" t="n"/>
      <c r="K42" s="9" t="inlineStr">
        <is>
          <t>Aktif</t>
        </is>
      </c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inlineStr">
        <is>
          <t>BARU dari scan: LAHANG ANYIE - KTP ANAK PERTAMA.jpg</t>
        </is>
      </c>
    </row>
    <row r="43" ht="14.25" customHeight="1" s="37">
      <c r="A43" s="41" t="inlineStr">
        <is>
          <t>UM00226</t>
        </is>
      </c>
      <c r="B43" s="40" t="n"/>
      <c r="C43" s="9" t="inlineStr">
        <is>
          <t>LAMBRITA TADIUS</t>
        </is>
      </c>
      <c r="D43" s="40" t="n"/>
      <c r="E43" s="40" t="n"/>
      <c r="F43" s="9">
        <f>IF(E43="","",DATEDIF(E43,DATE(2026,12,31),"Y"))</f>
        <v/>
      </c>
      <c r="G43" s="40" t="n"/>
      <c r="H43" s="9" t="inlineStr">
        <is>
          <t>St. Maria Immacula</t>
        </is>
      </c>
      <c r="I43" s="9" t="n"/>
      <c r="J43" s="9" t="n"/>
      <c r="K43" s="9" t="inlineStr">
        <is>
          <t>Aktif</t>
        </is>
      </c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inlineStr">
        <is>
          <t>BARU dari scan: LAMBRITA TADIUS- KTP ANAK PERTAMA.jpg</t>
        </is>
      </c>
    </row>
    <row r="44" ht="14.25" customHeight="1" s="37">
      <c r="A44" s="41" t="inlineStr">
        <is>
          <t>UM00227</t>
        </is>
      </c>
      <c r="B44" s="40" t="n"/>
      <c r="C44" s="40" t="inlineStr">
        <is>
          <t>LUSIA LERO- KTP p1 d1 - KOTA BALIKPAPAN</t>
        </is>
      </c>
      <c r="D44" s="40" t="n"/>
      <c r="E44" s="40" t="n"/>
      <c r="F44" s="9">
        <f>IF(E44="","",DATEDIF(E44,DATE(2026,12,31),"Y"))</f>
        <v/>
      </c>
      <c r="G44" s="40" t="n"/>
      <c r="H44" s="9" t="inlineStr">
        <is>
          <t>St. Maria Immacula</t>
        </is>
      </c>
      <c r="I44" s="9" t="n"/>
      <c r="J44" s="9" t="n"/>
      <c r="K44" s="9" t="inlineStr">
        <is>
          <t>Aktif</t>
        </is>
      </c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inlineStr">
        <is>
          <t>BARU dari scan: LUSIA LERO- KTP__p1__d1 - KOTA BALIKPAPAN.jpg</t>
        </is>
      </c>
    </row>
    <row r="45" ht="14.25" customHeight="1" s="37">
      <c r="A45" s="41" t="inlineStr">
        <is>
          <t>UM00228</t>
        </is>
      </c>
      <c r="B45" s="40" t="n"/>
      <c r="C45" s="9" t="inlineStr">
        <is>
          <t>ADEODATUS JOE ADNA SAVIO</t>
        </is>
      </c>
      <c r="D45" s="9" t="inlineStr">
        <is>
          <t>Pria/Laki-laki</t>
        </is>
      </c>
      <c r="E45" s="44" t="n">
        <v>38784</v>
      </c>
      <c r="F45" s="9">
        <f>IF(E45="","",DATEDIF(E45,DATE(2026,12,31),"Y"))</f>
        <v/>
      </c>
      <c r="G45" s="9" t="inlineStr">
        <is>
          <t>Katolik</t>
        </is>
      </c>
      <c r="H45" s="9" t="inlineStr">
        <is>
          <t>St. Maria Immacula</t>
        </is>
      </c>
      <c r="I45" s="9" t="n"/>
      <c r="J45" s="9" t="inlineStr">
        <is>
          <t>PERUM BUKIT PRONA INDAH BLOK J NO. 10 RT/RW 053/000</t>
        </is>
      </c>
      <c r="K45" s="9" t="inlineStr">
        <is>
          <t>Aktif</t>
        </is>
      </c>
      <c r="L45" s="44" t="n">
        <v>39439</v>
      </c>
      <c r="M45" s="9" t="inlineStr">
        <is>
          <t>Santa Theresia - Balikpapan</t>
        </is>
      </c>
      <c r="N45" s="38" t="inlineStr">
        <is>
          <t>Buku V hal 143 No.1427</t>
        </is>
      </c>
      <c r="O45" s="9" t="n"/>
      <c r="P45" s="9" t="n"/>
      <c r="Q45" s="44" t="n">
        <v>43254</v>
      </c>
      <c r="R45" s="9" t="inlineStr">
        <is>
          <t>Santo Klemens 1</t>
        </is>
      </c>
      <c r="S45" s="9" t="n"/>
      <c r="T45" s="9" t="inlineStr">
        <is>
          <t>PELAJAR/MAHASISWA</t>
        </is>
      </c>
      <c r="U45" s="9" t="inlineStr">
        <is>
          <t>O</t>
        </is>
      </c>
      <c r="V45" s="38" t="inlineStr">
        <is>
          <t>6402050803060001</t>
        </is>
      </c>
      <c r="W45" s="9" t="n"/>
      <c r="X45" s="9" t="n"/>
      <c r="Y45" s="9" t="n"/>
      <c r="Z45" s="9" t="inlineStr">
        <is>
          <t>BARU dari scan: MAGDALENA -KTP ANAK.jpg Terisi otomatis dari scan: Agama, Daerah/Desa, Golongan Darah, Jenis Kelamin, No Buku Baptis, Paroki/Gereja Baptis, Paroki/Gereja Krisma, Profesi, Tanggal Baptis, Tanggal Krisma.</t>
        </is>
      </c>
    </row>
    <row r="46" ht="14.25" customHeight="1" s="37">
      <c r="A46" s="41" t="inlineStr">
        <is>
          <t>UM00229</t>
        </is>
      </c>
      <c r="B46" s="40" t="n"/>
      <c r="C46" s="9" t="inlineStr">
        <is>
          <t>MAGDALENA</t>
        </is>
      </c>
      <c r="D46" s="9" t="inlineStr">
        <is>
          <t>Wanita/Perempuan</t>
        </is>
      </c>
      <c r="E46" s="44" t="n">
        <v>28813</v>
      </c>
      <c r="F46" s="9">
        <f>IF(E46="","",DATEDIF(E46,DATE(2026,12,31),"Y"))</f>
        <v/>
      </c>
      <c r="G46" s="9" t="inlineStr">
        <is>
          <t>Katolik</t>
        </is>
      </c>
      <c r="H46" s="9" t="inlineStr">
        <is>
          <t>St. Maria Immacula</t>
        </is>
      </c>
      <c r="I46" s="9" t="n"/>
      <c r="J46" s="9" t="inlineStr">
        <is>
          <t>PERUM BUKIT PRONA INDAH BLOK J NO 10 RT/RW 053/000</t>
        </is>
      </c>
      <c r="K46" s="9" t="inlineStr">
        <is>
          <t>Aktif</t>
        </is>
      </c>
      <c r="L46" s="9" t="n"/>
      <c r="M46" s="9" t="n"/>
      <c r="N46" s="9" t="n"/>
      <c r="O46" s="9" t="n"/>
      <c r="P46" s="9" t="n"/>
      <c r="Q46" s="9" t="n"/>
      <c r="R46" s="9" t="n"/>
      <c r="S46" s="9" t="n"/>
      <c r="T46" s="9" t="inlineStr">
        <is>
          <t>MENGURUS RUMAH TANGGA</t>
        </is>
      </c>
      <c r="U46" s="9" t="inlineStr">
        <is>
          <t>O</t>
        </is>
      </c>
      <c r="V46" s="38" t="inlineStr">
        <is>
          <t>6402055911780003</t>
        </is>
      </c>
      <c r="W46" s="9" t="n"/>
      <c r="X46" s="9" t="n"/>
      <c r="Y46" s="9" t="n"/>
      <c r="Z46" s="9" t="inlineStr">
        <is>
          <t>BARU dari scan: MAGDALENA-KTP.jpg Terisi otomatis dari scan: Agama, Daerah/Desa, Golongan Darah, Jenis Kelamin, Profesi.</t>
        </is>
      </c>
    </row>
    <row r="47" ht="14.25" customHeight="1" s="37">
      <c r="A47" s="41" t="inlineStr">
        <is>
          <t>UM00230</t>
        </is>
      </c>
      <c r="B47" s="40" t="n"/>
      <c r="C47" s="9" t="inlineStr">
        <is>
          <t>MARSELINUS PAMBO</t>
        </is>
      </c>
      <c r="D47" s="40" t="n"/>
      <c r="E47" s="40" t="n"/>
      <c r="F47" s="9">
        <f>IF(E47="","",DATEDIF(E47,DATE(2026,12,31),"Y"))</f>
        <v/>
      </c>
      <c r="G47" s="40" t="n"/>
      <c r="H47" s="9" t="inlineStr">
        <is>
          <t>St. Maria Immacula</t>
        </is>
      </c>
      <c r="I47" s="9" t="n"/>
      <c r="J47" s="9" t="n"/>
      <c r="K47" s="9" t="inlineStr">
        <is>
          <t>Aktif</t>
        </is>
      </c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inlineStr">
        <is>
          <t>BARU dari scan: MARSELINUS PAMBO -KTP ISTRI.jpg</t>
        </is>
      </c>
    </row>
    <row r="48" ht="14.25" customHeight="1" s="37">
      <c r="A48" s="41" t="inlineStr">
        <is>
          <t>UM00231</t>
        </is>
      </c>
      <c r="B48" s="40" t="n"/>
      <c r="C48" s="40" t="inlineStr">
        <is>
          <t>MARTINUS APRIADI PUTRA-KTP p1 d1 - KOTA BALIKPAPAN</t>
        </is>
      </c>
      <c r="D48" s="40" t="n"/>
      <c r="E48" s="40" t="n"/>
      <c r="F48" s="9">
        <f>IF(E48="","",DATEDIF(E48,DATE(2026,12,31),"Y"))</f>
        <v/>
      </c>
      <c r="G48" s="40" t="n"/>
      <c r="H48" s="9" t="inlineStr">
        <is>
          <t>St. Maria Immacula</t>
        </is>
      </c>
      <c r="I48" s="9" t="n"/>
      <c r="J48" s="9" t="n"/>
      <c r="K48" s="9" t="inlineStr">
        <is>
          <t>Aktif</t>
        </is>
      </c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inlineStr">
        <is>
          <t>BARU dari scan: MARTINUS APRIADI PUTRA-KTP__p1__d1 - KOTA BALIKPAPAN.jpg</t>
        </is>
      </c>
    </row>
    <row r="49" ht="14.25" customHeight="1" s="37">
      <c r="A49" s="41" t="inlineStr">
        <is>
          <t>UM00232</t>
        </is>
      </c>
      <c r="B49" s="40" t="n"/>
      <c r="C49" s="40" t="inlineStr">
        <is>
          <t>MARTINUS PRASETYO ADINUGROHO-KTP p1 d1 - PROVINS! KALIMANTAN TIMUR</t>
        </is>
      </c>
      <c r="D49" s="40" t="n"/>
      <c r="E49" s="40" t="n"/>
      <c r="F49" s="9">
        <f>IF(E49="","",DATEDIF(E49,DATE(2026,12,31),"Y"))</f>
        <v/>
      </c>
      <c r="G49" s="40" t="n"/>
      <c r="H49" s="9" t="inlineStr">
        <is>
          <t>St. Maria Immacula</t>
        </is>
      </c>
      <c r="I49" s="9" t="n"/>
      <c r="J49" s="9" t="n"/>
      <c r="K49" s="9" t="inlineStr">
        <is>
          <t>Aktif</t>
        </is>
      </c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inlineStr">
        <is>
          <t>BARU dari scan: MARTINUS PRASETYO ADINUGROHO-KTP__p1__d1 - PROVINS! KALIMANTAN TIMUR.jpg</t>
        </is>
      </c>
    </row>
    <row r="50" ht="14.25" customHeight="1" s="37">
      <c r="A50" s="41" t="inlineStr">
        <is>
          <t>UM00233</t>
        </is>
      </c>
      <c r="B50" s="40" t="n"/>
      <c r="C50" s="9" t="inlineStr">
        <is>
          <t>MASENO SUGAYOGA</t>
        </is>
      </c>
      <c r="D50" s="40" t="n"/>
      <c r="E50" s="40" t="n"/>
      <c r="F50" s="9">
        <f>IF(E50="","",DATEDIF(E50,DATE(2026,12,31),"Y"))</f>
        <v/>
      </c>
      <c r="G50" s="40" t="n"/>
      <c r="H50" s="9" t="inlineStr">
        <is>
          <t>St. Maria Immacula</t>
        </is>
      </c>
      <c r="I50" s="9" t="n"/>
      <c r="J50" s="9" t="n"/>
      <c r="K50" s="9" t="inlineStr">
        <is>
          <t>Aktif</t>
        </is>
      </c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inlineStr">
        <is>
          <t>BARU dari scan: MASENO SUGAYOGA-KTP ISTERI.jpg</t>
        </is>
      </c>
    </row>
    <row r="51" ht="14.25" customHeight="1" s="37">
      <c r="A51" s="41" t="inlineStr">
        <is>
          <t>UM00234</t>
        </is>
      </c>
      <c r="B51" s="40" t="n"/>
      <c r="C51" s="40" t="inlineStr">
        <is>
          <t>MEIVINASARI-KTP p1 d1 - PROVINSI KALIMANTAN TIMUR</t>
        </is>
      </c>
      <c r="D51" s="40" t="n"/>
      <c r="E51" s="40" t="n"/>
      <c r="F51" s="9">
        <f>IF(E51="","",DATEDIF(E51,DATE(2026,12,31),"Y"))</f>
        <v/>
      </c>
      <c r="G51" s="40" t="n"/>
      <c r="H51" s="9" t="inlineStr">
        <is>
          <t>St. Maria Immacula</t>
        </is>
      </c>
      <c r="I51" s="9" t="n"/>
      <c r="J51" s="9" t="n"/>
      <c r="K51" s="9" t="inlineStr">
        <is>
          <t>Aktif</t>
        </is>
      </c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inlineStr">
        <is>
          <t>BARU dari scan: MEIVINASARI-KTP__p1__d1 - PROVINSI KALIMANTAN TIMUR.jpg</t>
        </is>
      </c>
    </row>
    <row r="52" ht="14.25" customHeight="1" s="37">
      <c r="A52" s="41" t="inlineStr">
        <is>
          <t>UM00235</t>
        </is>
      </c>
      <c r="B52" s="45" t="inlineStr">
        <is>
          <t>KK0080</t>
        </is>
      </c>
      <c r="C52" s="9" t="inlineStr">
        <is>
          <t>MURTIYONO</t>
        </is>
      </c>
      <c r="D52" s="40" t="n"/>
      <c r="E52" s="40" t="n"/>
      <c r="F52" s="9">
        <f>IF(E52="","",DATEDIF(E52,DATE(2026,12,31),"Y"))</f>
        <v/>
      </c>
      <c r="G52" s="40" t="n"/>
      <c r="H52" s="9" t="inlineStr">
        <is>
          <t>St. Maria Immacula</t>
        </is>
      </c>
      <c r="I52" s="9" t="n"/>
      <c r="J52" s="9" t="n"/>
      <c r="K52" s="9" t="inlineStr">
        <is>
          <t>Aktif</t>
        </is>
      </c>
      <c r="L52" s="9" t="n"/>
      <c r="M52" s="9" t="n"/>
      <c r="N52" s="9" t="n"/>
      <c r="O52" s="9" t="n"/>
      <c r="P52" s="9" t="n"/>
      <c r="Q52" s="44" t="n">
        <v>36079</v>
      </c>
      <c r="R52" s="9" t="inlineStr">
        <is>
          <t>St. Theresia Balikpapan</t>
        </is>
      </c>
      <c r="S52" s="9" t="n"/>
      <c r="T52" s="9" t="n"/>
      <c r="U52" s="9" t="n"/>
      <c r="V52" s="9" t="n"/>
      <c r="W52" s="9" t="n"/>
      <c r="X52" s="9" t="n"/>
      <c r="Y52" s="9" t="n"/>
      <c r="Z52" s="9" t="inlineStr">
        <is>
          <t>BARU dari scan: MURTIYONO - KTP ISTRI.jpg Terisi otomatis dari scan: Paroki/Gereja Krisma, Tanggal Krisma.</t>
        </is>
      </c>
    </row>
    <row r="53" ht="14.25" customHeight="1" s="37">
      <c r="A53" s="41" t="inlineStr">
        <is>
          <t>UM00236</t>
        </is>
      </c>
      <c r="B53" s="40" t="n"/>
      <c r="C53" s="9" t="inlineStr">
        <is>
          <t>RIBKA RATTANG</t>
        </is>
      </c>
      <c r="D53" s="40" t="n"/>
      <c r="E53" s="40" t="n"/>
      <c r="F53" s="9">
        <f>IF(E53="","",DATEDIF(E53,DATE(2026,12,31),"Y"))</f>
        <v/>
      </c>
      <c r="G53" s="40" t="n"/>
      <c r="H53" s="9" t="inlineStr">
        <is>
          <t>St. Maria Immacula</t>
        </is>
      </c>
      <c r="I53" s="9" t="n"/>
      <c r="J53" s="9" t="n"/>
      <c r="K53" s="9" t="inlineStr">
        <is>
          <t>Aktif</t>
        </is>
      </c>
      <c r="L53" s="9" t="n"/>
      <c r="M53" s="9" t="n"/>
      <c r="N53" s="9" t="n"/>
      <c r="O53" s="44" t="n">
        <v>39915</v>
      </c>
      <c r="P53" s="9" t="inlineStr">
        <is>
          <t>Malakiri</t>
        </is>
      </c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inlineStr">
        <is>
          <t>BARU dari scan: RIBKA RATTANG - KTP.jpg Terisi otomatis dari scan: Paroki/Gereja Komuni I, Tanggal Komuni I.</t>
        </is>
      </c>
    </row>
    <row r="54" ht="14.25" customHeight="1" s="37">
      <c r="A54" s="41" t="inlineStr">
        <is>
          <t>UM00237</t>
        </is>
      </c>
      <c r="B54" s="40" t="n"/>
      <c r="C54" s="40" t="inlineStr">
        <is>
          <t>RINALDY VIATOR TARIGAN- KTP p1 d1 - Agama KRISTEN ee</t>
        </is>
      </c>
      <c r="D54" s="40" t="n"/>
      <c r="E54" s="40" t="n"/>
      <c r="F54" s="9">
        <f>IF(E54="","",DATEDIF(E54,DATE(2026,12,31),"Y"))</f>
        <v/>
      </c>
      <c r="G54" s="40" t="n"/>
      <c r="H54" s="9" t="inlineStr">
        <is>
          <t>St. Maria Immacula</t>
        </is>
      </c>
      <c r="I54" s="9" t="n"/>
      <c r="J54" s="9" t="n"/>
      <c r="K54" s="9" t="inlineStr">
        <is>
          <t>Aktif</t>
        </is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inlineStr">
        <is>
          <t>BARU dari scan: RINALDY VIATOR TARIGAN- KTP__p1__d1 - Agama KRISTEN ee.jpg</t>
        </is>
      </c>
    </row>
    <row r="55" ht="14.25" customHeight="1" s="37">
      <c r="A55" s="41" t="inlineStr">
        <is>
          <t>UM00238</t>
        </is>
      </c>
      <c r="B55" s="40" t="n"/>
      <c r="C55" s="9" t="inlineStr">
        <is>
          <t>SIANTA IKWANTO</t>
        </is>
      </c>
      <c r="D55" s="40" t="n"/>
      <c r="E55" s="40" t="n"/>
      <c r="F55" s="9">
        <f>IF(E55="","",DATEDIF(E55,DATE(2026,12,31),"Y"))</f>
        <v/>
      </c>
      <c r="G55" s="40" t="n"/>
      <c r="H55" s="9" t="inlineStr">
        <is>
          <t>St. Maria Immacula</t>
        </is>
      </c>
      <c r="I55" s="9" t="n"/>
      <c r="J55" s="9" t="n"/>
      <c r="K55" s="9" t="inlineStr">
        <is>
          <t>Aktif</t>
        </is>
      </c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inlineStr">
        <is>
          <t>BARU dari scan: SIANTA IKWANTO-KTP ISTERI.jpg</t>
        </is>
      </c>
    </row>
    <row r="56" ht="14.25" customHeight="1" s="37">
      <c r="A56" s="41" t="inlineStr">
        <is>
          <t>UM00239</t>
        </is>
      </c>
      <c r="B56" s="40" t="n"/>
      <c r="C56" s="9" t="inlineStr">
        <is>
          <t>SUKARMAN</t>
        </is>
      </c>
      <c r="D56" s="40" t="n"/>
      <c r="E56" s="40" t="n"/>
      <c r="F56" s="9">
        <f>IF(E56="","",DATEDIF(E56,DATE(2026,12,31),"Y"))</f>
        <v/>
      </c>
      <c r="G56" s="40" t="n"/>
      <c r="H56" s="9" t="inlineStr">
        <is>
          <t>St. Maria Immacula</t>
        </is>
      </c>
      <c r="I56" s="9" t="n"/>
      <c r="J56" s="9" t="n"/>
      <c r="K56" s="9" t="inlineStr">
        <is>
          <t>Aktif</t>
        </is>
      </c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inlineStr">
        <is>
          <t>BARU dari scan: SUKARMAN-KTP ANAK PERTAMA.jpg</t>
        </is>
      </c>
    </row>
    <row r="57" ht="14.25" customHeight="1" s="37">
      <c r="A57" s="41" t="inlineStr">
        <is>
          <t>UM00240</t>
        </is>
      </c>
      <c r="B57" s="40" t="n"/>
      <c r="C57" s="40" t="inlineStr">
        <is>
          <t>TEDY WIBOWO-KTP p1 d1 - KOTABAD RE Gt</t>
        </is>
      </c>
      <c r="D57" s="40" t="n"/>
      <c r="E57" s="40" t="n"/>
      <c r="F57" s="9">
        <f>IF(E57="","",DATEDIF(E57,DATE(2026,12,31),"Y"))</f>
        <v/>
      </c>
      <c r="G57" s="40" t="n"/>
      <c r="H57" s="9" t="inlineStr">
        <is>
          <t>St. Maria Immacula</t>
        </is>
      </c>
      <c r="I57" s="9" t="n"/>
      <c r="J57" s="9" t="n"/>
      <c r="K57" s="9" t="inlineStr">
        <is>
          <t>Aktif</t>
        </is>
      </c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inlineStr">
        <is>
          <t>BARU dari scan: TEDY WIBOWO-KTP__p1__d1 - KOTABAD RE Gt.jpg</t>
        </is>
      </c>
    </row>
    <row r="58" ht="14.25" customHeight="1" s="37">
      <c r="A58" s="41" t="inlineStr">
        <is>
          <t>UM00241</t>
        </is>
      </c>
      <c r="B58" s="40" t="n"/>
      <c r="C58" s="40" t="inlineStr">
        <is>
          <t>TEGUH WARDOYO-KTP p1 d1</t>
        </is>
      </c>
      <c r="D58" s="40" t="n"/>
      <c r="E58" s="40" t="n"/>
      <c r="F58" s="9">
        <f>IF(E58="","",DATEDIF(E58,DATE(2026,12,31),"Y"))</f>
        <v/>
      </c>
      <c r="G58" s="40" t="n"/>
      <c r="H58" s="9" t="inlineStr">
        <is>
          <t>St. Maria Immacula</t>
        </is>
      </c>
      <c r="I58" s="9" t="n"/>
      <c r="J58" s="9" t="n"/>
      <c r="K58" s="9" t="inlineStr">
        <is>
          <t>Aktif</t>
        </is>
      </c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inlineStr">
        <is>
          <t>BARU dari scan: TEGUH WARDOYO-KTP__p1__d1.jpg</t>
        </is>
      </c>
    </row>
    <row r="59" ht="14.25" customHeight="1" s="37">
      <c r="A59" s="41" t="inlineStr">
        <is>
          <t>UM00242</t>
        </is>
      </c>
      <c r="B59" s="40" t="n"/>
      <c r="C59" s="9" t="inlineStr">
        <is>
          <t>THERESIA SUKARSI</t>
        </is>
      </c>
      <c r="D59" s="40" t="n"/>
      <c r="E59" s="40" t="n"/>
      <c r="F59" s="9">
        <f>IF(E59="","",DATEDIF(E59,DATE(2026,12,31),"Y"))</f>
        <v/>
      </c>
      <c r="G59" s="40" t="n"/>
      <c r="H59" s="9" t="inlineStr">
        <is>
          <t>St. Maria Immacula</t>
        </is>
      </c>
      <c r="I59" s="9" t="n"/>
      <c r="J59" s="9" t="n"/>
      <c r="K59" s="9" t="inlineStr">
        <is>
          <t>Aktif</t>
        </is>
      </c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inlineStr">
        <is>
          <t>BARU dari scan: THERESIA SUKARSI-KTP.jpg</t>
        </is>
      </c>
    </row>
    <row r="60" ht="14.25" customHeight="1" s="37">
      <c r="A60" s="41" t="inlineStr">
        <is>
          <t>UM00243</t>
        </is>
      </c>
      <c r="B60" s="40" t="n"/>
      <c r="C60" s="40" t="inlineStr">
        <is>
          <t>ULFAH-KTP p1 d1 - PROVINSI KALIMANTAN TIMUR</t>
        </is>
      </c>
      <c r="D60" s="40" t="n"/>
      <c r="E60" s="40" t="n"/>
      <c r="F60" s="9">
        <f>IF(E60="","",DATEDIF(E60,DATE(2026,12,31),"Y"))</f>
        <v/>
      </c>
      <c r="G60" s="40" t="n"/>
      <c r="H60" s="9" t="inlineStr">
        <is>
          <t>St. Maria Immacula</t>
        </is>
      </c>
      <c r="I60" s="9" t="n"/>
      <c r="J60" s="9" t="n"/>
      <c r="K60" s="9" t="inlineStr">
        <is>
          <t>Aktif</t>
        </is>
      </c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inlineStr">
        <is>
          <t>BARU dari scan: ULFAH-KTP__p1__d1 - PROVINSI KALIMANTAN TIMUR.jpg</t>
        </is>
      </c>
    </row>
    <row r="61" ht="14.25" customHeight="1" s="37">
      <c r="A61" s="41" t="inlineStr">
        <is>
          <t>UM00244</t>
        </is>
      </c>
      <c r="B61" s="40" t="n"/>
      <c r="C61" s="9" t="inlineStr">
        <is>
          <t>WILFRIDUS SOI</t>
        </is>
      </c>
      <c r="D61" s="40" t="n"/>
      <c r="E61" s="40" t="n"/>
      <c r="F61" s="9">
        <f>IF(E61="","",DATEDIF(E61,DATE(2026,12,31),"Y"))</f>
        <v/>
      </c>
      <c r="G61" s="40" t="n"/>
      <c r="H61" s="9" t="inlineStr">
        <is>
          <t>St. Maria Immacula</t>
        </is>
      </c>
      <c r="I61" s="9" t="n"/>
      <c r="J61" s="9" t="n"/>
      <c r="K61" s="9" t="inlineStr">
        <is>
          <t>Aktif</t>
        </is>
      </c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inlineStr">
        <is>
          <t>BARU dari scan: WILFRIDUS SOI - KTP ISTRI.jpg</t>
        </is>
      </c>
    </row>
    <row r="62" ht="14.25" customHeight="1" s="37">
      <c r="A62" s="41" t="inlineStr">
        <is>
          <t>UM00245</t>
        </is>
      </c>
      <c r="B62" s="40" t="n"/>
      <c r="C62" s="9" t="inlineStr">
        <is>
          <t>WILI BRODUS RAYMON AUGUSTINO</t>
        </is>
      </c>
      <c r="D62" s="40" t="n"/>
      <c r="E62" s="40" t="n"/>
      <c r="F62" s="9">
        <f>IF(E62="","",DATEDIF(E62,DATE(2026,12,31),"Y"))</f>
        <v/>
      </c>
      <c r="G62" s="40" t="n"/>
      <c r="H62" s="9" t="inlineStr">
        <is>
          <t>St. Maria Immacula</t>
        </is>
      </c>
      <c r="I62" s="9" t="n"/>
      <c r="J62" s="9" t="n"/>
      <c r="K62" s="9" t="inlineStr">
        <is>
          <t>Aktif</t>
        </is>
      </c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inlineStr">
        <is>
          <t>BARU dari scan: WILI BRODUS RAYMON AUGUSTINO - KTP ISTRI.jpg</t>
        </is>
      </c>
    </row>
    <row r="63" ht="14.25" customHeight="1" s="37">
      <c r="A63" s="41" t="inlineStr">
        <is>
          <t>UM00246</t>
        </is>
      </c>
      <c r="B63" s="40" t="n"/>
      <c r="C63" s="9" t="inlineStr">
        <is>
          <t>WILIAM PRIHANDOKO</t>
        </is>
      </c>
      <c r="D63" s="40" t="n"/>
      <c r="E63" s="40" t="n"/>
      <c r="F63" s="9">
        <f>IF(E63="","",DATEDIF(E63,DATE(2026,12,31),"Y"))</f>
        <v/>
      </c>
      <c r="G63" s="40" t="n"/>
      <c r="H63" s="9" t="inlineStr">
        <is>
          <t>St. Maria Immacula</t>
        </is>
      </c>
      <c r="I63" s="9" t="n"/>
      <c r="J63" s="9" t="n"/>
      <c r="K63" s="9" t="inlineStr">
        <is>
          <t>Aktif</t>
        </is>
      </c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inlineStr">
        <is>
          <t>BARU dari scan: WILIAM PRIHANDOKO-KTP ADIK ISTERI.jpg</t>
        </is>
      </c>
    </row>
    <row r="64" ht="14.25" customHeight="1" s="37">
      <c r="A64" s="41" t="inlineStr">
        <is>
          <t>UM00247</t>
        </is>
      </c>
      <c r="B64" s="40" t="n"/>
      <c r="C64" s="9" t="inlineStr">
        <is>
          <t>YOHAN KURNIAWAN BUYUNG</t>
        </is>
      </c>
      <c r="D64" s="40" t="n"/>
      <c r="E64" s="40" t="n"/>
      <c r="F64" s="9">
        <f>IF(E64="","",DATEDIF(E64,DATE(2026,12,31),"Y"))</f>
        <v/>
      </c>
      <c r="G64" s="40" t="n"/>
      <c r="H64" s="9" t="inlineStr">
        <is>
          <t>St. Maria Immacula</t>
        </is>
      </c>
      <c r="I64" s="9" t="n"/>
      <c r="J64" s="9" t="n"/>
      <c r="K64" s="9" t="inlineStr">
        <is>
          <t>Aktif</t>
        </is>
      </c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inlineStr">
        <is>
          <t>BARU dari scan: YOHAN KURNIAWAN BUYUNG-KTP ANAK PERTAMA.jpg</t>
        </is>
      </c>
    </row>
    <row r="65" ht="14.25" customHeight="1" s="37">
      <c r="A65" s="41" t="inlineStr">
        <is>
          <t>UM00248</t>
        </is>
      </c>
      <c r="B65" s="40" t="n"/>
      <c r="C65" s="9" t="inlineStr">
        <is>
          <t>YONAS SORRO</t>
        </is>
      </c>
      <c r="D65" s="40" t="n"/>
      <c r="E65" s="40" t="n"/>
      <c r="F65" s="9">
        <f>IF(E65="","",DATEDIF(E65,DATE(2026,12,31),"Y"))</f>
        <v/>
      </c>
      <c r="G65" s="40" t="n"/>
      <c r="H65" s="9" t="inlineStr">
        <is>
          <t>St. Maria Immacula</t>
        </is>
      </c>
      <c r="I65" s="9" t="n"/>
      <c r="J65" s="9" t="n"/>
      <c r="K65" s="9" t="inlineStr">
        <is>
          <t>Aktif</t>
        </is>
      </c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inlineStr">
        <is>
          <t>BARU dari scan: YONAS SORRO - KTP.jpg</t>
        </is>
      </c>
    </row>
    <row r="66" ht="14.25" customHeight="1" s="37">
      <c r="A66" s="41" t="inlineStr">
        <is>
          <t>UM00249</t>
        </is>
      </c>
      <c r="B66" s="40" t="n"/>
      <c r="C66" s="9" t="inlineStr">
        <is>
          <t>YUPENSIUS MURDIYONO</t>
        </is>
      </c>
      <c r="D66" s="40" t="n"/>
      <c r="E66" s="40" t="n"/>
      <c r="F66" s="9">
        <f>IF(E66="","",DATEDIF(E66,DATE(2026,12,31),"Y"))</f>
        <v/>
      </c>
      <c r="G66" s="40" t="n"/>
      <c r="H66" s="9" t="inlineStr">
        <is>
          <t>St. Maria Immacula</t>
        </is>
      </c>
      <c r="I66" s="9" t="n"/>
      <c r="J66" s="9" t="n"/>
      <c r="K66" s="9" t="inlineStr">
        <is>
          <t>Aktif</t>
        </is>
      </c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inlineStr">
        <is>
          <t>BARU dari scan: YUPENSIUS MURDIYONO - KTP ANAK.jpg</t>
        </is>
      </c>
    </row>
    <row r="67" ht="14.25" customHeight="1" s="37">
      <c r="A67" s="41" t="inlineStr">
        <is>
          <t>UM00250</t>
        </is>
      </c>
      <c r="B67" s="40" t="n"/>
      <c r="C67" s="9" t="inlineStr">
        <is>
          <t>YUSUF</t>
        </is>
      </c>
      <c r="D67" s="40" t="n"/>
      <c r="E67" s="40" t="n"/>
      <c r="F67" s="9">
        <f>IF(E67="","",DATEDIF(E67,DATE(2026,12,31),"Y"))</f>
        <v/>
      </c>
      <c r="G67" s="40" t="n"/>
      <c r="H67" s="9" t="inlineStr">
        <is>
          <t>St. Maria Immacula</t>
        </is>
      </c>
      <c r="I67" s="9" t="n"/>
      <c r="J67" s="9" t="n"/>
      <c r="K67" s="9" t="inlineStr">
        <is>
          <t>Aktif</t>
        </is>
      </c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inlineStr">
        <is>
          <t>BARU dari scan: YUSUF-KTP ADIK KETIGA.jpg</t>
        </is>
      </c>
    </row>
    <row r="68" ht="14.25" customHeight="1" s="37">
      <c r="A68" s="41" t="inlineStr">
        <is>
          <t>UM00251</t>
        </is>
      </c>
      <c r="B68" s="40" t="n"/>
      <c r="C68" s="9" t="inlineStr">
        <is>
          <t>Anna Endang Jajuk Supratiningsih</t>
        </is>
      </c>
      <c r="D68" s="40" t="n"/>
      <c r="E68" s="44" t="n">
        <v>20979</v>
      </c>
      <c r="F68" s="9">
        <f>IF(E68="","",DATEDIF(E68,DATE(2026,12,31),"Y"))</f>
        <v/>
      </c>
      <c r="G68" s="40" t="n"/>
      <c r="H68" s="9" t="inlineStr">
        <is>
          <t>St. Maria Immacula</t>
        </is>
      </c>
      <c r="I68" s="9" t="n"/>
      <c r="J68" s="9" t="n"/>
      <c r="K68" s="9" t="inlineStr">
        <is>
          <t>Aktif</t>
        </is>
      </c>
      <c r="L68" s="44" t="n">
        <v>22757</v>
      </c>
      <c r="M68" s="9" t="inlineStr">
        <is>
          <t>Gereja Santo Albertus BLIMBING</t>
        </is>
      </c>
      <c r="N68" s="38" t="inlineStr">
        <is>
          <t>I/31/9</t>
        </is>
      </c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inlineStr">
        <is>
          <t>BARU dari scan: ANA E. YAYUK SUPRAPTININGSIH-SURAT BAPTIS.jpg Dikenal hanya dari surat sakramen - belum ada KTP/KK. Terisi otomatis dari scan: No Buku Baptis, Paroki/Gereja Baptis, Tanggal Baptis.</t>
        </is>
      </c>
    </row>
    <row r="69" ht="14.25" customHeight="1" s="37">
      <c r="A69" s="41" t="inlineStr">
        <is>
          <t>UM00252</t>
        </is>
      </c>
      <c r="B69" s="40" t="n"/>
      <c r="C69" s="9" t="inlineStr">
        <is>
          <t>LEONNY AURELIA JOAN SALEM</t>
        </is>
      </c>
      <c r="D69" s="40" t="n"/>
      <c r="E69" s="44" t="n">
        <v>39282</v>
      </c>
      <c r="F69" s="9">
        <f>IF(E69="","",DATEDIF(E69,DATE(2026,12,31),"Y"))</f>
        <v/>
      </c>
      <c r="G69" s="40" t="n"/>
      <c r="H69" s="9" t="inlineStr">
        <is>
          <t>St. Maria Immacula</t>
        </is>
      </c>
      <c r="I69" s="9" t="n"/>
      <c r="J69" s="9" t="n"/>
      <c r="K69" s="9" t="inlineStr">
        <is>
          <t>Aktif</t>
        </is>
      </c>
      <c r="L69" s="44" t="n">
        <v>39474</v>
      </c>
      <c r="M69" s="9" t="inlineStr">
        <is>
          <t>ST. KLEMENT I SEPINGGAN - BALIKPAPAN</t>
        </is>
      </c>
      <c r="N69" s="38" t="inlineStr">
        <is>
          <t>Liber II Pag. 306 No. 2080</t>
        </is>
      </c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inlineStr">
        <is>
          <t>BARU dari scan: ANTHONIUS SALEM -SURAT BAPTIS ANAK.jpg Dikenal hanya dari surat sakramen - belum ada KTP/KK. Terisi otomatis dari scan: No Buku Baptis, Paroki/Gereja Baptis, Tanggal Baptis.</t>
        </is>
      </c>
    </row>
    <row r="70" ht="14.25" customHeight="1" s="37">
      <c r="A70" s="41" t="inlineStr">
        <is>
          <t>UM00253</t>
        </is>
      </c>
      <c r="B70" s="40" t="n"/>
      <c r="C70" s="9" t="inlineStr">
        <is>
          <t>BARNABAS MIKITAR</t>
        </is>
      </c>
      <c r="D70" s="40" t="n"/>
      <c r="E70" s="44" t="n">
        <v>26249</v>
      </c>
      <c r="F70" s="9">
        <f>IF(E70="","",DATEDIF(E70,DATE(2026,12,31),"Y"))</f>
        <v/>
      </c>
      <c r="G70" s="40" t="n"/>
      <c r="H70" s="9" t="inlineStr">
        <is>
          <t>St. Maria Immacula</t>
        </is>
      </c>
      <c r="I70" s="9" t="n"/>
      <c r="J70" s="9" t="n"/>
      <c r="K70" s="9" t="inlineStr">
        <is>
          <t>Aktif</t>
        </is>
      </c>
      <c r="L70" s="44" t="n">
        <v>26294</v>
      </c>
      <c r="M70" s="9" t="inlineStr">
        <is>
          <t>ST. YUSUF</t>
        </is>
      </c>
      <c r="N70" s="38" t="inlineStr">
        <is>
          <t>1390</t>
        </is>
      </c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inlineStr">
        <is>
          <t>BARU dari scan: BARNABAS MUKHTAR-SURAT BAPTIS.jpg Dikenal hanya dari surat sakramen - belum ada KTP/KK. Terisi otomatis dari scan: No Buku Baptis, Paroki/Gereja Baptis, Tanggal Baptis.</t>
        </is>
      </c>
    </row>
    <row r="71" ht="14.25" customHeight="1" s="37">
      <c r="A71" s="41" t="inlineStr">
        <is>
          <t>UM00254</t>
        </is>
      </c>
      <c r="B71" s="40" t="n"/>
      <c r="C71" s="9" t="inlineStr">
        <is>
          <t>ELISABETH BEAULY PRAHASTUTY</t>
        </is>
      </c>
      <c r="D71" s="40" t="n"/>
      <c r="E71" s="44" t="n">
        <v>25695</v>
      </c>
      <c r="F71" s="9">
        <f>IF(E71="","",DATEDIF(E71,DATE(2026,12,31),"Y"))</f>
        <v/>
      </c>
      <c r="G71" s="40" t="n"/>
      <c r="H71" s="9" t="inlineStr">
        <is>
          <t>St. Maria Immacula</t>
        </is>
      </c>
      <c r="I71" s="9" t="n"/>
      <c r="J71" s="9" t="n"/>
      <c r="K71" s="9" t="inlineStr">
        <is>
          <t>Aktif</t>
        </is>
      </c>
      <c r="L71" s="44" t="n">
        <v>26234</v>
      </c>
      <c r="M71" s="9" t="inlineStr">
        <is>
          <t>STO. JOSEPH MAKASSAR</t>
        </is>
      </c>
      <c r="N71" s="38" t="inlineStr">
        <is>
          <t>1591 / Reg. V</t>
        </is>
      </c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inlineStr">
        <is>
          <t>BARU dari scan: C. PURWONGGO SATOTO-SURAT BAPTIS ISTERI.jpg Dikenal hanya dari surat sakramen - belum ada KTP/KK. Terisi otomatis dari scan: No Buku Baptis, Paroki/Gereja Baptis, Tanggal Baptis.</t>
        </is>
      </c>
    </row>
    <row r="72" ht="14.25" customHeight="1" s="37">
      <c r="A72" s="41" t="inlineStr">
        <is>
          <t>UM00255</t>
        </is>
      </c>
      <c r="B72" s="40" t="n"/>
      <c r="C72" s="9" t="inlineStr">
        <is>
          <t>ELLYZABETH SHINTA. AW</t>
        </is>
      </c>
      <c r="D72" s="40" t="n"/>
      <c r="E72" s="44" t="n">
        <v>29334</v>
      </c>
      <c r="F72" s="9">
        <f>IF(E72="","",DATEDIF(E72,DATE(2026,12,31),"Y"))</f>
        <v/>
      </c>
      <c r="G72" s="40" t="n"/>
      <c r="H72" s="9" t="inlineStr">
        <is>
          <t>St. Maria Immacula</t>
        </is>
      </c>
      <c r="I72" s="9" t="n"/>
      <c r="J72" s="9" t="n"/>
      <c r="K72" s="9" t="inlineStr">
        <is>
          <t>Aktif</t>
        </is>
      </c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inlineStr">
        <is>
          <t>BARU dari scan: HENDRIX AGUNG APRIWINARTO - KTP ISTRI.jpg Dikenal hanya dari surat sakramen - belum ada KTP/KK.</t>
        </is>
      </c>
    </row>
    <row r="73" ht="14.25" customHeight="1" s="37">
      <c r="A73" s="41" t="inlineStr">
        <is>
          <t>UM00256</t>
        </is>
      </c>
      <c r="B73" s="40" t="n"/>
      <c r="C73" s="9" t="inlineStr">
        <is>
          <t>Ellyzabeth Shinta Ayu Widianingtyas</t>
        </is>
      </c>
      <c r="D73" s="40" t="n"/>
      <c r="E73" s="44" t="n">
        <v>29334</v>
      </c>
      <c r="F73" s="9">
        <f>IF(E73="","",DATEDIF(E73,DATE(2026,12,31),"Y"))</f>
        <v/>
      </c>
      <c r="G73" s="40" t="n"/>
      <c r="H73" s="9" t="inlineStr">
        <is>
          <t>St. Maria Immacula</t>
        </is>
      </c>
      <c r="I73" s="9" t="n"/>
      <c r="J73" s="9" t="n"/>
      <c r="K73" s="9" t="inlineStr">
        <is>
          <t>Aktif</t>
        </is>
      </c>
      <c r="L73" s="44" t="n">
        <v>29373</v>
      </c>
      <c r="M73" s="9" t="inlineStr">
        <is>
          <t>MARIA TAK BERNODA KEPANJEN - MALANG</t>
        </is>
      </c>
      <c r="N73" s="38" t="inlineStr">
        <is>
          <t>Reg. II Hal. 196 No. 35/1530</t>
        </is>
      </c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inlineStr">
        <is>
          <t>BARU dari scan: HENDRIX AGUNG APRIWINARTO - SURAT BAPTIS ISTRI.jpg Dikenal hanya dari surat sakramen - belum ada KTP/KK. Terisi otomatis dari scan: No Buku Baptis, Paroki/Gereja Baptis, Tanggal Baptis.</t>
        </is>
      </c>
    </row>
    <row r="74" ht="14.25" customHeight="1" s="37">
      <c r="A74" s="41" t="inlineStr">
        <is>
          <t>UM00257</t>
        </is>
      </c>
      <c r="B74" s="40" t="n"/>
      <c r="C74" s="9" t="inlineStr">
        <is>
          <t>Fransiska Ignatia Woro Vidya A.</t>
        </is>
      </c>
      <c r="D74" s="40" t="n"/>
      <c r="E74" s="40" t="n"/>
      <c r="F74" s="9">
        <f>IF(E74="","",DATEDIF(E74,DATE(2026,12,31),"Y"))</f>
        <v/>
      </c>
      <c r="G74" s="40" t="n"/>
      <c r="H74" s="9" t="inlineStr">
        <is>
          <t>St. Maria Immacula</t>
        </is>
      </c>
      <c r="I74" s="9" t="n"/>
      <c r="J74" s="9" t="n"/>
      <c r="K74" s="9" t="inlineStr">
        <is>
          <t>Aktif</t>
        </is>
      </c>
      <c r="L74" s="9" t="n"/>
      <c r="M74" s="9" t="n"/>
      <c r="N74" s="9" t="n"/>
      <c r="O74" s="9" t="n"/>
      <c r="P74" s="9" t="n"/>
      <c r="Q74" s="44" t="n">
        <v>36051</v>
      </c>
      <c r="R74" s="9" t="inlineStr">
        <is>
          <t>Keluarga Kudus Cibinong</t>
        </is>
      </c>
      <c r="S74" s="9" t="n"/>
      <c r="T74" s="9" t="n"/>
      <c r="U74" s="9" t="n"/>
      <c r="V74" s="9" t="n"/>
      <c r="W74" s="9" t="n"/>
      <c r="X74" s="9" t="n"/>
      <c r="Y74" s="9" t="n"/>
      <c r="Z74" s="9" t="inlineStr">
        <is>
          <t>BARU dari scan: IGNATIUS BUDIARIYANTO-SURAT KRISMA ISTERI__p1__d1.jpg Dikenal hanya dari surat sakramen - belum ada KTP/KK. Terisi otomatis dari scan: Paroki/Gereja Krisma, Tanggal Krisma.</t>
        </is>
      </c>
    </row>
    <row r="75" ht="14.25" customHeight="1" s="37">
      <c r="A75" s="41" t="inlineStr">
        <is>
          <t>UM00258</t>
        </is>
      </c>
      <c r="B75" s="40" t="n"/>
      <c r="C75" s="9" t="inlineStr">
        <is>
          <t>IGNATIUS BUDY ARIYANTO</t>
        </is>
      </c>
      <c r="D75" s="40" t="n"/>
      <c r="E75" s="40" t="n"/>
      <c r="F75" s="9">
        <f>IF(E75="","",DATEDIF(E75,DATE(2026,12,31),"Y"))</f>
        <v/>
      </c>
      <c r="G75" s="40" t="n"/>
      <c r="H75" s="9" t="inlineStr">
        <is>
          <t>St. Maria Immacula</t>
        </is>
      </c>
      <c r="I75" s="9" t="n"/>
      <c r="J75" s="9" t="n"/>
      <c r="K75" s="9" t="inlineStr">
        <is>
          <t>Aktif</t>
        </is>
      </c>
      <c r="L75" s="9" t="n"/>
      <c r="M75" s="9" t="n"/>
      <c r="N75" s="9" t="n"/>
      <c r="O75" s="9" t="n"/>
      <c r="P75" s="9" t="n"/>
      <c r="Q75" s="44" t="n">
        <v>34665</v>
      </c>
      <c r="R75" s="9" t="inlineStr">
        <is>
          <t>Paroki St. Perawan Maria, Katedral Bogor</t>
        </is>
      </c>
      <c r="S75" s="9" t="n"/>
      <c r="T75" s="9" t="n"/>
      <c r="U75" s="9" t="n"/>
      <c r="V75" s="9" t="n"/>
      <c r="W75" s="9" t="n"/>
      <c r="X75" s="9" t="n"/>
      <c r="Y75" s="9" t="n"/>
      <c r="Z75" s="9" t="inlineStr">
        <is>
          <t>BARU dari scan: IGNATIUS BUDIARIYANTO-SURAT KRISMA__p1__d1.jpg Dikenal hanya dari surat sakramen - belum ada KTP/KK. Terisi otomatis dari scan: Paroki/Gereja Krisma, Tanggal Krisma.</t>
        </is>
      </c>
    </row>
    <row r="76" ht="14.25" customHeight="1" s="37">
      <c r="A76" s="41" t="inlineStr">
        <is>
          <t>UM00259</t>
        </is>
      </c>
      <c r="B76" s="40" t="n"/>
      <c r="C76" s="9" t="inlineStr">
        <is>
          <t>LAURENSIUS FILIPI ADRY YOTA</t>
        </is>
      </c>
      <c r="D76" s="40" t="n"/>
      <c r="E76" s="44" t="n">
        <v>44763</v>
      </c>
      <c r="F76" s="9">
        <f>IF(E76="","",DATEDIF(E76,DATE(2026,12,31),"Y"))</f>
        <v/>
      </c>
      <c r="G76" s="40" t="n"/>
      <c r="H76" s="9" t="inlineStr">
        <is>
          <t>St. Maria Immacula</t>
        </is>
      </c>
      <c r="I76" s="9" t="n"/>
      <c r="J76" s="9" t="n"/>
      <c r="K76" s="9" t="inlineStr">
        <is>
          <t>Aktif</t>
        </is>
      </c>
      <c r="L76" s="44" t="n">
        <v>44843</v>
      </c>
      <c r="M76" s="9" t="inlineStr">
        <is>
          <t>ST. KLEMENT I SEPINGGAN - BALIKPAPAN</t>
        </is>
      </c>
      <c r="N76" s="38" t="inlineStr">
        <is>
          <t>1651</t>
        </is>
      </c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inlineStr">
        <is>
          <t>BARU dari scan: MURTIYONO - SURAT BAPTIS ANAK.jpg Dikenal hanya dari surat sakramen - belum ada KTP/KK. Terisi otomatis dari scan: No Buku Baptis, Paroki/Gereja Baptis, Tanggal Baptis.</t>
        </is>
      </c>
    </row>
    <row r="77" ht="14.25" customHeight="1" s="37">
      <c r="A77" s="41" t="inlineStr">
        <is>
          <t>UM00260</t>
        </is>
      </c>
      <c r="B77" s="45" t="inlineStr">
        <is>
          <t>KK0080</t>
        </is>
      </c>
      <c r="C77" s="9" t="inlineStr">
        <is>
          <t>Theresia Jenta Bernadetha</t>
        </is>
      </c>
      <c r="D77" s="40" t="n"/>
      <c r="E77" s="40" t="n"/>
      <c r="F77" s="9">
        <f>IF(E77="","",DATEDIF(E77,DATE(2026,12,31),"Y"))</f>
        <v/>
      </c>
      <c r="G77" s="40" t="n"/>
      <c r="H77" s="9" t="inlineStr">
        <is>
          <t>St. Maria Immacula</t>
        </is>
      </c>
      <c r="I77" s="9" t="n"/>
      <c r="J77" s="9" t="n"/>
      <c r="K77" s="9" t="inlineStr">
        <is>
          <t>Aktif</t>
        </is>
      </c>
      <c r="L77" s="9" t="n"/>
      <c r="M77" s="9" t="n"/>
      <c r="N77" s="9" t="n"/>
      <c r="O77" s="9" t="n"/>
      <c r="P77" s="9" t="n"/>
      <c r="Q77" s="44" t="n">
        <v>44885</v>
      </c>
      <c r="R77" s="9" t="inlineStr">
        <is>
          <t>Paroki St. Klemens I Balikpapan</t>
        </is>
      </c>
      <c r="S77" s="9" t="n"/>
      <c r="T77" s="9" t="n"/>
      <c r="U77" s="9" t="n"/>
      <c r="V77" s="9" t="n"/>
      <c r="W77" s="9" t="n"/>
      <c r="X77" s="9" t="n"/>
      <c r="Y77" s="9" t="n"/>
      <c r="Z77" s="9" t="inlineStr">
        <is>
          <t>BARU dari scan: MURTIYONO - SURAT KRISMA ISTRI.jpg Dikenal hanya dari surat sakramen - belum ada KTP/KK. Terisi otomatis dari scan: Paroki/Gereja Krisma, Tanggal Krisma.</t>
        </is>
      </c>
    </row>
    <row r="78" ht="14.25" customHeight="1" s="37">
      <c r="A78" s="41" t="inlineStr">
        <is>
          <t>UM00261</t>
        </is>
      </c>
      <c r="B78" s="40" t="n"/>
      <c r="C78" s="9" t="inlineStr">
        <is>
          <t>Catherina Suyaki</t>
        </is>
      </c>
      <c r="D78" s="40" t="n"/>
      <c r="E78" s="44" t="n">
        <v>16473</v>
      </c>
      <c r="F78" s="9">
        <f>IF(E78="","",DATEDIF(E78,DATE(2026,12,31),"Y"))</f>
        <v/>
      </c>
      <c r="G78" s="40" t="n"/>
      <c r="H78" s="9" t="inlineStr">
        <is>
          <t>St. Maria Immacula</t>
        </is>
      </c>
      <c r="I78" s="9" t="n"/>
      <c r="J78" s="9" t="n"/>
      <c r="K78" s="9" t="inlineStr">
        <is>
          <t>Aktif</t>
        </is>
      </c>
      <c r="L78" s="44" t="n">
        <v>28198</v>
      </c>
      <c r="M78" s="9" t="inlineStr">
        <is>
          <t>St. Theresia Balikpapan</t>
        </is>
      </c>
      <c r="N78" s="38" t="inlineStr">
        <is>
          <t>III, Hal. 1, No. 2045</t>
        </is>
      </c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inlineStr">
        <is>
          <t>BARU dari scan: P. SUYATI-SURAT BAPTIS.jpg Dikenal hanya dari surat sakramen - belum ada KTP/KK. Terisi otomatis dari scan: No Buku Baptis, Paroki/Gereja Baptis, Tanggal Baptis.</t>
        </is>
      </c>
    </row>
    <row r="79" ht="14.25" customHeight="1" s="37">
      <c r="A79" s="41" t="inlineStr">
        <is>
          <t>UM00262</t>
        </is>
      </c>
      <c r="B79" s="40" t="n"/>
      <c r="C79" s="9" t="inlineStr">
        <is>
          <t>TATA RINA RATTANG</t>
        </is>
      </c>
      <c r="D79" s="40" t="n"/>
      <c r="E79" s="40" t="n"/>
      <c r="F79" s="9">
        <f>IF(E79="","",DATEDIF(E79,DATE(2026,12,31),"Y"))</f>
        <v/>
      </c>
      <c r="G79" s="40" t="n"/>
      <c r="H79" s="9" t="inlineStr">
        <is>
          <t>St. Maria Immacula</t>
        </is>
      </c>
      <c r="I79" s="9" t="n"/>
      <c r="J79" s="9" t="n"/>
      <c r="K79" s="9" t="inlineStr">
        <is>
          <t>Aktif</t>
        </is>
      </c>
      <c r="L79" s="9" t="n"/>
      <c r="M79" s="9" t="n"/>
      <c r="N79" s="9" t="n"/>
      <c r="O79" s="44" t="n">
        <v>41070</v>
      </c>
      <c r="P79" s="9" t="inlineStr">
        <is>
          <t>SANTO PETRUS PANGLI</t>
        </is>
      </c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inlineStr">
        <is>
          <t>BARU dari scan: RIBKA RATTANG - SURAT KOMUNI PERTAMA ADIK.jpg Dikenal hanya dari surat sakramen - belum ada KTP/KK. Terisi otomatis dari scan: Paroki/Gereja Komuni I, Tanggal Komuni I.</t>
        </is>
      </c>
    </row>
    <row r="80" ht="14.25" customHeight="1" s="37">
      <c r="A80" s="41" t="inlineStr">
        <is>
          <t>UM00263</t>
        </is>
      </c>
      <c r="B80" s="40" t="n"/>
      <c r="C80" s="9" t="inlineStr">
        <is>
          <t>MARIA SAIDA RAHAYU NINGSIH</t>
        </is>
      </c>
      <c r="D80" s="40" t="n"/>
      <c r="E80" s="44" t="n">
        <v>36200</v>
      </c>
      <c r="F80" s="9">
        <f>IF(E80="","",DATEDIF(E80,DATE(2026,12,31),"Y"))</f>
        <v/>
      </c>
      <c r="G80" s="40" t="n"/>
      <c r="H80" s="9" t="inlineStr">
        <is>
          <t>St. Maria Immacula</t>
        </is>
      </c>
      <c r="I80" s="9" t="n"/>
      <c r="J80" s="9" t="n"/>
      <c r="K80" s="9" t="inlineStr">
        <is>
          <t>Aktif</t>
        </is>
      </c>
      <c r="L80" s="44" t="n">
        <v>45701</v>
      </c>
      <c r="M80" s="9" t="inlineStr">
        <is>
          <t>ST. KLEMENT I SEPINGGAN - BALIKPAPAN</t>
        </is>
      </c>
      <c r="N80" s="38" t="inlineStr">
        <is>
          <t>1936</t>
        </is>
      </c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inlineStr">
        <is>
          <t>BARU dari scan: SURAT BAPTIS-MARSELINUS PAMBO ISTRI.jpg Dikenal hanya dari surat sakramen - belum ada KTP/KK. Terisi otomatis dari scan: No Buku Baptis, Paroki/Gereja Baptis, Tanggal Baptis.</t>
        </is>
      </c>
    </row>
    <row r="81" ht="14.25" customHeight="1" s="37">
      <c r="A81" s="41" t="inlineStr">
        <is>
          <t>UM00264</t>
        </is>
      </c>
      <c r="B81" s="40" t="n"/>
      <c r="C81" s="9" t="inlineStr">
        <is>
          <t>YOSEFA JANETT MAHARANI MANURUNG</t>
        </is>
      </c>
      <c r="D81" s="40" t="n"/>
      <c r="E81" s="44" t="n">
        <v>39890</v>
      </c>
      <c r="F81" s="9">
        <f>IF(E81="","",DATEDIF(E81,DATE(2026,12,31),"Y"))</f>
        <v/>
      </c>
      <c r="G81" s="40" t="n"/>
      <c r="H81" s="9" t="inlineStr">
        <is>
          <t>St. Maria Immacula</t>
        </is>
      </c>
      <c r="I81" s="9" t="n"/>
      <c r="J81" s="9" t="n"/>
      <c r="K81" s="9" t="inlineStr">
        <is>
          <t>Aktif</t>
        </is>
      </c>
      <c r="L81" s="44" t="n">
        <v>40174</v>
      </c>
      <c r="M81" s="9" t="inlineStr">
        <is>
          <t>Paroki Santa Maria - Kartasura</t>
        </is>
      </c>
      <c r="N81" s="38" t="inlineStr">
        <is>
          <t>V No. 4487</t>
        </is>
      </c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inlineStr">
        <is>
          <t>BARU dari scan: VERO DWI ANI-SURAT BAPTIS ANAK 1.jpg Dikenal hanya dari surat sakramen - belum ada KTP/KK. Terisi otomatis dari scan: No Buku Baptis, Paroki/Gereja Baptis, Tanggal Baptis.</t>
        </is>
      </c>
    </row>
    <row r="82" ht="14.25" customHeight="1" s="37">
      <c r="A82" s="41" t="inlineStr">
        <is>
          <t>UM00265</t>
        </is>
      </c>
      <c r="B82" s="40" t="n"/>
      <c r="C82" s="9" t="inlineStr">
        <is>
          <t>NATALIA KAREN MANURUNG</t>
        </is>
      </c>
      <c r="D82" s="40" t="n"/>
      <c r="E82" s="44" t="n">
        <v>41261</v>
      </c>
      <c r="F82" s="9">
        <f>IF(E82="","",DATEDIF(E82,DATE(2026,12,31),"Y"))</f>
        <v/>
      </c>
      <c r="G82" s="40" t="n"/>
      <c r="H82" s="9" t="inlineStr">
        <is>
          <t>St. Maria Immacula</t>
        </is>
      </c>
      <c r="I82" s="9" t="n"/>
      <c r="J82" s="9" t="n"/>
      <c r="K82" s="9" t="inlineStr">
        <is>
          <t>Aktif</t>
        </is>
      </c>
      <c r="L82" s="44" t="n">
        <v>42134</v>
      </c>
      <c r="M82" s="9" t="inlineStr">
        <is>
          <t>Santa Maria Kartasura, Sukoharjo</t>
        </is>
      </c>
      <c r="N82" s="38" t="inlineStr">
        <is>
          <t>VI / 4999</t>
        </is>
      </c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inlineStr">
        <is>
          <t>BARU dari scan: VERO DWI ANI-SURAT BAPTIS ANAK 2.jpg Dikenal hanya dari surat sakramen - belum ada KTP/KK. Terisi otomatis dari scan: No Buku Baptis, Paroki/Gereja Baptis, Tanggal Baptis.</t>
        </is>
      </c>
    </row>
    <row r="83" ht="14.25" customHeight="1" s="37">
      <c r="A83" s="41" t="inlineStr">
        <is>
          <t>UM00266</t>
        </is>
      </c>
      <c r="B83" s="45" t="inlineStr">
        <is>
          <t>KK0081</t>
        </is>
      </c>
      <c r="C83" s="9" t="inlineStr">
        <is>
          <t>LINTONG AMALSYAH MANURUNG</t>
        </is>
      </c>
      <c r="D83" s="40" t="n"/>
      <c r="E83" s="40" t="n"/>
      <c r="F83" s="9">
        <f>IF(E83="","",DATEDIF(E83,DATE(2026,12,31),"Y"))</f>
        <v/>
      </c>
      <c r="G83" s="40" t="n"/>
      <c r="H83" s="9" t="inlineStr">
        <is>
          <t>St. Maria Immacula</t>
        </is>
      </c>
      <c r="I83" s="9" t="n"/>
      <c r="J83" s="9" t="n"/>
      <c r="K83" s="9" t="inlineStr">
        <is>
          <t>Aktif</t>
        </is>
      </c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inlineStr">
        <is>
          <t>BARU dari scan: VERO DWI ANI-SURAT NIKAH SIPIL.jpg Dikenal hanya dari surat sakramen - belum ada KTP/KK.</t>
        </is>
      </c>
    </row>
    <row r="84" ht="14.25" customHeight="1" s="37">
      <c r="A84" s="9">
        <f>IF(C84="","","UM"&amp;TEXT(ROW()-1,"00000"))</f>
        <v/>
      </c>
      <c r="B84" s="9" t="n"/>
      <c r="C84" s="9" t="n"/>
      <c r="D84" s="9" t="n"/>
      <c r="E84" s="9" t="n"/>
      <c r="F84" s="9">
        <f>IF(E84="","",DATEDIF(E84,DATE(2026,12,31),"Y"))</f>
        <v/>
      </c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4.25" customHeight="1" s="37">
      <c r="A85" s="9">
        <f>IF(C85="","","UM"&amp;TEXT(ROW()-1,"00000"))</f>
        <v/>
      </c>
      <c r="B85" s="9" t="n"/>
      <c r="C85" s="9" t="n"/>
      <c r="D85" s="9" t="n"/>
      <c r="E85" s="9" t="n"/>
      <c r="F85" s="9">
        <f>IF(E85="","",DATEDIF(E85,DATE(2026,12,31),"Y"))</f>
        <v/>
      </c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4.25" customHeight="1" s="37">
      <c r="A86" s="9">
        <f>IF(C86="","","UM"&amp;TEXT(ROW()-1,"00000"))</f>
        <v/>
      </c>
      <c r="B86" s="9" t="n"/>
      <c r="C86" s="9" t="n"/>
      <c r="D86" s="9" t="n"/>
      <c r="E86" s="9" t="n"/>
      <c r="F86" s="9">
        <f>IF(E86="","",DATEDIF(E86,DATE(2026,12,31),"Y"))</f>
        <v/>
      </c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4.25" customHeight="1" s="37">
      <c r="A87" s="9">
        <f>IF(C87="","","UM"&amp;TEXT(ROW()-1,"00000"))</f>
        <v/>
      </c>
      <c r="B87" s="9" t="n"/>
      <c r="C87" s="9" t="n"/>
      <c r="D87" s="9" t="n"/>
      <c r="E87" s="9" t="n"/>
      <c r="F87" s="9">
        <f>IF(E87="","",DATEDIF(E87,DATE(2026,12,31),"Y"))</f>
        <v/>
      </c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4.25" customHeight="1" s="37">
      <c r="A88" s="9">
        <f>IF(C88="","","UM"&amp;TEXT(ROW()-1,"00000"))</f>
        <v/>
      </c>
      <c r="B88" s="9" t="n"/>
      <c r="C88" s="9" t="n"/>
      <c r="D88" s="9" t="n"/>
      <c r="E88" s="9" t="n"/>
      <c r="F88" s="9">
        <f>IF(E88="","",DATEDIF(E88,DATE(2026,12,31),"Y"))</f>
        <v/>
      </c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4.25" customHeight="1" s="37">
      <c r="A89" s="9">
        <f>IF(C89="","","UM"&amp;TEXT(ROW()-1,"00000"))</f>
        <v/>
      </c>
      <c r="B89" s="9" t="n"/>
      <c r="C89" s="9" t="n"/>
      <c r="D89" s="9" t="n"/>
      <c r="E89" s="9" t="n"/>
      <c r="F89" s="9">
        <f>IF(E89="","",DATEDIF(E89,DATE(2026,12,31),"Y"))</f>
        <v/>
      </c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4.25" customHeight="1" s="37">
      <c r="A90" s="9">
        <f>IF(C90="","","UM"&amp;TEXT(ROW()-1,"00000"))</f>
        <v/>
      </c>
      <c r="B90" s="9" t="n"/>
      <c r="C90" s="9" t="n"/>
      <c r="D90" s="9" t="n"/>
      <c r="E90" s="9" t="n"/>
      <c r="F90" s="9">
        <f>IF(E90="","",DATEDIF(E90,DATE(2026,12,31),"Y"))</f>
        <v/>
      </c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4.25" customHeight="1" s="37">
      <c r="A91" s="9">
        <f>IF(C91="","","UM"&amp;TEXT(ROW()-1,"00000"))</f>
        <v/>
      </c>
      <c r="B91" s="9" t="n"/>
      <c r="C91" s="9" t="n"/>
      <c r="D91" s="9" t="n"/>
      <c r="E91" s="9" t="n"/>
      <c r="F91" s="9">
        <f>IF(E91="","",DATEDIF(E91,DATE(2026,12,31),"Y"))</f>
        <v/>
      </c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4.25" customHeight="1" s="37">
      <c r="A92" s="9">
        <f>IF(C92="","","UM"&amp;TEXT(ROW()-1,"00000"))</f>
        <v/>
      </c>
      <c r="B92" s="9" t="n"/>
      <c r="C92" s="9" t="n"/>
      <c r="D92" s="9" t="n"/>
      <c r="E92" s="9" t="n"/>
      <c r="F92" s="9">
        <f>IF(E92="","",DATEDIF(E92,DATE(2026,12,31),"Y"))</f>
        <v/>
      </c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4.25" customHeight="1" s="37">
      <c r="A93" s="9">
        <f>IF(C93="","","UM"&amp;TEXT(ROW()-1,"00000"))</f>
        <v/>
      </c>
      <c r="B93" s="9" t="n"/>
      <c r="C93" s="9" t="n"/>
      <c r="D93" s="9" t="n"/>
      <c r="E93" s="9" t="n"/>
      <c r="F93" s="9">
        <f>IF(E93="","",DATEDIF(E93,DATE(2026,12,31),"Y"))</f>
        <v/>
      </c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4.25" customHeight="1" s="37">
      <c r="A94" s="9">
        <f>IF(C94="","","UM"&amp;TEXT(ROW()-1,"00000"))</f>
        <v/>
      </c>
      <c r="B94" s="9" t="n"/>
      <c r="C94" s="9" t="n"/>
      <c r="D94" s="9" t="n"/>
      <c r="E94" s="9" t="n"/>
      <c r="F94" s="9">
        <f>IF(E94="","",DATEDIF(E94,DATE(2026,12,31),"Y"))</f>
        <v/>
      </c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4.25" customHeight="1" s="37">
      <c r="A95" s="9">
        <f>IF(C95="","","UM"&amp;TEXT(ROW()-1,"00000"))</f>
        <v/>
      </c>
      <c r="B95" s="9" t="n"/>
      <c r="C95" s="9" t="n"/>
      <c r="D95" s="9" t="n"/>
      <c r="E95" s="9" t="n"/>
      <c r="F95" s="9">
        <f>IF(E95="","",DATEDIF(E95,DATE(2026,12,31),"Y"))</f>
        <v/>
      </c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4.25" customHeight="1" s="37">
      <c r="A96" s="9">
        <f>IF(C96="","","UM"&amp;TEXT(ROW()-1,"00000"))</f>
        <v/>
      </c>
      <c r="B96" s="9" t="n"/>
      <c r="C96" s="9" t="n"/>
      <c r="D96" s="9" t="n"/>
      <c r="E96" s="9" t="n"/>
      <c r="F96" s="9">
        <f>IF(E96="","",DATEDIF(E96,DATE(2026,12,31),"Y"))</f>
        <v/>
      </c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4.25" customHeight="1" s="37">
      <c r="A97" s="9">
        <f>IF(C97="","","UM"&amp;TEXT(ROW()-1,"00000"))</f>
        <v/>
      </c>
      <c r="B97" s="9" t="n"/>
      <c r="C97" s="9" t="n"/>
      <c r="D97" s="9" t="n"/>
      <c r="E97" s="9" t="n"/>
      <c r="F97" s="9">
        <f>IF(E97="","",DATEDIF(E97,DATE(2026,12,31),"Y"))</f>
        <v/>
      </c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4.25" customHeight="1" s="37">
      <c r="A98" s="9">
        <f>IF(C98="","","UM"&amp;TEXT(ROW()-1,"00000"))</f>
        <v/>
      </c>
      <c r="B98" s="9" t="n"/>
      <c r="C98" s="9" t="n"/>
      <c r="D98" s="9" t="n"/>
      <c r="E98" s="9" t="n"/>
      <c r="F98" s="9">
        <f>IF(E98="","",DATEDIF(E98,DATE(2026,12,31),"Y"))</f>
        <v/>
      </c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4.25" customHeight="1" s="37">
      <c r="A99" s="9">
        <f>IF(C99="","","UM"&amp;TEXT(ROW()-1,"00000"))</f>
        <v/>
      </c>
      <c r="B99" s="9" t="n"/>
      <c r="C99" s="9" t="n"/>
      <c r="D99" s="9" t="n"/>
      <c r="E99" s="9" t="n"/>
      <c r="F99" s="9">
        <f>IF(E99="","",DATEDIF(E99,DATE(2026,12,31),"Y"))</f>
        <v/>
      </c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4.25" customHeight="1" s="37">
      <c r="A100" s="9">
        <f>IF(C100="","","UM"&amp;TEXT(ROW()-1,"00000"))</f>
        <v/>
      </c>
      <c r="B100" s="9" t="n"/>
      <c r="C100" s="9" t="n"/>
      <c r="D100" s="9" t="n"/>
      <c r="E100" s="9" t="n"/>
      <c r="F100" s="9">
        <f>IF(E100="","",DATEDIF(E100,DATE(2026,12,31),"Y"))</f>
        <v/>
      </c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4.25" customHeight="1" s="37">
      <c r="A101" s="9">
        <f>IF(C101="","","UM"&amp;TEXT(ROW()-1,"00000"))</f>
        <v/>
      </c>
      <c r="B101" s="9" t="n"/>
      <c r="C101" s="9" t="n"/>
      <c r="D101" s="9" t="n"/>
      <c r="E101" s="9" t="n"/>
      <c r="F101" s="9">
        <f>IF(E101="","",DATEDIF(E101,DATE(2026,12,31),"Y"))</f>
        <v/>
      </c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4.25" customHeight="1" s="37">
      <c r="A102" s="9">
        <f>IF(C102="","","UM"&amp;TEXT(ROW()-1,"00000"))</f>
        <v/>
      </c>
      <c r="B102" s="9" t="n"/>
      <c r="C102" s="9" t="n"/>
      <c r="D102" s="9" t="n"/>
      <c r="E102" s="9" t="n"/>
      <c r="F102" s="9">
        <f>IF(E102="","",DATEDIF(E102,DATE(2026,12,31),"Y"))</f>
        <v/>
      </c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4.25" customHeight="1" s="37">
      <c r="A103" s="9">
        <f>IF(C103="","","UM"&amp;TEXT(ROW()-1,"00000"))</f>
        <v/>
      </c>
      <c r="B103" s="9" t="n"/>
      <c r="C103" s="9" t="n"/>
      <c r="D103" s="9" t="n"/>
      <c r="E103" s="9" t="n"/>
      <c r="F103" s="9">
        <f>IF(E103="","",DATEDIF(E103,DATE(2026,12,31),"Y"))</f>
        <v/>
      </c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4.25" customHeight="1" s="37">
      <c r="A104" s="9">
        <f>IF(C104="","","UM"&amp;TEXT(ROW()-1,"00000"))</f>
        <v/>
      </c>
      <c r="B104" s="9" t="n"/>
      <c r="C104" s="9" t="n"/>
      <c r="D104" s="9" t="n"/>
      <c r="E104" s="9" t="n"/>
      <c r="F104" s="9">
        <f>IF(E104="","",DATEDIF(E104,DATE(2026,12,31),"Y"))</f>
        <v/>
      </c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4.25" customHeight="1" s="37">
      <c r="A105" s="9">
        <f>IF(C105="","","UM"&amp;TEXT(ROW()-1,"00000"))</f>
        <v/>
      </c>
      <c r="B105" s="9" t="n"/>
      <c r="C105" s="9" t="n"/>
      <c r="D105" s="9" t="n"/>
      <c r="E105" s="9" t="n"/>
      <c r="F105" s="9">
        <f>IF(E105="","",DATEDIF(E105,DATE(2026,12,31),"Y"))</f>
        <v/>
      </c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4.25" customHeight="1" s="37">
      <c r="A106" s="9">
        <f>IF(C106="","","UM"&amp;TEXT(ROW()-1,"00000"))</f>
        <v/>
      </c>
      <c r="B106" s="9" t="n"/>
      <c r="C106" s="9" t="n"/>
      <c r="D106" s="9" t="n"/>
      <c r="E106" s="9" t="n"/>
      <c r="F106" s="9">
        <f>IF(E106="","",DATEDIF(E106,DATE(2026,12,31),"Y"))</f>
        <v/>
      </c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4.25" customHeight="1" s="37">
      <c r="A107" s="9">
        <f>IF(C107="","","UM"&amp;TEXT(ROW()-1,"00000"))</f>
        <v/>
      </c>
      <c r="B107" s="9" t="n"/>
      <c r="C107" s="9" t="n"/>
      <c r="D107" s="9" t="n"/>
      <c r="E107" s="9" t="n"/>
      <c r="F107" s="9">
        <f>IF(E107="","",DATEDIF(E107,DATE(2026,12,31),"Y"))</f>
        <v/>
      </c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4.25" customHeight="1" s="37">
      <c r="A108" s="9">
        <f>IF(C108="","","UM"&amp;TEXT(ROW()-1,"00000"))</f>
        <v/>
      </c>
      <c r="B108" s="9" t="n"/>
      <c r="C108" s="9" t="n"/>
      <c r="D108" s="9" t="n"/>
      <c r="E108" s="9" t="n"/>
      <c r="F108" s="9">
        <f>IF(E108="","",DATEDIF(E108,DATE(2026,12,31),"Y"))</f>
        <v/>
      </c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4.25" customHeight="1" s="37">
      <c r="A109" s="9">
        <f>IF(C109="","","UM"&amp;TEXT(ROW()-1,"00000"))</f>
        <v/>
      </c>
      <c r="B109" s="9" t="n"/>
      <c r="C109" s="9" t="n"/>
      <c r="D109" s="9" t="n"/>
      <c r="E109" s="9" t="n"/>
      <c r="F109" s="9">
        <f>IF(E109="","",DATEDIF(E109,DATE(2026,12,31),"Y"))</f>
        <v/>
      </c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4.25" customHeight="1" s="37">
      <c r="A110" s="9">
        <f>IF(C110="","","UM"&amp;TEXT(ROW()-1,"00000"))</f>
        <v/>
      </c>
      <c r="B110" s="9" t="n"/>
      <c r="C110" s="9" t="n"/>
      <c r="D110" s="9" t="n"/>
      <c r="E110" s="9" t="n"/>
      <c r="F110" s="9">
        <f>IF(E110="","",DATEDIF(E110,DATE(2026,12,31),"Y"))</f>
        <v/>
      </c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4.25" customHeight="1" s="37">
      <c r="A111" s="9">
        <f>IF(C111="","","UM"&amp;TEXT(ROW()-1,"00000"))</f>
        <v/>
      </c>
      <c r="B111" s="9" t="n"/>
      <c r="C111" s="9" t="n"/>
      <c r="D111" s="9" t="n"/>
      <c r="E111" s="9" t="n"/>
      <c r="F111" s="9">
        <f>IF(E111="","",DATEDIF(E111,DATE(2026,12,31),"Y"))</f>
        <v/>
      </c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4.25" customHeight="1" s="37">
      <c r="A112" s="9">
        <f>IF(C112="","","UM"&amp;TEXT(ROW()-1,"00000"))</f>
        <v/>
      </c>
      <c r="B112" s="9" t="n"/>
      <c r="C112" s="9" t="n"/>
      <c r="D112" s="9" t="n"/>
      <c r="E112" s="9" t="n"/>
      <c r="F112" s="9">
        <f>IF(E112="","",DATEDIF(E112,DATE(2026,12,31),"Y"))</f>
        <v/>
      </c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4.25" customHeight="1" s="37">
      <c r="A113" s="9">
        <f>IF(C113="","","UM"&amp;TEXT(ROW()-1,"00000"))</f>
        <v/>
      </c>
      <c r="B113" s="9" t="n"/>
      <c r="C113" s="9" t="n"/>
      <c r="D113" s="9" t="n"/>
      <c r="E113" s="9" t="n"/>
      <c r="F113" s="9">
        <f>IF(E113="","",DATEDIF(E113,DATE(2026,12,31),"Y"))</f>
        <v/>
      </c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4.25" customHeight="1" s="37">
      <c r="A114" s="9">
        <f>IF(C114="","","UM"&amp;TEXT(ROW()-1,"00000"))</f>
        <v/>
      </c>
      <c r="B114" s="9" t="n"/>
      <c r="C114" s="9" t="n"/>
      <c r="D114" s="9" t="n"/>
      <c r="E114" s="9" t="n"/>
      <c r="F114" s="9">
        <f>IF(E114="","",DATEDIF(E114,DATE(2026,12,31),"Y"))</f>
        <v/>
      </c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4.25" customHeight="1" s="37">
      <c r="A115" s="9">
        <f>IF(C115="","","UM"&amp;TEXT(ROW()-1,"00000"))</f>
        <v/>
      </c>
      <c r="B115" s="9" t="n"/>
      <c r="C115" s="9" t="n"/>
      <c r="D115" s="9" t="n"/>
      <c r="E115" s="9" t="n"/>
      <c r="F115" s="9">
        <f>IF(E115="","",DATEDIF(E115,DATE(2026,12,31),"Y"))</f>
        <v/>
      </c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4.25" customHeight="1" s="37">
      <c r="A116" s="9">
        <f>IF(C116="","","UM"&amp;TEXT(ROW()-1,"00000"))</f>
        <v/>
      </c>
      <c r="B116" s="9" t="n"/>
      <c r="C116" s="9" t="n"/>
      <c r="D116" s="9" t="n"/>
      <c r="E116" s="9" t="n"/>
      <c r="F116" s="9">
        <f>IF(E116="","",DATEDIF(E116,DATE(2026,12,31),"Y"))</f>
        <v/>
      </c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4.25" customHeight="1" s="37">
      <c r="A117" s="9">
        <f>IF(C117="","","UM"&amp;TEXT(ROW()-1,"00000"))</f>
        <v/>
      </c>
      <c r="B117" s="9" t="n"/>
      <c r="C117" s="9" t="n"/>
      <c r="D117" s="9" t="n"/>
      <c r="E117" s="9" t="n"/>
      <c r="F117" s="9">
        <f>IF(E117="","",DATEDIF(E117,DATE(2026,12,31),"Y"))</f>
        <v/>
      </c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4.25" customHeight="1" s="37">
      <c r="A118" s="9">
        <f>IF(C118="","","UM"&amp;TEXT(ROW()-1,"00000"))</f>
        <v/>
      </c>
      <c r="B118" s="9" t="n"/>
      <c r="C118" s="9" t="n"/>
      <c r="D118" s="9" t="n"/>
      <c r="E118" s="9" t="n"/>
      <c r="F118" s="9">
        <f>IF(E118="","",DATEDIF(E118,DATE(2026,12,31),"Y"))</f>
        <v/>
      </c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4.25" customHeight="1" s="37">
      <c r="A119" s="9">
        <f>IF(C119="","","UM"&amp;TEXT(ROW()-1,"00000"))</f>
        <v/>
      </c>
      <c r="B119" s="9" t="n"/>
      <c r="C119" s="9" t="n"/>
      <c r="D119" s="9" t="n"/>
      <c r="E119" s="9" t="n"/>
      <c r="F119" s="9">
        <f>IF(E119="","",DATEDIF(E119,DATE(2026,12,31),"Y"))</f>
        <v/>
      </c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4.25" customHeight="1" s="37">
      <c r="A120" s="9">
        <f>IF(C120="","","UM"&amp;TEXT(ROW()-1,"00000"))</f>
        <v/>
      </c>
      <c r="B120" s="9" t="n"/>
      <c r="C120" s="9" t="n"/>
      <c r="D120" s="9" t="n"/>
      <c r="E120" s="9" t="n"/>
      <c r="F120" s="9">
        <f>IF(E120="","",DATEDIF(E120,DATE(2026,12,31),"Y"))</f>
        <v/>
      </c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4.25" customHeight="1" s="37">
      <c r="A121" s="9">
        <f>IF(C121="","","UM"&amp;TEXT(ROW()-1,"00000"))</f>
        <v/>
      </c>
      <c r="B121" s="9" t="n"/>
      <c r="C121" s="9" t="n"/>
      <c r="D121" s="9" t="n"/>
      <c r="E121" s="9" t="n"/>
      <c r="F121" s="9">
        <f>IF(E121="","",DATEDIF(E121,DATE(2026,12,31),"Y"))</f>
        <v/>
      </c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4.25" customHeight="1" s="37">
      <c r="A122" s="9">
        <f>IF(C122="","","UM"&amp;TEXT(ROW()-1,"00000"))</f>
        <v/>
      </c>
      <c r="B122" s="9" t="n"/>
      <c r="C122" s="9" t="n"/>
      <c r="D122" s="9" t="n"/>
      <c r="E122" s="9" t="n"/>
      <c r="F122" s="9">
        <f>IF(E122="","",DATEDIF(E122,DATE(2026,12,31),"Y"))</f>
        <v/>
      </c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4.25" customHeight="1" s="37">
      <c r="A123" s="9">
        <f>IF(C123="","","UM"&amp;TEXT(ROW()-1,"00000"))</f>
        <v/>
      </c>
      <c r="B123" s="9" t="n"/>
      <c r="C123" s="9" t="n"/>
      <c r="D123" s="9" t="n"/>
      <c r="E123" s="9" t="n"/>
      <c r="F123" s="9">
        <f>IF(E123="","",DATEDIF(E123,DATE(2026,12,31),"Y"))</f>
        <v/>
      </c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4.25" customHeight="1" s="37">
      <c r="A124" s="9">
        <f>IF(C124="","","UM"&amp;TEXT(ROW()-1,"00000"))</f>
        <v/>
      </c>
      <c r="B124" s="9" t="n"/>
      <c r="C124" s="9" t="n"/>
      <c r="D124" s="9" t="n"/>
      <c r="E124" s="9" t="n"/>
      <c r="F124" s="9">
        <f>IF(E124="","",DATEDIF(E124,DATE(2026,12,31),"Y"))</f>
        <v/>
      </c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4.25" customHeight="1" s="37">
      <c r="A125" s="9">
        <f>IF(C125="","","UM"&amp;TEXT(ROW()-1,"00000"))</f>
        <v/>
      </c>
      <c r="B125" s="9" t="n"/>
      <c r="C125" s="9" t="n"/>
      <c r="D125" s="9" t="n"/>
      <c r="E125" s="9" t="n"/>
      <c r="F125" s="9">
        <f>IF(E125="","",DATEDIF(E125,DATE(2026,12,31),"Y"))</f>
        <v/>
      </c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4.25" customHeight="1" s="37">
      <c r="A126" s="9">
        <f>IF(C126="","","UM"&amp;TEXT(ROW()-1,"00000"))</f>
        <v/>
      </c>
      <c r="B126" s="9" t="n"/>
      <c r="C126" s="9" t="n"/>
      <c r="D126" s="9" t="n"/>
      <c r="E126" s="9" t="n"/>
      <c r="F126" s="9">
        <f>IF(E126="","",DATEDIF(E126,DATE(2026,12,31),"Y"))</f>
        <v/>
      </c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4.25" customHeight="1" s="37">
      <c r="A127" s="9">
        <f>IF(C127="","","UM"&amp;TEXT(ROW()-1,"00000"))</f>
        <v/>
      </c>
      <c r="B127" s="9" t="n"/>
      <c r="C127" s="9" t="n"/>
      <c r="D127" s="9" t="n"/>
      <c r="E127" s="9" t="n"/>
      <c r="F127" s="9">
        <f>IF(E127="","",DATEDIF(E127,DATE(2026,12,31),"Y"))</f>
        <v/>
      </c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4.25" customHeight="1" s="37">
      <c r="A128" s="9">
        <f>IF(C128="","","UM"&amp;TEXT(ROW()-1,"00000"))</f>
        <v/>
      </c>
      <c r="B128" s="9" t="n"/>
      <c r="C128" s="9" t="n"/>
      <c r="D128" s="9" t="n"/>
      <c r="E128" s="9" t="n"/>
      <c r="F128" s="9">
        <f>IF(E128="","",DATEDIF(E128,DATE(2026,12,31),"Y"))</f>
        <v/>
      </c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4.25" customHeight="1" s="37">
      <c r="A129" s="9">
        <f>IF(C129="","","UM"&amp;TEXT(ROW()-1,"00000"))</f>
        <v/>
      </c>
      <c r="B129" s="9" t="n"/>
      <c r="C129" s="9" t="n"/>
      <c r="D129" s="9" t="n"/>
      <c r="E129" s="9" t="n"/>
      <c r="F129" s="9">
        <f>IF(E129="","",DATEDIF(E129,DATE(2026,12,31),"Y"))</f>
        <v/>
      </c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4.25" customHeight="1" s="37">
      <c r="A130" s="9">
        <f>IF(C130="","","UM"&amp;TEXT(ROW()-1,"00000"))</f>
        <v/>
      </c>
      <c r="B130" s="9" t="n"/>
      <c r="C130" s="9" t="n"/>
      <c r="D130" s="9" t="n"/>
      <c r="E130" s="9" t="n"/>
      <c r="F130" s="9">
        <f>IF(E130="","",DATEDIF(E130,DATE(2026,12,31),"Y"))</f>
        <v/>
      </c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4.25" customHeight="1" s="37">
      <c r="A131" s="9">
        <f>IF(C131="","","UM"&amp;TEXT(ROW()-1,"00000"))</f>
        <v/>
      </c>
      <c r="B131" s="9" t="n"/>
      <c r="C131" s="9" t="n"/>
      <c r="D131" s="9" t="n"/>
      <c r="E131" s="9" t="n"/>
      <c r="F131" s="9">
        <f>IF(E131="","",DATEDIF(E131,DATE(2026,12,31),"Y"))</f>
        <v/>
      </c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4.25" customHeight="1" s="37">
      <c r="A132" s="9">
        <f>IF(C132="","","UM"&amp;TEXT(ROW()-1,"00000"))</f>
        <v/>
      </c>
      <c r="B132" s="9" t="n"/>
      <c r="C132" s="9" t="n"/>
      <c r="D132" s="9" t="n"/>
      <c r="E132" s="9" t="n"/>
      <c r="F132" s="9">
        <f>IF(E132="","",DATEDIF(E132,DATE(2026,12,31),"Y"))</f>
        <v/>
      </c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4.25" customHeight="1" s="37">
      <c r="A133" s="9">
        <f>IF(C133="","","UM"&amp;TEXT(ROW()-1,"00000"))</f>
        <v/>
      </c>
      <c r="B133" s="9" t="n"/>
      <c r="C133" s="9" t="n"/>
      <c r="D133" s="9" t="n"/>
      <c r="E133" s="9" t="n"/>
      <c r="F133" s="9">
        <f>IF(E133="","",DATEDIF(E133,DATE(2026,12,31),"Y"))</f>
        <v/>
      </c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4.25" customHeight="1" s="37">
      <c r="A134" s="9">
        <f>IF(C134="","","UM"&amp;TEXT(ROW()-1,"00000"))</f>
        <v/>
      </c>
      <c r="B134" s="9" t="n"/>
      <c r="C134" s="9" t="n"/>
      <c r="D134" s="9" t="n"/>
      <c r="E134" s="9" t="n"/>
      <c r="F134" s="9">
        <f>IF(E134="","",DATEDIF(E134,DATE(2026,12,31),"Y"))</f>
        <v/>
      </c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4.25" customHeight="1" s="37">
      <c r="A135" s="9">
        <f>IF(C135="","","UM"&amp;TEXT(ROW()-1,"00000"))</f>
        <v/>
      </c>
      <c r="B135" s="9" t="n"/>
      <c r="C135" s="9" t="n"/>
      <c r="D135" s="9" t="n"/>
      <c r="E135" s="9" t="n"/>
      <c r="F135" s="9">
        <f>IF(E135="","",DATEDIF(E135,DATE(2026,12,31),"Y"))</f>
        <v/>
      </c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4.25" customHeight="1" s="37">
      <c r="A136" s="9">
        <f>IF(C136="","","UM"&amp;TEXT(ROW()-1,"00000"))</f>
        <v/>
      </c>
      <c r="B136" s="9" t="n"/>
      <c r="C136" s="9" t="n"/>
      <c r="D136" s="9" t="n"/>
      <c r="E136" s="9" t="n"/>
      <c r="F136" s="9">
        <f>IF(E136="","",DATEDIF(E136,DATE(2026,12,31),"Y"))</f>
        <v/>
      </c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4.25" customHeight="1" s="37">
      <c r="A137" s="9">
        <f>IF(C137="","","UM"&amp;TEXT(ROW()-1,"00000"))</f>
        <v/>
      </c>
      <c r="B137" s="9" t="n"/>
      <c r="C137" s="9" t="n"/>
      <c r="D137" s="9" t="n"/>
      <c r="E137" s="9" t="n"/>
      <c r="F137" s="9">
        <f>IF(E137="","",DATEDIF(E137,DATE(2026,12,31),"Y"))</f>
        <v/>
      </c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4.25" customHeight="1" s="37">
      <c r="A138" s="9">
        <f>IF(C138="","","UM"&amp;TEXT(ROW()-1,"00000"))</f>
        <v/>
      </c>
      <c r="B138" s="9" t="n"/>
      <c r="C138" s="9" t="n"/>
      <c r="D138" s="9" t="n"/>
      <c r="E138" s="9" t="n"/>
      <c r="F138" s="9">
        <f>IF(E138="","",DATEDIF(E138,DATE(2026,12,31),"Y"))</f>
        <v/>
      </c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4.25" customHeight="1" s="37">
      <c r="A139" s="9">
        <f>IF(C139="","","UM"&amp;TEXT(ROW()-1,"00000"))</f>
        <v/>
      </c>
      <c r="B139" s="9" t="n"/>
      <c r="C139" s="9" t="n"/>
      <c r="D139" s="9" t="n"/>
      <c r="E139" s="9" t="n"/>
      <c r="F139" s="9">
        <f>IF(E139="","",DATEDIF(E139,DATE(2026,12,31),"Y"))</f>
        <v/>
      </c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4.25" customHeight="1" s="37">
      <c r="A140" s="9">
        <f>IF(C140="","","UM"&amp;TEXT(ROW()-1,"00000"))</f>
        <v/>
      </c>
      <c r="B140" s="9" t="n"/>
      <c r="C140" s="9" t="n"/>
      <c r="D140" s="9" t="n"/>
      <c r="E140" s="9" t="n"/>
      <c r="F140" s="9">
        <f>IF(E140="","",DATEDIF(E140,DATE(2026,12,31),"Y"))</f>
        <v/>
      </c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4.25" customHeight="1" s="37">
      <c r="A141" s="9">
        <f>IF(C141="","","UM"&amp;TEXT(ROW()-1,"00000"))</f>
        <v/>
      </c>
      <c r="B141" s="9" t="n"/>
      <c r="C141" s="9" t="n"/>
      <c r="D141" s="9" t="n"/>
      <c r="E141" s="9" t="n"/>
      <c r="F141" s="9">
        <f>IF(E141="","",DATEDIF(E141,DATE(2026,12,31),"Y"))</f>
        <v/>
      </c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4.25" customHeight="1" s="37">
      <c r="A142" s="9">
        <f>IF(C142="","","UM"&amp;TEXT(ROW()-1,"00000"))</f>
        <v/>
      </c>
      <c r="B142" s="9" t="n"/>
      <c r="C142" s="9" t="n"/>
      <c r="D142" s="9" t="n"/>
      <c r="E142" s="9" t="n"/>
      <c r="F142" s="9">
        <f>IF(E142="","",DATEDIF(E142,DATE(2026,12,31),"Y"))</f>
        <v/>
      </c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4.25" customHeight="1" s="37">
      <c r="A143" s="9">
        <f>IF(C143="","","UM"&amp;TEXT(ROW()-1,"00000"))</f>
        <v/>
      </c>
      <c r="B143" s="9" t="n"/>
      <c r="C143" s="9" t="n"/>
      <c r="D143" s="9" t="n"/>
      <c r="E143" s="9" t="n"/>
      <c r="F143" s="9">
        <f>IF(E143="","",DATEDIF(E143,DATE(2026,12,31),"Y"))</f>
        <v/>
      </c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4.25" customHeight="1" s="37">
      <c r="A144" s="9">
        <f>IF(C144="","","UM"&amp;TEXT(ROW()-1,"00000"))</f>
        <v/>
      </c>
      <c r="B144" s="9" t="n"/>
      <c r="C144" s="9" t="n"/>
      <c r="D144" s="9" t="n"/>
      <c r="E144" s="9" t="n"/>
      <c r="F144" s="9">
        <f>IF(E144="","",DATEDIF(E144,DATE(2026,12,31),"Y"))</f>
        <v/>
      </c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4.25" customHeight="1" s="37">
      <c r="A145" s="9">
        <f>IF(C145="","","UM"&amp;TEXT(ROW()-1,"00000"))</f>
        <v/>
      </c>
      <c r="B145" s="9" t="n"/>
      <c r="C145" s="9" t="n"/>
      <c r="D145" s="9" t="n"/>
      <c r="E145" s="9" t="n"/>
      <c r="F145" s="9">
        <f>IF(E145="","",DATEDIF(E145,DATE(2026,12,31),"Y"))</f>
        <v/>
      </c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4.25" customHeight="1" s="37">
      <c r="A146" s="9">
        <f>IF(C146="","","UM"&amp;TEXT(ROW()-1,"00000"))</f>
        <v/>
      </c>
      <c r="B146" s="9" t="n"/>
      <c r="C146" s="9" t="n"/>
      <c r="D146" s="9" t="n"/>
      <c r="E146" s="9" t="n"/>
      <c r="F146" s="9">
        <f>IF(E146="","",DATEDIF(E146,DATE(2026,12,31),"Y"))</f>
        <v/>
      </c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4.25" customHeight="1" s="37">
      <c r="A147" s="9">
        <f>IF(C147="","","UM"&amp;TEXT(ROW()-1,"00000"))</f>
        <v/>
      </c>
      <c r="B147" s="9" t="n"/>
      <c r="C147" s="9" t="n"/>
      <c r="D147" s="9" t="n"/>
      <c r="E147" s="9" t="n"/>
      <c r="F147" s="9">
        <f>IF(E147="","",DATEDIF(E147,DATE(2026,12,31),"Y"))</f>
        <v/>
      </c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4.25" customHeight="1" s="37">
      <c r="A148" s="9">
        <f>IF(C148="","","UM"&amp;TEXT(ROW()-1,"00000"))</f>
        <v/>
      </c>
      <c r="B148" s="9" t="n"/>
      <c r="C148" s="9" t="n"/>
      <c r="D148" s="9" t="n"/>
      <c r="E148" s="9" t="n"/>
      <c r="F148" s="9">
        <f>IF(E148="","",DATEDIF(E148,DATE(2026,12,31),"Y"))</f>
        <v/>
      </c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4.25" customHeight="1" s="37">
      <c r="A149" s="9">
        <f>IF(C149="","","UM"&amp;TEXT(ROW()-1,"00000"))</f>
        <v/>
      </c>
      <c r="B149" s="9" t="n"/>
      <c r="C149" s="9" t="n"/>
      <c r="D149" s="9" t="n"/>
      <c r="E149" s="9" t="n"/>
      <c r="F149" s="9">
        <f>IF(E149="","",DATEDIF(E149,DATE(2026,12,31),"Y"))</f>
        <v/>
      </c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4.25" customHeight="1" s="37">
      <c r="A150" s="9">
        <f>IF(C150="","","UM"&amp;TEXT(ROW()-1,"00000"))</f>
        <v/>
      </c>
      <c r="B150" s="9" t="n"/>
      <c r="C150" s="9" t="n"/>
      <c r="D150" s="9" t="n"/>
      <c r="E150" s="9" t="n"/>
      <c r="F150" s="9">
        <f>IF(E150="","",DATEDIF(E150,DATE(2026,12,31),"Y"))</f>
        <v/>
      </c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4.25" customHeight="1" s="37">
      <c r="A151" s="9">
        <f>IF(C151="","","UM"&amp;TEXT(ROW()-1,"00000"))</f>
        <v/>
      </c>
      <c r="B151" s="9" t="n"/>
      <c r="C151" s="9" t="n"/>
      <c r="D151" s="9" t="n"/>
      <c r="E151" s="9" t="n"/>
      <c r="F151" s="9">
        <f>IF(E151="","",DATEDIF(E151,DATE(2026,12,31),"Y"))</f>
        <v/>
      </c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4.25" customHeight="1" s="37">
      <c r="A152" s="9">
        <f>IF(C152="","","UM"&amp;TEXT(ROW()-1,"00000"))</f>
        <v/>
      </c>
      <c r="B152" s="9" t="n"/>
      <c r="C152" s="9" t="n"/>
      <c r="D152" s="9" t="n"/>
      <c r="E152" s="9" t="n"/>
      <c r="F152" s="9">
        <f>IF(E152="","",DATEDIF(E152,DATE(2026,12,31),"Y"))</f>
        <v/>
      </c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4.25" customHeight="1" s="37">
      <c r="A153" s="9">
        <f>IF(C153="","","UM"&amp;TEXT(ROW()-1,"00000"))</f>
        <v/>
      </c>
      <c r="B153" s="9" t="n"/>
      <c r="C153" s="9" t="n"/>
      <c r="D153" s="9" t="n"/>
      <c r="E153" s="9" t="n"/>
      <c r="F153" s="9">
        <f>IF(E153="","",DATEDIF(E153,DATE(2026,12,31),"Y"))</f>
        <v/>
      </c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4.25" customHeight="1" s="37">
      <c r="A154" s="9">
        <f>IF(C154="","","UM"&amp;TEXT(ROW()-1,"00000"))</f>
        <v/>
      </c>
      <c r="B154" s="9" t="n"/>
      <c r="C154" s="9" t="n"/>
      <c r="D154" s="9" t="n"/>
      <c r="E154" s="9" t="n"/>
      <c r="F154" s="9">
        <f>IF(E154="","",DATEDIF(E154,DATE(2026,12,31),"Y"))</f>
        <v/>
      </c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4.25" customHeight="1" s="37">
      <c r="A155" s="9">
        <f>IF(C155="","","UM"&amp;TEXT(ROW()-1,"00000"))</f>
        <v/>
      </c>
      <c r="B155" s="9" t="n"/>
      <c r="C155" s="9" t="n"/>
      <c r="D155" s="9" t="n"/>
      <c r="E155" s="9" t="n"/>
      <c r="F155" s="9">
        <f>IF(E155="","",DATEDIF(E155,DATE(2026,12,31),"Y"))</f>
        <v/>
      </c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4.25" customHeight="1" s="37">
      <c r="A156" s="9">
        <f>IF(C156="","","UM"&amp;TEXT(ROW()-1,"00000"))</f>
        <v/>
      </c>
      <c r="B156" s="9" t="n"/>
      <c r="C156" s="9" t="n"/>
      <c r="D156" s="9" t="n"/>
      <c r="E156" s="9" t="n"/>
      <c r="F156" s="9">
        <f>IF(E156="","",DATEDIF(E156,DATE(2026,12,31),"Y"))</f>
        <v/>
      </c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4.25" customHeight="1" s="37">
      <c r="A157" s="9">
        <f>IF(C157="","","UM"&amp;TEXT(ROW()-1,"00000"))</f>
        <v/>
      </c>
      <c r="B157" s="9" t="n"/>
      <c r="C157" s="9" t="n"/>
      <c r="D157" s="9" t="n"/>
      <c r="E157" s="9" t="n"/>
      <c r="F157" s="9">
        <f>IF(E157="","",DATEDIF(E157,DATE(2026,12,31),"Y"))</f>
        <v/>
      </c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4.25" customHeight="1" s="37">
      <c r="A158" s="9">
        <f>IF(C158="","","UM"&amp;TEXT(ROW()-1,"00000"))</f>
        <v/>
      </c>
      <c r="B158" s="9" t="n"/>
      <c r="C158" s="9" t="n"/>
      <c r="D158" s="9" t="n"/>
      <c r="E158" s="9" t="n"/>
      <c r="F158" s="9">
        <f>IF(E158="","",DATEDIF(E158,DATE(2026,12,31),"Y"))</f>
        <v/>
      </c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4.25" customHeight="1" s="37">
      <c r="A159" s="9">
        <f>IF(C159="","","UM"&amp;TEXT(ROW()-1,"00000"))</f>
        <v/>
      </c>
      <c r="B159" s="9" t="n"/>
      <c r="C159" s="9" t="n"/>
      <c r="D159" s="9" t="n"/>
      <c r="E159" s="9" t="n"/>
      <c r="F159" s="9">
        <f>IF(E159="","",DATEDIF(E159,DATE(2026,12,31),"Y"))</f>
        <v/>
      </c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4.25" customHeight="1" s="37">
      <c r="A160" s="9">
        <f>IF(C160="","","UM"&amp;TEXT(ROW()-1,"00000"))</f>
        <v/>
      </c>
      <c r="B160" s="9" t="n"/>
      <c r="C160" s="9" t="n"/>
      <c r="D160" s="9" t="n"/>
      <c r="E160" s="9" t="n"/>
      <c r="F160" s="9">
        <f>IF(E160="","",DATEDIF(E160,DATE(2026,12,31),"Y"))</f>
        <v/>
      </c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4.25" customHeight="1" s="37">
      <c r="A161" s="9">
        <f>IF(C161="","","UM"&amp;TEXT(ROW()-1,"00000"))</f>
        <v/>
      </c>
      <c r="B161" s="9" t="n"/>
      <c r="C161" s="9" t="n"/>
      <c r="D161" s="9" t="n"/>
      <c r="E161" s="9" t="n"/>
      <c r="F161" s="9">
        <f>IF(E161="","",DATEDIF(E161,DATE(2026,12,31),"Y"))</f>
        <v/>
      </c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4.25" customHeight="1" s="37">
      <c r="A162" s="9">
        <f>IF(C162="","","UM"&amp;TEXT(ROW()-1,"00000"))</f>
        <v/>
      </c>
      <c r="B162" s="9" t="n"/>
      <c r="C162" s="9" t="n"/>
      <c r="D162" s="9" t="n"/>
      <c r="E162" s="9" t="n"/>
      <c r="F162" s="9">
        <f>IF(E162="","",DATEDIF(E162,DATE(2026,12,31),"Y"))</f>
        <v/>
      </c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4.25" customHeight="1" s="37">
      <c r="A163" s="9">
        <f>IF(C163="","","UM"&amp;TEXT(ROW()-1,"00000"))</f>
        <v/>
      </c>
      <c r="B163" s="9" t="n"/>
      <c r="C163" s="9" t="n"/>
      <c r="D163" s="9" t="n"/>
      <c r="E163" s="9" t="n"/>
      <c r="F163" s="9">
        <f>IF(E163="","",DATEDIF(E163,DATE(2026,12,31),"Y"))</f>
        <v/>
      </c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4.25" customHeight="1" s="37">
      <c r="A164" s="9">
        <f>IF(C164="","","UM"&amp;TEXT(ROW()-1,"00000"))</f>
        <v/>
      </c>
      <c r="B164" s="9" t="n"/>
      <c r="C164" s="9" t="n"/>
      <c r="D164" s="9" t="n"/>
      <c r="E164" s="9" t="n"/>
      <c r="F164" s="9">
        <f>IF(E164="","",DATEDIF(E164,DATE(2026,12,31),"Y"))</f>
        <v/>
      </c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4.25" customHeight="1" s="37">
      <c r="A165" s="9">
        <f>IF(C165="","","UM"&amp;TEXT(ROW()-1,"00000"))</f>
        <v/>
      </c>
      <c r="B165" s="9" t="n"/>
      <c r="C165" s="9" t="n"/>
      <c r="D165" s="9" t="n"/>
      <c r="E165" s="9" t="n"/>
      <c r="F165" s="9">
        <f>IF(E165="","",DATEDIF(E165,DATE(2026,12,31),"Y"))</f>
        <v/>
      </c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4.25" customHeight="1" s="37">
      <c r="A166" s="9">
        <f>IF(C166="","","UM"&amp;TEXT(ROW()-1,"00000"))</f>
        <v/>
      </c>
      <c r="B166" s="9" t="n"/>
      <c r="C166" s="9" t="n"/>
      <c r="D166" s="9" t="n"/>
      <c r="E166" s="9" t="n"/>
      <c r="F166" s="9">
        <f>IF(E166="","",DATEDIF(E166,DATE(2026,12,31),"Y"))</f>
        <v/>
      </c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4.25" customHeight="1" s="37">
      <c r="A167" s="9">
        <f>IF(C167="","","UM"&amp;TEXT(ROW()-1,"00000"))</f>
        <v/>
      </c>
      <c r="B167" s="9" t="n"/>
      <c r="C167" s="9" t="n"/>
      <c r="D167" s="9" t="n"/>
      <c r="E167" s="9" t="n"/>
      <c r="F167" s="9">
        <f>IF(E167="","",DATEDIF(E167,DATE(2026,12,31),"Y"))</f>
        <v/>
      </c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4.25" customHeight="1" s="37">
      <c r="A168" s="9">
        <f>IF(C168="","","UM"&amp;TEXT(ROW()-1,"00000"))</f>
        <v/>
      </c>
      <c r="B168" s="9" t="n"/>
      <c r="C168" s="9" t="n"/>
      <c r="D168" s="9" t="n"/>
      <c r="E168" s="9" t="n"/>
      <c r="F168" s="9">
        <f>IF(E168="","",DATEDIF(E168,DATE(2026,12,31),"Y"))</f>
        <v/>
      </c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4.25" customHeight="1" s="37">
      <c r="A169" s="9">
        <f>IF(C169="","","UM"&amp;TEXT(ROW()-1,"00000"))</f>
        <v/>
      </c>
      <c r="B169" s="9" t="n"/>
      <c r="C169" s="9" t="n"/>
      <c r="D169" s="9" t="n"/>
      <c r="E169" s="9" t="n"/>
      <c r="F169" s="9">
        <f>IF(E169="","",DATEDIF(E169,DATE(2026,12,31),"Y"))</f>
        <v/>
      </c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4.25" customHeight="1" s="37">
      <c r="A170" s="9">
        <f>IF(C170="","","UM"&amp;TEXT(ROW()-1,"00000"))</f>
        <v/>
      </c>
      <c r="B170" s="9" t="n"/>
      <c r="C170" s="9" t="n"/>
      <c r="D170" s="9" t="n"/>
      <c r="E170" s="9" t="n"/>
      <c r="F170" s="9">
        <f>IF(E170="","",DATEDIF(E170,DATE(2026,12,31),"Y"))</f>
        <v/>
      </c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4.25" customHeight="1" s="37">
      <c r="A171" s="9">
        <f>IF(C171="","","UM"&amp;TEXT(ROW()-1,"00000"))</f>
        <v/>
      </c>
      <c r="B171" s="9" t="n"/>
      <c r="C171" s="9" t="n"/>
      <c r="D171" s="9" t="n"/>
      <c r="E171" s="9" t="n"/>
      <c r="F171" s="9">
        <f>IF(E171="","",DATEDIF(E171,DATE(2026,12,31),"Y"))</f>
        <v/>
      </c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4.25" customHeight="1" s="37">
      <c r="A172" s="9">
        <f>IF(C172="","","UM"&amp;TEXT(ROW()-1,"00000"))</f>
        <v/>
      </c>
      <c r="B172" s="9" t="n"/>
      <c r="C172" s="9" t="n"/>
      <c r="D172" s="9" t="n"/>
      <c r="E172" s="9" t="n"/>
      <c r="F172" s="9">
        <f>IF(E172="","",DATEDIF(E172,DATE(2026,12,31),"Y"))</f>
        <v/>
      </c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4.25" customHeight="1" s="37">
      <c r="A173" s="9">
        <f>IF(C173="","","UM"&amp;TEXT(ROW()-1,"00000"))</f>
        <v/>
      </c>
      <c r="B173" s="9" t="n"/>
      <c r="C173" s="9" t="n"/>
      <c r="D173" s="9" t="n"/>
      <c r="E173" s="9" t="n"/>
      <c r="F173" s="9">
        <f>IF(E173="","",DATEDIF(E173,DATE(2026,12,31),"Y"))</f>
        <v/>
      </c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4.25" customHeight="1" s="37">
      <c r="A174" s="9">
        <f>IF(C174="","","UM"&amp;TEXT(ROW()-1,"00000"))</f>
        <v/>
      </c>
      <c r="B174" s="9" t="n"/>
      <c r="C174" s="9" t="n"/>
      <c r="D174" s="9" t="n"/>
      <c r="E174" s="9" t="n"/>
      <c r="F174" s="9">
        <f>IF(E174="","",DATEDIF(E174,DATE(2026,12,31),"Y"))</f>
        <v/>
      </c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4.25" customHeight="1" s="37">
      <c r="A175" s="9">
        <f>IF(C175="","","UM"&amp;TEXT(ROW()-1,"00000"))</f>
        <v/>
      </c>
      <c r="B175" s="9" t="n"/>
      <c r="C175" s="9" t="n"/>
      <c r="D175" s="9" t="n"/>
      <c r="E175" s="9" t="n"/>
      <c r="F175" s="9">
        <f>IF(E175="","",DATEDIF(E175,DATE(2026,12,31),"Y"))</f>
        <v/>
      </c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4.25" customHeight="1" s="37">
      <c r="A176" s="9">
        <f>IF(C176="","","UM"&amp;TEXT(ROW()-1,"00000"))</f>
        <v/>
      </c>
      <c r="B176" s="9" t="n"/>
      <c r="C176" s="9" t="n"/>
      <c r="D176" s="9" t="n"/>
      <c r="E176" s="9" t="n"/>
      <c r="F176" s="9">
        <f>IF(E176="","",DATEDIF(E176,DATE(2026,12,31),"Y"))</f>
        <v/>
      </c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4.25" customHeight="1" s="37">
      <c r="A177" s="9">
        <f>IF(C177="","","UM"&amp;TEXT(ROW()-1,"00000"))</f>
        <v/>
      </c>
      <c r="B177" s="9" t="n"/>
      <c r="C177" s="9" t="n"/>
      <c r="D177" s="9" t="n"/>
      <c r="E177" s="9" t="n"/>
      <c r="F177" s="9">
        <f>IF(E177="","",DATEDIF(E177,DATE(2026,12,31),"Y"))</f>
        <v/>
      </c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4.25" customHeight="1" s="37">
      <c r="A178" s="9">
        <f>IF(C178="","","UM"&amp;TEXT(ROW()-1,"00000"))</f>
        <v/>
      </c>
      <c r="B178" s="9" t="n"/>
      <c r="C178" s="9" t="n"/>
      <c r="D178" s="9" t="n"/>
      <c r="E178" s="9" t="n"/>
      <c r="F178" s="9">
        <f>IF(E178="","",DATEDIF(E178,DATE(2026,12,31),"Y"))</f>
        <v/>
      </c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4.25" customHeight="1" s="37">
      <c r="A179" s="9">
        <f>IF(C179="","","UM"&amp;TEXT(ROW()-1,"00000"))</f>
        <v/>
      </c>
      <c r="B179" s="9" t="n"/>
      <c r="C179" s="9" t="n"/>
      <c r="D179" s="9" t="n"/>
      <c r="E179" s="9" t="n"/>
      <c r="F179" s="9">
        <f>IF(E179="","",DATEDIF(E179,DATE(2026,12,31),"Y"))</f>
        <v/>
      </c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4.25" customHeight="1" s="37">
      <c r="A180" s="9">
        <f>IF(C180="","","UM"&amp;TEXT(ROW()-1,"00000"))</f>
        <v/>
      </c>
      <c r="B180" s="9" t="n"/>
      <c r="C180" s="9" t="n"/>
      <c r="D180" s="9" t="n"/>
      <c r="E180" s="9" t="n"/>
      <c r="F180" s="9">
        <f>IF(E180="","",DATEDIF(E180,DATE(2026,12,31),"Y"))</f>
        <v/>
      </c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4.25" customHeight="1" s="37">
      <c r="A181" s="9">
        <f>IF(C181="","","UM"&amp;TEXT(ROW()-1,"00000"))</f>
        <v/>
      </c>
      <c r="B181" s="9" t="n"/>
      <c r="C181" s="9" t="n"/>
      <c r="D181" s="9" t="n"/>
      <c r="E181" s="9" t="n"/>
      <c r="F181" s="9">
        <f>IF(E181="","",DATEDIF(E181,DATE(2026,12,31),"Y"))</f>
        <v/>
      </c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4.25" customHeight="1" s="37">
      <c r="A182" s="9">
        <f>IF(C182="","","UM"&amp;TEXT(ROW()-1,"00000"))</f>
        <v/>
      </c>
      <c r="B182" s="9" t="n"/>
      <c r="C182" s="9" t="n"/>
      <c r="D182" s="9" t="n"/>
      <c r="E182" s="9" t="n"/>
      <c r="F182" s="9">
        <f>IF(E182="","",DATEDIF(E182,DATE(2026,12,31),"Y"))</f>
        <v/>
      </c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4.25" customHeight="1" s="37">
      <c r="A183" s="9">
        <f>IF(C183="","","UM"&amp;TEXT(ROW()-1,"00000"))</f>
        <v/>
      </c>
      <c r="B183" s="9" t="n"/>
      <c r="C183" s="9" t="n"/>
      <c r="D183" s="9" t="n"/>
      <c r="E183" s="9" t="n"/>
      <c r="F183" s="9">
        <f>IF(E183="","",DATEDIF(E183,DATE(2026,12,31),"Y"))</f>
        <v/>
      </c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4.25" customHeight="1" s="37">
      <c r="A184" s="9">
        <f>IF(C184="","","UM"&amp;TEXT(ROW()-1,"00000"))</f>
        <v/>
      </c>
      <c r="B184" s="9" t="n"/>
      <c r="C184" s="9" t="n"/>
      <c r="D184" s="9" t="n"/>
      <c r="E184" s="9" t="n"/>
      <c r="F184" s="9">
        <f>IF(E184="","",DATEDIF(E184,DATE(2026,12,31),"Y"))</f>
        <v/>
      </c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4.25" customHeight="1" s="37">
      <c r="A185" s="9">
        <f>IF(C185="","","UM"&amp;TEXT(ROW()-1,"00000"))</f>
        <v/>
      </c>
      <c r="B185" s="9" t="n"/>
      <c r="C185" s="9" t="n"/>
      <c r="D185" s="9" t="n"/>
      <c r="E185" s="9" t="n"/>
      <c r="F185" s="9">
        <f>IF(E185="","",DATEDIF(E185,DATE(2026,12,31),"Y"))</f>
        <v/>
      </c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4.25" customHeight="1" s="37">
      <c r="A186" s="9">
        <f>IF(C186="","","UM"&amp;TEXT(ROW()-1,"00000"))</f>
        <v/>
      </c>
      <c r="B186" s="9" t="n"/>
      <c r="C186" s="9" t="n"/>
      <c r="D186" s="9" t="n"/>
      <c r="E186" s="9" t="n"/>
      <c r="F186" s="9">
        <f>IF(E186="","",DATEDIF(E186,DATE(2026,12,31),"Y"))</f>
        <v/>
      </c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4.25" customHeight="1" s="37">
      <c r="A187" s="9">
        <f>IF(C187="","","UM"&amp;TEXT(ROW()-1,"00000"))</f>
        <v/>
      </c>
      <c r="B187" s="9" t="n"/>
      <c r="C187" s="9" t="n"/>
      <c r="D187" s="9" t="n"/>
      <c r="E187" s="9" t="n"/>
      <c r="F187" s="9">
        <f>IF(E187="","",DATEDIF(E187,DATE(2026,12,31),"Y"))</f>
        <v/>
      </c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4.25" customHeight="1" s="37">
      <c r="A188" s="9">
        <f>IF(C188="","","UM"&amp;TEXT(ROW()-1,"00000"))</f>
        <v/>
      </c>
      <c r="B188" s="9" t="n"/>
      <c r="C188" s="9" t="n"/>
      <c r="D188" s="9" t="n"/>
      <c r="E188" s="9" t="n"/>
      <c r="F188" s="9">
        <f>IF(E188="","",DATEDIF(E188,DATE(2026,12,31),"Y"))</f>
        <v/>
      </c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4.25" customHeight="1" s="37">
      <c r="A189" s="9">
        <f>IF(C189="","","UM"&amp;TEXT(ROW()-1,"00000"))</f>
        <v/>
      </c>
      <c r="B189" s="9" t="n"/>
      <c r="C189" s="9" t="n"/>
      <c r="D189" s="9" t="n"/>
      <c r="E189" s="9" t="n"/>
      <c r="F189" s="9">
        <f>IF(E189="","",DATEDIF(E189,DATE(2026,12,31),"Y"))</f>
        <v/>
      </c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4.25" customHeight="1" s="37">
      <c r="A190" s="9">
        <f>IF(C190="","","UM"&amp;TEXT(ROW()-1,"00000"))</f>
        <v/>
      </c>
      <c r="B190" s="9" t="n"/>
      <c r="C190" s="9" t="n"/>
      <c r="D190" s="9" t="n"/>
      <c r="E190" s="9" t="n"/>
      <c r="F190" s="9">
        <f>IF(E190="","",DATEDIF(E190,DATE(2026,12,31),"Y"))</f>
        <v/>
      </c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4.25" customHeight="1" s="37">
      <c r="A191" s="9">
        <f>IF(C191="","","UM"&amp;TEXT(ROW()-1,"00000"))</f>
        <v/>
      </c>
      <c r="B191" s="9" t="n"/>
      <c r="C191" s="9" t="n"/>
      <c r="D191" s="9" t="n"/>
      <c r="E191" s="9" t="n"/>
      <c r="F191" s="9">
        <f>IF(E191="","",DATEDIF(E191,DATE(2026,12,31),"Y"))</f>
        <v/>
      </c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4.25" customHeight="1" s="37">
      <c r="A192" s="9">
        <f>IF(C192="","","UM"&amp;TEXT(ROW()-1,"00000"))</f>
        <v/>
      </c>
      <c r="B192" s="9" t="n"/>
      <c r="C192" s="9" t="n"/>
      <c r="D192" s="9" t="n"/>
      <c r="E192" s="9" t="n"/>
      <c r="F192" s="9">
        <f>IF(E192="","",DATEDIF(E192,DATE(2026,12,31),"Y"))</f>
        <v/>
      </c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4.25" customHeight="1" s="37">
      <c r="A193" s="9">
        <f>IF(C193="","","UM"&amp;TEXT(ROW()-1,"00000"))</f>
        <v/>
      </c>
      <c r="B193" s="9" t="n"/>
      <c r="C193" s="9" t="n"/>
      <c r="D193" s="9" t="n"/>
      <c r="E193" s="9" t="n"/>
      <c r="F193" s="9">
        <f>IF(E193="","",DATEDIF(E193,DATE(2026,12,31),"Y"))</f>
        <v/>
      </c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4.25" customHeight="1" s="37">
      <c r="A194" s="9">
        <f>IF(C194="","","UM"&amp;TEXT(ROW()-1,"00000"))</f>
        <v/>
      </c>
      <c r="B194" s="9" t="n"/>
      <c r="C194" s="9" t="n"/>
      <c r="D194" s="9" t="n"/>
      <c r="E194" s="9" t="n"/>
      <c r="F194" s="9">
        <f>IF(E194="","",DATEDIF(E194,DATE(2026,12,31),"Y"))</f>
        <v/>
      </c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4.25" customHeight="1" s="37">
      <c r="A195" s="9">
        <f>IF(C195="","","UM"&amp;TEXT(ROW()-1,"00000"))</f>
        <v/>
      </c>
      <c r="B195" s="9" t="n"/>
      <c r="C195" s="9" t="n"/>
      <c r="D195" s="9" t="n"/>
      <c r="E195" s="9" t="n"/>
      <c r="F195" s="9">
        <f>IF(E195="","",DATEDIF(E195,DATE(2026,12,31),"Y"))</f>
        <v/>
      </c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4.25" customHeight="1" s="37">
      <c r="A196" s="9">
        <f>IF(C196="","","UM"&amp;TEXT(ROW()-1,"00000"))</f>
        <v/>
      </c>
      <c r="B196" s="9" t="n"/>
      <c r="C196" s="9" t="n"/>
      <c r="D196" s="9" t="n"/>
      <c r="E196" s="9" t="n"/>
      <c r="F196" s="9">
        <f>IF(E196="","",DATEDIF(E196,DATE(2026,12,31),"Y"))</f>
        <v/>
      </c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4.25" customHeight="1" s="37">
      <c r="A197" s="9">
        <f>IF(C197="","","UM"&amp;TEXT(ROW()-1,"00000"))</f>
        <v/>
      </c>
      <c r="B197" s="9" t="n"/>
      <c r="C197" s="9" t="n"/>
      <c r="D197" s="9" t="n"/>
      <c r="E197" s="9" t="n"/>
      <c r="F197" s="9">
        <f>IF(E197="","",DATEDIF(E197,DATE(2026,12,31),"Y"))</f>
        <v/>
      </c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4.25" customHeight="1" s="37">
      <c r="A198" s="9">
        <f>IF(C198="","","UM"&amp;TEXT(ROW()-1,"00000"))</f>
        <v/>
      </c>
      <c r="B198" s="9" t="n"/>
      <c r="C198" s="9" t="n"/>
      <c r="D198" s="9" t="n"/>
      <c r="E198" s="9" t="n"/>
      <c r="F198" s="9">
        <f>IF(E198="","",DATEDIF(E198,DATE(2026,12,31),"Y"))</f>
        <v/>
      </c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4.25" customHeight="1" s="37">
      <c r="A199" s="9">
        <f>IF(C199="","","UM"&amp;TEXT(ROW()-1,"00000"))</f>
        <v/>
      </c>
      <c r="B199" s="9" t="n"/>
      <c r="C199" s="9" t="n"/>
      <c r="D199" s="9" t="n"/>
      <c r="E199" s="9" t="n"/>
      <c r="F199" s="9">
        <f>IF(E199="","",DATEDIF(E199,DATE(2026,12,31),"Y"))</f>
        <v/>
      </c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4.25" customHeight="1" s="37">
      <c r="A200" s="9">
        <f>IF(C200="","","UM"&amp;TEXT(ROW()-1,"00000"))</f>
        <v/>
      </c>
      <c r="B200" s="9" t="n"/>
      <c r="C200" s="9" t="n"/>
      <c r="D200" s="9" t="n"/>
      <c r="E200" s="9" t="n"/>
      <c r="F200" s="9">
        <f>IF(E200="","",DATEDIF(E200,DATE(2026,12,31),"Y"))</f>
        <v/>
      </c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4.25" customHeight="1" s="37">
      <c r="A201" s="9">
        <f>IF(C201="","","UM"&amp;TEXT(ROW()-1,"00000"))</f>
        <v/>
      </c>
      <c r="B201" s="9" t="n"/>
      <c r="C201" s="9" t="n"/>
      <c r="D201" s="9" t="n"/>
      <c r="E201" s="9" t="n"/>
      <c r="F201" s="9">
        <f>IF(E201="","",DATEDIF(E201,DATE(2026,12,31),"Y"))</f>
        <v/>
      </c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4.25" customHeight="1" s="37">
      <c r="A202" s="9">
        <f>IF(C202="","","UM"&amp;TEXT(ROW()-1,"00000"))</f>
        <v/>
      </c>
      <c r="B202" s="9" t="n"/>
      <c r="C202" s="9" t="n"/>
      <c r="D202" s="9" t="n"/>
      <c r="E202" s="9" t="n"/>
      <c r="F202" s="9">
        <f>IF(E202="","",DATEDIF(E202,DATE(2026,12,31),"Y"))</f>
        <v/>
      </c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4.25" customHeight="1" s="37">
      <c r="A203" s="9">
        <f>IF(C203="","","UM"&amp;TEXT(ROW()-1,"00000"))</f>
        <v/>
      </c>
      <c r="B203" s="9" t="n"/>
      <c r="C203" s="9" t="n"/>
      <c r="D203" s="9" t="n"/>
      <c r="E203" s="9" t="n"/>
      <c r="F203" s="9">
        <f>IF(E203="","",DATEDIF(E203,DATE(2026,12,31),"Y"))</f>
        <v/>
      </c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4.25" customHeight="1" s="37">
      <c r="A204" s="9">
        <f>IF(C204="","","UM"&amp;TEXT(ROW()-1,"00000"))</f>
        <v/>
      </c>
      <c r="B204" s="9" t="n"/>
      <c r="C204" s="9" t="n"/>
      <c r="D204" s="9" t="n"/>
      <c r="E204" s="9" t="n"/>
      <c r="F204" s="9">
        <f>IF(E204="","",DATEDIF(E204,DATE(2026,12,31),"Y"))</f>
        <v/>
      </c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4.25" customHeight="1" s="37">
      <c r="A205" s="9">
        <f>IF(C205="","","UM"&amp;TEXT(ROW()-1,"00000"))</f>
        <v/>
      </c>
      <c r="B205" s="9" t="n"/>
      <c r="C205" s="9" t="n"/>
      <c r="D205" s="9" t="n"/>
      <c r="E205" s="9" t="n"/>
      <c r="F205" s="9">
        <f>IF(E205="","",DATEDIF(E205,DATE(2026,12,31),"Y"))</f>
        <v/>
      </c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4.25" customHeight="1" s="37">
      <c r="A206" s="9">
        <f>IF(C206="","","UM"&amp;TEXT(ROW()-1,"00000"))</f>
        <v/>
      </c>
      <c r="B206" s="9" t="n"/>
      <c r="C206" s="9" t="n"/>
      <c r="D206" s="9" t="n"/>
      <c r="E206" s="9" t="n"/>
      <c r="F206" s="9">
        <f>IF(E206="","",DATEDIF(E206,DATE(2026,12,31),"Y"))</f>
        <v/>
      </c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4.25" customHeight="1" s="37">
      <c r="A207" s="9">
        <f>IF(C207="","","UM"&amp;TEXT(ROW()-1,"00000"))</f>
        <v/>
      </c>
      <c r="B207" s="9" t="n"/>
      <c r="C207" s="9" t="n"/>
      <c r="D207" s="9" t="n"/>
      <c r="E207" s="9" t="n"/>
      <c r="F207" s="9">
        <f>IF(E207="","",DATEDIF(E207,DATE(2026,12,31),"Y"))</f>
        <v/>
      </c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4.25" customHeight="1" s="37">
      <c r="A208" s="9">
        <f>IF(C208="","","UM"&amp;TEXT(ROW()-1,"00000"))</f>
        <v/>
      </c>
      <c r="B208" s="9" t="n"/>
      <c r="C208" s="9" t="n"/>
      <c r="D208" s="9" t="n"/>
      <c r="E208" s="9" t="n"/>
      <c r="F208" s="9">
        <f>IF(E208="","",DATEDIF(E208,DATE(2026,12,31),"Y"))</f>
        <v/>
      </c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4.25" customHeight="1" s="37">
      <c r="A209" s="9">
        <f>IF(C209="","","UM"&amp;TEXT(ROW()-1,"00000"))</f>
        <v/>
      </c>
      <c r="B209" s="9" t="n"/>
      <c r="C209" s="9" t="n"/>
      <c r="D209" s="9" t="n"/>
      <c r="E209" s="9" t="n"/>
      <c r="F209" s="9">
        <f>IF(E209="","",DATEDIF(E209,DATE(2026,12,31),"Y"))</f>
        <v/>
      </c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4.25" customHeight="1" s="37">
      <c r="A210" s="9">
        <f>IF(C210="","","UM"&amp;TEXT(ROW()-1,"00000"))</f>
        <v/>
      </c>
      <c r="B210" s="9" t="n"/>
      <c r="C210" s="9" t="n"/>
      <c r="D210" s="9" t="n"/>
      <c r="E210" s="9" t="n"/>
      <c r="F210" s="9">
        <f>IF(E210="","",DATEDIF(E210,DATE(2026,12,31),"Y"))</f>
        <v/>
      </c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4.25" customHeight="1" s="37">
      <c r="A211" s="9">
        <f>IF(C211="","","UM"&amp;TEXT(ROW()-1,"00000"))</f>
        <v/>
      </c>
      <c r="B211" s="9" t="n"/>
      <c r="C211" s="9" t="n"/>
      <c r="D211" s="9" t="n"/>
      <c r="E211" s="9" t="n"/>
      <c r="F211" s="9">
        <f>IF(E211="","",DATEDIF(E211,DATE(2026,12,31),"Y"))</f>
        <v/>
      </c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4.25" customHeight="1" s="37">
      <c r="A212" s="9">
        <f>IF(C212="","","UM"&amp;TEXT(ROW()-1,"00000"))</f>
        <v/>
      </c>
      <c r="B212" s="9" t="n"/>
      <c r="C212" s="9" t="n"/>
      <c r="D212" s="9" t="n"/>
      <c r="E212" s="9" t="n"/>
      <c r="F212" s="9">
        <f>IF(E212="","",DATEDIF(E212,DATE(2026,12,31),"Y"))</f>
        <v/>
      </c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4.25" customHeight="1" s="37">
      <c r="A213" s="9">
        <f>IF(C213="","","UM"&amp;TEXT(ROW()-1,"00000"))</f>
        <v/>
      </c>
      <c r="B213" s="9" t="n"/>
      <c r="C213" s="9" t="n"/>
      <c r="D213" s="9" t="n"/>
      <c r="E213" s="9" t="n"/>
      <c r="F213" s="9">
        <f>IF(E213="","",DATEDIF(E213,DATE(2026,12,31),"Y"))</f>
        <v/>
      </c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4.25" customHeight="1" s="37">
      <c r="A214" s="9">
        <f>IF(C214="","","UM"&amp;TEXT(ROW()-1,"00000"))</f>
        <v/>
      </c>
      <c r="B214" s="9" t="n"/>
      <c r="C214" s="9" t="n"/>
      <c r="D214" s="9" t="n"/>
      <c r="E214" s="9" t="n"/>
      <c r="F214" s="9">
        <f>IF(E214="","",DATEDIF(E214,DATE(2026,12,31),"Y"))</f>
        <v/>
      </c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4.25" customHeight="1" s="37">
      <c r="A215" s="9">
        <f>IF(C215="","","UM"&amp;TEXT(ROW()-1,"00000"))</f>
        <v/>
      </c>
      <c r="B215" s="9" t="n"/>
      <c r="C215" s="9" t="n"/>
      <c r="D215" s="9" t="n"/>
      <c r="E215" s="9" t="n"/>
      <c r="F215" s="9">
        <f>IF(E215="","",DATEDIF(E215,DATE(2026,12,31),"Y"))</f>
        <v/>
      </c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4.25" customHeight="1" s="37">
      <c r="A216" s="9">
        <f>IF(C216="","","UM"&amp;TEXT(ROW()-1,"00000"))</f>
        <v/>
      </c>
      <c r="B216" s="9" t="n"/>
      <c r="C216" s="9" t="n"/>
      <c r="D216" s="9" t="n"/>
      <c r="E216" s="9" t="n"/>
      <c r="F216" s="9">
        <f>IF(E216="","",DATEDIF(E216,DATE(2026,12,31),"Y"))</f>
        <v/>
      </c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4.25" customHeight="1" s="37">
      <c r="A217" s="9">
        <f>IF(C217="","","UM"&amp;TEXT(ROW()-1,"00000"))</f>
        <v/>
      </c>
      <c r="B217" s="9" t="n"/>
      <c r="C217" s="9" t="n"/>
      <c r="D217" s="9" t="n"/>
      <c r="E217" s="9" t="n"/>
      <c r="F217" s="9">
        <f>IF(E217="","",DATEDIF(E217,DATE(2026,12,31),"Y"))</f>
        <v/>
      </c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4.25" customHeight="1" s="37">
      <c r="A218" s="9">
        <f>IF(C218="","","UM"&amp;TEXT(ROW()-1,"00000"))</f>
        <v/>
      </c>
      <c r="B218" s="9" t="n"/>
      <c r="C218" s="9" t="n"/>
      <c r="D218" s="9" t="n"/>
      <c r="E218" s="9" t="n"/>
      <c r="F218" s="9">
        <f>IF(E218="","",DATEDIF(E218,DATE(2026,12,31),"Y"))</f>
        <v/>
      </c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4.25" customHeight="1" s="37">
      <c r="A219" s="9">
        <f>IF(C219="","","UM"&amp;TEXT(ROW()-1,"00000"))</f>
        <v/>
      </c>
      <c r="B219" s="9" t="n"/>
      <c r="C219" s="9" t="n"/>
      <c r="D219" s="9" t="n"/>
      <c r="E219" s="9" t="n"/>
      <c r="F219" s="9">
        <f>IF(E219="","",DATEDIF(E219,DATE(2026,12,31),"Y"))</f>
        <v/>
      </c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4.25" customHeight="1" s="37">
      <c r="A220" s="9">
        <f>IF(C220="","","UM"&amp;TEXT(ROW()-1,"00000"))</f>
        <v/>
      </c>
      <c r="B220" s="9" t="n"/>
      <c r="C220" s="9" t="n"/>
      <c r="D220" s="9" t="n"/>
      <c r="E220" s="9" t="n"/>
      <c r="F220" s="9">
        <f>IF(E220="","",DATEDIF(E220,DATE(2026,12,31),"Y"))</f>
        <v/>
      </c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4.25" customHeight="1" s="37">
      <c r="A221" s="9">
        <f>IF(C221="","","UM"&amp;TEXT(ROW()-1,"00000"))</f>
        <v/>
      </c>
      <c r="B221" s="9" t="n"/>
      <c r="C221" s="9" t="n"/>
      <c r="D221" s="9" t="n"/>
      <c r="E221" s="9" t="n"/>
      <c r="F221" s="9">
        <f>IF(E221="","",DATEDIF(E221,DATE(2026,12,31),"Y"))</f>
        <v/>
      </c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4.25" customHeight="1" s="37">
      <c r="A222" s="9">
        <f>IF(C222="","","UM"&amp;TEXT(ROW()-1,"00000"))</f>
        <v/>
      </c>
      <c r="B222" s="9" t="n"/>
      <c r="C222" s="9" t="n"/>
      <c r="D222" s="9" t="n"/>
      <c r="E222" s="9" t="n"/>
      <c r="F222" s="9">
        <f>IF(E222="","",DATEDIF(E222,DATE(2026,12,31),"Y"))</f>
        <v/>
      </c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4.25" customHeight="1" s="37">
      <c r="A223" s="9">
        <f>IF(C223="","","UM"&amp;TEXT(ROW()-1,"00000"))</f>
        <v/>
      </c>
      <c r="B223" s="9" t="n"/>
      <c r="C223" s="9" t="n"/>
      <c r="D223" s="9" t="n"/>
      <c r="E223" s="9" t="n"/>
      <c r="F223" s="9">
        <f>IF(E223="","",DATEDIF(E223,DATE(2026,12,31),"Y"))</f>
        <v/>
      </c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4.25" customHeight="1" s="37">
      <c r="A224" s="9">
        <f>IF(C224="","","UM"&amp;TEXT(ROW()-1,"00000"))</f>
        <v/>
      </c>
      <c r="B224" s="9" t="n"/>
      <c r="C224" s="9" t="n"/>
      <c r="D224" s="9" t="n"/>
      <c r="E224" s="9" t="n"/>
      <c r="F224" s="9">
        <f>IF(E224="","",DATEDIF(E224,DATE(2026,12,31),"Y"))</f>
        <v/>
      </c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4.25" customHeight="1" s="37">
      <c r="A225" s="9">
        <f>IF(C225="","","UM"&amp;TEXT(ROW()-1,"00000"))</f>
        <v/>
      </c>
      <c r="B225" s="9" t="n"/>
      <c r="C225" s="9" t="n"/>
      <c r="D225" s="9" t="n"/>
      <c r="E225" s="9" t="n"/>
      <c r="F225" s="9">
        <f>IF(E225="","",DATEDIF(E225,DATE(2026,12,31),"Y"))</f>
        <v/>
      </c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4.25" customHeight="1" s="37">
      <c r="A226" s="9">
        <f>IF(C226="","","UM"&amp;TEXT(ROW()-1,"00000"))</f>
        <v/>
      </c>
      <c r="B226" s="9" t="n"/>
      <c r="C226" s="9" t="n"/>
      <c r="D226" s="9" t="n"/>
      <c r="E226" s="9" t="n"/>
      <c r="F226" s="9">
        <f>IF(E226="","",DATEDIF(E226,DATE(2026,12,31),"Y"))</f>
        <v/>
      </c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4.25" customHeight="1" s="37">
      <c r="A227" s="9">
        <f>IF(C227="","","UM"&amp;TEXT(ROW()-1,"00000"))</f>
        <v/>
      </c>
      <c r="B227" s="9" t="n"/>
      <c r="C227" s="9" t="n"/>
      <c r="D227" s="9" t="n"/>
      <c r="E227" s="9" t="n"/>
      <c r="F227" s="9">
        <f>IF(E227="","",DATEDIF(E227,DATE(2026,12,31),"Y"))</f>
        <v/>
      </c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4.25" customHeight="1" s="37">
      <c r="A228" s="9">
        <f>IF(C228="","","UM"&amp;TEXT(ROW()-1,"00000"))</f>
        <v/>
      </c>
      <c r="B228" s="9" t="n"/>
      <c r="C228" s="9" t="n"/>
      <c r="D228" s="9" t="n"/>
      <c r="E228" s="9" t="n"/>
      <c r="F228" s="9">
        <f>IF(E228="","",DATEDIF(E228,DATE(2026,12,31),"Y"))</f>
        <v/>
      </c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4.25" customHeight="1" s="37">
      <c r="A229" s="9">
        <f>IF(C229="","","UM"&amp;TEXT(ROW()-1,"00000"))</f>
        <v/>
      </c>
      <c r="B229" s="9" t="n"/>
      <c r="C229" s="9" t="n"/>
      <c r="D229" s="9" t="n"/>
      <c r="E229" s="9" t="n"/>
      <c r="F229" s="9">
        <f>IF(E229="","",DATEDIF(E229,DATE(2026,12,31),"Y"))</f>
        <v/>
      </c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4.25" customHeight="1" s="37">
      <c r="A230" s="9">
        <f>IF(C230="","","UM"&amp;TEXT(ROW()-1,"00000"))</f>
        <v/>
      </c>
      <c r="B230" s="9" t="n"/>
      <c r="C230" s="9" t="n"/>
      <c r="D230" s="9" t="n"/>
      <c r="E230" s="9" t="n"/>
      <c r="F230" s="9">
        <f>IF(E230="","",DATEDIF(E230,DATE(2026,12,31),"Y"))</f>
        <v/>
      </c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4.25" customHeight="1" s="37">
      <c r="A231" s="9">
        <f>IF(C231="","","UM"&amp;TEXT(ROW()-1,"00000"))</f>
        <v/>
      </c>
      <c r="B231" s="9" t="n"/>
      <c r="C231" s="9" t="n"/>
      <c r="D231" s="9" t="n"/>
      <c r="E231" s="9" t="n"/>
      <c r="F231" s="9">
        <f>IF(E231="","",DATEDIF(E231,DATE(2026,12,31),"Y"))</f>
        <v/>
      </c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4.25" customHeight="1" s="37">
      <c r="A232" s="9">
        <f>IF(C232="","","UM"&amp;TEXT(ROW()-1,"00000"))</f>
        <v/>
      </c>
      <c r="B232" s="9" t="n"/>
      <c r="C232" s="9" t="n"/>
      <c r="D232" s="9" t="n"/>
      <c r="E232" s="9" t="n"/>
      <c r="F232" s="9">
        <f>IF(E232="","",DATEDIF(E232,DATE(2026,12,31),"Y"))</f>
        <v/>
      </c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4.25" customHeight="1" s="37">
      <c r="A233" s="9">
        <f>IF(C233="","","UM"&amp;TEXT(ROW()-1,"00000"))</f>
        <v/>
      </c>
      <c r="B233" s="9" t="n"/>
      <c r="C233" s="9" t="n"/>
      <c r="D233" s="9" t="n"/>
      <c r="E233" s="9" t="n"/>
      <c r="F233" s="9">
        <f>IF(E233="","",DATEDIF(E233,DATE(2026,12,31),"Y"))</f>
        <v/>
      </c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4.25" customHeight="1" s="37">
      <c r="A234" s="9">
        <f>IF(C234="","","UM"&amp;TEXT(ROW()-1,"00000"))</f>
        <v/>
      </c>
      <c r="B234" s="9" t="n"/>
      <c r="C234" s="9" t="n"/>
      <c r="D234" s="9" t="n"/>
      <c r="E234" s="9" t="n"/>
      <c r="F234" s="9">
        <f>IF(E234="","",DATEDIF(E234,DATE(2026,12,31),"Y"))</f>
        <v/>
      </c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4.25" customHeight="1" s="37">
      <c r="A235" s="9">
        <f>IF(C235="","","UM"&amp;TEXT(ROW()-1,"00000"))</f>
        <v/>
      </c>
      <c r="B235" s="9" t="n"/>
      <c r="C235" s="9" t="n"/>
      <c r="D235" s="9" t="n"/>
      <c r="E235" s="9" t="n"/>
      <c r="F235" s="9">
        <f>IF(E235="","",DATEDIF(E235,DATE(2026,12,31),"Y"))</f>
        <v/>
      </c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4.25" customHeight="1" s="37">
      <c r="A236" s="9">
        <f>IF(C236="","","UM"&amp;TEXT(ROW()-1,"00000"))</f>
        <v/>
      </c>
      <c r="B236" s="9" t="n"/>
      <c r="C236" s="9" t="n"/>
      <c r="D236" s="9" t="n"/>
      <c r="E236" s="9" t="n"/>
      <c r="F236" s="9">
        <f>IF(E236="","",DATEDIF(E236,DATE(2026,12,31),"Y"))</f>
        <v/>
      </c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4.25" customHeight="1" s="37">
      <c r="A237" s="9">
        <f>IF(C237="","","UM"&amp;TEXT(ROW()-1,"00000"))</f>
        <v/>
      </c>
      <c r="B237" s="9" t="n"/>
      <c r="C237" s="9" t="n"/>
      <c r="D237" s="9" t="n"/>
      <c r="E237" s="9" t="n"/>
      <c r="F237" s="9">
        <f>IF(E237="","",DATEDIF(E237,DATE(2026,12,31),"Y"))</f>
        <v/>
      </c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4.25" customHeight="1" s="37">
      <c r="A238" s="9">
        <f>IF(C238="","","UM"&amp;TEXT(ROW()-1,"00000"))</f>
        <v/>
      </c>
      <c r="B238" s="9" t="n"/>
      <c r="C238" s="9" t="n"/>
      <c r="D238" s="9" t="n"/>
      <c r="E238" s="9" t="n"/>
      <c r="F238" s="9">
        <f>IF(E238="","",DATEDIF(E238,DATE(2026,12,31),"Y"))</f>
        <v/>
      </c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4.25" customHeight="1" s="37">
      <c r="A239" s="9">
        <f>IF(C239="","","UM"&amp;TEXT(ROW()-1,"00000"))</f>
        <v/>
      </c>
      <c r="B239" s="9" t="n"/>
      <c r="C239" s="9" t="n"/>
      <c r="D239" s="9" t="n"/>
      <c r="E239" s="9" t="n"/>
      <c r="F239" s="9">
        <f>IF(E239="","",DATEDIF(E239,DATE(2026,12,31),"Y"))</f>
        <v/>
      </c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4.25" customHeight="1" s="37">
      <c r="A240" s="9">
        <f>IF(C240="","","UM"&amp;TEXT(ROW()-1,"00000"))</f>
        <v/>
      </c>
      <c r="B240" s="9" t="n"/>
      <c r="C240" s="9" t="n"/>
      <c r="D240" s="9" t="n"/>
      <c r="E240" s="9" t="n"/>
      <c r="F240" s="9">
        <f>IF(E240="","",DATEDIF(E240,DATE(2026,12,31),"Y"))</f>
        <v/>
      </c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4.25" customHeight="1" s="37">
      <c r="A241" s="9">
        <f>IF(C241="","","UM"&amp;TEXT(ROW()-1,"00000"))</f>
        <v/>
      </c>
      <c r="B241" s="9" t="n"/>
      <c r="C241" s="9" t="n"/>
      <c r="D241" s="9" t="n"/>
      <c r="E241" s="9" t="n"/>
      <c r="F241" s="9">
        <f>IF(E241="","",DATEDIF(E241,DATE(2026,12,31),"Y"))</f>
        <v/>
      </c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4.25" customHeight="1" s="37">
      <c r="A242" s="9">
        <f>IF(C242="","","UM"&amp;TEXT(ROW()-1,"00000"))</f>
        <v/>
      </c>
      <c r="B242" s="9" t="n"/>
      <c r="C242" s="9" t="n"/>
      <c r="D242" s="9" t="n"/>
      <c r="E242" s="9" t="n"/>
      <c r="F242" s="9">
        <f>IF(E242="","",DATEDIF(E242,DATE(2026,12,31),"Y"))</f>
        <v/>
      </c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4.25" customHeight="1" s="37">
      <c r="A243" s="9">
        <f>IF(C243="","","UM"&amp;TEXT(ROW()-1,"00000"))</f>
        <v/>
      </c>
      <c r="B243" s="9" t="n"/>
      <c r="C243" s="9" t="n"/>
      <c r="D243" s="9" t="n"/>
      <c r="E243" s="9" t="n"/>
      <c r="F243" s="9">
        <f>IF(E243="","",DATEDIF(E243,DATE(2026,12,31),"Y"))</f>
        <v/>
      </c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4.25" customHeight="1" s="37">
      <c r="A244" s="9">
        <f>IF(C244="","","UM"&amp;TEXT(ROW()-1,"00000"))</f>
        <v/>
      </c>
      <c r="B244" s="9" t="n"/>
      <c r="C244" s="9" t="n"/>
      <c r="D244" s="9" t="n"/>
      <c r="E244" s="9" t="n"/>
      <c r="F244" s="9">
        <f>IF(E244="","",DATEDIF(E244,DATE(2026,12,31),"Y"))</f>
        <v/>
      </c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4.25" customHeight="1" s="37">
      <c r="A245" s="9">
        <f>IF(C245="","","UM"&amp;TEXT(ROW()-1,"00000"))</f>
        <v/>
      </c>
      <c r="B245" s="9" t="n"/>
      <c r="C245" s="9" t="n"/>
      <c r="D245" s="9" t="n"/>
      <c r="E245" s="9" t="n"/>
      <c r="F245" s="9">
        <f>IF(E245="","",DATEDIF(E245,DATE(2026,12,31),"Y"))</f>
        <v/>
      </c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4.25" customHeight="1" s="37">
      <c r="A246" s="9">
        <f>IF(C246="","","UM"&amp;TEXT(ROW()-1,"00000"))</f>
        <v/>
      </c>
      <c r="B246" s="9" t="n"/>
      <c r="C246" s="9" t="n"/>
      <c r="D246" s="9" t="n"/>
      <c r="E246" s="9" t="n"/>
      <c r="F246" s="9">
        <f>IF(E246="","",DATEDIF(E246,DATE(2026,12,31),"Y"))</f>
        <v/>
      </c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4.25" customHeight="1" s="37">
      <c r="A247" s="9">
        <f>IF(C247="","","UM"&amp;TEXT(ROW()-1,"00000"))</f>
        <v/>
      </c>
      <c r="B247" s="9" t="n"/>
      <c r="C247" s="9" t="n"/>
      <c r="D247" s="9" t="n"/>
      <c r="E247" s="9" t="n"/>
      <c r="F247" s="9">
        <f>IF(E247="","",DATEDIF(E247,DATE(2026,12,31),"Y"))</f>
        <v/>
      </c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4.25" customHeight="1" s="37">
      <c r="A248" s="9">
        <f>IF(C248="","","UM"&amp;TEXT(ROW()-1,"00000"))</f>
        <v/>
      </c>
      <c r="B248" s="9" t="n"/>
      <c r="C248" s="9" t="n"/>
      <c r="D248" s="9" t="n"/>
      <c r="E248" s="9" t="n"/>
      <c r="F248" s="9">
        <f>IF(E248="","",DATEDIF(E248,DATE(2026,12,31),"Y"))</f>
        <v/>
      </c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4.25" customHeight="1" s="37">
      <c r="A249" s="9">
        <f>IF(C249="","","UM"&amp;TEXT(ROW()-1,"00000"))</f>
        <v/>
      </c>
      <c r="B249" s="9" t="n"/>
      <c r="C249" s="9" t="n"/>
      <c r="D249" s="9" t="n"/>
      <c r="E249" s="9" t="n"/>
      <c r="F249" s="9">
        <f>IF(E249="","",DATEDIF(E249,DATE(2026,12,31),"Y"))</f>
        <v/>
      </c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4.25" customHeight="1" s="37">
      <c r="A250" s="9">
        <f>IF(C250="","","UM"&amp;TEXT(ROW()-1,"00000"))</f>
        <v/>
      </c>
      <c r="B250" s="9" t="n"/>
      <c r="C250" s="9" t="n"/>
      <c r="D250" s="9" t="n"/>
      <c r="E250" s="9" t="n"/>
      <c r="F250" s="9">
        <f>IF(E250="","",DATEDIF(E250,DATE(2026,12,31),"Y"))</f>
        <v/>
      </c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4.25" customHeight="1" s="37">
      <c r="A251" s="9">
        <f>IF(C251="","","UM"&amp;TEXT(ROW()-1,"00000"))</f>
        <v/>
      </c>
      <c r="B251" s="9" t="n"/>
      <c r="C251" s="9" t="n"/>
      <c r="D251" s="9" t="n"/>
      <c r="E251" s="9" t="n"/>
      <c r="F251" s="9">
        <f>IF(E251="","",DATEDIF(E251,DATE(2026,12,31),"Y"))</f>
        <v/>
      </c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4.25" customHeight="1" s="37">
      <c r="A252" s="9">
        <f>IF(C252="","","UM"&amp;TEXT(ROW()-1,"00000"))</f>
        <v/>
      </c>
      <c r="B252" s="9" t="n"/>
      <c r="C252" s="9" t="n"/>
      <c r="D252" s="9" t="n"/>
      <c r="E252" s="9" t="n"/>
      <c r="F252" s="9">
        <f>IF(E252="","",DATEDIF(E252,DATE(2026,12,31),"Y"))</f>
        <v/>
      </c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4.25" customHeight="1" s="37">
      <c r="A253" s="9">
        <f>IF(C253="","","UM"&amp;TEXT(ROW()-1,"00000"))</f>
        <v/>
      </c>
      <c r="B253" s="9" t="n"/>
      <c r="C253" s="9" t="n"/>
      <c r="D253" s="9" t="n"/>
      <c r="E253" s="9" t="n"/>
      <c r="F253" s="9">
        <f>IF(E253="","",DATEDIF(E253,DATE(2026,12,31),"Y"))</f>
        <v/>
      </c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4.25" customHeight="1" s="37">
      <c r="A254" s="9">
        <f>IF(C254="","","UM"&amp;TEXT(ROW()-1,"00000"))</f>
        <v/>
      </c>
      <c r="B254" s="9" t="n"/>
      <c r="C254" s="9" t="n"/>
      <c r="D254" s="9" t="n"/>
      <c r="E254" s="9" t="n"/>
      <c r="F254" s="9">
        <f>IF(E254="","",DATEDIF(E254,DATE(2026,12,31),"Y"))</f>
        <v/>
      </c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4.25" customHeight="1" s="37">
      <c r="A255" s="9">
        <f>IF(C255="","","UM"&amp;TEXT(ROW()-1,"00000"))</f>
        <v/>
      </c>
      <c r="B255" s="9" t="n"/>
      <c r="C255" s="9" t="n"/>
      <c r="D255" s="9" t="n"/>
      <c r="E255" s="9" t="n"/>
      <c r="F255" s="9">
        <f>IF(E255="","",DATEDIF(E255,DATE(2026,12,31),"Y"))</f>
        <v/>
      </c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4.25" customHeight="1" s="37">
      <c r="A256" s="9">
        <f>IF(C256="","","UM"&amp;TEXT(ROW()-1,"00000"))</f>
        <v/>
      </c>
      <c r="B256" s="9" t="n"/>
      <c r="C256" s="9" t="n"/>
      <c r="D256" s="9" t="n"/>
      <c r="E256" s="9" t="n"/>
      <c r="F256" s="9">
        <f>IF(E256="","",DATEDIF(E256,DATE(2026,12,31),"Y"))</f>
        <v/>
      </c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4.25" customHeight="1" s="37">
      <c r="A257" s="9">
        <f>IF(C257="","","UM"&amp;TEXT(ROW()-1,"00000"))</f>
        <v/>
      </c>
      <c r="B257" s="9" t="n"/>
      <c r="C257" s="9" t="n"/>
      <c r="D257" s="9" t="n"/>
      <c r="E257" s="9" t="n"/>
      <c r="F257" s="9">
        <f>IF(E257="","",DATEDIF(E257,DATE(2026,12,31),"Y"))</f>
        <v/>
      </c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4.25" customHeight="1" s="37">
      <c r="A258" s="9">
        <f>IF(C258="","","UM"&amp;TEXT(ROW()-1,"00000"))</f>
        <v/>
      </c>
      <c r="B258" s="9" t="n"/>
      <c r="C258" s="9" t="n"/>
      <c r="D258" s="9" t="n"/>
      <c r="E258" s="9" t="n"/>
      <c r="F258" s="9">
        <f>IF(E258="","",DATEDIF(E258,DATE(2026,12,31),"Y"))</f>
        <v/>
      </c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4.25" customHeight="1" s="37">
      <c r="A259" s="9">
        <f>IF(C259="","","UM"&amp;TEXT(ROW()-1,"00000"))</f>
        <v/>
      </c>
      <c r="B259" s="9" t="n"/>
      <c r="C259" s="9" t="n"/>
      <c r="D259" s="9" t="n"/>
      <c r="E259" s="9" t="n"/>
      <c r="F259" s="9">
        <f>IF(E259="","",DATEDIF(E259,DATE(2026,12,31),"Y"))</f>
        <v/>
      </c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4.25" customHeight="1" s="37">
      <c r="A260" s="9">
        <f>IF(C260="","","UM"&amp;TEXT(ROW()-1,"00000"))</f>
        <v/>
      </c>
      <c r="B260" s="9" t="n"/>
      <c r="C260" s="9" t="n"/>
      <c r="D260" s="9" t="n"/>
      <c r="E260" s="9" t="n"/>
      <c r="F260" s="9">
        <f>IF(E260="","",DATEDIF(E260,DATE(2026,12,31),"Y"))</f>
        <v/>
      </c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4.25" customHeight="1" s="37">
      <c r="A261" s="9">
        <f>IF(C261="","","UM"&amp;TEXT(ROW()-1,"00000"))</f>
        <v/>
      </c>
      <c r="B261" s="9" t="n"/>
      <c r="C261" s="9" t="n"/>
      <c r="D261" s="9" t="n"/>
      <c r="E261" s="9" t="n"/>
      <c r="F261" s="9">
        <f>IF(E261="","",DATEDIF(E261,DATE(2026,12,31),"Y"))</f>
        <v/>
      </c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4.25" customHeight="1" s="37">
      <c r="A262" s="9">
        <f>IF(C262="","","UM"&amp;TEXT(ROW()-1,"00000"))</f>
        <v/>
      </c>
      <c r="B262" s="9" t="n"/>
      <c r="C262" s="9" t="n"/>
      <c r="D262" s="9" t="n"/>
      <c r="E262" s="9" t="n"/>
      <c r="F262" s="9">
        <f>IF(E262="","",DATEDIF(E262,DATE(2026,12,31),"Y"))</f>
        <v/>
      </c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4.25" customHeight="1" s="37">
      <c r="A263" s="9">
        <f>IF(C263="","","UM"&amp;TEXT(ROW()-1,"00000"))</f>
        <v/>
      </c>
      <c r="B263" s="9" t="n"/>
      <c r="C263" s="9" t="n"/>
      <c r="D263" s="9" t="n"/>
      <c r="E263" s="9" t="n"/>
      <c r="F263" s="9">
        <f>IF(E263="","",DATEDIF(E263,DATE(2026,12,31),"Y"))</f>
        <v/>
      </c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4.25" customHeight="1" s="37">
      <c r="A264" s="9">
        <f>IF(C264="","","UM"&amp;TEXT(ROW()-1,"00000"))</f>
        <v/>
      </c>
      <c r="B264" s="9" t="n"/>
      <c r="C264" s="9" t="n"/>
      <c r="D264" s="9" t="n"/>
      <c r="E264" s="9" t="n"/>
      <c r="F264" s="9">
        <f>IF(E264="","",DATEDIF(E264,DATE(2026,12,31),"Y"))</f>
        <v/>
      </c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4.25" customHeight="1" s="37">
      <c r="A265" s="9">
        <f>IF(C265="","","UM"&amp;TEXT(ROW()-1,"00000"))</f>
        <v/>
      </c>
      <c r="B265" s="9" t="n"/>
      <c r="C265" s="9" t="n"/>
      <c r="D265" s="9" t="n"/>
      <c r="E265" s="9" t="n"/>
      <c r="F265" s="9">
        <f>IF(E265="","",DATEDIF(E265,DATE(2026,12,31),"Y"))</f>
        <v/>
      </c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4.25" customHeight="1" s="37">
      <c r="A266" s="9">
        <f>IF(C266="","","UM"&amp;TEXT(ROW()-1,"00000"))</f>
        <v/>
      </c>
      <c r="B266" s="9" t="n"/>
      <c r="C266" s="9" t="n"/>
      <c r="D266" s="9" t="n"/>
      <c r="E266" s="9" t="n"/>
      <c r="F266" s="9">
        <f>IF(E266="","",DATEDIF(E266,DATE(2026,12,31),"Y"))</f>
        <v/>
      </c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4.25" customHeight="1" s="37">
      <c r="A267" s="9">
        <f>IF(C267="","","UM"&amp;TEXT(ROW()-1,"00000"))</f>
        <v/>
      </c>
      <c r="B267" s="9" t="n"/>
      <c r="C267" s="9" t="n"/>
      <c r="D267" s="9" t="n"/>
      <c r="E267" s="9" t="n"/>
      <c r="F267" s="9">
        <f>IF(E267="","",DATEDIF(E267,DATE(2026,12,31),"Y"))</f>
        <v/>
      </c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4.25" customHeight="1" s="37">
      <c r="A268" s="9">
        <f>IF(C268="","","UM"&amp;TEXT(ROW()-1,"00000"))</f>
        <v/>
      </c>
      <c r="B268" s="9" t="n"/>
      <c r="C268" s="9" t="n"/>
      <c r="D268" s="9" t="n"/>
      <c r="E268" s="9" t="n"/>
      <c r="F268" s="9">
        <f>IF(E268="","",DATEDIF(E268,DATE(2026,12,31),"Y"))</f>
        <v/>
      </c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4.25" customHeight="1" s="37">
      <c r="A269" s="9">
        <f>IF(C269="","","UM"&amp;TEXT(ROW()-1,"00000"))</f>
        <v/>
      </c>
      <c r="B269" s="9" t="n"/>
      <c r="C269" s="9" t="n"/>
      <c r="D269" s="9" t="n"/>
      <c r="E269" s="9" t="n"/>
      <c r="F269" s="9">
        <f>IF(E269="","",DATEDIF(E269,DATE(2026,12,31),"Y"))</f>
        <v/>
      </c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4.25" customHeight="1" s="37">
      <c r="A270" s="9">
        <f>IF(C270="","","UM"&amp;TEXT(ROW()-1,"00000"))</f>
        <v/>
      </c>
      <c r="B270" s="9" t="n"/>
      <c r="C270" s="9" t="n"/>
      <c r="D270" s="9" t="n"/>
      <c r="E270" s="9" t="n"/>
      <c r="F270" s="9">
        <f>IF(E270="","",DATEDIF(E270,DATE(2026,12,31),"Y"))</f>
        <v/>
      </c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4.25" customHeight="1" s="37">
      <c r="A271" s="9">
        <f>IF(C271="","","UM"&amp;TEXT(ROW()-1,"00000"))</f>
        <v/>
      </c>
      <c r="B271" s="9" t="n"/>
      <c r="C271" s="9" t="n"/>
      <c r="D271" s="9" t="n"/>
      <c r="E271" s="9" t="n"/>
      <c r="F271" s="9">
        <f>IF(E271="","",DATEDIF(E271,DATE(2026,12,31),"Y"))</f>
        <v/>
      </c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4.25" customHeight="1" s="37">
      <c r="A272" s="9">
        <f>IF(C272="","","UM"&amp;TEXT(ROW()-1,"00000"))</f>
        <v/>
      </c>
      <c r="B272" s="9" t="n"/>
      <c r="C272" s="9" t="n"/>
      <c r="D272" s="9" t="n"/>
      <c r="E272" s="9" t="n"/>
      <c r="F272" s="9">
        <f>IF(E272="","",DATEDIF(E272,DATE(2026,12,31),"Y"))</f>
        <v/>
      </c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4.25" customHeight="1" s="37">
      <c r="A273" s="9">
        <f>IF(C273="","","UM"&amp;TEXT(ROW()-1,"00000"))</f>
        <v/>
      </c>
      <c r="B273" s="9" t="n"/>
      <c r="C273" s="9" t="n"/>
      <c r="D273" s="9" t="n"/>
      <c r="E273" s="9" t="n"/>
      <c r="F273" s="9">
        <f>IF(E273="","",DATEDIF(E273,DATE(2026,12,31),"Y"))</f>
        <v/>
      </c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4.25" customHeight="1" s="37">
      <c r="A274" s="9">
        <f>IF(C274="","","UM"&amp;TEXT(ROW()-1,"00000"))</f>
        <v/>
      </c>
      <c r="B274" s="9" t="n"/>
      <c r="C274" s="9" t="n"/>
      <c r="D274" s="9" t="n"/>
      <c r="E274" s="9" t="n"/>
      <c r="F274" s="9">
        <f>IF(E274="","",DATEDIF(E274,DATE(2026,12,31),"Y"))</f>
        <v/>
      </c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4.25" customHeight="1" s="37">
      <c r="A275" s="9">
        <f>IF(C275="","","UM"&amp;TEXT(ROW()-1,"00000"))</f>
        <v/>
      </c>
      <c r="B275" s="9" t="n"/>
      <c r="C275" s="9" t="n"/>
      <c r="D275" s="9" t="n"/>
      <c r="E275" s="9" t="n"/>
      <c r="F275" s="9">
        <f>IF(E275="","",DATEDIF(E275,DATE(2026,12,31),"Y"))</f>
        <v/>
      </c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4.25" customHeight="1" s="37">
      <c r="A276" s="9">
        <f>IF(C276="","","UM"&amp;TEXT(ROW()-1,"00000"))</f>
        <v/>
      </c>
      <c r="B276" s="9" t="n"/>
      <c r="C276" s="9" t="n"/>
      <c r="D276" s="9" t="n"/>
      <c r="E276" s="9" t="n"/>
      <c r="F276" s="9">
        <f>IF(E276="","",DATEDIF(E276,DATE(2026,12,31),"Y"))</f>
        <v/>
      </c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4.25" customHeight="1" s="37">
      <c r="A277" s="9">
        <f>IF(C277="","","UM"&amp;TEXT(ROW()-1,"00000"))</f>
        <v/>
      </c>
      <c r="B277" s="9" t="n"/>
      <c r="C277" s="9" t="n"/>
      <c r="D277" s="9" t="n"/>
      <c r="E277" s="9" t="n"/>
      <c r="F277" s="9">
        <f>IF(E277="","",DATEDIF(E277,DATE(2026,12,31),"Y"))</f>
        <v/>
      </c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4.25" customHeight="1" s="37">
      <c r="A278" s="9">
        <f>IF(C278="","","UM"&amp;TEXT(ROW()-1,"00000"))</f>
        <v/>
      </c>
      <c r="B278" s="9" t="n"/>
      <c r="C278" s="9" t="n"/>
      <c r="D278" s="9" t="n"/>
      <c r="E278" s="9" t="n"/>
      <c r="F278" s="9">
        <f>IF(E278="","",DATEDIF(E278,DATE(2026,12,31),"Y"))</f>
        <v/>
      </c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4.25" customHeight="1" s="37">
      <c r="A279" s="9">
        <f>IF(C279="","","UM"&amp;TEXT(ROW()-1,"00000"))</f>
        <v/>
      </c>
      <c r="B279" s="9" t="n"/>
      <c r="C279" s="9" t="n"/>
      <c r="D279" s="9" t="n"/>
      <c r="E279" s="9" t="n"/>
      <c r="F279" s="9">
        <f>IF(E279="","",DATEDIF(E279,DATE(2026,12,31),"Y"))</f>
        <v/>
      </c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4.25" customHeight="1" s="37">
      <c r="A280" s="9">
        <f>IF(C280="","","UM"&amp;TEXT(ROW()-1,"00000"))</f>
        <v/>
      </c>
      <c r="B280" s="9" t="n"/>
      <c r="C280" s="9" t="n"/>
      <c r="D280" s="9" t="n"/>
      <c r="E280" s="9" t="n"/>
      <c r="F280" s="9">
        <f>IF(E280="","",DATEDIF(E280,DATE(2026,12,31),"Y"))</f>
        <v/>
      </c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4.25" customHeight="1" s="37">
      <c r="A281" s="9">
        <f>IF(C281="","","UM"&amp;TEXT(ROW()-1,"00000"))</f>
        <v/>
      </c>
      <c r="B281" s="9" t="n"/>
      <c r="C281" s="9" t="n"/>
      <c r="D281" s="9" t="n"/>
      <c r="E281" s="9" t="n"/>
      <c r="F281" s="9">
        <f>IF(E281="","",DATEDIF(E281,DATE(2026,12,31),"Y"))</f>
        <v/>
      </c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4.25" customHeight="1" s="37">
      <c r="A282" s="9">
        <f>IF(C282="","","UM"&amp;TEXT(ROW()-1,"00000"))</f>
        <v/>
      </c>
      <c r="B282" s="9" t="n"/>
      <c r="C282" s="9" t="n"/>
      <c r="D282" s="9" t="n"/>
      <c r="E282" s="9" t="n"/>
      <c r="F282" s="9">
        <f>IF(E282="","",DATEDIF(E282,DATE(2026,12,31),"Y"))</f>
        <v/>
      </c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4.25" customHeight="1" s="37">
      <c r="A283" s="9">
        <f>IF(C283="","","UM"&amp;TEXT(ROW()-1,"00000"))</f>
        <v/>
      </c>
      <c r="B283" s="9" t="n"/>
      <c r="C283" s="9" t="n"/>
      <c r="D283" s="9" t="n"/>
      <c r="E283" s="9" t="n"/>
      <c r="F283" s="9">
        <f>IF(E283="","",DATEDIF(E283,DATE(2026,12,31),"Y"))</f>
        <v/>
      </c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4.25" customHeight="1" s="37">
      <c r="A284" s="9">
        <f>IF(C284="","","UM"&amp;TEXT(ROW()-1,"00000"))</f>
        <v/>
      </c>
      <c r="B284" s="9" t="n"/>
      <c r="C284" s="9" t="n"/>
      <c r="D284" s="9" t="n"/>
      <c r="E284" s="9" t="n"/>
      <c r="F284" s="9">
        <f>IF(E284="","",DATEDIF(E284,DATE(2026,12,31),"Y"))</f>
        <v/>
      </c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4.25" customHeight="1" s="37">
      <c r="A285" s="9">
        <f>IF(C285="","","UM"&amp;TEXT(ROW()-1,"00000"))</f>
        <v/>
      </c>
      <c r="B285" s="9" t="n"/>
      <c r="C285" s="9" t="n"/>
      <c r="D285" s="9" t="n"/>
      <c r="E285" s="9" t="n"/>
      <c r="F285" s="9">
        <f>IF(E285="","",DATEDIF(E285,DATE(2026,12,31),"Y"))</f>
        <v/>
      </c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4.25" customHeight="1" s="37">
      <c r="A286" s="9">
        <f>IF(C286="","","UM"&amp;TEXT(ROW()-1,"00000"))</f>
        <v/>
      </c>
      <c r="B286" s="9" t="n"/>
      <c r="C286" s="9" t="n"/>
      <c r="D286" s="9" t="n"/>
      <c r="E286" s="9" t="n"/>
      <c r="F286" s="9">
        <f>IF(E286="","",DATEDIF(E286,DATE(2026,12,31),"Y"))</f>
        <v/>
      </c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4.25" customHeight="1" s="37">
      <c r="A287" s="9">
        <f>IF(C287="","","UM"&amp;TEXT(ROW()-1,"00000"))</f>
        <v/>
      </c>
      <c r="B287" s="9" t="n"/>
      <c r="C287" s="9" t="n"/>
      <c r="D287" s="9" t="n"/>
      <c r="E287" s="9" t="n"/>
      <c r="F287" s="9">
        <f>IF(E287="","",DATEDIF(E287,DATE(2026,12,31),"Y"))</f>
        <v/>
      </c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4.25" customHeight="1" s="37">
      <c r="A288" s="9">
        <f>IF(C288="","","UM"&amp;TEXT(ROW()-1,"00000"))</f>
        <v/>
      </c>
      <c r="B288" s="9" t="n"/>
      <c r="C288" s="9" t="n"/>
      <c r="D288" s="9" t="n"/>
      <c r="E288" s="9" t="n"/>
      <c r="F288" s="9">
        <f>IF(E288="","",DATEDIF(E288,DATE(2026,12,31),"Y"))</f>
        <v/>
      </c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4.25" customHeight="1" s="37">
      <c r="A289" s="9">
        <f>IF(C289="","","UM"&amp;TEXT(ROW()-1,"00000"))</f>
        <v/>
      </c>
      <c r="B289" s="9" t="n"/>
      <c r="C289" s="9" t="n"/>
      <c r="D289" s="9" t="n"/>
      <c r="E289" s="9" t="n"/>
      <c r="F289" s="9">
        <f>IF(E289="","",DATEDIF(E289,DATE(2026,12,31),"Y"))</f>
        <v/>
      </c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4.25" customHeight="1" s="37">
      <c r="A290" s="9">
        <f>IF(C290="","","UM"&amp;TEXT(ROW()-1,"00000"))</f>
        <v/>
      </c>
      <c r="B290" s="9" t="n"/>
      <c r="C290" s="9" t="n"/>
      <c r="D290" s="9" t="n"/>
      <c r="E290" s="9" t="n"/>
      <c r="F290" s="9">
        <f>IF(E290="","",DATEDIF(E290,DATE(2026,12,31),"Y"))</f>
        <v/>
      </c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4.25" customHeight="1" s="37">
      <c r="A291" s="9">
        <f>IF(C291="","","UM"&amp;TEXT(ROW()-1,"00000"))</f>
        <v/>
      </c>
      <c r="B291" s="9" t="n"/>
      <c r="C291" s="9" t="n"/>
      <c r="D291" s="9" t="n"/>
      <c r="E291" s="9" t="n"/>
      <c r="F291" s="9">
        <f>IF(E291="","",DATEDIF(E291,DATE(2026,12,31),"Y"))</f>
        <v/>
      </c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4.25" customHeight="1" s="37">
      <c r="A292" s="9">
        <f>IF(C292="","","UM"&amp;TEXT(ROW()-1,"00000"))</f>
        <v/>
      </c>
      <c r="B292" s="9" t="n"/>
      <c r="C292" s="9" t="n"/>
      <c r="D292" s="9" t="n"/>
      <c r="E292" s="9" t="n"/>
      <c r="F292" s="9">
        <f>IF(E292="","",DATEDIF(E292,DATE(2026,12,31),"Y"))</f>
        <v/>
      </c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4.25" customHeight="1" s="37">
      <c r="A293" s="9">
        <f>IF(C293="","","UM"&amp;TEXT(ROW()-1,"00000"))</f>
        <v/>
      </c>
      <c r="B293" s="9" t="n"/>
      <c r="C293" s="9" t="n"/>
      <c r="D293" s="9" t="n"/>
      <c r="E293" s="9" t="n"/>
      <c r="F293" s="9">
        <f>IF(E293="","",DATEDIF(E293,DATE(2026,12,31),"Y"))</f>
        <v/>
      </c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4.25" customHeight="1" s="37">
      <c r="A294" s="9">
        <f>IF(C294="","","UM"&amp;TEXT(ROW()-1,"00000"))</f>
        <v/>
      </c>
      <c r="B294" s="9" t="n"/>
      <c r="C294" s="9" t="n"/>
      <c r="D294" s="9" t="n"/>
      <c r="E294" s="9" t="n"/>
      <c r="F294" s="9">
        <f>IF(E294="","",DATEDIF(E294,DATE(2026,12,31),"Y"))</f>
        <v/>
      </c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4.25" customHeight="1" s="37">
      <c r="A295" s="9">
        <f>IF(C295="","","UM"&amp;TEXT(ROW()-1,"00000"))</f>
        <v/>
      </c>
      <c r="B295" s="9" t="n"/>
      <c r="C295" s="9" t="n"/>
      <c r="D295" s="9" t="n"/>
      <c r="E295" s="9" t="n"/>
      <c r="F295" s="9">
        <f>IF(E295="","",DATEDIF(E295,DATE(2026,12,31),"Y"))</f>
        <v/>
      </c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4.25" customHeight="1" s="37">
      <c r="A296" s="9">
        <f>IF(C296="","","UM"&amp;TEXT(ROW()-1,"00000"))</f>
        <v/>
      </c>
      <c r="B296" s="9" t="n"/>
      <c r="C296" s="9" t="n"/>
      <c r="D296" s="9" t="n"/>
      <c r="E296" s="9" t="n"/>
      <c r="F296" s="9">
        <f>IF(E296="","",DATEDIF(E296,DATE(2026,12,31),"Y"))</f>
        <v/>
      </c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4.25" customHeight="1" s="37">
      <c r="A297" s="9">
        <f>IF(C297="","","UM"&amp;TEXT(ROW()-1,"00000"))</f>
        <v/>
      </c>
      <c r="B297" s="9" t="n"/>
      <c r="C297" s="9" t="n"/>
      <c r="D297" s="9" t="n"/>
      <c r="E297" s="9" t="n"/>
      <c r="F297" s="9">
        <f>IF(E297="","",DATEDIF(E297,DATE(2026,12,31),"Y"))</f>
        <v/>
      </c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4.25" customHeight="1" s="37">
      <c r="A298" s="9">
        <f>IF(C298="","","UM"&amp;TEXT(ROW()-1,"00000"))</f>
        <v/>
      </c>
      <c r="B298" s="9" t="n"/>
      <c r="C298" s="9" t="n"/>
      <c r="D298" s="9" t="n"/>
      <c r="E298" s="9" t="n"/>
      <c r="F298" s="9">
        <f>IF(E298="","",DATEDIF(E298,DATE(2026,12,31),"Y"))</f>
        <v/>
      </c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4.25" customHeight="1" s="37">
      <c r="A299" s="9">
        <f>IF(C299="","","UM"&amp;TEXT(ROW()-1,"00000"))</f>
        <v/>
      </c>
      <c r="B299" s="9" t="n"/>
      <c r="C299" s="9" t="n"/>
      <c r="D299" s="9" t="n"/>
      <c r="E299" s="9" t="n"/>
      <c r="F299" s="9">
        <f>IF(E299="","",DATEDIF(E299,DATE(2026,12,31),"Y"))</f>
        <v/>
      </c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4.25" customHeight="1" s="37">
      <c r="A300" s="9">
        <f>IF(C300="","","UM"&amp;TEXT(ROW()-1,"00000"))</f>
        <v/>
      </c>
      <c r="B300" s="9" t="n"/>
      <c r="C300" s="9" t="n"/>
      <c r="D300" s="9" t="n"/>
      <c r="E300" s="9" t="n"/>
      <c r="F300" s="9">
        <f>IF(E300="","",DATEDIF(E300,DATE(2026,12,31),"Y"))</f>
        <v/>
      </c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4.25" customHeight="1" s="37">
      <c r="A301" s="9">
        <f>IF(C301="","","UM"&amp;TEXT(ROW()-1,"00000"))</f>
        <v/>
      </c>
      <c r="B301" s="9" t="n"/>
      <c r="C301" s="9" t="n"/>
      <c r="D301" s="9" t="n"/>
      <c r="E301" s="9" t="n"/>
      <c r="F301" s="9">
        <f>IF(E301="","",DATEDIF(E301,DATE(2026,12,31),"Y"))</f>
        <v/>
      </c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4.25" customHeight="1" s="37">
      <c r="A302" s="9">
        <f>IF(C302="","","UM"&amp;TEXT(ROW()-1,"00000"))</f>
        <v/>
      </c>
      <c r="B302" s="9" t="n"/>
      <c r="C302" s="9" t="n"/>
      <c r="D302" s="9" t="n"/>
      <c r="E302" s="9" t="n"/>
      <c r="F302" s="9">
        <f>IF(E302="","",DATEDIF(E302,DATE(2026,12,31),"Y"))</f>
        <v/>
      </c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4.25" customHeight="1" s="37">
      <c r="A303" s="9">
        <f>IF(C303="","","UM"&amp;TEXT(ROW()-1,"00000"))</f>
        <v/>
      </c>
      <c r="B303" s="9" t="n"/>
      <c r="C303" s="9" t="n"/>
      <c r="D303" s="9" t="n"/>
      <c r="E303" s="9" t="n"/>
      <c r="F303" s="9">
        <f>IF(E303="","",DATEDIF(E303,DATE(2026,12,31),"Y"))</f>
        <v/>
      </c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4.25" customHeight="1" s="37">
      <c r="A304" s="9">
        <f>IF(C304="","","UM"&amp;TEXT(ROW()-1,"00000"))</f>
        <v/>
      </c>
      <c r="B304" s="9" t="n"/>
      <c r="C304" s="9" t="n"/>
      <c r="D304" s="9" t="n"/>
      <c r="E304" s="9" t="n"/>
      <c r="F304" s="9">
        <f>IF(E304="","",DATEDIF(E304,DATE(2026,12,31),"Y"))</f>
        <v/>
      </c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4.25" customHeight="1" s="37">
      <c r="A305" s="9">
        <f>IF(C305="","","UM"&amp;TEXT(ROW()-1,"00000"))</f>
        <v/>
      </c>
      <c r="B305" s="9" t="n"/>
      <c r="C305" s="9" t="n"/>
      <c r="D305" s="9" t="n"/>
      <c r="E305" s="9" t="n"/>
      <c r="F305" s="9">
        <f>IF(E305="","",DATEDIF(E305,DATE(2026,12,31),"Y"))</f>
        <v/>
      </c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4.25" customHeight="1" s="37">
      <c r="A306" s="9">
        <f>IF(C306="","","UM"&amp;TEXT(ROW()-1,"00000"))</f>
        <v/>
      </c>
      <c r="B306" s="9" t="n"/>
      <c r="C306" s="9" t="n"/>
      <c r="D306" s="9" t="n"/>
      <c r="E306" s="9" t="n"/>
      <c r="F306" s="9">
        <f>IF(E306="","",DATEDIF(E306,DATE(2026,12,31),"Y"))</f>
        <v/>
      </c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4.25" customHeight="1" s="37">
      <c r="A307" s="9">
        <f>IF(C307="","","UM"&amp;TEXT(ROW()-1,"00000"))</f>
        <v/>
      </c>
      <c r="B307" s="9" t="n"/>
      <c r="C307" s="9" t="n"/>
      <c r="D307" s="9" t="n"/>
      <c r="E307" s="9" t="n"/>
      <c r="F307" s="9">
        <f>IF(E307="","",DATEDIF(E307,DATE(2026,12,31),"Y"))</f>
        <v/>
      </c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4.25" customHeight="1" s="37">
      <c r="A308" s="9">
        <f>IF(C308="","","UM"&amp;TEXT(ROW()-1,"00000"))</f>
        <v/>
      </c>
      <c r="B308" s="9" t="n"/>
      <c r="C308" s="9" t="n"/>
      <c r="D308" s="9" t="n"/>
      <c r="E308" s="9" t="n"/>
      <c r="F308" s="9">
        <f>IF(E308="","",DATEDIF(E308,DATE(2026,12,31),"Y"))</f>
        <v/>
      </c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4.25" customHeight="1" s="37">
      <c r="A309" s="9">
        <f>IF(C309="","","UM"&amp;TEXT(ROW()-1,"00000"))</f>
        <v/>
      </c>
      <c r="B309" s="9" t="n"/>
      <c r="C309" s="9" t="n"/>
      <c r="D309" s="9" t="n"/>
      <c r="E309" s="9" t="n"/>
      <c r="F309" s="9">
        <f>IF(E309="","",DATEDIF(E309,DATE(2026,12,31),"Y"))</f>
        <v/>
      </c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4.25" customHeight="1" s="37">
      <c r="A310" s="9">
        <f>IF(C310="","","UM"&amp;TEXT(ROW()-1,"00000"))</f>
        <v/>
      </c>
      <c r="B310" s="9" t="n"/>
      <c r="C310" s="9" t="n"/>
      <c r="D310" s="9" t="n"/>
      <c r="E310" s="9" t="n"/>
      <c r="F310" s="9">
        <f>IF(E310="","",DATEDIF(E310,DATE(2026,12,31),"Y"))</f>
        <v/>
      </c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4.25" customHeight="1" s="37">
      <c r="A311" s="9">
        <f>IF(C311="","","UM"&amp;TEXT(ROW()-1,"00000"))</f>
        <v/>
      </c>
      <c r="B311" s="9" t="n"/>
      <c r="C311" s="9" t="n"/>
      <c r="D311" s="9" t="n"/>
      <c r="E311" s="9" t="n"/>
      <c r="F311" s="9">
        <f>IF(E311="","",DATEDIF(E311,DATE(2026,12,31),"Y"))</f>
        <v/>
      </c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4.25" customHeight="1" s="37">
      <c r="A312" s="9">
        <f>IF(C312="","","UM"&amp;TEXT(ROW()-1,"00000"))</f>
        <v/>
      </c>
      <c r="B312" s="9" t="n"/>
      <c r="C312" s="9" t="n"/>
      <c r="D312" s="9" t="n"/>
      <c r="E312" s="9" t="n"/>
      <c r="F312" s="9">
        <f>IF(E312="","",DATEDIF(E312,DATE(2026,12,31),"Y"))</f>
        <v/>
      </c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4.25" customHeight="1" s="37">
      <c r="A313" s="9">
        <f>IF(C313="","","UM"&amp;TEXT(ROW()-1,"00000"))</f>
        <v/>
      </c>
      <c r="B313" s="9" t="n"/>
      <c r="C313" s="9" t="n"/>
      <c r="D313" s="9" t="n"/>
      <c r="E313" s="9" t="n"/>
      <c r="F313" s="9">
        <f>IF(E313="","",DATEDIF(E313,DATE(2026,12,31),"Y"))</f>
        <v/>
      </c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4.25" customHeight="1" s="37">
      <c r="A314" s="9">
        <f>IF(C314="","","UM"&amp;TEXT(ROW()-1,"00000"))</f>
        <v/>
      </c>
      <c r="B314" s="9" t="n"/>
      <c r="C314" s="9" t="n"/>
      <c r="D314" s="9" t="n"/>
      <c r="E314" s="9" t="n"/>
      <c r="F314" s="9">
        <f>IF(E314="","",DATEDIF(E314,DATE(2026,12,31),"Y"))</f>
        <v/>
      </c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4.25" customHeight="1" s="37">
      <c r="A315" s="9">
        <f>IF(C315="","","UM"&amp;TEXT(ROW()-1,"00000"))</f>
        <v/>
      </c>
      <c r="B315" s="9" t="n"/>
      <c r="C315" s="9" t="n"/>
      <c r="D315" s="9" t="n"/>
      <c r="E315" s="9" t="n"/>
      <c r="F315" s="9">
        <f>IF(E315="","",DATEDIF(E315,DATE(2026,12,31),"Y"))</f>
        <v/>
      </c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4.25" customHeight="1" s="37">
      <c r="A316" s="9">
        <f>IF(C316="","","UM"&amp;TEXT(ROW()-1,"00000"))</f>
        <v/>
      </c>
      <c r="B316" s="9" t="n"/>
      <c r="C316" s="9" t="n"/>
      <c r="D316" s="9" t="n"/>
      <c r="E316" s="9" t="n"/>
      <c r="F316" s="9">
        <f>IF(E316="","",DATEDIF(E316,DATE(2026,12,31),"Y"))</f>
        <v/>
      </c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4.25" customHeight="1" s="37">
      <c r="A317" s="9">
        <f>IF(C317="","","UM"&amp;TEXT(ROW()-1,"00000"))</f>
        <v/>
      </c>
      <c r="B317" s="9" t="n"/>
      <c r="C317" s="9" t="n"/>
      <c r="D317" s="9" t="n"/>
      <c r="E317" s="9" t="n"/>
      <c r="F317" s="9">
        <f>IF(E317="","",DATEDIF(E317,DATE(2026,12,31),"Y"))</f>
        <v/>
      </c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4.25" customHeight="1" s="37">
      <c r="A318" s="9">
        <f>IF(C318="","","UM"&amp;TEXT(ROW()-1,"00000"))</f>
        <v/>
      </c>
      <c r="B318" s="9" t="n"/>
      <c r="C318" s="9" t="n"/>
      <c r="D318" s="9" t="n"/>
      <c r="E318" s="9" t="n"/>
      <c r="F318" s="9">
        <f>IF(E318="","",DATEDIF(E318,DATE(2026,12,31),"Y"))</f>
        <v/>
      </c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4.25" customHeight="1" s="37">
      <c r="A319" s="9">
        <f>IF(C319="","","UM"&amp;TEXT(ROW()-1,"00000"))</f>
        <v/>
      </c>
      <c r="B319" s="9" t="n"/>
      <c r="C319" s="9" t="n"/>
      <c r="D319" s="9" t="n"/>
      <c r="E319" s="9" t="n"/>
      <c r="F319" s="9">
        <f>IF(E319="","",DATEDIF(E319,DATE(2026,12,31),"Y"))</f>
        <v/>
      </c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4.25" customHeight="1" s="37">
      <c r="A320" s="9">
        <f>IF(C320="","","UM"&amp;TEXT(ROW()-1,"00000"))</f>
        <v/>
      </c>
      <c r="B320" s="9" t="n"/>
      <c r="C320" s="9" t="n"/>
      <c r="D320" s="9" t="n"/>
      <c r="E320" s="9" t="n"/>
      <c r="F320" s="9">
        <f>IF(E320="","",DATEDIF(E320,DATE(2026,12,31),"Y"))</f>
        <v/>
      </c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4.25" customHeight="1" s="37">
      <c r="A321" s="9">
        <f>IF(C321="","","UM"&amp;TEXT(ROW()-1,"00000"))</f>
        <v/>
      </c>
      <c r="B321" s="9" t="n"/>
      <c r="C321" s="9" t="n"/>
      <c r="D321" s="9" t="n"/>
      <c r="E321" s="9" t="n"/>
      <c r="F321" s="9">
        <f>IF(E321="","",DATEDIF(E321,DATE(2026,12,31),"Y"))</f>
        <v/>
      </c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4.25" customHeight="1" s="37">
      <c r="A322" s="9">
        <f>IF(C322="","","UM"&amp;TEXT(ROW()-1,"00000"))</f>
        <v/>
      </c>
      <c r="B322" s="9" t="n"/>
      <c r="C322" s="9" t="n"/>
      <c r="D322" s="9" t="n"/>
      <c r="E322" s="9" t="n"/>
      <c r="F322" s="9">
        <f>IF(E322="","",DATEDIF(E322,DATE(2026,12,31),"Y"))</f>
        <v/>
      </c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4.25" customHeight="1" s="37">
      <c r="A323" s="9">
        <f>IF(C323="","","UM"&amp;TEXT(ROW()-1,"00000"))</f>
        <v/>
      </c>
      <c r="B323" s="9" t="n"/>
      <c r="C323" s="9" t="n"/>
      <c r="D323" s="9" t="n"/>
      <c r="E323" s="9" t="n"/>
      <c r="F323" s="9">
        <f>IF(E323="","",DATEDIF(E323,DATE(2026,12,31),"Y"))</f>
        <v/>
      </c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4.25" customHeight="1" s="37">
      <c r="A324" s="9">
        <f>IF(C324="","","UM"&amp;TEXT(ROW()-1,"00000"))</f>
        <v/>
      </c>
      <c r="B324" s="9" t="n"/>
      <c r="C324" s="9" t="n"/>
      <c r="D324" s="9" t="n"/>
      <c r="E324" s="9" t="n"/>
      <c r="F324" s="9">
        <f>IF(E324="","",DATEDIF(E324,DATE(2026,12,31),"Y"))</f>
        <v/>
      </c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4.25" customHeight="1" s="37">
      <c r="A325" s="9">
        <f>IF(C325="","","UM"&amp;TEXT(ROW()-1,"00000"))</f>
        <v/>
      </c>
      <c r="B325" s="9" t="n"/>
      <c r="C325" s="9" t="n"/>
      <c r="D325" s="9" t="n"/>
      <c r="E325" s="9" t="n"/>
      <c r="F325" s="9">
        <f>IF(E325="","",DATEDIF(E325,DATE(2026,12,31),"Y"))</f>
        <v/>
      </c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4.25" customHeight="1" s="37">
      <c r="A326" s="9">
        <f>IF(C326="","","UM"&amp;TEXT(ROW()-1,"00000"))</f>
        <v/>
      </c>
      <c r="B326" s="9" t="n"/>
      <c r="C326" s="9" t="n"/>
      <c r="D326" s="9" t="n"/>
      <c r="E326" s="9" t="n"/>
      <c r="F326" s="9">
        <f>IF(E326="","",DATEDIF(E326,DATE(2026,12,31),"Y"))</f>
        <v/>
      </c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4.25" customHeight="1" s="37">
      <c r="A327" s="9">
        <f>IF(C327="","","UM"&amp;TEXT(ROW()-1,"00000"))</f>
        <v/>
      </c>
      <c r="B327" s="9" t="n"/>
      <c r="C327" s="9" t="n"/>
      <c r="D327" s="9" t="n"/>
      <c r="E327" s="9" t="n"/>
      <c r="F327" s="9">
        <f>IF(E327="","",DATEDIF(E327,DATE(2026,12,31),"Y"))</f>
        <v/>
      </c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4.25" customHeight="1" s="37">
      <c r="A328" s="9">
        <f>IF(C328="","","UM"&amp;TEXT(ROW()-1,"00000"))</f>
        <v/>
      </c>
      <c r="B328" s="9" t="n"/>
      <c r="C328" s="9" t="n"/>
      <c r="D328" s="9" t="n"/>
      <c r="E328" s="9" t="n"/>
      <c r="F328" s="9">
        <f>IF(E328="","",DATEDIF(E328,DATE(2026,12,31),"Y"))</f>
        <v/>
      </c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4.25" customHeight="1" s="37">
      <c r="A329" s="9">
        <f>IF(C329="","","UM"&amp;TEXT(ROW()-1,"00000"))</f>
        <v/>
      </c>
      <c r="B329" s="9" t="n"/>
      <c r="C329" s="9" t="n"/>
      <c r="D329" s="9" t="n"/>
      <c r="E329" s="9" t="n"/>
      <c r="F329" s="9">
        <f>IF(E329="","",DATEDIF(E329,DATE(2026,12,31),"Y"))</f>
        <v/>
      </c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4.25" customHeight="1" s="37">
      <c r="A330" s="9">
        <f>IF(C330="","","UM"&amp;TEXT(ROW()-1,"00000"))</f>
        <v/>
      </c>
      <c r="B330" s="9" t="n"/>
      <c r="C330" s="9" t="n"/>
      <c r="D330" s="9" t="n"/>
      <c r="E330" s="9" t="n"/>
      <c r="F330" s="9">
        <f>IF(E330="","",DATEDIF(E330,DATE(2026,12,31),"Y"))</f>
        <v/>
      </c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4.25" customHeight="1" s="37">
      <c r="A331" s="9">
        <f>IF(C331="","","UM"&amp;TEXT(ROW()-1,"00000"))</f>
        <v/>
      </c>
      <c r="B331" s="9" t="n"/>
      <c r="C331" s="9" t="n"/>
      <c r="D331" s="9" t="n"/>
      <c r="E331" s="9" t="n"/>
      <c r="F331" s="9">
        <f>IF(E331="","",DATEDIF(E331,DATE(2026,12,31),"Y"))</f>
        <v/>
      </c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4.25" customHeight="1" s="37">
      <c r="A332" s="9">
        <f>IF(C332="","","UM"&amp;TEXT(ROW()-1,"00000"))</f>
        <v/>
      </c>
      <c r="B332" s="9" t="n"/>
      <c r="C332" s="9" t="n"/>
      <c r="D332" s="9" t="n"/>
      <c r="E332" s="9" t="n"/>
      <c r="F332" s="9">
        <f>IF(E332="","",DATEDIF(E332,DATE(2026,12,31),"Y"))</f>
        <v/>
      </c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4.25" customHeight="1" s="37">
      <c r="A333" s="9">
        <f>IF(C333="","","UM"&amp;TEXT(ROW()-1,"00000"))</f>
        <v/>
      </c>
      <c r="B333" s="9" t="n"/>
      <c r="C333" s="9" t="n"/>
      <c r="D333" s="9" t="n"/>
      <c r="E333" s="9" t="n"/>
      <c r="F333" s="9">
        <f>IF(E333="","",DATEDIF(E333,DATE(2026,12,31),"Y"))</f>
        <v/>
      </c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4.25" customHeight="1" s="37">
      <c r="A334" s="9">
        <f>IF(C334="","","UM"&amp;TEXT(ROW()-1,"00000"))</f>
        <v/>
      </c>
      <c r="B334" s="9" t="n"/>
      <c r="C334" s="9" t="n"/>
      <c r="D334" s="9" t="n"/>
      <c r="E334" s="9" t="n"/>
      <c r="F334" s="9">
        <f>IF(E334="","",DATEDIF(E334,DATE(2026,12,31),"Y"))</f>
        <v/>
      </c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4.25" customHeight="1" s="37">
      <c r="A335" s="9">
        <f>IF(C335="","","UM"&amp;TEXT(ROW()-1,"00000"))</f>
        <v/>
      </c>
      <c r="B335" s="9" t="n"/>
      <c r="C335" s="9" t="n"/>
      <c r="D335" s="9" t="n"/>
      <c r="E335" s="9" t="n"/>
      <c r="F335" s="9">
        <f>IF(E335="","",DATEDIF(E335,DATE(2026,12,31),"Y"))</f>
        <v/>
      </c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4.25" customHeight="1" s="37">
      <c r="A336" s="9">
        <f>IF(C336="","","UM"&amp;TEXT(ROW()-1,"00000"))</f>
        <v/>
      </c>
      <c r="B336" s="9" t="n"/>
      <c r="C336" s="9" t="n"/>
      <c r="D336" s="9" t="n"/>
      <c r="E336" s="9" t="n"/>
      <c r="F336" s="9">
        <f>IF(E336="","",DATEDIF(E336,DATE(2026,12,31),"Y"))</f>
        <v/>
      </c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4.25" customHeight="1" s="37">
      <c r="A337" s="9">
        <f>IF(C337="","","UM"&amp;TEXT(ROW()-1,"00000"))</f>
        <v/>
      </c>
      <c r="B337" s="9" t="n"/>
      <c r="C337" s="9" t="n"/>
      <c r="D337" s="9" t="n"/>
      <c r="E337" s="9" t="n"/>
      <c r="F337" s="9">
        <f>IF(E337="","",DATEDIF(E337,DATE(2026,12,31),"Y"))</f>
        <v/>
      </c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4.25" customHeight="1" s="37">
      <c r="A338" s="9">
        <f>IF(C338="","","UM"&amp;TEXT(ROW()-1,"00000"))</f>
        <v/>
      </c>
      <c r="B338" s="9" t="n"/>
      <c r="C338" s="9" t="n"/>
      <c r="D338" s="9" t="n"/>
      <c r="E338" s="9" t="n"/>
      <c r="F338" s="9">
        <f>IF(E338="","",DATEDIF(E338,DATE(2026,12,31),"Y"))</f>
        <v/>
      </c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4.25" customHeight="1" s="37">
      <c r="A339" s="9">
        <f>IF(C339="","","UM"&amp;TEXT(ROW()-1,"00000"))</f>
        <v/>
      </c>
      <c r="B339" s="9" t="n"/>
      <c r="C339" s="9" t="n"/>
      <c r="D339" s="9" t="n"/>
      <c r="E339" s="9" t="n"/>
      <c r="F339" s="9">
        <f>IF(E339="","",DATEDIF(E339,DATE(2026,12,31),"Y"))</f>
        <v/>
      </c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4.25" customHeight="1" s="37">
      <c r="A340" s="9">
        <f>IF(C340="","","UM"&amp;TEXT(ROW()-1,"00000"))</f>
        <v/>
      </c>
      <c r="B340" s="9" t="n"/>
      <c r="C340" s="9" t="n"/>
      <c r="D340" s="9" t="n"/>
      <c r="E340" s="9" t="n"/>
      <c r="F340" s="9">
        <f>IF(E340="","",DATEDIF(E340,DATE(2026,12,31),"Y"))</f>
        <v/>
      </c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4.25" customHeight="1" s="37">
      <c r="A341" s="9">
        <f>IF(C341="","","UM"&amp;TEXT(ROW()-1,"00000"))</f>
        <v/>
      </c>
      <c r="B341" s="9" t="n"/>
      <c r="C341" s="9" t="n"/>
      <c r="D341" s="9" t="n"/>
      <c r="E341" s="9" t="n"/>
      <c r="F341" s="9">
        <f>IF(E341="","",DATEDIF(E341,DATE(2026,12,31),"Y"))</f>
        <v/>
      </c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4.25" customHeight="1" s="37">
      <c r="A342" s="9">
        <f>IF(C342="","","UM"&amp;TEXT(ROW()-1,"00000"))</f>
        <v/>
      </c>
      <c r="B342" s="9" t="n"/>
      <c r="C342" s="9" t="n"/>
      <c r="D342" s="9" t="n"/>
      <c r="E342" s="9" t="n"/>
      <c r="F342" s="9">
        <f>IF(E342="","",DATEDIF(E342,DATE(2026,12,31),"Y"))</f>
        <v/>
      </c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4.25" customHeight="1" s="37">
      <c r="A343" s="9">
        <f>IF(C343="","","UM"&amp;TEXT(ROW()-1,"00000"))</f>
        <v/>
      </c>
      <c r="B343" s="9" t="n"/>
      <c r="C343" s="9" t="n"/>
      <c r="D343" s="9" t="n"/>
      <c r="E343" s="9" t="n"/>
      <c r="F343" s="9">
        <f>IF(E343="","",DATEDIF(E343,DATE(2026,12,31),"Y"))</f>
        <v/>
      </c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4.25" customHeight="1" s="37">
      <c r="A344" s="9">
        <f>IF(C344="","","UM"&amp;TEXT(ROW()-1,"00000"))</f>
        <v/>
      </c>
      <c r="B344" s="9" t="n"/>
      <c r="C344" s="9" t="n"/>
      <c r="D344" s="9" t="n"/>
      <c r="E344" s="9" t="n"/>
      <c r="F344" s="9">
        <f>IF(E344="","",DATEDIF(E344,DATE(2026,12,31),"Y"))</f>
        <v/>
      </c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4.25" customHeight="1" s="37">
      <c r="A345" s="9">
        <f>IF(C345="","","UM"&amp;TEXT(ROW()-1,"00000"))</f>
        <v/>
      </c>
      <c r="B345" s="9" t="n"/>
      <c r="C345" s="9" t="n"/>
      <c r="D345" s="9" t="n"/>
      <c r="E345" s="9" t="n"/>
      <c r="F345" s="9">
        <f>IF(E345="","",DATEDIF(E345,DATE(2026,12,31),"Y"))</f>
        <v/>
      </c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4.25" customHeight="1" s="37">
      <c r="A346" s="9">
        <f>IF(C346="","","UM"&amp;TEXT(ROW()-1,"00000"))</f>
        <v/>
      </c>
      <c r="B346" s="9" t="n"/>
      <c r="C346" s="9" t="n"/>
      <c r="D346" s="9" t="n"/>
      <c r="E346" s="9" t="n"/>
      <c r="F346" s="9">
        <f>IF(E346="","",DATEDIF(E346,DATE(2026,12,31),"Y"))</f>
        <v/>
      </c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4.25" customHeight="1" s="37">
      <c r="A347" s="9">
        <f>IF(C347="","","UM"&amp;TEXT(ROW()-1,"00000"))</f>
        <v/>
      </c>
      <c r="B347" s="9" t="n"/>
      <c r="C347" s="9" t="n"/>
      <c r="D347" s="9" t="n"/>
      <c r="E347" s="9" t="n"/>
      <c r="F347" s="9">
        <f>IF(E347="","",DATEDIF(E347,DATE(2026,12,31),"Y"))</f>
        <v/>
      </c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4.25" customHeight="1" s="37">
      <c r="A348" s="9">
        <f>IF(C348="","","UM"&amp;TEXT(ROW()-1,"00000"))</f>
        <v/>
      </c>
      <c r="B348" s="9" t="n"/>
      <c r="C348" s="9" t="n"/>
      <c r="D348" s="9" t="n"/>
      <c r="E348" s="9" t="n"/>
      <c r="F348" s="9">
        <f>IF(E348="","",DATEDIF(E348,DATE(2026,12,31),"Y"))</f>
        <v/>
      </c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4.25" customHeight="1" s="37">
      <c r="A349" s="9">
        <f>IF(C349="","","UM"&amp;TEXT(ROW()-1,"00000"))</f>
        <v/>
      </c>
      <c r="B349" s="9" t="n"/>
      <c r="C349" s="9" t="n"/>
      <c r="D349" s="9" t="n"/>
      <c r="E349" s="9" t="n"/>
      <c r="F349" s="9">
        <f>IF(E349="","",DATEDIF(E349,DATE(2026,12,31),"Y"))</f>
        <v/>
      </c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4.25" customHeight="1" s="37">
      <c r="A350" s="9">
        <f>IF(C350="","","UM"&amp;TEXT(ROW()-1,"00000"))</f>
        <v/>
      </c>
      <c r="B350" s="9" t="n"/>
      <c r="C350" s="9" t="n"/>
      <c r="D350" s="9" t="n"/>
      <c r="E350" s="9" t="n"/>
      <c r="F350" s="9">
        <f>IF(E350="","",DATEDIF(E350,DATE(2026,12,31),"Y"))</f>
        <v/>
      </c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4.25" customHeight="1" s="37">
      <c r="A351" s="9">
        <f>IF(C351="","","UM"&amp;TEXT(ROW()-1,"00000"))</f>
        <v/>
      </c>
      <c r="B351" s="9" t="n"/>
      <c r="C351" s="9" t="n"/>
      <c r="D351" s="9" t="n"/>
      <c r="E351" s="9" t="n"/>
      <c r="F351" s="9">
        <f>IF(E351="","",DATEDIF(E351,DATE(2026,12,31),"Y"))</f>
        <v/>
      </c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4.25" customHeight="1" s="37">
      <c r="A352" s="9">
        <f>IF(C352="","","UM"&amp;TEXT(ROW()-1,"00000"))</f>
        <v/>
      </c>
      <c r="B352" s="9" t="n"/>
      <c r="C352" s="9" t="n"/>
      <c r="D352" s="9" t="n"/>
      <c r="E352" s="9" t="n"/>
      <c r="F352" s="9">
        <f>IF(E352="","",DATEDIF(E352,DATE(2026,12,31),"Y"))</f>
        <v/>
      </c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4.25" customHeight="1" s="37">
      <c r="A353" s="9">
        <f>IF(C353="","","UM"&amp;TEXT(ROW()-1,"00000"))</f>
        <v/>
      </c>
      <c r="B353" s="9" t="n"/>
      <c r="C353" s="9" t="n"/>
      <c r="D353" s="9" t="n"/>
      <c r="E353" s="9" t="n"/>
      <c r="F353" s="9">
        <f>IF(E353="","",DATEDIF(E353,DATE(2026,12,31),"Y"))</f>
        <v/>
      </c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4.25" customHeight="1" s="37">
      <c r="A354" s="9">
        <f>IF(C354="","","UM"&amp;TEXT(ROW()-1,"00000"))</f>
        <v/>
      </c>
      <c r="B354" s="9" t="n"/>
      <c r="C354" s="9" t="n"/>
      <c r="D354" s="9" t="n"/>
      <c r="E354" s="9" t="n"/>
      <c r="F354" s="9">
        <f>IF(E354="","",DATEDIF(E354,DATE(2026,12,31),"Y"))</f>
        <v/>
      </c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4.25" customHeight="1" s="37">
      <c r="A355" s="9">
        <f>IF(C355="","","UM"&amp;TEXT(ROW()-1,"00000"))</f>
        <v/>
      </c>
      <c r="B355" s="9" t="n"/>
      <c r="C355" s="9" t="n"/>
      <c r="D355" s="9" t="n"/>
      <c r="E355" s="9" t="n"/>
      <c r="F355" s="9">
        <f>IF(E355="","",DATEDIF(E355,DATE(2026,12,31),"Y"))</f>
        <v/>
      </c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4.25" customHeight="1" s="37">
      <c r="A356" s="9">
        <f>IF(C356="","","UM"&amp;TEXT(ROW()-1,"00000"))</f>
        <v/>
      </c>
      <c r="B356" s="9" t="n"/>
      <c r="C356" s="9" t="n"/>
      <c r="D356" s="9" t="n"/>
      <c r="E356" s="9" t="n"/>
      <c r="F356" s="9">
        <f>IF(E356="","",DATEDIF(E356,DATE(2026,12,31),"Y"))</f>
        <v/>
      </c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4.25" customHeight="1" s="37">
      <c r="A357" s="9">
        <f>IF(C357="","","UM"&amp;TEXT(ROW()-1,"00000"))</f>
        <v/>
      </c>
      <c r="B357" s="9" t="n"/>
      <c r="C357" s="9" t="n"/>
      <c r="D357" s="9" t="n"/>
      <c r="E357" s="9" t="n"/>
      <c r="F357" s="9">
        <f>IF(E357="","",DATEDIF(E357,DATE(2026,12,31),"Y"))</f>
        <v/>
      </c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4.25" customHeight="1" s="37">
      <c r="A358" s="9">
        <f>IF(C358="","","UM"&amp;TEXT(ROW()-1,"00000"))</f>
        <v/>
      </c>
      <c r="B358" s="9" t="n"/>
      <c r="C358" s="9" t="n"/>
      <c r="D358" s="9" t="n"/>
      <c r="E358" s="9" t="n"/>
      <c r="F358" s="9">
        <f>IF(E358="","",DATEDIF(E358,DATE(2026,12,31),"Y"))</f>
        <v/>
      </c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4.25" customHeight="1" s="37">
      <c r="A359" s="9">
        <f>IF(C359="","","UM"&amp;TEXT(ROW()-1,"00000"))</f>
        <v/>
      </c>
      <c r="B359" s="9" t="n"/>
      <c r="C359" s="9" t="n"/>
      <c r="D359" s="9" t="n"/>
      <c r="E359" s="9" t="n"/>
      <c r="F359" s="9">
        <f>IF(E359="","",DATEDIF(E359,DATE(2026,12,31),"Y"))</f>
        <v/>
      </c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4.25" customHeight="1" s="37">
      <c r="A360" s="9">
        <f>IF(C360="","","UM"&amp;TEXT(ROW()-1,"00000"))</f>
        <v/>
      </c>
      <c r="B360" s="9" t="n"/>
      <c r="C360" s="9" t="n"/>
      <c r="D360" s="9" t="n"/>
      <c r="E360" s="9" t="n"/>
      <c r="F360" s="9">
        <f>IF(E360="","",DATEDIF(E360,DATE(2026,12,31),"Y"))</f>
        <v/>
      </c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4.25" customHeight="1" s="37">
      <c r="A361" s="9">
        <f>IF(C361="","","UM"&amp;TEXT(ROW()-1,"00000"))</f>
        <v/>
      </c>
      <c r="B361" s="9" t="n"/>
      <c r="C361" s="9" t="n"/>
      <c r="D361" s="9" t="n"/>
      <c r="E361" s="9" t="n"/>
      <c r="F361" s="9">
        <f>IF(E361="","",DATEDIF(E361,DATE(2026,12,31),"Y"))</f>
        <v/>
      </c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4.25" customHeight="1" s="37">
      <c r="A362" s="9">
        <f>IF(C362="","","UM"&amp;TEXT(ROW()-1,"00000"))</f>
        <v/>
      </c>
      <c r="B362" s="9" t="n"/>
      <c r="C362" s="9" t="n"/>
      <c r="D362" s="9" t="n"/>
      <c r="E362" s="9" t="n"/>
      <c r="F362" s="9">
        <f>IF(E362="","",DATEDIF(E362,DATE(2026,12,31),"Y"))</f>
        <v/>
      </c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4.25" customHeight="1" s="37">
      <c r="A363" s="9">
        <f>IF(C363="","","UM"&amp;TEXT(ROW()-1,"00000"))</f>
        <v/>
      </c>
      <c r="B363" s="9" t="n"/>
      <c r="C363" s="9" t="n"/>
      <c r="D363" s="9" t="n"/>
      <c r="E363" s="9" t="n"/>
      <c r="F363" s="9">
        <f>IF(E363="","",DATEDIF(E363,DATE(2026,12,31),"Y"))</f>
        <v/>
      </c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4.25" customHeight="1" s="37">
      <c r="A364" s="9">
        <f>IF(C364="","","UM"&amp;TEXT(ROW()-1,"00000"))</f>
        <v/>
      </c>
      <c r="B364" s="9" t="n"/>
      <c r="C364" s="9" t="n"/>
      <c r="D364" s="9" t="n"/>
      <c r="E364" s="9" t="n"/>
      <c r="F364" s="9">
        <f>IF(E364="","",DATEDIF(E364,DATE(2026,12,31),"Y"))</f>
        <v/>
      </c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4.25" customHeight="1" s="37">
      <c r="A365" s="9">
        <f>IF(C365="","","UM"&amp;TEXT(ROW()-1,"00000"))</f>
        <v/>
      </c>
      <c r="B365" s="9" t="n"/>
      <c r="C365" s="9" t="n"/>
      <c r="D365" s="9" t="n"/>
      <c r="E365" s="9" t="n"/>
      <c r="F365" s="9">
        <f>IF(E365="","",DATEDIF(E365,DATE(2026,12,31),"Y"))</f>
        <v/>
      </c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4.25" customHeight="1" s="37">
      <c r="A366" s="9">
        <f>IF(C366="","","UM"&amp;TEXT(ROW()-1,"00000"))</f>
        <v/>
      </c>
      <c r="B366" s="9" t="n"/>
      <c r="C366" s="9" t="n"/>
      <c r="D366" s="9" t="n"/>
      <c r="E366" s="9" t="n"/>
      <c r="F366" s="9">
        <f>IF(E366="","",DATEDIF(E366,DATE(2026,12,31),"Y"))</f>
        <v/>
      </c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4.25" customHeight="1" s="37">
      <c r="A367" s="9">
        <f>IF(C367="","","UM"&amp;TEXT(ROW()-1,"00000"))</f>
        <v/>
      </c>
      <c r="B367" s="9" t="n"/>
      <c r="C367" s="9" t="n"/>
      <c r="D367" s="9" t="n"/>
      <c r="E367" s="9" t="n"/>
      <c r="F367" s="9">
        <f>IF(E367="","",DATEDIF(E367,DATE(2026,12,31),"Y"))</f>
        <v/>
      </c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4.25" customHeight="1" s="37">
      <c r="A368" s="9">
        <f>IF(C368="","","UM"&amp;TEXT(ROW()-1,"00000"))</f>
        <v/>
      </c>
      <c r="B368" s="9" t="n"/>
      <c r="C368" s="9" t="n"/>
      <c r="D368" s="9" t="n"/>
      <c r="E368" s="9" t="n"/>
      <c r="F368" s="9">
        <f>IF(E368="","",DATEDIF(E368,DATE(2026,12,31),"Y"))</f>
        <v/>
      </c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4.25" customHeight="1" s="37">
      <c r="A369" s="9">
        <f>IF(C369="","","UM"&amp;TEXT(ROW()-1,"00000"))</f>
        <v/>
      </c>
      <c r="B369" s="9" t="n"/>
      <c r="C369" s="9" t="n"/>
      <c r="D369" s="9" t="n"/>
      <c r="E369" s="9" t="n"/>
      <c r="F369" s="9">
        <f>IF(E369="","",DATEDIF(E369,DATE(2026,12,31),"Y"))</f>
        <v/>
      </c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4.25" customHeight="1" s="37">
      <c r="A370" s="9">
        <f>IF(C370="","","UM"&amp;TEXT(ROW()-1,"00000"))</f>
        <v/>
      </c>
      <c r="B370" s="9" t="n"/>
      <c r="C370" s="9" t="n"/>
      <c r="D370" s="9" t="n"/>
      <c r="E370" s="9" t="n"/>
      <c r="F370" s="9">
        <f>IF(E370="","",DATEDIF(E370,DATE(2026,12,31),"Y"))</f>
        <v/>
      </c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4.25" customHeight="1" s="37">
      <c r="A371" s="9">
        <f>IF(C371="","","UM"&amp;TEXT(ROW()-1,"00000"))</f>
        <v/>
      </c>
      <c r="B371" s="9" t="n"/>
      <c r="C371" s="9" t="n"/>
      <c r="D371" s="9" t="n"/>
      <c r="E371" s="9" t="n"/>
      <c r="F371" s="9">
        <f>IF(E371="","",DATEDIF(E371,DATE(2026,12,31),"Y"))</f>
        <v/>
      </c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4.25" customHeight="1" s="37">
      <c r="A372" s="9">
        <f>IF(C372="","","UM"&amp;TEXT(ROW()-1,"00000"))</f>
        <v/>
      </c>
      <c r="B372" s="9" t="n"/>
      <c r="C372" s="9" t="n"/>
      <c r="D372" s="9" t="n"/>
      <c r="E372" s="9" t="n"/>
      <c r="F372" s="9">
        <f>IF(E372="","",DATEDIF(E372,DATE(2026,12,31),"Y"))</f>
        <v/>
      </c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4.25" customHeight="1" s="37">
      <c r="A373" s="9">
        <f>IF(C373="","","UM"&amp;TEXT(ROW()-1,"00000"))</f>
        <v/>
      </c>
      <c r="B373" s="9" t="n"/>
      <c r="C373" s="9" t="n"/>
      <c r="D373" s="9" t="n"/>
      <c r="E373" s="9" t="n"/>
      <c r="F373" s="9">
        <f>IF(E373="","",DATEDIF(E373,DATE(2026,12,31),"Y"))</f>
        <v/>
      </c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4.25" customHeight="1" s="37">
      <c r="A374" s="9">
        <f>IF(C374="","","UM"&amp;TEXT(ROW()-1,"00000"))</f>
        <v/>
      </c>
      <c r="B374" s="9" t="n"/>
      <c r="C374" s="9" t="n"/>
      <c r="D374" s="9" t="n"/>
      <c r="E374" s="9" t="n"/>
      <c r="F374" s="9">
        <f>IF(E374="","",DATEDIF(E374,DATE(2026,12,31),"Y"))</f>
        <v/>
      </c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4.25" customHeight="1" s="37">
      <c r="A375" s="9">
        <f>IF(C375="","","UM"&amp;TEXT(ROW()-1,"00000"))</f>
        <v/>
      </c>
      <c r="B375" s="9" t="n"/>
      <c r="C375" s="9" t="n"/>
      <c r="D375" s="9" t="n"/>
      <c r="E375" s="9" t="n"/>
      <c r="F375" s="9">
        <f>IF(E375="","",DATEDIF(E375,DATE(2026,12,31),"Y"))</f>
        <v/>
      </c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4.25" customHeight="1" s="37">
      <c r="A376" s="9">
        <f>IF(C376="","","UM"&amp;TEXT(ROW()-1,"00000"))</f>
        <v/>
      </c>
      <c r="B376" s="9" t="n"/>
      <c r="C376" s="9" t="n"/>
      <c r="D376" s="9" t="n"/>
      <c r="E376" s="9" t="n"/>
      <c r="F376" s="9">
        <f>IF(E376="","",DATEDIF(E376,DATE(2026,12,31),"Y"))</f>
        <v/>
      </c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4.25" customHeight="1" s="37">
      <c r="A377" s="9">
        <f>IF(C377="","","UM"&amp;TEXT(ROW()-1,"00000"))</f>
        <v/>
      </c>
      <c r="B377" s="9" t="n"/>
      <c r="C377" s="9" t="n"/>
      <c r="D377" s="9" t="n"/>
      <c r="E377" s="9" t="n"/>
      <c r="F377" s="9">
        <f>IF(E377="","",DATEDIF(E377,DATE(2026,12,31),"Y"))</f>
        <v/>
      </c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4.25" customHeight="1" s="37">
      <c r="A378" s="9">
        <f>IF(C378="","","UM"&amp;TEXT(ROW()-1,"00000"))</f>
        <v/>
      </c>
      <c r="B378" s="9" t="n"/>
      <c r="C378" s="9" t="n"/>
      <c r="D378" s="9" t="n"/>
      <c r="E378" s="9" t="n"/>
      <c r="F378" s="9">
        <f>IF(E378="","",DATEDIF(E378,DATE(2026,12,31),"Y"))</f>
        <v/>
      </c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4.25" customHeight="1" s="37">
      <c r="A379" s="9">
        <f>IF(C379="","","UM"&amp;TEXT(ROW()-1,"00000"))</f>
        <v/>
      </c>
      <c r="B379" s="9" t="n"/>
      <c r="C379" s="9" t="n"/>
      <c r="D379" s="9" t="n"/>
      <c r="E379" s="9" t="n"/>
      <c r="F379" s="9">
        <f>IF(E379="","",DATEDIF(E379,DATE(2026,12,31),"Y"))</f>
        <v/>
      </c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4.25" customHeight="1" s="37">
      <c r="A380" s="9">
        <f>IF(C380="","","UM"&amp;TEXT(ROW()-1,"00000"))</f>
        <v/>
      </c>
      <c r="B380" s="9" t="n"/>
      <c r="C380" s="9" t="n"/>
      <c r="D380" s="9" t="n"/>
      <c r="E380" s="9" t="n"/>
      <c r="F380" s="9">
        <f>IF(E380="","",DATEDIF(E380,DATE(2026,12,31),"Y"))</f>
        <v/>
      </c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4.25" customHeight="1" s="37">
      <c r="A381" s="9">
        <f>IF(C381="","","UM"&amp;TEXT(ROW()-1,"00000"))</f>
        <v/>
      </c>
      <c r="B381" s="9" t="n"/>
      <c r="C381" s="9" t="n"/>
      <c r="D381" s="9" t="n"/>
      <c r="E381" s="9" t="n"/>
      <c r="F381" s="9">
        <f>IF(E381="","",DATEDIF(E381,DATE(2026,12,31),"Y"))</f>
        <v/>
      </c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4.25" customHeight="1" s="37">
      <c r="A382" s="9">
        <f>IF(C382="","","UM"&amp;TEXT(ROW()-1,"00000"))</f>
        <v/>
      </c>
      <c r="B382" s="9" t="n"/>
      <c r="C382" s="9" t="n"/>
      <c r="D382" s="9" t="n"/>
      <c r="E382" s="9" t="n"/>
      <c r="F382" s="9">
        <f>IF(E382="","",DATEDIF(E382,DATE(2026,12,31),"Y"))</f>
        <v/>
      </c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4.25" customHeight="1" s="37">
      <c r="A383" s="9">
        <f>IF(C383="","","UM"&amp;TEXT(ROW()-1,"00000"))</f>
        <v/>
      </c>
      <c r="B383" s="9" t="n"/>
      <c r="C383" s="9" t="n"/>
      <c r="D383" s="9" t="n"/>
      <c r="E383" s="9" t="n"/>
      <c r="F383" s="9">
        <f>IF(E383="","",DATEDIF(E383,DATE(2026,12,31),"Y"))</f>
        <v/>
      </c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4.25" customHeight="1" s="37">
      <c r="A384" s="9">
        <f>IF(C384="","","UM"&amp;TEXT(ROW()-1,"00000"))</f>
        <v/>
      </c>
      <c r="B384" s="9" t="n"/>
      <c r="C384" s="9" t="n"/>
      <c r="D384" s="9" t="n"/>
      <c r="E384" s="9" t="n"/>
      <c r="F384" s="9">
        <f>IF(E384="","",DATEDIF(E384,DATE(2026,12,31),"Y"))</f>
        <v/>
      </c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4.25" customHeight="1" s="37">
      <c r="A385" s="9">
        <f>IF(C385="","","UM"&amp;TEXT(ROW()-1,"00000"))</f>
        <v/>
      </c>
      <c r="B385" s="9" t="n"/>
      <c r="C385" s="9" t="n"/>
      <c r="D385" s="9" t="n"/>
      <c r="E385" s="9" t="n"/>
      <c r="F385" s="9">
        <f>IF(E385="","",DATEDIF(E385,DATE(2026,12,31),"Y"))</f>
        <v/>
      </c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4.25" customHeight="1" s="37">
      <c r="A386" s="9">
        <f>IF(C386="","","UM"&amp;TEXT(ROW()-1,"00000"))</f>
        <v/>
      </c>
      <c r="B386" s="9" t="n"/>
      <c r="C386" s="9" t="n"/>
      <c r="D386" s="9" t="n"/>
      <c r="E386" s="9" t="n"/>
      <c r="F386" s="9">
        <f>IF(E386="","",DATEDIF(E386,DATE(2026,12,31),"Y"))</f>
        <v/>
      </c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4.25" customHeight="1" s="37">
      <c r="A387" s="9">
        <f>IF(C387="","","UM"&amp;TEXT(ROW()-1,"00000"))</f>
        <v/>
      </c>
      <c r="B387" s="9" t="n"/>
      <c r="C387" s="9" t="n"/>
      <c r="D387" s="9" t="n"/>
      <c r="E387" s="9" t="n"/>
      <c r="F387" s="9">
        <f>IF(E387="","",DATEDIF(E387,DATE(2026,12,31),"Y"))</f>
        <v/>
      </c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4.25" customHeight="1" s="37">
      <c r="A388" s="9">
        <f>IF(C388="","","UM"&amp;TEXT(ROW()-1,"00000"))</f>
        <v/>
      </c>
      <c r="B388" s="9" t="n"/>
      <c r="C388" s="9" t="n"/>
      <c r="D388" s="9" t="n"/>
      <c r="E388" s="9" t="n"/>
      <c r="F388" s="9">
        <f>IF(E388="","",DATEDIF(E388,DATE(2026,12,31),"Y"))</f>
        <v/>
      </c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4.25" customHeight="1" s="37">
      <c r="A389" s="9">
        <f>IF(C389="","","UM"&amp;TEXT(ROW()-1,"00000"))</f>
        <v/>
      </c>
      <c r="B389" s="9" t="n"/>
      <c r="C389" s="9" t="n"/>
      <c r="D389" s="9" t="n"/>
      <c r="E389" s="9" t="n"/>
      <c r="F389" s="9">
        <f>IF(E389="","",DATEDIF(E389,DATE(2026,12,31),"Y"))</f>
        <v/>
      </c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4.25" customHeight="1" s="37">
      <c r="A390" s="9">
        <f>IF(C390="","","UM"&amp;TEXT(ROW()-1,"00000"))</f>
        <v/>
      </c>
      <c r="B390" s="9" t="n"/>
      <c r="C390" s="9" t="n"/>
      <c r="D390" s="9" t="n"/>
      <c r="E390" s="9" t="n"/>
      <c r="F390" s="9">
        <f>IF(E390="","",DATEDIF(E390,DATE(2026,12,31),"Y"))</f>
        <v/>
      </c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4.25" customHeight="1" s="37">
      <c r="A391" s="9">
        <f>IF(C391="","","UM"&amp;TEXT(ROW()-1,"00000"))</f>
        <v/>
      </c>
      <c r="B391" s="9" t="n"/>
      <c r="C391" s="9" t="n"/>
      <c r="D391" s="9" t="n"/>
      <c r="E391" s="9" t="n"/>
      <c r="F391" s="9">
        <f>IF(E391="","",DATEDIF(E391,DATE(2026,12,31),"Y"))</f>
        <v/>
      </c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4.25" customHeight="1" s="37">
      <c r="A392" s="9">
        <f>IF(C392="","","UM"&amp;TEXT(ROW()-1,"00000"))</f>
        <v/>
      </c>
      <c r="B392" s="9" t="n"/>
      <c r="C392" s="9" t="n"/>
      <c r="D392" s="9" t="n"/>
      <c r="E392" s="9" t="n"/>
      <c r="F392" s="9">
        <f>IF(E392="","",DATEDIF(E392,DATE(2026,12,31),"Y"))</f>
        <v/>
      </c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4.25" customHeight="1" s="37">
      <c r="A393" s="9">
        <f>IF(C393="","","UM"&amp;TEXT(ROW()-1,"00000"))</f>
        <v/>
      </c>
      <c r="B393" s="9" t="n"/>
      <c r="C393" s="9" t="n"/>
      <c r="D393" s="9" t="n"/>
      <c r="E393" s="9" t="n"/>
      <c r="F393" s="9">
        <f>IF(E393="","",DATEDIF(E393,DATE(2026,12,31),"Y"))</f>
        <v/>
      </c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4.25" customHeight="1" s="37">
      <c r="A394" s="9">
        <f>IF(C394="","","UM"&amp;TEXT(ROW()-1,"00000"))</f>
        <v/>
      </c>
      <c r="B394" s="9" t="n"/>
      <c r="C394" s="9" t="n"/>
      <c r="D394" s="9" t="n"/>
      <c r="E394" s="9" t="n"/>
      <c r="F394" s="9">
        <f>IF(E394="","",DATEDIF(E394,DATE(2026,12,31),"Y"))</f>
        <v/>
      </c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4.25" customHeight="1" s="37">
      <c r="A395" s="9">
        <f>IF(C395="","","UM"&amp;TEXT(ROW()-1,"00000"))</f>
        <v/>
      </c>
      <c r="B395" s="9" t="n"/>
      <c r="C395" s="9" t="n"/>
      <c r="D395" s="9" t="n"/>
      <c r="E395" s="9" t="n"/>
      <c r="F395" s="9">
        <f>IF(E395="","",DATEDIF(E395,DATE(2026,12,31),"Y"))</f>
        <v/>
      </c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4.25" customHeight="1" s="37">
      <c r="A396" s="9">
        <f>IF(C396="","","UM"&amp;TEXT(ROW()-1,"00000"))</f>
        <v/>
      </c>
      <c r="B396" s="9" t="n"/>
      <c r="C396" s="9" t="n"/>
      <c r="D396" s="9" t="n"/>
      <c r="E396" s="9" t="n"/>
      <c r="F396" s="9">
        <f>IF(E396="","",DATEDIF(E396,DATE(2026,12,31),"Y"))</f>
        <v/>
      </c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4.25" customHeight="1" s="37">
      <c r="A397" s="9">
        <f>IF(C397="","","UM"&amp;TEXT(ROW()-1,"00000"))</f>
        <v/>
      </c>
      <c r="B397" s="9" t="n"/>
      <c r="C397" s="9" t="n"/>
      <c r="D397" s="9" t="n"/>
      <c r="E397" s="9" t="n"/>
      <c r="F397" s="9">
        <f>IF(E397="","",DATEDIF(E397,DATE(2026,12,31),"Y"))</f>
        <v/>
      </c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4.25" customHeight="1" s="37">
      <c r="A398" s="9">
        <f>IF(C398="","","UM"&amp;TEXT(ROW()-1,"00000"))</f>
        <v/>
      </c>
      <c r="B398" s="9" t="n"/>
      <c r="C398" s="9" t="n"/>
      <c r="D398" s="9" t="n"/>
      <c r="E398" s="9" t="n"/>
      <c r="F398" s="9">
        <f>IF(E398="","",DATEDIF(E398,DATE(2026,12,31),"Y"))</f>
        <v/>
      </c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4.25" customHeight="1" s="37">
      <c r="A399" s="9">
        <f>IF(C399="","","UM"&amp;TEXT(ROW()-1,"00000"))</f>
        <v/>
      </c>
      <c r="B399" s="9" t="n"/>
      <c r="C399" s="9" t="n"/>
      <c r="D399" s="9" t="n"/>
      <c r="E399" s="9" t="n"/>
      <c r="F399" s="9">
        <f>IF(E399="","",DATEDIF(E399,DATE(2026,12,31),"Y"))</f>
        <v/>
      </c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4.25" customHeight="1" s="37">
      <c r="A400" s="9">
        <f>IF(C400="","","UM"&amp;TEXT(ROW()-1,"00000"))</f>
        <v/>
      </c>
      <c r="B400" s="9" t="n"/>
      <c r="C400" s="9" t="n"/>
      <c r="D400" s="9" t="n"/>
      <c r="E400" s="9" t="n"/>
      <c r="F400" s="9">
        <f>IF(E400="","",DATEDIF(E400,DATE(2026,12,31),"Y"))</f>
        <v/>
      </c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4.25" customHeight="1" s="37">
      <c r="A401" s="9">
        <f>IF(C401="","","UM"&amp;TEXT(ROW()-1,"00000"))</f>
        <v/>
      </c>
      <c r="B401" s="9" t="n"/>
      <c r="C401" s="9" t="n"/>
      <c r="D401" s="9" t="n"/>
      <c r="E401" s="9" t="n"/>
      <c r="F401" s="9">
        <f>IF(E401="","",DATEDIF(E401,DATE(2026,12,31),"Y"))</f>
        <v/>
      </c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4.25" customHeight="1" s="37">
      <c r="A402" s="9">
        <f>IF(C402="","","UM"&amp;TEXT(ROW()-1,"00000"))</f>
        <v/>
      </c>
      <c r="B402" s="9" t="n"/>
      <c r="C402" s="9" t="n"/>
      <c r="D402" s="9" t="n"/>
      <c r="E402" s="9" t="n"/>
      <c r="F402" s="9">
        <f>IF(E402="","",DATEDIF(E402,DATE(2026,12,31),"Y"))</f>
        <v/>
      </c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4.25" customHeight="1" s="37">
      <c r="A403" s="9">
        <f>IF(C403="","","UM"&amp;TEXT(ROW()-1,"00000"))</f>
        <v/>
      </c>
      <c r="B403" s="9" t="n"/>
      <c r="C403" s="9" t="n"/>
      <c r="D403" s="9" t="n"/>
      <c r="E403" s="9" t="n"/>
      <c r="F403" s="9">
        <f>IF(E403="","",DATEDIF(E403,DATE(2026,12,31),"Y"))</f>
        <v/>
      </c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4.25" customHeight="1" s="37">
      <c r="A404" s="9">
        <f>IF(C404="","","UM"&amp;TEXT(ROW()-1,"00000"))</f>
        <v/>
      </c>
      <c r="B404" s="9" t="n"/>
      <c r="C404" s="9" t="n"/>
      <c r="D404" s="9" t="n"/>
      <c r="E404" s="9" t="n"/>
      <c r="F404" s="9">
        <f>IF(E404="","",DATEDIF(E404,DATE(2026,12,31),"Y"))</f>
        <v/>
      </c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4.25" customHeight="1" s="37">
      <c r="A405" s="9">
        <f>IF(C405="","","UM"&amp;TEXT(ROW()-1,"00000"))</f>
        <v/>
      </c>
      <c r="B405" s="9" t="n"/>
      <c r="C405" s="9" t="n"/>
      <c r="D405" s="9" t="n"/>
      <c r="E405" s="9" t="n"/>
      <c r="F405" s="9">
        <f>IF(E405="","",DATEDIF(E405,DATE(2026,12,31),"Y"))</f>
        <v/>
      </c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4.25" customHeight="1" s="37">
      <c r="A406" s="9">
        <f>IF(C406="","","UM"&amp;TEXT(ROW()-1,"00000"))</f>
        <v/>
      </c>
      <c r="B406" s="9" t="n"/>
      <c r="C406" s="9" t="n"/>
      <c r="D406" s="9" t="n"/>
      <c r="E406" s="9" t="n"/>
      <c r="F406" s="9">
        <f>IF(E406="","",DATEDIF(E406,DATE(2026,12,31),"Y"))</f>
        <v/>
      </c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4.25" customHeight="1" s="37">
      <c r="A407" s="9">
        <f>IF(C407="","","UM"&amp;TEXT(ROW()-1,"00000"))</f>
        <v/>
      </c>
      <c r="B407" s="9" t="n"/>
      <c r="C407" s="9" t="n"/>
      <c r="D407" s="9" t="n"/>
      <c r="E407" s="9" t="n"/>
      <c r="F407" s="9">
        <f>IF(E407="","",DATEDIF(E407,DATE(2026,12,31),"Y"))</f>
        <v/>
      </c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4.25" customHeight="1" s="37">
      <c r="A408" s="9">
        <f>IF(C408="","","UM"&amp;TEXT(ROW()-1,"00000"))</f>
        <v/>
      </c>
      <c r="B408" s="9" t="n"/>
      <c r="C408" s="9" t="n"/>
      <c r="D408" s="9" t="n"/>
      <c r="E408" s="9" t="n"/>
      <c r="F408" s="9">
        <f>IF(E408="","",DATEDIF(E408,DATE(2026,12,31),"Y"))</f>
        <v/>
      </c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4.25" customHeight="1" s="37">
      <c r="A409" s="9">
        <f>IF(C409="","","UM"&amp;TEXT(ROW()-1,"00000"))</f>
        <v/>
      </c>
      <c r="B409" s="9" t="n"/>
      <c r="C409" s="9" t="n"/>
      <c r="D409" s="9" t="n"/>
      <c r="E409" s="9" t="n"/>
      <c r="F409" s="9">
        <f>IF(E409="","",DATEDIF(E409,DATE(2026,12,31),"Y"))</f>
        <v/>
      </c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4.25" customHeight="1" s="37">
      <c r="A410" s="9">
        <f>IF(C410="","","UM"&amp;TEXT(ROW()-1,"00000"))</f>
        <v/>
      </c>
      <c r="B410" s="9" t="n"/>
      <c r="C410" s="9" t="n"/>
      <c r="D410" s="9" t="n"/>
      <c r="E410" s="9" t="n"/>
      <c r="F410" s="9">
        <f>IF(E410="","",DATEDIF(E410,DATE(2026,12,31),"Y"))</f>
        <v/>
      </c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4.25" customHeight="1" s="37">
      <c r="A411" s="9">
        <f>IF(C411="","","UM"&amp;TEXT(ROW()-1,"00000"))</f>
        <v/>
      </c>
      <c r="B411" s="9" t="n"/>
      <c r="C411" s="9" t="n"/>
      <c r="D411" s="9" t="n"/>
      <c r="E411" s="9" t="n"/>
      <c r="F411" s="9">
        <f>IF(E411="","",DATEDIF(E411,DATE(2026,12,31),"Y"))</f>
        <v/>
      </c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4.25" customHeight="1" s="37">
      <c r="A412" s="9">
        <f>IF(C412="","","UM"&amp;TEXT(ROW()-1,"00000"))</f>
        <v/>
      </c>
      <c r="B412" s="9" t="n"/>
      <c r="C412" s="9" t="n"/>
      <c r="D412" s="9" t="n"/>
      <c r="E412" s="9" t="n"/>
      <c r="F412" s="9">
        <f>IF(E412="","",DATEDIF(E412,DATE(2026,12,31),"Y"))</f>
        <v/>
      </c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4.25" customHeight="1" s="37">
      <c r="A413" s="9">
        <f>IF(C413="","","UM"&amp;TEXT(ROW()-1,"00000"))</f>
        <v/>
      </c>
      <c r="B413" s="9" t="n"/>
      <c r="C413" s="9" t="n"/>
      <c r="D413" s="9" t="n"/>
      <c r="E413" s="9" t="n"/>
      <c r="F413" s="9">
        <f>IF(E413="","",DATEDIF(E413,DATE(2026,12,31),"Y"))</f>
        <v/>
      </c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4.25" customHeight="1" s="37">
      <c r="A414" s="9">
        <f>IF(C414="","","UM"&amp;TEXT(ROW()-1,"00000"))</f>
        <v/>
      </c>
      <c r="B414" s="9" t="n"/>
      <c r="C414" s="9" t="n"/>
      <c r="D414" s="9" t="n"/>
      <c r="E414" s="9" t="n"/>
      <c r="F414" s="9">
        <f>IF(E414="","",DATEDIF(E414,DATE(2026,12,31),"Y"))</f>
        <v/>
      </c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4.25" customHeight="1" s="37">
      <c r="A415" s="9">
        <f>IF(C415="","","UM"&amp;TEXT(ROW()-1,"00000"))</f>
        <v/>
      </c>
      <c r="B415" s="9" t="n"/>
      <c r="C415" s="9" t="n"/>
      <c r="D415" s="9" t="n"/>
      <c r="E415" s="9" t="n"/>
      <c r="F415" s="9">
        <f>IF(E415="","",DATEDIF(E415,DATE(2026,12,31),"Y"))</f>
        <v/>
      </c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4.25" customHeight="1" s="37">
      <c r="A416" s="9">
        <f>IF(C416="","","UM"&amp;TEXT(ROW()-1,"00000"))</f>
        <v/>
      </c>
      <c r="B416" s="9" t="n"/>
      <c r="C416" s="9" t="n"/>
      <c r="D416" s="9" t="n"/>
      <c r="E416" s="9" t="n"/>
      <c r="F416" s="9">
        <f>IF(E416="","",DATEDIF(E416,DATE(2026,12,31),"Y"))</f>
        <v/>
      </c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4.25" customHeight="1" s="37">
      <c r="A417" s="9">
        <f>IF(C417="","","UM"&amp;TEXT(ROW()-1,"00000"))</f>
        <v/>
      </c>
      <c r="B417" s="9" t="n"/>
      <c r="C417" s="9" t="n"/>
      <c r="D417" s="9" t="n"/>
      <c r="E417" s="9" t="n"/>
      <c r="F417" s="9">
        <f>IF(E417="","",DATEDIF(E417,DATE(2026,12,31),"Y"))</f>
        <v/>
      </c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4.25" customHeight="1" s="37">
      <c r="A418" s="9">
        <f>IF(C418="","","UM"&amp;TEXT(ROW()-1,"00000"))</f>
        <v/>
      </c>
      <c r="B418" s="9" t="n"/>
      <c r="C418" s="9" t="n"/>
      <c r="D418" s="9" t="n"/>
      <c r="E418" s="9" t="n"/>
      <c r="F418" s="9">
        <f>IF(E418="","",DATEDIF(E418,DATE(2026,12,31),"Y"))</f>
        <v/>
      </c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4.25" customHeight="1" s="37">
      <c r="A419" s="9">
        <f>IF(C419="","","UM"&amp;TEXT(ROW()-1,"00000"))</f>
        <v/>
      </c>
      <c r="B419" s="9" t="n"/>
      <c r="C419" s="9" t="n"/>
      <c r="D419" s="9" t="n"/>
      <c r="E419" s="9" t="n"/>
      <c r="F419" s="9">
        <f>IF(E419="","",DATEDIF(E419,DATE(2026,12,31),"Y"))</f>
        <v/>
      </c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4.25" customHeight="1" s="37">
      <c r="A420" s="9">
        <f>IF(C420="","","UM"&amp;TEXT(ROW()-1,"00000"))</f>
        <v/>
      </c>
      <c r="B420" s="9" t="n"/>
      <c r="C420" s="9" t="n"/>
      <c r="D420" s="9" t="n"/>
      <c r="E420" s="9" t="n"/>
      <c r="F420" s="9">
        <f>IF(E420="","",DATEDIF(E420,DATE(2026,12,31),"Y"))</f>
        <v/>
      </c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4.25" customHeight="1" s="37">
      <c r="A421" s="9">
        <f>IF(C421="","","UM"&amp;TEXT(ROW()-1,"00000"))</f>
        <v/>
      </c>
      <c r="B421" s="9" t="n"/>
      <c r="C421" s="9" t="n"/>
      <c r="D421" s="9" t="n"/>
      <c r="E421" s="9" t="n"/>
      <c r="F421" s="9">
        <f>IF(E421="","",DATEDIF(E421,DATE(2026,12,31),"Y"))</f>
        <v/>
      </c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4.25" customHeight="1" s="37">
      <c r="A422" s="9">
        <f>IF(C422="","","UM"&amp;TEXT(ROW()-1,"00000"))</f>
        <v/>
      </c>
      <c r="B422" s="9" t="n"/>
      <c r="C422" s="9" t="n"/>
      <c r="D422" s="9" t="n"/>
      <c r="E422" s="9" t="n"/>
      <c r="F422" s="9">
        <f>IF(E422="","",DATEDIF(E422,DATE(2026,12,31),"Y"))</f>
        <v/>
      </c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4.25" customHeight="1" s="37">
      <c r="A423" s="9">
        <f>IF(C423="","","UM"&amp;TEXT(ROW()-1,"00000"))</f>
        <v/>
      </c>
      <c r="B423" s="9" t="n"/>
      <c r="C423" s="9" t="n"/>
      <c r="D423" s="9" t="n"/>
      <c r="E423" s="9" t="n"/>
      <c r="F423" s="9">
        <f>IF(E423="","",DATEDIF(E423,DATE(2026,12,31),"Y"))</f>
        <v/>
      </c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4.25" customHeight="1" s="37">
      <c r="A424" s="9">
        <f>IF(C424="","","UM"&amp;TEXT(ROW()-1,"00000"))</f>
        <v/>
      </c>
      <c r="B424" s="9" t="n"/>
      <c r="C424" s="9" t="n"/>
      <c r="D424" s="9" t="n"/>
      <c r="E424" s="9" t="n"/>
      <c r="F424" s="9">
        <f>IF(E424="","",DATEDIF(E424,DATE(2026,12,31),"Y"))</f>
        <v/>
      </c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4.25" customHeight="1" s="37">
      <c r="A425" s="9">
        <f>IF(C425="","","UM"&amp;TEXT(ROW()-1,"00000"))</f>
        <v/>
      </c>
      <c r="B425" s="9" t="n"/>
      <c r="C425" s="9" t="n"/>
      <c r="D425" s="9" t="n"/>
      <c r="E425" s="9" t="n"/>
      <c r="F425" s="9">
        <f>IF(E425="","",DATEDIF(E425,DATE(2026,12,31),"Y"))</f>
        <v/>
      </c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4.25" customHeight="1" s="37">
      <c r="A426" s="9">
        <f>IF(C426="","","UM"&amp;TEXT(ROW()-1,"00000"))</f>
        <v/>
      </c>
      <c r="B426" s="9" t="n"/>
      <c r="C426" s="9" t="n"/>
      <c r="D426" s="9" t="n"/>
      <c r="E426" s="9" t="n"/>
      <c r="F426" s="9">
        <f>IF(E426="","",DATEDIF(E426,DATE(2026,12,31),"Y"))</f>
        <v/>
      </c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4.25" customHeight="1" s="37">
      <c r="A427" s="9">
        <f>IF(C427="","","UM"&amp;TEXT(ROW()-1,"00000"))</f>
        <v/>
      </c>
      <c r="B427" s="9" t="n"/>
      <c r="C427" s="9" t="n"/>
      <c r="D427" s="9" t="n"/>
      <c r="E427" s="9" t="n"/>
      <c r="F427" s="9">
        <f>IF(E427="","",DATEDIF(E427,DATE(2026,12,31),"Y"))</f>
        <v/>
      </c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4.25" customHeight="1" s="37">
      <c r="A428" s="9">
        <f>IF(C428="","","UM"&amp;TEXT(ROW()-1,"00000"))</f>
        <v/>
      </c>
      <c r="B428" s="9" t="n"/>
      <c r="C428" s="9" t="n"/>
      <c r="D428" s="9" t="n"/>
      <c r="E428" s="9" t="n"/>
      <c r="F428" s="9">
        <f>IF(E428="","",DATEDIF(E428,DATE(2026,12,31),"Y"))</f>
        <v/>
      </c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4.25" customHeight="1" s="37">
      <c r="A429" s="9">
        <f>IF(C429="","","UM"&amp;TEXT(ROW()-1,"00000"))</f>
        <v/>
      </c>
      <c r="B429" s="9" t="n"/>
      <c r="C429" s="9" t="n"/>
      <c r="D429" s="9" t="n"/>
      <c r="E429" s="9" t="n"/>
      <c r="F429" s="9">
        <f>IF(E429="","",DATEDIF(E429,DATE(2026,12,31),"Y"))</f>
        <v/>
      </c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4.25" customHeight="1" s="37">
      <c r="A430" s="9">
        <f>IF(C430="","","UM"&amp;TEXT(ROW()-1,"00000"))</f>
        <v/>
      </c>
      <c r="B430" s="9" t="n"/>
      <c r="C430" s="9" t="n"/>
      <c r="D430" s="9" t="n"/>
      <c r="E430" s="9" t="n"/>
      <c r="F430" s="9">
        <f>IF(E430="","",DATEDIF(E430,DATE(2026,12,31),"Y"))</f>
        <v/>
      </c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4.25" customHeight="1" s="37">
      <c r="A431" s="9">
        <f>IF(C431="","","UM"&amp;TEXT(ROW()-1,"00000"))</f>
        <v/>
      </c>
      <c r="B431" s="9" t="n"/>
      <c r="C431" s="9" t="n"/>
      <c r="D431" s="9" t="n"/>
      <c r="E431" s="9" t="n"/>
      <c r="F431" s="9">
        <f>IF(E431="","",DATEDIF(E431,DATE(2026,12,31),"Y"))</f>
        <v/>
      </c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4.25" customHeight="1" s="37">
      <c r="A432" s="9">
        <f>IF(C432="","","UM"&amp;TEXT(ROW()-1,"00000"))</f>
        <v/>
      </c>
      <c r="B432" s="9" t="n"/>
      <c r="C432" s="9" t="n"/>
      <c r="D432" s="9" t="n"/>
      <c r="E432" s="9" t="n"/>
      <c r="F432" s="9">
        <f>IF(E432="","",DATEDIF(E432,DATE(2026,12,31),"Y"))</f>
        <v/>
      </c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4.25" customHeight="1" s="37">
      <c r="A433" s="9">
        <f>IF(C433="","","UM"&amp;TEXT(ROW()-1,"00000"))</f>
        <v/>
      </c>
      <c r="B433" s="9" t="n"/>
      <c r="C433" s="9" t="n"/>
      <c r="D433" s="9" t="n"/>
      <c r="E433" s="9" t="n"/>
      <c r="F433" s="9">
        <f>IF(E433="","",DATEDIF(E433,DATE(2026,12,31),"Y"))</f>
        <v/>
      </c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4.25" customHeight="1" s="37">
      <c r="A434" s="9">
        <f>IF(C434="","","UM"&amp;TEXT(ROW()-1,"00000"))</f>
        <v/>
      </c>
      <c r="B434" s="9" t="n"/>
      <c r="C434" s="9" t="n"/>
      <c r="D434" s="9" t="n"/>
      <c r="E434" s="9" t="n"/>
      <c r="F434" s="9">
        <f>IF(E434="","",DATEDIF(E434,DATE(2026,12,31),"Y"))</f>
        <v/>
      </c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4.25" customHeight="1" s="37">
      <c r="A435" s="9">
        <f>IF(C435="","","UM"&amp;TEXT(ROW()-1,"00000"))</f>
        <v/>
      </c>
      <c r="B435" s="9" t="n"/>
      <c r="C435" s="9" t="n"/>
      <c r="D435" s="9" t="n"/>
      <c r="E435" s="9" t="n"/>
      <c r="F435" s="9">
        <f>IF(E435="","",DATEDIF(E435,DATE(2026,12,31),"Y"))</f>
        <v/>
      </c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4.25" customHeight="1" s="37">
      <c r="A436" s="9">
        <f>IF(C436="","","UM"&amp;TEXT(ROW()-1,"00000"))</f>
        <v/>
      </c>
      <c r="B436" s="9" t="n"/>
      <c r="C436" s="9" t="n"/>
      <c r="D436" s="9" t="n"/>
      <c r="E436" s="9" t="n"/>
      <c r="F436" s="9">
        <f>IF(E436="","",DATEDIF(E436,DATE(2026,12,31),"Y"))</f>
        <v/>
      </c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4.25" customHeight="1" s="37">
      <c r="A437" s="9">
        <f>IF(C437="","","UM"&amp;TEXT(ROW()-1,"00000"))</f>
        <v/>
      </c>
      <c r="B437" s="9" t="n"/>
      <c r="C437" s="9" t="n"/>
      <c r="D437" s="9" t="n"/>
      <c r="E437" s="9" t="n"/>
      <c r="F437" s="9">
        <f>IF(E437="","",DATEDIF(E437,DATE(2026,12,31),"Y"))</f>
        <v/>
      </c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4.25" customHeight="1" s="37">
      <c r="A438" s="9">
        <f>IF(C438="","","UM"&amp;TEXT(ROW()-1,"00000"))</f>
        <v/>
      </c>
      <c r="B438" s="9" t="n"/>
      <c r="C438" s="9" t="n"/>
      <c r="D438" s="9" t="n"/>
      <c r="E438" s="9" t="n"/>
      <c r="F438" s="9">
        <f>IF(E438="","",DATEDIF(E438,DATE(2026,12,31),"Y"))</f>
        <v/>
      </c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4.25" customHeight="1" s="37">
      <c r="A439" s="9">
        <f>IF(C439="","","UM"&amp;TEXT(ROW()-1,"00000"))</f>
        <v/>
      </c>
      <c r="B439" s="9" t="n"/>
      <c r="C439" s="9" t="n"/>
      <c r="D439" s="9" t="n"/>
      <c r="E439" s="9" t="n"/>
      <c r="F439" s="9">
        <f>IF(E439="","",DATEDIF(E439,DATE(2026,12,31),"Y"))</f>
        <v/>
      </c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4.25" customHeight="1" s="37">
      <c r="A440" s="9">
        <f>IF(C440="","","UM"&amp;TEXT(ROW()-1,"00000"))</f>
        <v/>
      </c>
      <c r="B440" s="9" t="n"/>
      <c r="C440" s="9" t="n"/>
      <c r="D440" s="9" t="n"/>
      <c r="E440" s="9" t="n"/>
      <c r="F440" s="9">
        <f>IF(E440="","",DATEDIF(E440,DATE(2026,12,31),"Y"))</f>
        <v/>
      </c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4.25" customHeight="1" s="37">
      <c r="A441" s="9">
        <f>IF(C441="","","UM"&amp;TEXT(ROW()-1,"00000"))</f>
        <v/>
      </c>
      <c r="B441" s="9" t="n"/>
      <c r="C441" s="9" t="n"/>
      <c r="D441" s="9" t="n"/>
      <c r="E441" s="9" t="n"/>
      <c r="F441" s="9">
        <f>IF(E441="","",DATEDIF(E441,DATE(2026,12,31),"Y"))</f>
        <v/>
      </c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4.25" customHeight="1" s="37">
      <c r="A442" s="9">
        <f>IF(C442="","","UM"&amp;TEXT(ROW()-1,"00000"))</f>
        <v/>
      </c>
      <c r="B442" s="9" t="n"/>
      <c r="C442" s="9" t="n"/>
      <c r="D442" s="9" t="n"/>
      <c r="E442" s="9" t="n"/>
      <c r="F442" s="9">
        <f>IF(E442="","",DATEDIF(E442,DATE(2026,12,31),"Y"))</f>
        <v/>
      </c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4.25" customHeight="1" s="37">
      <c r="A443" s="9">
        <f>IF(C443="","","UM"&amp;TEXT(ROW()-1,"00000"))</f>
        <v/>
      </c>
      <c r="B443" s="9" t="n"/>
      <c r="C443" s="9" t="n"/>
      <c r="D443" s="9" t="n"/>
      <c r="E443" s="9" t="n"/>
      <c r="F443" s="9">
        <f>IF(E443="","",DATEDIF(E443,DATE(2026,12,31),"Y"))</f>
        <v/>
      </c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4.25" customHeight="1" s="37">
      <c r="A444" s="9">
        <f>IF(C444="","","UM"&amp;TEXT(ROW()-1,"00000"))</f>
        <v/>
      </c>
      <c r="B444" s="9" t="n"/>
      <c r="C444" s="9" t="n"/>
      <c r="D444" s="9" t="n"/>
      <c r="E444" s="9" t="n"/>
      <c r="F444" s="9">
        <f>IF(E444="","",DATEDIF(E444,DATE(2026,12,31),"Y"))</f>
        <v/>
      </c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4.25" customHeight="1" s="37">
      <c r="A445" s="9">
        <f>IF(C445="","","UM"&amp;TEXT(ROW()-1,"00000"))</f>
        <v/>
      </c>
      <c r="B445" s="9" t="n"/>
      <c r="C445" s="9" t="n"/>
      <c r="D445" s="9" t="n"/>
      <c r="E445" s="9" t="n"/>
      <c r="F445" s="9">
        <f>IF(E445="","",DATEDIF(E445,DATE(2026,12,31),"Y"))</f>
        <v/>
      </c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4.25" customHeight="1" s="37">
      <c r="A446" s="9">
        <f>IF(C446="","","UM"&amp;TEXT(ROW()-1,"00000"))</f>
        <v/>
      </c>
      <c r="B446" s="9" t="n"/>
      <c r="C446" s="9" t="n"/>
      <c r="D446" s="9" t="n"/>
      <c r="E446" s="9" t="n"/>
      <c r="F446" s="9">
        <f>IF(E446="","",DATEDIF(E446,DATE(2026,12,31),"Y"))</f>
        <v/>
      </c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4.25" customHeight="1" s="37">
      <c r="A447" s="9">
        <f>IF(C447="","","UM"&amp;TEXT(ROW()-1,"00000"))</f>
        <v/>
      </c>
      <c r="B447" s="9" t="n"/>
      <c r="C447" s="9" t="n"/>
      <c r="D447" s="9" t="n"/>
      <c r="E447" s="9" t="n"/>
      <c r="F447" s="9">
        <f>IF(E447="","",DATEDIF(E447,DATE(2026,12,31),"Y"))</f>
        <v/>
      </c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4.25" customHeight="1" s="37">
      <c r="A448" s="9">
        <f>IF(C448="","","UM"&amp;TEXT(ROW()-1,"00000"))</f>
        <v/>
      </c>
      <c r="B448" s="9" t="n"/>
      <c r="C448" s="9" t="n"/>
      <c r="D448" s="9" t="n"/>
      <c r="E448" s="9" t="n"/>
      <c r="F448" s="9">
        <f>IF(E448="","",DATEDIF(E448,DATE(2026,12,31),"Y"))</f>
        <v/>
      </c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4.25" customHeight="1" s="37">
      <c r="A449" s="9">
        <f>IF(C449="","","UM"&amp;TEXT(ROW()-1,"00000"))</f>
        <v/>
      </c>
      <c r="B449" s="9" t="n"/>
      <c r="C449" s="9" t="n"/>
      <c r="D449" s="9" t="n"/>
      <c r="E449" s="9" t="n"/>
      <c r="F449" s="9">
        <f>IF(E449="","",DATEDIF(E449,DATE(2026,12,31),"Y"))</f>
        <v/>
      </c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4.25" customHeight="1" s="37">
      <c r="A450" s="9">
        <f>IF(C450="","","UM"&amp;TEXT(ROW()-1,"00000"))</f>
        <v/>
      </c>
      <c r="B450" s="9" t="n"/>
      <c r="C450" s="9" t="n"/>
      <c r="D450" s="9" t="n"/>
      <c r="E450" s="9" t="n"/>
      <c r="F450" s="9">
        <f>IF(E450="","",DATEDIF(E450,DATE(2026,12,31),"Y"))</f>
        <v/>
      </c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4.25" customHeight="1" s="37">
      <c r="A451" s="9">
        <f>IF(C451="","","UM"&amp;TEXT(ROW()-1,"00000"))</f>
        <v/>
      </c>
      <c r="B451" s="9" t="n"/>
      <c r="C451" s="9" t="n"/>
      <c r="D451" s="9" t="n"/>
      <c r="E451" s="9" t="n"/>
      <c r="F451" s="9">
        <f>IF(E451="","",DATEDIF(E451,DATE(2026,12,31),"Y"))</f>
        <v/>
      </c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4.25" customHeight="1" s="37">
      <c r="A452" s="9">
        <f>IF(C452="","","UM"&amp;TEXT(ROW()-1,"00000"))</f>
        <v/>
      </c>
      <c r="B452" s="9" t="n"/>
      <c r="C452" s="9" t="n"/>
      <c r="D452" s="9" t="n"/>
      <c r="E452" s="9" t="n"/>
      <c r="F452" s="9">
        <f>IF(E452="","",DATEDIF(E452,DATE(2026,12,31),"Y"))</f>
        <v/>
      </c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4.25" customHeight="1" s="37">
      <c r="A453" s="9">
        <f>IF(C453="","","UM"&amp;TEXT(ROW()-1,"00000"))</f>
        <v/>
      </c>
      <c r="B453" s="9" t="n"/>
      <c r="C453" s="9" t="n"/>
      <c r="D453" s="9" t="n"/>
      <c r="E453" s="9" t="n"/>
      <c r="F453" s="9">
        <f>IF(E453="","",DATEDIF(E453,DATE(2026,12,31),"Y"))</f>
        <v/>
      </c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4.25" customHeight="1" s="37">
      <c r="A454" s="9">
        <f>IF(C454="","","UM"&amp;TEXT(ROW()-1,"00000"))</f>
        <v/>
      </c>
      <c r="B454" s="9" t="n"/>
      <c r="C454" s="9" t="n"/>
      <c r="D454" s="9" t="n"/>
      <c r="E454" s="9" t="n"/>
      <c r="F454" s="9">
        <f>IF(E454="","",DATEDIF(E454,DATE(2026,12,31),"Y"))</f>
        <v/>
      </c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4.25" customHeight="1" s="37">
      <c r="A455" s="9">
        <f>IF(C455="","","UM"&amp;TEXT(ROW()-1,"00000"))</f>
        <v/>
      </c>
      <c r="B455" s="9" t="n"/>
      <c r="C455" s="9" t="n"/>
      <c r="D455" s="9" t="n"/>
      <c r="E455" s="9" t="n"/>
      <c r="F455" s="9">
        <f>IF(E455="","",DATEDIF(E455,DATE(2026,12,31),"Y"))</f>
        <v/>
      </c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4.25" customHeight="1" s="37">
      <c r="A456" s="9">
        <f>IF(C456="","","UM"&amp;TEXT(ROW()-1,"00000"))</f>
        <v/>
      </c>
      <c r="B456" s="9" t="n"/>
      <c r="C456" s="9" t="n"/>
      <c r="D456" s="9" t="n"/>
      <c r="E456" s="9" t="n"/>
      <c r="F456" s="9">
        <f>IF(E456="","",DATEDIF(E456,DATE(2026,12,31),"Y"))</f>
        <v/>
      </c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4.25" customHeight="1" s="37">
      <c r="A457" s="9">
        <f>IF(C457="","","UM"&amp;TEXT(ROW()-1,"00000"))</f>
        <v/>
      </c>
      <c r="B457" s="9" t="n"/>
      <c r="C457" s="9" t="n"/>
      <c r="D457" s="9" t="n"/>
      <c r="E457" s="9" t="n"/>
      <c r="F457" s="9">
        <f>IF(E457="","",DATEDIF(E457,DATE(2026,12,31),"Y"))</f>
        <v/>
      </c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4.25" customHeight="1" s="37">
      <c r="A458" s="9">
        <f>IF(C458="","","UM"&amp;TEXT(ROW()-1,"00000"))</f>
        <v/>
      </c>
      <c r="B458" s="9" t="n"/>
      <c r="C458" s="9" t="n"/>
      <c r="D458" s="9" t="n"/>
      <c r="E458" s="9" t="n"/>
      <c r="F458" s="9">
        <f>IF(E458="","",DATEDIF(E458,DATE(2026,12,31),"Y"))</f>
        <v/>
      </c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4.25" customHeight="1" s="37">
      <c r="A459" s="9">
        <f>IF(C459="","","UM"&amp;TEXT(ROW()-1,"00000"))</f>
        <v/>
      </c>
      <c r="B459" s="9" t="n"/>
      <c r="C459" s="9" t="n"/>
      <c r="D459" s="9" t="n"/>
      <c r="E459" s="9" t="n"/>
      <c r="F459" s="9">
        <f>IF(E459="","",DATEDIF(E459,DATE(2026,12,31),"Y"))</f>
        <v/>
      </c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4.25" customHeight="1" s="37">
      <c r="A460" s="9">
        <f>IF(C460="","","UM"&amp;TEXT(ROW()-1,"00000"))</f>
        <v/>
      </c>
      <c r="B460" s="9" t="n"/>
      <c r="C460" s="9" t="n"/>
      <c r="D460" s="9" t="n"/>
      <c r="E460" s="9" t="n"/>
      <c r="F460" s="9">
        <f>IF(E460="","",DATEDIF(E460,DATE(2026,12,31),"Y"))</f>
        <v/>
      </c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4.25" customHeight="1" s="37">
      <c r="A461" s="9">
        <f>IF(C461="","","UM"&amp;TEXT(ROW()-1,"00000"))</f>
        <v/>
      </c>
      <c r="B461" s="9" t="n"/>
      <c r="C461" s="9" t="n"/>
      <c r="D461" s="9" t="n"/>
      <c r="E461" s="9" t="n"/>
      <c r="F461" s="9">
        <f>IF(E461="","",DATEDIF(E461,DATE(2026,12,31),"Y"))</f>
        <v/>
      </c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4.25" customHeight="1" s="37">
      <c r="A462" s="9">
        <f>IF(C462="","","UM"&amp;TEXT(ROW()-1,"00000"))</f>
        <v/>
      </c>
      <c r="B462" s="9" t="n"/>
      <c r="C462" s="9" t="n"/>
      <c r="D462" s="9" t="n"/>
      <c r="E462" s="9" t="n"/>
      <c r="F462" s="9">
        <f>IF(E462="","",DATEDIF(E462,DATE(2026,12,31),"Y"))</f>
        <v/>
      </c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4.25" customHeight="1" s="37">
      <c r="A463" s="9">
        <f>IF(C463="","","UM"&amp;TEXT(ROW()-1,"00000"))</f>
        <v/>
      </c>
      <c r="B463" s="9" t="n"/>
      <c r="C463" s="9" t="n"/>
      <c r="D463" s="9" t="n"/>
      <c r="E463" s="9" t="n"/>
      <c r="F463" s="9">
        <f>IF(E463="","",DATEDIF(E463,DATE(2026,12,31),"Y"))</f>
        <v/>
      </c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4.25" customHeight="1" s="37">
      <c r="A464" s="9">
        <f>IF(C464="","","UM"&amp;TEXT(ROW()-1,"00000"))</f>
        <v/>
      </c>
      <c r="B464" s="9" t="n"/>
      <c r="C464" s="9" t="n"/>
      <c r="D464" s="9" t="n"/>
      <c r="E464" s="9" t="n"/>
      <c r="F464" s="9">
        <f>IF(E464="","",DATEDIF(E464,DATE(2026,12,31),"Y"))</f>
        <v/>
      </c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4.25" customHeight="1" s="37">
      <c r="A465" s="9">
        <f>IF(C465="","","UM"&amp;TEXT(ROW()-1,"00000"))</f>
        <v/>
      </c>
      <c r="B465" s="9" t="n"/>
      <c r="C465" s="9" t="n"/>
      <c r="D465" s="9" t="n"/>
      <c r="E465" s="9" t="n"/>
      <c r="F465" s="9">
        <f>IF(E465="","",DATEDIF(E465,DATE(2026,12,31),"Y"))</f>
        <v/>
      </c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4.25" customHeight="1" s="37">
      <c r="A466" s="9">
        <f>IF(C466="","","UM"&amp;TEXT(ROW()-1,"00000"))</f>
        <v/>
      </c>
      <c r="B466" s="9" t="n"/>
      <c r="C466" s="9" t="n"/>
      <c r="D466" s="9" t="n"/>
      <c r="E466" s="9" t="n"/>
      <c r="F466" s="9">
        <f>IF(E466="","",DATEDIF(E466,DATE(2026,12,31),"Y"))</f>
        <v/>
      </c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4.25" customHeight="1" s="37">
      <c r="A467" s="9">
        <f>IF(C467="","","UM"&amp;TEXT(ROW()-1,"00000"))</f>
        <v/>
      </c>
      <c r="B467" s="9" t="n"/>
      <c r="C467" s="9" t="n"/>
      <c r="D467" s="9" t="n"/>
      <c r="E467" s="9" t="n"/>
      <c r="F467" s="9">
        <f>IF(E467="","",DATEDIF(E467,DATE(2026,12,31),"Y"))</f>
        <v/>
      </c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4.25" customHeight="1" s="37">
      <c r="A468" s="9">
        <f>IF(C468="","","UM"&amp;TEXT(ROW()-1,"00000"))</f>
        <v/>
      </c>
      <c r="B468" s="9" t="n"/>
      <c r="C468" s="9" t="n"/>
      <c r="D468" s="9" t="n"/>
      <c r="E468" s="9" t="n"/>
      <c r="F468" s="9">
        <f>IF(E468="","",DATEDIF(E468,DATE(2026,12,31),"Y"))</f>
        <v/>
      </c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4.25" customHeight="1" s="37">
      <c r="A469" s="9">
        <f>IF(C469="","","UM"&amp;TEXT(ROW()-1,"00000"))</f>
        <v/>
      </c>
      <c r="B469" s="9" t="n"/>
      <c r="C469" s="9" t="n"/>
      <c r="D469" s="9" t="n"/>
      <c r="E469" s="9" t="n"/>
      <c r="F469" s="9">
        <f>IF(E469="","",DATEDIF(E469,DATE(2026,12,31),"Y"))</f>
        <v/>
      </c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4.25" customHeight="1" s="37">
      <c r="A470" s="9">
        <f>IF(C470="","","UM"&amp;TEXT(ROW()-1,"00000"))</f>
        <v/>
      </c>
      <c r="B470" s="9" t="n"/>
      <c r="C470" s="9" t="n"/>
      <c r="D470" s="9" t="n"/>
      <c r="E470" s="9" t="n"/>
      <c r="F470" s="9">
        <f>IF(E470="","",DATEDIF(E470,DATE(2026,12,31),"Y"))</f>
        <v/>
      </c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4.25" customHeight="1" s="37">
      <c r="A471" s="9">
        <f>IF(C471="","","UM"&amp;TEXT(ROW()-1,"00000"))</f>
        <v/>
      </c>
      <c r="B471" s="9" t="n"/>
      <c r="C471" s="9" t="n"/>
      <c r="D471" s="9" t="n"/>
      <c r="E471" s="9" t="n"/>
      <c r="F471" s="9">
        <f>IF(E471="","",DATEDIF(E471,DATE(2026,12,31),"Y"))</f>
        <v/>
      </c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4.25" customHeight="1" s="37">
      <c r="A472" s="9">
        <f>IF(C472="","","UM"&amp;TEXT(ROW()-1,"00000"))</f>
        <v/>
      </c>
      <c r="B472" s="9" t="n"/>
      <c r="C472" s="9" t="n"/>
      <c r="D472" s="9" t="n"/>
      <c r="E472" s="9" t="n"/>
      <c r="F472" s="9">
        <f>IF(E472="","",DATEDIF(E472,DATE(2026,12,31),"Y"))</f>
        <v/>
      </c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4.25" customHeight="1" s="37">
      <c r="A473" s="9">
        <f>IF(C473="","","UM"&amp;TEXT(ROW()-1,"00000"))</f>
        <v/>
      </c>
      <c r="B473" s="9" t="n"/>
      <c r="C473" s="9" t="n"/>
      <c r="D473" s="9" t="n"/>
      <c r="E473" s="9" t="n"/>
      <c r="F473" s="9">
        <f>IF(E473="","",DATEDIF(E473,DATE(2026,12,31),"Y"))</f>
        <v/>
      </c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4.25" customHeight="1" s="37">
      <c r="A474" s="9">
        <f>IF(C474="","","UM"&amp;TEXT(ROW()-1,"00000"))</f>
        <v/>
      </c>
      <c r="B474" s="9" t="n"/>
      <c r="C474" s="9" t="n"/>
      <c r="D474" s="9" t="n"/>
      <c r="E474" s="9" t="n"/>
      <c r="F474" s="9">
        <f>IF(E474="","",DATEDIF(E474,DATE(2026,12,31),"Y"))</f>
        <v/>
      </c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4.25" customHeight="1" s="37">
      <c r="A475" s="9">
        <f>IF(C475="","","UM"&amp;TEXT(ROW()-1,"00000"))</f>
        <v/>
      </c>
      <c r="B475" s="9" t="n"/>
      <c r="C475" s="9" t="n"/>
      <c r="D475" s="9" t="n"/>
      <c r="E475" s="9" t="n"/>
      <c r="F475" s="9">
        <f>IF(E475="","",DATEDIF(E475,DATE(2026,12,31),"Y"))</f>
        <v/>
      </c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4.25" customHeight="1" s="37">
      <c r="A476" s="9">
        <f>IF(C476="","","UM"&amp;TEXT(ROW()-1,"00000"))</f>
        <v/>
      </c>
      <c r="B476" s="9" t="n"/>
      <c r="C476" s="9" t="n"/>
      <c r="D476" s="9" t="n"/>
      <c r="E476" s="9" t="n"/>
      <c r="F476" s="9">
        <f>IF(E476="","",DATEDIF(E476,DATE(2026,12,31),"Y"))</f>
        <v/>
      </c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4.25" customHeight="1" s="37">
      <c r="A477" s="9">
        <f>IF(C477="","","UM"&amp;TEXT(ROW()-1,"00000"))</f>
        <v/>
      </c>
      <c r="B477" s="9" t="n"/>
      <c r="C477" s="9" t="n"/>
      <c r="D477" s="9" t="n"/>
      <c r="E477" s="9" t="n"/>
      <c r="F477" s="9">
        <f>IF(E477="","",DATEDIF(E477,DATE(2026,12,31),"Y"))</f>
        <v/>
      </c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4.25" customHeight="1" s="37">
      <c r="A478" s="9">
        <f>IF(C478="","","UM"&amp;TEXT(ROW()-1,"00000"))</f>
        <v/>
      </c>
      <c r="B478" s="9" t="n"/>
      <c r="C478" s="9" t="n"/>
      <c r="D478" s="9" t="n"/>
      <c r="E478" s="9" t="n"/>
      <c r="F478" s="9">
        <f>IF(E478="","",DATEDIF(E478,DATE(2026,12,31),"Y"))</f>
        <v/>
      </c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4.25" customHeight="1" s="37">
      <c r="A479" s="9">
        <f>IF(C479="","","UM"&amp;TEXT(ROW()-1,"00000"))</f>
        <v/>
      </c>
      <c r="B479" s="9" t="n"/>
      <c r="C479" s="9" t="n"/>
      <c r="D479" s="9" t="n"/>
      <c r="E479" s="9" t="n"/>
      <c r="F479" s="9">
        <f>IF(E479="","",DATEDIF(E479,DATE(2026,12,31),"Y"))</f>
        <v/>
      </c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4.25" customHeight="1" s="37">
      <c r="A480" s="9">
        <f>IF(C480="","","UM"&amp;TEXT(ROW()-1,"00000"))</f>
        <v/>
      </c>
      <c r="B480" s="9" t="n"/>
      <c r="C480" s="9" t="n"/>
      <c r="D480" s="9" t="n"/>
      <c r="E480" s="9" t="n"/>
      <c r="F480" s="9">
        <f>IF(E480="","",DATEDIF(E480,DATE(2026,12,31),"Y"))</f>
        <v/>
      </c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4.25" customHeight="1" s="37">
      <c r="A481" s="9">
        <f>IF(C481="","","UM"&amp;TEXT(ROW()-1,"00000"))</f>
        <v/>
      </c>
      <c r="B481" s="9" t="n"/>
      <c r="C481" s="9" t="n"/>
      <c r="D481" s="9" t="n"/>
      <c r="E481" s="9" t="n"/>
      <c r="F481" s="9">
        <f>IF(E481="","",DATEDIF(E481,DATE(2026,12,31),"Y"))</f>
        <v/>
      </c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4.25" customHeight="1" s="37">
      <c r="A482" s="9">
        <f>IF(C482="","","UM"&amp;TEXT(ROW()-1,"00000"))</f>
        <v/>
      </c>
      <c r="B482" s="9" t="n"/>
      <c r="C482" s="9" t="n"/>
      <c r="D482" s="9" t="n"/>
      <c r="E482" s="9" t="n"/>
      <c r="F482" s="9">
        <f>IF(E482="","",DATEDIF(E482,DATE(2026,12,31),"Y"))</f>
        <v/>
      </c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4.25" customHeight="1" s="37">
      <c r="A483" s="9">
        <f>IF(C483="","","UM"&amp;TEXT(ROW()-1,"00000"))</f>
        <v/>
      </c>
      <c r="B483" s="9" t="n"/>
      <c r="C483" s="9" t="n"/>
      <c r="D483" s="9" t="n"/>
      <c r="E483" s="9" t="n"/>
      <c r="F483" s="9">
        <f>IF(E483="","",DATEDIF(E483,DATE(2026,12,31),"Y"))</f>
        <v/>
      </c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4.25" customHeight="1" s="37">
      <c r="A484" s="9">
        <f>IF(C484="","","UM"&amp;TEXT(ROW()-1,"00000"))</f>
        <v/>
      </c>
      <c r="B484" s="9" t="n"/>
      <c r="C484" s="9" t="n"/>
      <c r="D484" s="9" t="n"/>
      <c r="E484" s="9" t="n"/>
      <c r="F484" s="9">
        <f>IF(E484="","",DATEDIF(E484,DATE(2026,12,31),"Y"))</f>
        <v/>
      </c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4.25" customHeight="1" s="37">
      <c r="A485" s="9">
        <f>IF(C485="","","UM"&amp;TEXT(ROW()-1,"00000"))</f>
        <v/>
      </c>
      <c r="B485" s="9" t="n"/>
      <c r="C485" s="9" t="n"/>
      <c r="D485" s="9" t="n"/>
      <c r="E485" s="9" t="n"/>
      <c r="F485" s="9">
        <f>IF(E485="","",DATEDIF(E485,DATE(2026,12,31),"Y"))</f>
        <v/>
      </c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4.25" customHeight="1" s="37">
      <c r="A486" s="9">
        <f>IF(C486="","","UM"&amp;TEXT(ROW()-1,"00000"))</f>
        <v/>
      </c>
      <c r="B486" s="9" t="n"/>
      <c r="C486" s="9" t="n"/>
      <c r="D486" s="9" t="n"/>
      <c r="E486" s="9" t="n"/>
      <c r="F486" s="9">
        <f>IF(E486="","",DATEDIF(E486,DATE(2026,12,31),"Y"))</f>
        <v/>
      </c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4.25" customHeight="1" s="37">
      <c r="A487" s="9">
        <f>IF(C487="","","UM"&amp;TEXT(ROW()-1,"00000"))</f>
        <v/>
      </c>
      <c r="B487" s="9" t="n"/>
      <c r="C487" s="9" t="n"/>
      <c r="D487" s="9" t="n"/>
      <c r="E487" s="9" t="n"/>
      <c r="F487" s="9">
        <f>IF(E487="","",DATEDIF(E487,DATE(2026,12,31),"Y"))</f>
        <v/>
      </c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4.25" customHeight="1" s="37">
      <c r="A488" s="9">
        <f>IF(C488="","","UM"&amp;TEXT(ROW()-1,"00000"))</f>
        <v/>
      </c>
      <c r="B488" s="9" t="n"/>
      <c r="C488" s="9" t="n"/>
      <c r="D488" s="9" t="n"/>
      <c r="E488" s="9" t="n"/>
      <c r="F488" s="9">
        <f>IF(E488="","",DATEDIF(E488,DATE(2026,12,31),"Y"))</f>
        <v/>
      </c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4.25" customHeight="1" s="37">
      <c r="A489" s="9">
        <f>IF(C489="","","UM"&amp;TEXT(ROW()-1,"00000"))</f>
        <v/>
      </c>
      <c r="B489" s="9" t="n"/>
      <c r="C489" s="9" t="n"/>
      <c r="D489" s="9" t="n"/>
      <c r="E489" s="9" t="n"/>
      <c r="F489" s="9">
        <f>IF(E489="","",DATEDIF(E489,DATE(2026,12,31),"Y"))</f>
        <v/>
      </c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4.25" customHeight="1" s="37">
      <c r="A490" s="9">
        <f>IF(C490="","","UM"&amp;TEXT(ROW()-1,"00000"))</f>
        <v/>
      </c>
      <c r="B490" s="9" t="n"/>
      <c r="C490" s="9" t="n"/>
      <c r="D490" s="9" t="n"/>
      <c r="E490" s="9" t="n"/>
      <c r="F490" s="9">
        <f>IF(E490="","",DATEDIF(E490,DATE(2026,12,31),"Y"))</f>
        <v/>
      </c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4.25" customHeight="1" s="37">
      <c r="A491" s="9">
        <f>IF(C491="","","UM"&amp;TEXT(ROW()-1,"00000"))</f>
        <v/>
      </c>
      <c r="B491" s="9" t="n"/>
      <c r="C491" s="9" t="n"/>
      <c r="D491" s="9" t="n"/>
      <c r="E491" s="9" t="n"/>
      <c r="F491" s="9">
        <f>IF(E491="","",DATEDIF(E491,DATE(2026,12,31),"Y"))</f>
        <v/>
      </c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4.25" customHeight="1" s="37">
      <c r="A492" s="9">
        <f>IF(C492="","","UM"&amp;TEXT(ROW()-1,"00000"))</f>
        <v/>
      </c>
      <c r="B492" s="9" t="n"/>
      <c r="C492" s="9" t="n"/>
      <c r="D492" s="9" t="n"/>
      <c r="E492" s="9" t="n"/>
      <c r="F492" s="9">
        <f>IF(E492="","",DATEDIF(E492,DATE(2026,12,31),"Y"))</f>
        <v/>
      </c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4.25" customHeight="1" s="37">
      <c r="A493" s="9">
        <f>IF(C493="","","UM"&amp;TEXT(ROW()-1,"00000"))</f>
        <v/>
      </c>
      <c r="B493" s="9" t="n"/>
      <c r="C493" s="9" t="n"/>
      <c r="D493" s="9" t="n"/>
      <c r="E493" s="9" t="n"/>
      <c r="F493" s="9">
        <f>IF(E493="","",DATEDIF(E493,DATE(2026,12,31),"Y"))</f>
        <v/>
      </c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4.25" customHeight="1" s="37">
      <c r="A494" s="9">
        <f>IF(C494="","","UM"&amp;TEXT(ROW()-1,"00000"))</f>
        <v/>
      </c>
      <c r="B494" s="9" t="n"/>
      <c r="C494" s="9" t="n"/>
      <c r="D494" s="9" t="n"/>
      <c r="E494" s="9" t="n"/>
      <c r="F494" s="9">
        <f>IF(E494="","",DATEDIF(E494,DATE(2026,12,31),"Y"))</f>
        <v/>
      </c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4.25" customHeight="1" s="37">
      <c r="A495" s="9">
        <f>IF(C495="","","UM"&amp;TEXT(ROW()-1,"00000"))</f>
        <v/>
      </c>
      <c r="B495" s="9" t="n"/>
      <c r="C495" s="9" t="n"/>
      <c r="D495" s="9" t="n"/>
      <c r="E495" s="9" t="n"/>
      <c r="F495" s="9">
        <f>IF(E495="","",DATEDIF(E495,DATE(2026,12,31),"Y"))</f>
        <v/>
      </c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4.25" customHeight="1" s="37">
      <c r="A496" s="9">
        <f>IF(C496="","","UM"&amp;TEXT(ROW()-1,"00000"))</f>
        <v/>
      </c>
      <c r="B496" s="9" t="n"/>
      <c r="C496" s="9" t="n"/>
      <c r="D496" s="9" t="n"/>
      <c r="E496" s="9" t="n"/>
      <c r="F496" s="9">
        <f>IF(E496="","",DATEDIF(E496,DATE(2026,12,31),"Y"))</f>
        <v/>
      </c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4.25" customHeight="1" s="37">
      <c r="A497" s="9">
        <f>IF(C497="","","UM"&amp;TEXT(ROW()-1,"00000"))</f>
        <v/>
      </c>
      <c r="B497" s="9" t="n"/>
      <c r="C497" s="9" t="n"/>
      <c r="D497" s="9" t="n"/>
      <c r="E497" s="9" t="n"/>
      <c r="F497" s="9">
        <f>IF(E497="","",DATEDIF(E497,DATE(2026,12,31),"Y"))</f>
        <v/>
      </c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4.25" customHeight="1" s="37">
      <c r="A498" s="9">
        <f>IF(C498="","","UM"&amp;TEXT(ROW()-1,"00000"))</f>
        <v/>
      </c>
      <c r="B498" s="9" t="n"/>
      <c r="C498" s="9" t="n"/>
      <c r="D498" s="9" t="n"/>
      <c r="E498" s="9" t="n"/>
      <c r="F498" s="9">
        <f>IF(E498="","",DATEDIF(E498,DATE(2026,12,31),"Y"))</f>
        <v/>
      </c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4.25" customHeight="1" s="37">
      <c r="A499" s="9">
        <f>IF(C499="","","UM"&amp;TEXT(ROW()-1,"00000"))</f>
        <v/>
      </c>
      <c r="B499" s="9" t="n"/>
      <c r="C499" s="9" t="n"/>
      <c r="D499" s="9" t="n"/>
      <c r="E499" s="9" t="n"/>
      <c r="F499" s="9">
        <f>IF(E499="","",DATEDIF(E499,DATE(2026,12,31),"Y"))</f>
        <v/>
      </c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4.25" customHeight="1" s="37">
      <c r="A500" s="9">
        <f>IF(C500="","","UM"&amp;TEXT(ROW()-1,"00000"))</f>
        <v/>
      </c>
      <c r="B500" s="9" t="n"/>
      <c r="C500" s="9" t="n"/>
      <c r="D500" s="9" t="n"/>
      <c r="E500" s="9" t="n"/>
      <c r="F500" s="9">
        <f>IF(E500="","",DATEDIF(E500,DATE(2026,12,31),"Y"))</f>
        <v/>
      </c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4.25" customHeight="1" s="37">
      <c r="A501" s="9">
        <f>IF(C501="","","UM"&amp;TEXT(ROW()-1,"00000"))</f>
        <v/>
      </c>
      <c r="B501" s="9" t="n"/>
      <c r="C501" s="9" t="n"/>
      <c r="D501" s="9" t="n"/>
      <c r="E501" s="9" t="n"/>
      <c r="F501" s="9">
        <f>IF(E501="","",DATEDIF(E501,DATE(2026,12,31),"Y"))</f>
        <v/>
      </c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4.25" customHeight="1" s="37">
      <c r="A502" s="9">
        <f>IF(C502="","","UM"&amp;TEXT(ROW()-1,"00000"))</f>
        <v/>
      </c>
      <c r="B502" s="9" t="n"/>
      <c r="C502" s="9" t="n"/>
      <c r="D502" s="9" t="n"/>
      <c r="E502" s="9" t="n"/>
      <c r="F502" s="9">
        <f>IF(E502="","",DATEDIF(E502,DATE(2026,12,31),"Y"))</f>
        <v/>
      </c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4.25" customHeight="1" s="37">
      <c r="A503" s="9">
        <f>IF(C503="","","UM"&amp;TEXT(ROW()-1,"00000"))</f>
        <v/>
      </c>
      <c r="B503" s="9" t="n"/>
      <c r="C503" s="9" t="n"/>
      <c r="D503" s="9" t="n"/>
      <c r="E503" s="9" t="n"/>
      <c r="F503" s="9">
        <f>IF(E503="","",DATEDIF(E503,DATE(2026,12,31),"Y"))</f>
        <v/>
      </c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4.25" customHeight="1" s="37">
      <c r="A504" s="9">
        <f>IF(C504="","","UM"&amp;TEXT(ROW()-1,"00000"))</f>
        <v/>
      </c>
      <c r="B504" s="9" t="n"/>
      <c r="C504" s="9" t="n"/>
      <c r="D504" s="9" t="n"/>
      <c r="E504" s="9" t="n"/>
      <c r="F504" s="9">
        <f>IF(E504="","",DATEDIF(E504,DATE(2026,12,31),"Y"))</f>
        <v/>
      </c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4.25" customHeight="1" s="37">
      <c r="A505" s="9">
        <f>IF(C505="","","UM"&amp;TEXT(ROW()-1,"00000"))</f>
        <v/>
      </c>
      <c r="B505" s="9" t="n"/>
      <c r="C505" s="9" t="n"/>
      <c r="D505" s="9" t="n"/>
      <c r="E505" s="9" t="n"/>
      <c r="F505" s="9">
        <f>IF(E505="","",DATEDIF(E505,DATE(2026,12,31),"Y"))</f>
        <v/>
      </c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4.25" customHeight="1" s="37">
      <c r="A506" s="9">
        <f>IF(C506="","","UM"&amp;TEXT(ROW()-1,"00000"))</f>
        <v/>
      </c>
      <c r="B506" s="9" t="n"/>
      <c r="C506" s="9" t="n"/>
      <c r="D506" s="9" t="n"/>
      <c r="E506" s="9" t="n"/>
      <c r="F506" s="9">
        <f>IF(E506="","",DATEDIF(E506,DATE(2026,12,31),"Y"))</f>
        <v/>
      </c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4.25" customHeight="1" s="37">
      <c r="A507" s="9">
        <f>IF(C507="","","UM"&amp;TEXT(ROW()-1,"00000"))</f>
        <v/>
      </c>
      <c r="B507" s="9" t="n"/>
      <c r="C507" s="9" t="n"/>
      <c r="D507" s="9" t="n"/>
      <c r="E507" s="9" t="n"/>
      <c r="F507" s="9">
        <f>IF(E507="","",DATEDIF(E507,DATE(2026,12,31),"Y"))</f>
        <v/>
      </c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4.25" customHeight="1" s="37">
      <c r="A508" s="9">
        <f>IF(C508="","","UM"&amp;TEXT(ROW()-1,"00000"))</f>
        <v/>
      </c>
      <c r="B508" s="9" t="n"/>
      <c r="C508" s="9" t="n"/>
      <c r="D508" s="9" t="n"/>
      <c r="E508" s="9" t="n"/>
      <c r="F508" s="9">
        <f>IF(E508="","",DATEDIF(E508,DATE(2026,12,31),"Y"))</f>
        <v/>
      </c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4.25" customHeight="1" s="37">
      <c r="A509" s="9">
        <f>IF(C509="","","UM"&amp;TEXT(ROW()-1,"00000"))</f>
        <v/>
      </c>
      <c r="B509" s="9" t="n"/>
      <c r="C509" s="9" t="n"/>
      <c r="D509" s="9" t="n"/>
      <c r="E509" s="9" t="n"/>
      <c r="F509" s="9">
        <f>IF(E509="","",DATEDIF(E509,DATE(2026,12,31),"Y"))</f>
        <v/>
      </c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4.25" customHeight="1" s="37">
      <c r="A510" s="9">
        <f>IF(C510="","","UM"&amp;TEXT(ROW()-1,"00000"))</f>
        <v/>
      </c>
      <c r="B510" s="9" t="n"/>
      <c r="C510" s="9" t="n"/>
      <c r="D510" s="9" t="n"/>
      <c r="E510" s="9" t="n"/>
      <c r="F510" s="9">
        <f>IF(E510="","",DATEDIF(E510,DATE(2026,12,31),"Y"))</f>
        <v/>
      </c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4.25" customHeight="1" s="37">
      <c r="A511" s="9">
        <f>IF(C511="","","UM"&amp;TEXT(ROW()-1,"00000"))</f>
        <v/>
      </c>
      <c r="B511" s="9" t="n"/>
      <c r="C511" s="9" t="n"/>
      <c r="D511" s="9" t="n"/>
      <c r="E511" s="9" t="n"/>
      <c r="F511" s="9">
        <f>IF(E511="","",DATEDIF(E511,DATE(2026,12,31),"Y"))</f>
        <v/>
      </c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4.25" customHeight="1" s="37">
      <c r="A512" s="9">
        <f>IF(C512="","","UM"&amp;TEXT(ROW()-1,"00000"))</f>
        <v/>
      </c>
      <c r="B512" s="9" t="n"/>
      <c r="C512" s="9" t="n"/>
      <c r="D512" s="9" t="n"/>
      <c r="E512" s="9" t="n"/>
      <c r="F512" s="9">
        <f>IF(E512="","",DATEDIF(E512,DATE(2026,12,31),"Y"))</f>
        <v/>
      </c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4.25" customHeight="1" s="37">
      <c r="A513" s="9">
        <f>IF(C513="","","UM"&amp;TEXT(ROW()-1,"00000"))</f>
        <v/>
      </c>
      <c r="B513" s="9" t="n"/>
      <c r="C513" s="9" t="n"/>
      <c r="D513" s="9" t="n"/>
      <c r="E513" s="9" t="n"/>
      <c r="F513" s="9">
        <f>IF(E513="","",DATEDIF(E513,DATE(2026,12,31),"Y"))</f>
        <v/>
      </c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4.25" customHeight="1" s="37">
      <c r="A514" s="9">
        <f>IF(C514="","","UM"&amp;TEXT(ROW()-1,"00000"))</f>
        <v/>
      </c>
      <c r="B514" s="9" t="n"/>
      <c r="C514" s="9" t="n"/>
      <c r="D514" s="9" t="n"/>
      <c r="E514" s="9" t="n"/>
      <c r="F514" s="9">
        <f>IF(E514="","",DATEDIF(E514,DATE(2026,12,31),"Y"))</f>
        <v/>
      </c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4.25" customHeight="1" s="37">
      <c r="A515" s="9">
        <f>IF(C515="","","UM"&amp;TEXT(ROW()-1,"00000"))</f>
        <v/>
      </c>
      <c r="B515" s="9" t="n"/>
      <c r="C515" s="9" t="n"/>
      <c r="D515" s="9" t="n"/>
      <c r="E515" s="9" t="n"/>
      <c r="F515" s="9">
        <f>IF(E515="","",DATEDIF(E515,DATE(2026,12,31),"Y"))</f>
        <v/>
      </c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4.25" customHeight="1" s="37">
      <c r="A516" s="9">
        <f>IF(C516="","","UM"&amp;TEXT(ROW()-1,"00000"))</f>
        <v/>
      </c>
      <c r="B516" s="9" t="n"/>
      <c r="C516" s="9" t="n"/>
      <c r="D516" s="9" t="n"/>
      <c r="E516" s="9" t="n"/>
      <c r="F516" s="9">
        <f>IF(E516="","",DATEDIF(E516,DATE(2026,12,31),"Y"))</f>
        <v/>
      </c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4.25" customHeight="1" s="37">
      <c r="A517" s="9">
        <f>IF(C517="","","UM"&amp;TEXT(ROW()-1,"00000"))</f>
        <v/>
      </c>
      <c r="B517" s="9" t="n"/>
      <c r="C517" s="9" t="n"/>
      <c r="D517" s="9" t="n"/>
      <c r="E517" s="9" t="n"/>
      <c r="F517" s="9">
        <f>IF(E517="","",DATEDIF(E517,DATE(2026,12,31),"Y"))</f>
        <v/>
      </c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4.25" customHeight="1" s="37">
      <c r="A518" s="9">
        <f>IF(C518="","","UM"&amp;TEXT(ROW()-1,"00000"))</f>
        <v/>
      </c>
      <c r="B518" s="9" t="n"/>
      <c r="C518" s="9" t="n"/>
      <c r="D518" s="9" t="n"/>
      <c r="E518" s="9" t="n"/>
      <c r="F518" s="9">
        <f>IF(E518="","",DATEDIF(E518,DATE(2026,12,31),"Y"))</f>
        <v/>
      </c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4.25" customHeight="1" s="37">
      <c r="A519" s="9">
        <f>IF(C519="","","UM"&amp;TEXT(ROW()-1,"00000"))</f>
        <v/>
      </c>
      <c r="B519" s="9" t="n"/>
      <c r="C519" s="9" t="n"/>
      <c r="D519" s="9" t="n"/>
      <c r="E519" s="9" t="n"/>
      <c r="F519" s="9">
        <f>IF(E519="","",DATEDIF(E519,DATE(2026,12,31),"Y"))</f>
        <v/>
      </c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4.25" customHeight="1" s="37">
      <c r="A520" s="9">
        <f>IF(C520="","","UM"&amp;TEXT(ROW()-1,"00000"))</f>
        <v/>
      </c>
      <c r="B520" s="9" t="n"/>
      <c r="C520" s="9" t="n"/>
      <c r="D520" s="9" t="n"/>
      <c r="E520" s="9" t="n"/>
      <c r="F520" s="9">
        <f>IF(E520="","",DATEDIF(E520,DATE(2026,12,31),"Y"))</f>
        <v/>
      </c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4.25" customHeight="1" s="37">
      <c r="A521" s="9">
        <f>IF(C521="","","UM"&amp;TEXT(ROW()-1,"00000"))</f>
        <v/>
      </c>
      <c r="B521" s="9" t="n"/>
      <c r="C521" s="9" t="n"/>
      <c r="D521" s="9" t="n"/>
      <c r="E521" s="9" t="n"/>
      <c r="F521" s="9">
        <f>IF(E521="","",DATEDIF(E521,DATE(2026,12,31),"Y"))</f>
        <v/>
      </c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4.25" customHeight="1" s="37">
      <c r="A522" s="9">
        <f>IF(C522="","","UM"&amp;TEXT(ROW()-1,"00000"))</f>
        <v/>
      </c>
      <c r="B522" s="9" t="n"/>
      <c r="C522" s="9" t="n"/>
      <c r="D522" s="9" t="n"/>
      <c r="E522" s="9" t="n"/>
      <c r="F522" s="9">
        <f>IF(E522="","",DATEDIF(E522,DATE(2026,12,31),"Y"))</f>
        <v/>
      </c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4.25" customHeight="1" s="37">
      <c r="A523" s="9">
        <f>IF(C523="","","UM"&amp;TEXT(ROW()-1,"00000"))</f>
        <v/>
      </c>
      <c r="B523" s="9" t="n"/>
      <c r="C523" s="9" t="n"/>
      <c r="D523" s="9" t="n"/>
      <c r="E523" s="9" t="n"/>
      <c r="F523" s="9">
        <f>IF(E523="","",DATEDIF(E523,DATE(2026,12,31),"Y"))</f>
        <v/>
      </c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4.25" customHeight="1" s="37">
      <c r="A524" s="9">
        <f>IF(C524="","","UM"&amp;TEXT(ROW()-1,"00000"))</f>
        <v/>
      </c>
      <c r="B524" s="9" t="n"/>
      <c r="C524" s="9" t="n"/>
      <c r="D524" s="9" t="n"/>
      <c r="E524" s="9" t="n"/>
      <c r="F524" s="9">
        <f>IF(E524="","",DATEDIF(E524,DATE(2026,12,31),"Y"))</f>
        <v/>
      </c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4.25" customHeight="1" s="37">
      <c r="A525" s="9">
        <f>IF(C525="","","UM"&amp;TEXT(ROW()-1,"00000"))</f>
        <v/>
      </c>
      <c r="B525" s="9" t="n"/>
      <c r="C525" s="9" t="n"/>
      <c r="D525" s="9" t="n"/>
      <c r="E525" s="9" t="n"/>
      <c r="F525" s="9">
        <f>IF(E525="","",DATEDIF(E525,DATE(2026,12,31),"Y"))</f>
        <v/>
      </c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4.25" customHeight="1" s="37">
      <c r="A526" s="9">
        <f>IF(C526="","","UM"&amp;TEXT(ROW()-1,"00000"))</f>
        <v/>
      </c>
      <c r="B526" s="9" t="n"/>
      <c r="C526" s="9" t="n"/>
      <c r="D526" s="9" t="n"/>
      <c r="E526" s="9" t="n"/>
      <c r="F526" s="9">
        <f>IF(E526="","",DATEDIF(E526,DATE(2026,12,31),"Y"))</f>
        <v/>
      </c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4.25" customHeight="1" s="37">
      <c r="A527" s="9">
        <f>IF(C527="","","UM"&amp;TEXT(ROW()-1,"00000"))</f>
        <v/>
      </c>
      <c r="B527" s="9" t="n"/>
      <c r="C527" s="9" t="n"/>
      <c r="D527" s="9" t="n"/>
      <c r="E527" s="9" t="n"/>
      <c r="F527" s="9">
        <f>IF(E527="","",DATEDIF(E527,DATE(2026,12,31),"Y"))</f>
        <v/>
      </c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4.25" customHeight="1" s="37">
      <c r="A528" s="9">
        <f>IF(C528="","","UM"&amp;TEXT(ROW()-1,"00000"))</f>
        <v/>
      </c>
      <c r="B528" s="9" t="n"/>
      <c r="C528" s="9" t="n"/>
      <c r="D528" s="9" t="n"/>
      <c r="E528" s="9" t="n"/>
      <c r="F528" s="9">
        <f>IF(E528="","",DATEDIF(E528,DATE(2026,12,31),"Y"))</f>
        <v/>
      </c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4.25" customHeight="1" s="37">
      <c r="A529" s="9">
        <f>IF(C529="","","UM"&amp;TEXT(ROW()-1,"00000"))</f>
        <v/>
      </c>
      <c r="B529" s="9" t="n"/>
      <c r="C529" s="9" t="n"/>
      <c r="D529" s="9" t="n"/>
      <c r="E529" s="9" t="n"/>
      <c r="F529" s="9">
        <f>IF(E529="","",DATEDIF(E529,DATE(2026,12,31),"Y"))</f>
        <v/>
      </c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4.25" customHeight="1" s="37">
      <c r="A530" s="9">
        <f>IF(C530="","","UM"&amp;TEXT(ROW()-1,"00000"))</f>
        <v/>
      </c>
      <c r="B530" s="9" t="n"/>
      <c r="C530" s="9" t="n"/>
      <c r="D530" s="9" t="n"/>
      <c r="E530" s="9" t="n"/>
      <c r="F530" s="9">
        <f>IF(E530="","",DATEDIF(E530,DATE(2026,12,31),"Y"))</f>
        <v/>
      </c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4.25" customHeight="1" s="37">
      <c r="A531" s="9">
        <f>IF(C531="","","UM"&amp;TEXT(ROW()-1,"00000"))</f>
        <v/>
      </c>
      <c r="B531" s="9" t="n"/>
      <c r="C531" s="9" t="n"/>
      <c r="D531" s="9" t="n"/>
      <c r="E531" s="9" t="n"/>
      <c r="F531" s="9">
        <f>IF(E531="","",DATEDIF(E531,DATE(2026,12,31),"Y"))</f>
        <v/>
      </c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4.25" customHeight="1" s="37">
      <c r="A532" s="9">
        <f>IF(C532="","","UM"&amp;TEXT(ROW()-1,"00000"))</f>
        <v/>
      </c>
      <c r="B532" s="9" t="n"/>
      <c r="C532" s="9" t="n"/>
      <c r="D532" s="9" t="n"/>
      <c r="E532" s="9" t="n"/>
      <c r="F532" s="9">
        <f>IF(E532="","",DATEDIF(E532,DATE(2026,12,31),"Y"))</f>
        <v/>
      </c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4.25" customHeight="1" s="37">
      <c r="A533" s="9">
        <f>IF(C533="","","UM"&amp;TEXT(ROW()-1,"00000"))</f>
        <v/>
      </c>
      <c r="B533" s="9" t="n"/>
      <c r="C533" s="9" t="n"/>
      <c r="D533" s="9" t="n"/>
      <c r="E533" s="9" t="n"/>
      <c r="F533" s="9">
        <f>IF(E533="","",DATEDIF(E533,DATE(2026,12,31),"Y"))</f>
        <v/>
      </c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4.25" customHeight="1" s="37">
      <c r="A534" s="9">
        <f>IF(C534="","","UM"&amp;TEXT(ROW()-1,"00000"))</f>
        <v/>
      </c>
      <c r="B534" s="9" t="n"/>
      <c r="C534" s="9" t="n"/>
      <c r="D534" s="9" t="n"/>
      <c r="E534" s="9" t="n"/>
      <c r="F534" s="9">
        <f>IF(E534="","",DATEDIF(E534,DATE(2026,12,31),"Y"))</f>
        <v/>
      </c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4.25" customHeight="1" s="37">
      <c r="A535" s="9">
        <f>IF(C535="","","UM"&amp;TEXT(ROW()-1,"00000"))</f>
        <v/>
      </c>
      <c r="B535" s="9" t="n"/>
      <c r="C535" s="9" t="n"/>
      <c r="D535" s="9" t="n"/>
      <c r="E535" s="9" t="n"/>
      <c r="F535" s="9">
        <f>IF(E535="","",DATEDIF(E535,DATE(2026,12,31),"Y"))</f>
        <v/>
      </c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4.25" customHeight="1" s="37">
      <c r="A536" s="9">
        <f>IF(C536="","","UM"&amp;TEXT(ROW()-1,"00000"))</f>
        <v/>
      </c>
      <c r="B536" s="9" t="n"/>
      <c r="C536" s="9" t="n"/>
      <c r="D536" s="9" t="n"/>
      <c r="E536" s="9" t="n"/>
      <c r="F536" s="9">
        <f>IF(E536="","",DATEDIF(E536,DATE(2026,12,31),"Y"))</f>
        <v/>
      </c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4.25" customHeight="1" s="37">
      <c r="A537" s="9">
        <f>IF(C537="","","UM"&amp;TEXT(ROW()-1,"00000"))</f>
        <v/>
      </c>
      <c r="B537" s="9" t="n"/>
      <c r="C537" s="9" t="n"/>
      <c r="D537" s="9" t="n"/>
      <c r="E537" s="9" t="n"/>
      <c r="F537" s="9">
        <f>IF(E537="","",DATEDIF(E537,DATE(2026,12,31),"Y"))</f>
        <v/>
      </c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4.25" customHeight="1" s="37">
      <c r="A538" s="9">
        <f>IF(C538="","","UM"&amp;TEXT(ROW()-1,"00000"))</f>
        <v/>
      </c>
      <c r="B538" s="9" t="n"/>
      <c r="C538" s="9" t="n"/>
      <c r="D538" s="9" t="n"/>
      <c r="E538" s="9" t="n"/>
      <c r="F538" s="9">
        <f>IF(E538="","",DATEDIF(E538,DATE(2026,12,31),"Y"))</f>
        <v/>
      </c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4.25" customHeight="1" s="37">
      <c r="A539" s="9">
        <f>IF(C539="","","UM"&amp;TEXT(ROW()-1,"00000"))</f>
        <v/>
      </c>
      <c r="B539" s="9" t="n"/>
      <c r="C539" s="9" t="n"/>
      <c r="D539" s="9" t="n"/>
      <c r="E539" s="9" t="n"/>
      <c r="F539" s="9">
        <f>IF(E539="","",DATEDIF(E539,DATE(2026,12,31),"Y"))</f>
        <v/>
      </c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4.25" customHeight="1" s="37">
      <c r="A540" s="9">
        <f>IF(C540="","","UM"&amp;TEXT(ROW()-1,"00000"))</f>
        <v/>
      </c>
      <c r="B540" s="9" t="n"/>
      <c r="C540" s="9" t="n"/>
      <c r="D540" s="9" t="n"/>
      <c r="E540" s="9" t="n"/>
      <c r="F540" s="9">
        <f>IF(E540="","",DATEDIF(E540,DATE(2026,12,31),"Y"))</f>
        <v/>
      </c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4.25" customHeight="1" s="37">
      <c r="A541" s="9">
        <f>IF(C541="","","UM"&amp;TEXT(ROW()-1,"00000"))</f>
        <v/>
      </c>
      <c r="B541" s="9" t="n"/>
      <c r="C541" s="9" t="n"/>
      <c r="D541" s="9" t="n"/>
      <c r="E541" s="9" t="n"/>
      <c r="F541" s="9">
        <f>IF(E541="","",DATEDIF(E541,DATE(2026,12,31),"Y"))</f>
        <v/>
      </c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4.25" customHeight="1" s="37">
      <c r="A542" s="9">
        <f>IF(C542="","","UM"&amp;TEXT(ROW()-1,"00000"))</f>
        <v/>
      </c>
      <c r="B542" s="9" t="n"/>
      <c r="C542" s="9" t="n"/>
      <c r="D542" s="9" t="n"/>
      <c r="E542" s="9" t="n"/>
      <c r="F542" s="9">
        <f>IF(E542="","",DATEDIF(E542,DATE(2026,12,31),"Y"))</f>
        <v/>
      </c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4.25" customHeight="1" s="37">
      <c r="A543" s="9">
        <f>IF(C543="","","UM"&amp;TEXT(ROW()-1,"00000"))</f>
        <v/>
      </c>
      <c r="B543" s="9" t="n"/>
      <c r="C543" s="9" t="n"/>
      <c r="D543" s="9" t="n"/>
      <c r="E543" s="9" t="n"/>
      <c r="F543" s="9">
        <f>IF(E543="","",DATEDIF(E543,DATE(2026,12,31),"Y"))</f>
        <v/>
      </c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4.25" customHeight="1" s="37">
      <c r="A544" s="9">
        <f>IF(C544="","","UM"&amp;TEXT(ROW()-1,"00000"))</f>
        <v/>
      </c>
      <c r="B544" s="9" t="n"/>
      <c r="C544" s="9" t="n"/>
      <c r="D544" s="9" t="n"/>
      <c r="E544" s="9" t="n"/>
      <c r="F544" s="9">
        <f>IF(E544="","",DATEDIF(E544,DATE(2026,12,31),"Y"))</f>
        <v/>
      </c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4.25" customHeight="1" s="37">
      <c r="A545" s="9">
        <f>IF(C545="","","UM"&amp;TEXT(ROW()-1,"00000"))</f>
        <v/>
      </c>
      <c r="B545" s="9" t="n"/>
      <c r="C545" s="9" t="n"/>
      <c r="D545" s="9" t="n"/>
      <c r="E545" s="9" t="n"/>
      <c r="F545" s="9">
        <f>IF(E545="","",DATEDIF(E545,DATE(2026,12,31),"Y"))</f>
        <v/>
      </c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4.25" customHeight="1" s="37">
      <c r="A546" s="9">
        <f>IF(C546="","","UM"&amp;TEXT(ROW()-1,"00000"))</f>
        <v/>
      </c>
      <c r="B546" s="9" t="n"/>
      <c r="C546" s="9" t="n"/>
      <c r="D546" s="9" t="n"/>
      <c r="E546" s="9" t="n"/>
      <c r="F546" s="9">
        <f>IF(E546="","",DATEDIF(E546,DATE(2026,12,31),"Y"))</f>
        <v/>
      </c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4.25" customHeight="1" s="37">
      <c r="A547" s="9">
        <f>IF(C547="","","UM"&amp;TEXT(ROW()-1,"00000"))</f>
        <v/>
      </c>
      <c r="B547" s="9" t="n"/>
      <c r="C547" s="9" t="n"/>
      <c r="D547" s="9" t="n"/>
      <c r="E547" s="9" t="n"/>
      <c r="F547" s="9">
        <f>IF(E547="","",DATEDIF(E547,DATE(2026,12,31),"Y"))</f>
        <v/>
      </c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4.25" customHeight="1" s="37">
      <c r="A548" s="9">
        <f>IF(C548="","","UM"&amp;TEXT(ROW()-1,"00000"))</f>
        <v/>
      </c>
      <c r="B548" s="9" t="n"/>
      <c r="C548" s="9" t="n"/>
      <c r="D548" s="9" t="n"/>
      <c r="E548" s="9" t="n"/>
      <c r="F548" s="9">
        <f>IF(E548="","",DATEDIF(E548,DATE(2026,12,31),"Y"))</f>
        <v/>
      </c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4.25" customHeight="1" s="37">
      <c r="A549" s="9">
        <f>IF(C549="","","UM"&amp;TEXT(ROW()-1,"00000"))</f>
        <v/>
      </c>
      <c r="B549" s="9" t="n"/>
      <c r="C549" s="9" t="n"/>
      <c r="D549" s="9" t="n"/>
      <c r="E549" s="9" t="n"/>
      <c r="F549" s="9">
        <f>IF(E549="","",DATEDIF(E549,DATE(2026,12,31),"Y"))</f>
        <v/>
      </c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4.25" customHeight="1" s="37">
      <c r="A550" s="9">
        <f>IF(C550="","","UM"&amp;TEXT(ROW()-1,"00000"))</f>
        <v/>
      </c>
      <c r="B550" s="9" t="n"/>
      <c r="C550" s="9" t="n"/>
      <c r="D550" s="9" t="n"/>
      <c r="E550" s="9" t="n"/>
      <c r="F550" s="9">
        <f>IF(E550="","",DATEDIF(E550,DATE(2026,12,31),"Y"))</f>
        <v/>
      </c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4.25" customHeight="1" s="37">
      <c r="A551" s="9">
        <f>IF(C551="","","UM"&amp;TEXT(ROW()-1,"00000"))</f>
        <v/>
      </c>
      <c r="B551" s="9" t="n"/>
      <c r="C551" s="9" t="n"/>
      <c r="D551" s="9" t="n"/>
      <c r="E551" s="9" t="n"/>
      <c r="F551" s="9">
        <f>IF(E551="","",DATEDIF(E551,DATE(2026,12,31),"Y"))</f>
        <v/>
      </c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4.25" customHeight="1" s="37">
      <c r="A552" s="9">
        <f>IF(C552="","","UM"&amp;TEXT(ROW()-1,"00000"))</f>
        <v/>
      </c>
      <c r="B552" s="9" t="n"/>
      <c r="C552" s="9" t="n"/>
      <c r="D552" s="9" t="n"/>
      <c r="E552" s="9" t="n"/>
      <c r="F552" s="9">
        <f>IF(E552="","",DATEDIF(E552,DATE(2026,12,31),"Y"))</f>
        <v/>
      </c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4.25" customHeight="1" s="37">
      <c r="A553" s="9">
        <f>IF(C553="","","UM"&amp;TEXT(ROW()-1,"00000"))</f>
        <v/>
      </c>
      <c r="B553" s="9" t="n"/>
      <c r="C553" s="9" t="n"/>
      <c r="D553" s="9" t="n"/>
      <c r="E553" s="9" t="n"/>
      <c r="F553" s="9">
        <f>IF(E553="","",DATEDIF(E553,DATE(2026,12,31),"Y"))</f>
        <v/>
      </c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4.25" customHeight="1" s="37">
      <c r="A554" s="9">
        <f>IF(C554="","","UM"&amp;TEXT(ROW()-1,"00000"))</f>
        <v/>
      </c>
      <c r="B554" s="9" t="n"/>
      <c r="C554" s="9" t="n"/>
      <c r="D554" s="9" t="n"/>
      <c r="E554" s="9" t="n"/>
      <c r="F554" s="9">
        <f>IF(E554="","",DATEDIF(E554,DATE(2026,12,31),"Y"))</f>
        <v/>
      </c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4.25" customHeight="1" s="37">
      <c r="A555" s="9">
        <f>IF(C555="","","UM"&amp;TEXT(ROW()-1,"00000"))</f>
        <v/>
      </c>
      <c r="B555" s="9" t="n"/>
      <c r="C555" s="9" t="n"/>
      <c r="D555" s="9" t="n"/>
      <c r="E555" s="9" t="n"/>
      <c r="F555" s="9">
        <f>IF(E555="","",DATEDIF(E555,DATE(2026,12,31),"Y"))</f>
        <v/>
      </c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4.25" customHeight="1" s="37">
      <c r="A556" s="9">
        <f>IF(C556="","","UM"&amp;TEXT(ROW()-1,"00000"))</f>
        <v/>
      </c>
      <c r="B556" s="9" t="n"/>
      <c r="C556" s="9" t="n"/>
      <c r="D556" s="9" t="n"/>
      <c r="E556" s="9" t="n"/>
      <c r="F556" s="9">
        <f>IF(E556="","",DATEDIF(E556,DATE(2026,12,31),"Y"))</f>
        <v/>
      </c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4.25" customHeight="1" s="37">
      <c r="A557" s="9">
        <f>IF(C557="","","UM"&amp;TEXT(ROW()-1,"00000"))</f>
        <v/>
      </c>
      <c r="B557" s="9" t="n"/>
      <c r="C557" s="9" t="n"/>
      <c r="D557" s="9" t="n"/>
      <c r="E557" s="9" t="n"/>
      <c r="F557" s="9">
        <f>IF(E557="","",DATEDIF(E557,DATE(2026,12,31),"Y"))</f>
        <v/>
      </c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4.25" customHeight="1" s="37">
      <c r="A558" s="9">
        <f>IF(C558="","","UM"&amp;TEXT(ROW()-1,"00000"))</f>
        <v/>
      </c>
      <c r="B558" s="9" t="n"/>
      <c r="C558" s="9" t="n"/>
      <c r="D558" s="9" t="n"/>
      <c r="E558" s="9" t="n"/>
      <c r="F558" s="9">
        <f>IF(E558="","",DATEDIF(E558,DATE(2026,12,31),"Y"))</f>
        <v/>
      </c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4.25" customHeight="1" s="37">
      <c r="A559" s="9">
        <f>IF(C559="","","UM"&amp;TEXT(ROW()-1,"00000"))</f>
        <v/>
      </c>
      <c r="B559" s="9" t="n"/>
      <c r="C559" s="9" t="n"/>
      <c r="D559" s="9" t="n"/>
      <c r="E559" s="9" t="n"/>
      <c r="F559" s="9">
        <f>IF(E559="","",DATEDIF(E559,DATE(2026,12,31),"Y"))</f>
        <v/>
      </c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4.25" customHeight="1" s="37">
      <c r="A560" s="9">
        <f>IF(C560="","","UM"&amp;TEXT(ROW()-1,"00000"))</f>
        <v/>
      </c>
      <c r="B560" s="9" t="n"/>
      <c r="C560" s="9" t="n"/>
      <c r="D560" s="9" t="n"/>
      <c r="E560" s="9" t="n"/>
      <c r="F560" s="9">
        <f>IF(E560="","",DATEDIF(E560,DATE(2026,12,31),"Y"))</f>
        <v/>
      </c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4.25" customHeight="1" s="37">
      <c r="A561" s="9">
        <f>IF(C561="","","UM"&amp;TEXT(ROW()-1,"00000"))</f>
        <v/>
      </c>
      <c r="B561" s="9" t="n"/>
      <c r="C561" s="9" t="n"/>
      <c r="D561" s="9" t="n"/>
      <c r="E561" s="9" t="n"/>
      <c r="F561" s="9">
        <f>IF(E561="","",DATEDIF(E561,DATE(2026,12,31),"Y"))</f>
        <v/>
      </c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4.25" customHeight="1" s="37">
      <c r="A562" s="9">
        <f>IF(C562="","","UM"&amp;TEXT(ROW()-1,"00000"))</f>
        <v/>
      </c>
      <c r="B562" s="9" t="n"/>
      <c r="C562" s="9" t="n"/>
      <c r="D562" s="9" t="n"/>
      <c r="E562" s="9" t="n"/>
      <c r="F562" s="9">
        <f>IF(E562="","",DATEDIF(E562,DATE(2026,12,31),"Y"))</f>
        <v/>
      </c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4.25" customHeight="1" s="37">
      <c r="A563" s="9">
        <f>IF(C563="","","UM"&amp;TEXT(ROW()-1,"00000"))</f>
        <v/>
      </c>
      <c r="B563" s="9" t="n"/>
      <c r="C563" s="9" t="n"/>
      <c r="D563" s="9" t="n"/>
      <c r="E563" s="9" t="n"/>
      <c r="F563" s="9">
        <f>IF(E563="","",DATEDIF(E563,DATE(2026,12,31),"Y"))</f>
        <v/>
      </c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4.25" customHeight="1" s="37">
      <c r="A564" s="9">
        <f>IF(C564="","","UM"&amp;TEXT(ROW()-1,"00000"))</f>
        <v/>
      </c>
      <c r="B564" s="9" t="n"/>
      <c r="C564" s="9" t="n"/>
      <c r="D564" s="9" t="n"/>
      <c r="E564" s="9" t="n"/>
      <c r="F564" s="9">
        <f>IF(E564="","",DATEDIF(E564,DATE(2026,12,31),"Y"))</f>
        <v/>
      </c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4.25" customHeight="1" s="37">
      <c r="A565" s="9">
        <f>IF(C565="","","UM"&amp;TEXT(ROW()-1,"00000"))</f>
        <v/>
      </c>
      <c r="B565" s="9" t="n"/>
      <c r="C565" s="9" t="n"/>
      <c r="D565" s="9" t="n"/>
      <c r="E565" s="9" t="n"/>
      <c r="F565" s="9">
        <f>IF(E565="","",DATEDIF(E565,DATE(2026,12,31),"Y"))</f>
        <v/>
      </c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4.25" customHeight="1" s="37">
      <c r="A566" s="9">
        <f>IF(C566="","","UM"&amp;TEXT(ROW()-1,"00000"))</f>
        <v/>
      </c>
      <c r="B566" s="9" t="n"/>
      <c r="C566" s="9" t="n"/>
      <c r="D566" s="9" t="n"/>
      <c r="E566" s="9" t="n"/>
      <c r="F566" s="9">
        <f>IF(E566="","",DATEDIF(E566,DATE(2026,12,31),"Y"))</f>
        <v/>
      </c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4.25" customHeight="1" s="37">
      <c r="A567" s="9">
        <f>IF(C567="","","UM"&amp;TEXT(ROW()-1,"00000"))</f>
        <v/>
      </c>
      <c r="B567" s="9" t="n"/>
      <c r="C567" s="9" t="n"/>
      <c r="D567" s="9" t="n"/>
      <c r="E567" s="9" t="n"/>
      <c r="F567" s="9">
        <f>IF(E567="","",DATEDIF(E567,DATE(2026,12,31),"Y"))</f>
        <v/>
      </c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4.25" customHeight="1" s="37">
      <c r="A568" s="9">
        <f>IF(C568="","","UM"&amp;TEXT(ROW()-1,"00000"))</f>
        <v/>
      </c>
      <c r="B568" s="9" t="n"/>
      <c r="C568" s="9" t="n"/>
      <c r="D568" s="9" t="n"/>
      <c r="E568" s="9" t="n"/>
      <c r="F568" s="9">
        <f>IF(E568="","",DATEDIF(E568,DATE(2026,12,31),"Y"))</f>
        <v/>
      </c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4.25" customHeight="1" s="37">
      <c r="A569" s="9">
        <f>IF(C569="","","UM"&amp;TEXT(ROW()-1,"00000"))</f>
        <v/>
      </c>
      <c r="B569" s="9" t="n"/>
      <c r="C569" s="9" t="n"/>
      <c r="D569" s="9" t="n"/>
      <c r="E569" s="9" t="n"/>
      <c r="F569" s="9">
        <f>IF(E569="","",DATEDIF(E569,DATE(2026,12,31),"Y"))</f>
        <v/>
      </c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4.25" customHeight="1" s="37">
      <c r="A570" s="9">
        <f>IF(C570="","","UM"&amp;TEXT(ROW()-1,"00000"))</f>
        <v/>
      </c>
      <c r="B570" s="9" t="n"/>
      <c r="C570" s="9" t="n"/>
      <c r="D570" s="9" t="n"/>
      <c r="E570" s="9" t="n"/>
      <c r="F570" s="9">
        <f>IF(E570="","",DATEDIF(E570,DATE(2026,12,31),"Y"))</f>
        <v/>
      </c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4.25" customHeight="1" s="37">
      <c r="A571" s="9">
        <f>IF(C571="","","UM"&amp;TEXT(ROW()-1,"00000"))</f>
        <v/>
      </c>
      <c r="B571" s="9" t="n"/>
      <c r="C571" s="9" t="n"/>
      <c r="D571" s="9" t="n"/>
      <c r="E571" s="9" t="n"/>
      <c r="F571" s="9">
        <f>IF(E571="","",DATEDIF(E571,DATE(2026,12,31),"Y"))</f>
        <v/>
      </c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4.25" customHeight="1" s="37">
      <c r="A572" s="9">
        <f>IF(C572="","","UM"&amp;TEXT(ROW()-1,"00000"))</f>
        <v/>
      </c>
      <c r="B572" s="9" t="n"/>
      <c r="C572" s="9" t="n"/>
      <c r="D572" s="9" t="n"/>
      <c r="E572" s="9" t="n"/>
      <c r="F572" s="9">
        <f>IF(E572="","",DATEDIF(E572,DATE(2026,12,31),"Y"))</f>
        <v/>
      </c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4.25" customHeight="1" s="37">
      <c r="A573" s="9">
        <f>IF(C573="","","UM"&amp;TEXT(ROW()-1,"00000"))</f>
        <v/>
      </c>
      <c r="B573" s="9" t="n"/>
      <c r="C573" s="9" t="n"/>
      <c r="D573" s="9" t="n"/>
      <c r="E573" s="9" t="n"/>
      <c r="F573" s="9">
        <f>IF(E573="","",DATEDIF(E573,DATE(2026,12,31),"Y"))</f>
        <v/>
      </c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4.25" customHeight="1" s="37">
      <c r="A574" s="9">
        <f>IF(C574="","","UM"&amp;TEXT(ROW()-1,"00000"))</f>
        <v/>
      </c>
      <c r="B574" s="9" t="n"/>
      <c r="C574" s="9" t="n"/>
      <c r="D574" s="9" t="n"/>
      <c r="E574" s="9" t="n"/>
      <c r="F574" s="9">
        <f>IF(E574="","",DATEDIF(E574,DATE(2026,12,31),"Y"))</f>
        <v/>
      </c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4.25" customHeight="1" s="37">
      <c r="A575" s="9">
        <f>IF(C575="","","UM"&amp;TEXT(ROW()-1,"00000"))</f>
        <v/>
      </c>
      <c r="B575" s="9" t="n"/>
      <c r="C575" s="9" t="n"/>
      <c r="D575" s="9" t="n"/>
      <c r="E575" s="9" t="n"/>
      <c r="F575" s="9">
        <f>IF(E575="","",DATEDIF(E575,DATE(2026,12,31),"Y"))</f>
        <v/>
      </c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4.25" customHeight="1" s="37">
      <c r="A576" s="9">
        <f>IF(C576="","","UM"&amp;TEXT(ROW()-1,"00000"))</f>
        <v/>
      </c>
      <c r="B576" s="9" t="n"/>
      <c r="C576" s="9" t="n"/>
      <c r="D576" s="9" t="n"/>
      <c r="E576" s="9" t="n"/>
      <c r="F576" s="9">
        <f>IF(E576="","",DATEDIF(E576,DATE(2026,12,31),"Y"))</f>
        <v/>
      </c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4.25" customHeight="1" s="37">
      <c r="A577" s="9">
        <f>IF(C577="","","UM"&amp;TEXT(ROW()-1,"00000"))</f>
        <v/>
      </c>
      <c r="B577" s="9" t="n"/>
      <c r="C577" s="9" t="n"/>
      <c r="D577" s="9" t="n"/>
      <c r="E577" s="9" t="n"/>
      <c r="F577" s="9">
        <f>IF(E577="","",DATEDIF(E577,DATE(2026,12,31),"Y"))</f>
        <v/>
      </c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4.25" customHeight="1" s="37">
      <c r="A578" s="9">
        <f>IF(C578="","","UM"&amp;TEXT(ROW()-1,"00000"))</f>
        <v/>
      </c>
      <c r="B578" s="9" t="n"/>
      <c r="C578" s="9" t="n"/>
      <c r="D578" s="9" t="n"/>
      <c r="E578" s="9" t="n"/>
      <c r="F578" s="9">
        <f>IF(E578="","",DATEDIF(E578,DATE(2026,12,31),"Y"))</f>
        <v/>
      </c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4.25" customHeight="1" s="37">
      <c r="A579" s="9">
        <f>IF(C579="","","UM"&amp;TEXT(ROW()-1,"00000"))</f>
        <v/>
      </c>
      <c r="B579" s="9" t="n"/>
      <c r="C579" s="9" t="n"/>
      <c r="D579" s="9" t="n"/>
      <c r="E579" s="9" t="n"/>
      <c r="F579" s="9">
        <f>IF(E579="","",DATEDIF(E579,DATE(2026,12,31),"Y"))</f>
        <v/>
      </c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4.25" customHeight="1" s="37">
      <c r="A580" s="9">
        <f>IF(C580="","","UM"&amp;TEXT(ROW()-1,"00000"))</f>
        <v/>
      </c>
      <c r="B580" s="9" t="n"/>
      <c r="C580" s="9" t="n"/>
      <c r="D580" s="9" t="n"/>
      <c r="E580" s="9" t="n"/>
      <c r="F580" s="9">
        <f>IF(E580="","",DATEDIF(E580,DATE(2026,12,31),"Y"))</f>
        <v/>
      </c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4.25" customHeight="1" s="37">
      <c r="A581" s="9">
        <f>IF(C581="","","UM"&amp;TEXT(ROW()-1,"00000"))</f>
        <v/>
      </c>
      <c r="B581" s="9" t="n"/>
      <c r="C581" s="9" t="n"/>
      <c r="D581" s="9" t="n"/>
      <c r="E581" s="9" t="n"/>
      <c r="F581" s="9">
        <f>IF(E581="","",DATEDIF(E581,DATE(2026,12,31),"Y"))</f>
        <v/>
      </c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4.25" customHeight="1" s="37">
      <c r="A582" s="9">
        <f>IF(C582="","","UM"&amp;TEXT(ROW()-1,"00000"))</f>
        <v/>
      </c>
      <c r="B582" s="9" t="n"/>
      <c r="C582" s="9" t="n"/>
      <c r="D582" s="9" t="n"/>
      <c r="E582" s="9" t="n"/>
      <c r="F582" s="9">
        <f>IF(E582="","",DATEDIF(E582,DATE(2026,12,31),"Y"))</f>
        <v/>
      </c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4.25" customHeight="1" s="37">
      <c r="A583" s="9">
        <f>IF(C583="","","UM"&amp;TEXT(ROW()-1,"00000"))</f>
        <v/>
      </c>
      <c r="B583" s="9" t="n"/>
      <c r="C583" s="9" t="n"/>
      <c r="D583" s="9" t="n"/>
      <c r="E583" s="9" t="n"/>
      <c r="F583" s="9">
        <f>IF(E583="","",DATEDIF(E583,DATE(2026,12,31),"Y"))</f>
        <v/>
      </c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4.25" customHeight="1" s="37">
      <c r="A584" s="9">
        <f>IF(C584="","","UM"&amp;TEXT(ROW()-1,"00000"))</f>
        <v/>
      </c>
      <c r="B584" s="9" t="n"/>
      <c r="C584" s="9" t="n"/>
      <c r="D584" s="9" t="n"/>
      <c r="E584" s="9" t="n"/>
      <c r="F584" s="9">
        <f>IF(E584="","",DATEDIF(E584,DATE(2026,12,31),"Y"))</f>
        <v/>
      </c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4.25" customHeight="1" s="37">
      <c r="A585" s="9">
        <f>IF(C585="","","UM"&amp;TEXT(ROW()-1,"00000"))</f>
        <v/>
      </c>
      <c r="B585" s="9" t="n"/>
      <c r="C585" s="9" t="n"/>
      <c r="D585" s="9" t="n"/>
      <c r="E585" s="9" t="n"/>
      <c r="F585" s="9">
        <f>IF(E585="","",DATEDIF(E585,DATE(2026,12,31),"Y"))</f>
        <v/>
      </c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4.25" customHeight="1" s="37">
      <c r="A586" s="9">
        <f>IF(C586="","","UM"&amp;TEXT(ROW()-1,"00000"))</f>
        <v/>
      </c>
      <c r="B586" s="9" t="n"/>
      <c r="C586" s="9" t="n"/>
      <c r="D586" s="9" t="n"/>
      <c r="E586" s="9" t="n"/>
      <c r="F586" s="9">
        <f>IF(E586="","",DATEDIF(E586,DATE(2026,12,31),"Y"))</f>
        <v/>
      </c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4.25" customHeight="1" s="37">
      <c r="A587" s="9">
        <f>IF(C587="","","UM"&amp;TEXT(ROW()-1,"00000"))</f>
        <v/>
      </c>
      <c r="B587" s="9" t="n"/>
      <c r="C587" s="9" t="n"/>
      <c r="D587" s="9" t="n"/>
      <c r="E587" s="9" t="n"/>
      <c r="F587" s="9">
        <f>IF(E587="","",DATEDIF(E587,DATE(2026,12,31),"Y"))</f>
        <v/>
      </c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4.25" customHeight="1" s="37">
      <c r="A588" s="9">
        <f>IF(C588="","","UM"&amp;TEXT(ROW()-1,"00000"))</f>
        <v/>
      </c>
      <c r="B588" s="9" t="n"/>
      <c r="C588" s="9" t="n"/>
      <c r="D588" s="9" t="n"/>
      <c r="E588" s="9" t="n"/>
      <c r="F588" s="9">
        <f>IF(E588="","",DATEDIF(E588,DATE(2026,12,31),"Y"))</f>
        <v/>
      </c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4.25" customHeight="1" s="37">
      <c r="A589" s="9">
        <f>IF(C589="","","UM"&amp;TEXT(ROW()-1,"00000"))</f>
        <v/>
      </c>
      <c r="B589" s="9" t="n"/>
      <c r="C589" s="9" t="n"/>
      <c r="D589" s="9" t="n"/>
      <c r="E589" s="9" t="n"/>
      <c r="F589" s="9">
        <f>IF(E589="","",DATEDIF(E589,DATE(2026,12,31),"Y"))</f>
        <v/>
      </c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4.25" customHeight="1" s="37">
      <c r="A590" s="9">
        <f>IF(C590="","","UM"&amp;TEXT(ROW()-1,"00000"))</f>
        <v/>
      </c>
      <c r="B590" s="9" t="n"/>
      <c r="C590" s="9" t="n"/>
      <c r="D590" s="9" t="n"/>
      <c r="E590" s="9" t="n"/>
      <c r="F590" s="9">
        <f>IF(E590="","",DATEDIF(E590,DATE(2026,12,31),"Y"))</f>
        <v/>
      </c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4.25" customHeight="1" s="37">
      <c r="A591" s="9">
        <f>IF(C591="","","UM"&amp;TEXT(ROW()-1,"00000"))</f>
        <v/>
      </c>
      <c r="B591" s="9" t="n"/>
      <c r="C591" s="9" t="n"/>
      <c r="D591" s="9" t="n"/>
      <c r="E591" s="9" t="n"/>
      <c r="F591" s="9">
        <f>IF(E591="","",DATEDIF(E591,DATE(2026,12,31),"Y"))</f>
        <v/>
      </c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4.25" customHeight="1" s="37">
      <c r="A592" s="9">
        <f>IF(C592="","","UM"&amp;TEXT(ROW()-1,"00000"))</f>
        <v/>
      </c>
      <c r="B592" s="9" t="n"/>
      <c r="C592" s="9" t="n"/>
      <c r="D592" s="9" t="n"/>
      <c r="E592" s="9" t="n"/>
      <c r="F592" s="9">
        <f>IF(E592="","",DATEDIF(E592,DATE(2026,12,31),"Y"))</f>
        <v/>
      </c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4.25" customHeight="1" s="37">
      <c r="A593" s="9">
        <f>IF(C593="","","UM"&amp;TEXT(ROW()-1,"00000"))</f>
        <v/>
      </c>
      <c r="B593" s="9" t="n"/>
      <c r="C593" s="9" t="n"/>
      <c r="D593" s="9" t="n"/>
      <c r="E593" s="9" t="n"/>
      <c r="F593" s="9">
        <f>IF(E593="","",DATEDIF(E593,DATE(2026,12,31),"Y"))</f>
        <v/>
      </c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4.25" customHeight="1" s="37">
      <c r="A594" s="9">
        <f>IF(C594="","","UM"&amp;TEXT(ROW()-1,"00000"))</f>
        <v/>
      </c>
      <c r="B594" s="9" t="n"/>
      <c r="C594" s="9" t="n"/>
      <c r="D594" s="9" t="n"/>
      <c r="E594" s="9" t="n"/>
      <c r="F594" s="9">
        <f>IF(E594="","",DATEDIF(E594,DATE(2026,12,31),"Y"))</f>
        <v/>
      </c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4.25" customHeight="1" s="37">
      <c r="A595" s="9">
        <f>IF(C595="","","UM"&amp;TEXT(ROW()-1,"00000"))</f>
        <v/>
      </c>
      <c r="B595" s="9" t="n"/>
      <c r="C595" s="9" t="n"/>
      <c r="D595" s="9" t="n"/>
      <c r="E595" s="9" t="n"/>
      <c r="F595" s="9">
        <f>IF(E595="","",DATEDIF(E595,DATE(2026,12,31),"Y"))</f>
        <v/>
      </c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4.25" customHeight="1" s="37">
      <c r="A596" s="9">
        <f>IF(C596="","","UM"&amp;TEXT(ROW()-1,"00000"))</f>
        <v/>
      </c>
      <c r="B596" s="9" t="n"/>
      <c r="C596" s="9" t="n"/>
      <c r="D596" s="9" t="n"/>
      <c r="E596" s="9" t="n"/>
      <c r="F596" s="9">
        <f>IF(E596="","",DATEDIF(E596,DATE(2026,12,31),"Y"))</f>
        <v/>
      </c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4.25" customHeight="1" s="37">
      <c r="A597" s="9">
        <f>IF(C597="","","UM"&amp;TEXT(ROW()-1,"00000"))</f>
        <v/>
      </c>
      <c r="B597" s="9" t="n"/>
      <c r="C597" s="9" t="n"/>
      <c r="D597" s="9" t="n"/>
      <c r="E597" s="9" t="n"/>
      <c r="F597" s="9">
        <f>IF(E597="","",DATEDIF(E597,DATE(2026,12,31),"Y"))</f>
        <v/>
      </c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4.25" customHeight="1" s="37">
      <c r="A598" s="9">
        <f>IF(C598="","","UM"&amp;TEXT(ROW()-1,"00000"))</f>
        <v/>
      </c>
      <c r="B598" s="9" t="n"/>
      <c r="C598" s="9" t="n"/>
      <c r="D598" s="9" t="n"/>
      <c r="E598" s="9" t="n"/>
      <c r="F598" s="9">
        <f>IF(E598="","",DATEDIF(E598,DATE(2026,12,31),"Y"))</f>
        <v/>
      </c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4.25" customHeight="1" s="37">
      <c r="A599" s="9">
        <f>IF(C599="","","UM"&amp;TEXT(ROW()-1,"00000"))</f>
        <v/>
      </c>
      <c r="B599" s="9" t="n"/>
      <c r="C599" s="9" t="n"/>
      <c r="D599" s="9" t="n"/>
      <c r="E599" s="9" t="n"/>
      <c r="F599" s="9">
        <f>IF(E599="","",DATEDIF(E599,DATE(2026,12,31),"Y"))</f>
        <v/>
      </c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4.25" customHeight="1" s="37">
      <c r="A600" s="9">
        <f>IF(C600="","","UM"&amp;TEXT(ROW()-1,"00000"))</f>
        <v/>
      </c>
      <c r="B600" s="9" t="n"/>
      <c r="C600" s="9" t="n"/>
      <c r="D600" s="9" t="n"/>
      <c r="E600" s="9" t="n"/>
      <c r="F600" s="9">
        <f>IF(E600="","",DATEDIF(E600,DATE(2026,12,31),"Y"))</f>
        <v/>
      </c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4.25" customHeight="1" s="37">
      <c r="A601" s="9">
        <f>IF(C601="","","UM"&amp;TEXT(ROW()-1,"00000"))</f>
        <v/>
      </c>
      <c r="B601" s="9" t="n"/>
      <c r="C601" s="9" t="n"/>
      <c r="D601" s="9" t="n"/>
      <c r="E601" s="9" t="n"/>
      <c r="F601" s="9">
        <f>IF(E601="","",DATEDIF(E601,DATE(2026,12,31),"Y"))</f>
        <v/>
      </c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4.25" customHeight="1" s="37">
      <c r="A602" s="9">
        <f>IF(C602="","","UM"&amp;TEXT(ROW()-1,"00000"))</f>
        <v/>
      </c>
      <c r="B602" s="9" t="n"/>
      <c r="C602" s="9" t="n"/>
      <c r="D602" s="9" t="n"/>
      <c r="E602" s="9" t="n"/>
      <c r="F602" s="9">
        <f>IF(E602="","",DATEDIF(E602,DATE(2026,12,31),"Y"))</f>
        <v/>
      </c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4.25" customHeight="1" s="37">
      <c r="A603" s="9">
        <f>IF(C603="","","UM"&amp;TEXT(ROW()-1,"00000"))</f>
        <v/>
      </c>
      <c r="B603" s="9" t="n"/>
      <c r="C603" s="9" t="n"/>
      <c r="D603" s="9" t="n"/>
      <c r="E603" s="9" t="n"/>
      <c r="F603" s="9">
        <f>IF(E603="","",DATEDIF(E603,DATE(2026,12,31),"Y"))</f>
        <v/>
      </c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4.25" customHeight="1" s="37">
      <c r="A604" s="9">
        <f>IF(C604="","","UM"&amp;TEXT(ROW()-1,"00000"))</f>
        <v/>
      </c>
      <c r="B604" s="9" t="n"/>
      <c r="C604" s="9" t="n"/>
      <c r="D604" s="9" t="n"/>
      <c r="E604" s="9" t="n"/>
      <c r="F604" s="9">
        <f>IF(E604="","",DATEDIF(E604,DATE(2026,12,31),"Y"))</f>
        <v/>
      </c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4.25" customHeight="1" s="37">
      <c r="A605" s="9">
        <f>IF(C605="","","UM"&amp;TEXT(ROW()-1,"00000"))</f>
        <v/>
      </c>
      <c r="B605" s="9" t="n"/>
      <c r="C605" s="9" t="n"/>
      <c r="D605" s="9" t="n"/>
      <c r="E605" s="9" t="n"/>
      <c r="F605" s="9">
        <f>IF(E605="","",DATEDIF(E605,DATE(2026,12,31),"Y"))</f>
        <v/>
      </c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4.25" customHeight="1" s="37">
      <c r="A606" s="9">
        <f>IF(C606="","","UM"&amp;TEXT(ROW()-1,"00000"))</f>
        <v/>
      </c>
      <c r="B606" s="9" t="n"/>
      <c r="C606" s="9" t="n"/>
      <c r="D606" s="9" t="n"/>
      <c r="E606" s="9" t="n"/>
      <c r="F606" s="9">
        <f>IF(E606="","",DATEDIF(E606,DATE(2026,12,31),"Y"))</f>
        <v/>
      </c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4.25" customHeight="1" s="37">
      <c r="A607" s="9">
        <f>IF(C607="","","UM"&amp;TEXT(ROW()-1,"00000"))</f>
        <v/>
      </c>
      <c r="B607" s="9" t="n"/>
      <c r="C607" s="9" t="n"/>
      <c r="D607" s="9" t="n"/>
      <c r="E607" s="9" t="n"/>
      <c r="F607" s="9">
        <f>IF(E607="","",DATEDIF(E607,DATE(2026,12,31),"Y"))</f>
        <v/>
      </c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4.25" customHeight="1" s="37">
      <c r="A608" s="9">
        <f>IF(C608="","","UM"&amp;TEXT(ROW()-1,"00000"))</f>
        <v/>
      </c>
      <c r="B608" s="9" t="n"/>
      <c r="C608" s="9" t="n"/>
      <c r="D608" s="9" t="n"/>
      <c r="E608" s="9" t="n"/>
      <c r="F608" s="9">
        <f>IF(E608="","",DATEDIF(E608,DATE(2026,12,31),"Y"))</f>
        <v/>
      </c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4.25" customHeight="1" s="37">
      <c r="A609" s="9">
        <f>IF(C609="","","UM"&amp;TEXT(ROW()-1,"00000"))</f>
        <v/>
      </c>
      <c r="B609" s="9" t="n"/>
      <c r="C609" s="9" t="n"/>
      <c r="D609" s="9" t="n"/>
      <c r="E609" s="9" t="n"/>
      <c r="F609" s="9">
        <f>IF(E609="","",DATEDIF(E609,DATE(2026,12,31),"Y"))</f>
        <v/>
      </c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4.25" customHeight="1" s="37">
      <c r="A610" s="9">
        <f>IF(C610="","","UM"&amp;TEXT(ROW()-1,"00000"))</f>
        <v/>
      </c>
      <c r="B610" s="9" t="n"/>
      <c r="C610" s="9" t="n"/>
      <c r="D610" s="9" t="n"/>
      <c r="E610" s="9" t="n"/>
      <c r="F610" s="9">
        <f>IF(E610="","",DATEDIF(E610,DATE(2026,12,31),"Y"))</f>
        <v/>
      </c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4.25" customHeight="1" s="37">
      <c r="A611" s="9">
        <f>IF(C611="","","UM"&amp;TEXT(ROW()-1,"00000"))</f>
        <v/>
      </c>
      <c r="B611" s="9" t="n"/>
      <c r="C611" s="9" t="n"/>
      <c r="D611" s="9" t="n"/>
      <c r="E611" s="9" t="n"/>
      <c r="F611" s="9">
        <f>IF(E611="","",DATEDIF(E611,DATE(2026,12,31),"Y"))</f>
        <v/>
      </c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4.25" customHeight="1" s="37">
      <c r="A612" s="9">
        <f>IF(C612="","","UM"&amp;TEXT(ROW()-1,"00000"))</f>
        <v/>
      </c>
      <c r="B612" s="9" t="n"/>
      <c r="C612" s="9" t="n"/>
      <c r="D612" s="9" t="n"/>
      <c r="E612" s="9" t="n"/>
      <c r="F612" s="9">
        <f>IF(E612="","",DATEDIF(E612,DATE(2026,12,31),"Y"))</f>
        <v/>
      </c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4.25" customHeight="1" s="37">
      <c r="A613" s="9">
        <f>IF(C613="","","UM"&amp;TEXT(ROW()-1,"00000"))</f>
        <v/>
      </c>
      <c r="B613" s="9" t="n"/>
      <c r="C613" s="9" t="n"/>
      <c r="D613" s="9" t="n"/>
      <c r="E613" s="9" t="n"/>
      <c r="F613" s="9">
        <f>IF(E613="","",DATEDIF(E613,DATE(2026,12,31),"Y"))</f>
        <v/>
      </c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4.25" customHeight="1" s="37">
      <c r="A614" s="9">
        <f>IF(C614="","","UM"&amp;TEXT(ROW()-1,"00000"))</f>
        <v/>
      </c>
      <c r="B614" s="9" t="n"/>
      <c r="C614" s="9" t="n"/>
      <c r="D614" s="9" t="n"/>
      <c r="E614" s="9" t="n"/>
      <c r="F614" s="9">
        <f>IF(E614="","",DATEDIF(E614,DATE(2026,12,31),"Y"))</f>
        <v/>
      </c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4.25" customHeight="1" s="37">
      <c r="A615" s="9">
        <f>IF(C615="","","UM"&amp;TEXT(ROW()-1,"00000"))</f>
        <v/>
      </c>
      <c r="B615" s="9" t="n"/>
      <c r="C615" s="9" t="n"/>
      <c r="D615" s="9" t="n"/>
      <c r="E615" s="9" t="n"/>
      <c r="F615" s="9">
        <f>IF(E615="","",DATEDIF(E615,DATE(2026,12,31),"Y"))</f>
        <v/>
      </c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4.25" customHeight="1" s="37">
      <c r="A616" s="9">
        <f>IF(C616="","","UM"&amp;TEXT(ROW()-1,"00000"))</f>
        <v/>
      </c>
      <c r="B616" s="9" t="n"/>
      <c r="C616" s="9" t="n"/>
      <c r="D616" s="9" t="n"/>
      <c r="E616" s="9" t="n"/>
      <c r="F616" s="9">
        <f>IF(E616="","",DATEDIF(E616,DATE(2026,12,31),"Y"))</f>
        <v/>
      </c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4.25" customHeight="1" s="37">
      <c r="A617" s="9">
        <f>IF(C617="","","UM"&amp;TEXT(ROW()-1,"00000"))</f>
        <v/>
      </c>
      <c r="B617" s="9" t="n"/>
      <c r="C617" s="9" t="n"/>
      <c r="D617" s="9" t="n"/>
      <c r="E617" s="9" t="n"/>
      <c r="F617" s="9">
        <f>IF(E617="","",DATEDIF(E617,DATE(2026,12,31),"Y"))</f>
        <v/>
      </c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4.25" customHeight="1" s="37">
      <c r="A618" s="9">
        <f>IF(C618="","","UM"&amp;TEXT(ROW()-1,"00000"))</f>
        <v/>
      </c>
      <c r="B618" s="9" t="n"/>
      <c r="C618" s="9" t="n"/>
      <c r="D618" s="9" t="n"/>
      <c r="E618" s="9" t="n"/>
      <c r="F618" s="9">
        <f>IF(E618="","",DATEDIF(E618,DATE(2026,12,31),"Y"))</f>
        <v/>
      </c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4.25" customHeight="1" s="37">
      <c r="A619" s="9">
        <f>IF(C619="","","UM"&amp;TEXT(ROW()-1,"00000"))</f>
        <v/>
      </c>
      <c r="B619" s="9" t="n"/>
      <c r="C619" s="9" t="n"/>
      <c r="D619" s="9" t="n"/>
      <c r="E619" s="9" t="n"/>
      <c r="F619" s="9">
        <f>IF(E619="","",DATEDIF(E619,DATE(2026,12,31),"Y"))</f>
        <v/>
      </c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4.25" customHeight="1" s="37">
      <c r="A620" s="9">
        <f>IF(C620="","","UM"&amp;TEXT(ROW()-1,"00000"))</f>
        <v/>
      </c>
      <c r="B620" s="9" t="n"/>
      <c r="C620" s="9" t="n"/>
      <c r="D620" s="9" t="n"/>
      <c r="E620" s="9" t="n"/>
      <c r="F620" s="9">
        <f>IF(E620="","",DATEDIF(E620,DATE(2026,12,31),"Y"))</f>
        <v/>
      </c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4.25" customHeight="1" s="37">
      <c r="A621" s="9">
        <f>IF(C621="","","UM"&amp;TEXT(ROW()-1,"00000"))</f>
        <v/>
      </c>
      <c r="B621" s="9" t="n"/>
      <c r="C621" s="9" t="n"/>
      <c r="D621" s="9" t="n"/>
      <c r="E621" s="9" t="n"/>
      <c r="F621" s="9">
        <f>IF(E621="","",DATEDIF(E621,DATE(2026,12,31),"Y"))</f>
        <v/>
      </c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4.25" customHeight="1" s="37">
      <c r="A622" s="9">
        <f>IF(C622="","","UM"&amp;TEXT(ROW()-1,"00000"))</f>
        <v/>
      </c>
      <c r="B622" s="9" t="n"/>
      <c r="C622" s="9" t="n"/>
      <c r="D622" s="9" t="n"/>
      <c r="E622" s="9" t="n"/>
      <c r="F622" s="9">
        <f>IF(E622="","",DATEDIF(E622,DATE(2026,12,31),"Y"))</f>
        <v/>
      </c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4.25" customHeight="1" s="37">
      <c r="A623" s="9">
        <f>IF(C623="","","UM"&amp;TEXT(ROW()-1,"00000"))</f>
        <v/>
      </c>
      <c r="B623" s="9" t="n"/>
      <c r="C623" s="9" t="n"/>
      <c r="D623" s="9" t="n"/>
      <c r="E623" s="9" t="n"/>
      <c r="F623" s="9">
        <f>IF(E623="","",DATEDIF(E623,DATE(2026,12,31),"Y"))</f>
        <v/>
      </c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4.25" customHeight="1" s="37">
      <c r="A624" s="9">
        <f>IF(C624="","","UM"&amp;TEXT(ROW()-1,"00000"))</f>
        <v/>
      </c>
      <c r="B624" s="9" t="n"/>
      <c r="C624" s="9" t="n"/>
      <c r="D624" s="9" t="n"/>
      <c r="E624" s="9" t="n"/>
      <c r="F624" s="9">
        <f>IF(E624="","",DATEDIF(E624,DATE(2026,12,31),"Y"))</f>
        <v/>
      </c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4.25" customHeight="1" s="37">
      <c r="A625" s="9">
        <f>IF(C625="","","UM"&amp;TEXT(ROW()-1,"00000"))</f>
        <v/>
      </c>
      <c r="B625" s="9" t="n"/>
      <c r="C625" s="9" t="n"/>
      <c r="D625" s="9" t="n"/>
      <c r="E625" s="9" t="n"/>
      <c r="F625" s="9">
        <f>IF(E625="","",DATEDIF(E625,DATE(2026,12,31),"Y"))</f>
        <v/>
      </c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4.25" customHeight="1" s="37">
      <c r="A626" s="9">
        <f>IF(C626="","","UM"&amp;TEXT(ROW()-1,"00000"))</f>
        <v/>
      </c>
      <c r="B626" s="9" t="n"/>
      <c r="C626" s="9" t="n"/>
      <c r="D626" s="9" t="n"/>
      <c r="E626" s="9" t="n"/>
      <c r="F626" s="9">
        <f>IF(E626="","",DATEDIF(E626,DATE(2026,12,31),"Y"))</f>
        <v/>
      </c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4.25" customHeight="1" s="37">
      <c r="A627" s="9">
        <f>IF(C627="","","UM"&amp;TEXT(ROW()-1,"00000"))</f>
        <v/>
      </c>
      <c r="B627" s="9" t="n"/>
      <c r="C627" s="9" t="n"/>
      <c r="D627" s="9" t="n"/>
      <c r="E627" s="9" t="n"/>
      <c r="F627" s="9">
        <f>IF(E627="","",DATEDIF(E627,DATE(2026,12,31),"Y"))</f>
        <v/>
      </c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4.25" customHeight="1" s="37">
      <c r="A628" s="9">
        <f>IF(C628="","","UM"&amp;TEXT(ROW()-1,"00000"))</f>
        <v/>
      </c>
      <c r="B628" s="9" t="n"/>
      <c r="C628" s="9" t="n"/>
      <c r="D628" s="9" t="n"/>
      <c r="E628" s="9" t="n"/>
      <c r="F628" s="9">
        <f>IF(E628="","",DATEDIF(E628,DATE(2026,12,31),"Y"))</f>
        <v/>
      </c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4.25" customHeight="1" s="37">
      <c r="A629" s="9">
        <f>IF(C629="","","UM"&amp;TEXT(ROW()-1,"00000"))</f>
        <v/>
      </c>
      <c r="B629" s="9" t="n"/>
      <c r="C629" s="9" t="n"/>
      <c r="D629" s="9" t="n"/>
      <c r="E629" s="9" t="n"/>
      <c r="F629" s="9">
        <f>IF(E629="","",DATEDIF(E629,DATE(2026,12,31),"Y"))</f>
        <v/>
      </c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4.25" customHeight="1" s="37">
      <c r="A630" s="9">
        <f>IF(C630="","","UM"&amp;TEXT(ROW()-1,"00000"))</f>
        <v/>
      </c>
      <c r="B630" s="9" t="n"/>
      <c r="C630" s="9" t="n"/>
      <c r="D630" s="9" t="n"/>
      <c r="E630" s="9" t="n"/>
      <c r="F630" s="9">
        <f>IF(E630="","",DATEDIF(E630,DATE(2026,12,31),"Y"))</f>
        <v/>
      </c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4.25" customHeight="1" s="37">
      <c r="A631" s="9">
        <f>IF(C631="","","UM"&amp;TEXT(ROW()-1,"00000"))</f>
        <v/>
      </c>
      <c r="B631" s="9" t="n"/>
      <c r="C631" s="9" t="n"/>
      <c r="D631" s="9" t="n"/>
      <c r="E631" s="9" t="n"/>
      <c r="F631" s="9">
        <f>IF(E631="","",DATEDIF(E631,DATE(2026,12,31),"Y"))</f>
        <v/>
      </c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4.25" customHeight="1" s="37">
      <c r="A632" s="9">
        <f>IF(C632="","","UM"&amp;TEXT(ROW()-1,"00000"))</f>
        <v/>
      </c>
      <c r="B632" s="9" t="n"/>
      <c r="C632" s="9" t="n"/>
      <c r="D632" s="9" t="n"/>
      <c r="E632" s="9" t="n"/>
      <c r="F632" s="9">
        <f>IF(E632="","",DATEDIF(E632,DATE(2026,12,31),"Y"))</f>
        <v/>
      </c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4.25" customHeight="1" s="37">
      <c r="A633" s="9">
        <f>IF(C633="","","UM"&amp;TEXT(ROW()-1,"00000"))</f>
        <v/>
      </c>
      <c r="B633" s="9" t="n"/>
      <c r="C633" s="9" t="n"/>
      <c r="D633" s="9" t="n"/>
      <c r="E633" s="9" t="n"/>
      <c r="F633" s="9">
        <f>IF(E633="","",DATEDIF(E633,DATE(2026,12,31),"Y"))</f>
        <v/>
      </c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4.25" customHeight="1" s="37">
      <c r="A634" s="9">
        <f>IF(C634="","","UM"&amp;TEXT(ROW()-1,"00000"))</f>
        <v/>
      </c>
      <c r="B634" s="9" t="n"/>
      <c r="C634" s="9" t="n"/>
      <c r="D634" s="9" t="n"/>
      <c r="E634" s="9" t="n"/>
      <c r="F634" s="9">
        <f>IF(E634="","",DATEDIF(E634,DATE(2026,12,31),"Y"))</f>
        <v/>
      </c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4.25" customHeight="1" s="37">
      <c r="A635" s="9">
        <f>IF(C635="","","UM"&amp;TEXT(ROW()-1,"00000"))</f>
        <v/>
      </c>
      <c r="B635" s="9" t="n"/>
      <c r="C635" s="9" t="n"/>
      <c r="D635" s="9" t="n"/>
      <c r="E635" s="9" t="n"/>
      <c r="F635" s="9">
        <f>IF(E635="","",DATEDIF(E635,DATE(2026,12,31),"Y"))</f>
        <v/>
      </c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4.25" customHeight="1" s="37">
      <c r="A636" s="9">
        <f>IF(C636="","","UM"&amp;TEXT(ROW()-1,"00000"))</f>
        <v/>
      </c>
      <c r="B636" s="9" t="n"/>
      <c r="C636" s="9" t="n"/>
      <c r="D636" s="9" t="n"/>
      <c r="E636" s="9" t="n"/>
      <c r="F636" s="9">
        <f>IF(E636="","",DATEDIF(E636,DATE(2026,12,31),"Y"))</f>
        <v/>
      </c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4.25" customHeight="1" s="37">
      <c r="A637" s="9">
        <f>IF(C637="","","UM"&amp;TEXT(ROW()-1,"00000"))</f>
        <v/>
      </c>
      <c r="B637" s="9" t="n"/>
      <c r="C637" s="9" t="n"/>
      <c r="D637" s="9" t="n"/>
      <c r="E637" s="9" t="n"/>
      <c r="F637" s="9">
        <f>IF(E637="","",DATEDIF(E637,DATE(2026,12,31),"Y"))</f>
        <v/>
      </c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4.25" customHeight="1" s="37">
      <c r="A638" s="9">
        <f>IF(C638="","","UM"&amp;TEXT(ROW()-1,"00000"))</f>
        <v/>
      </c>
      <c r="B638" s="9" t="n"/>
      <c r="C638" s="9" t="n"/>
      <c r="D638" s="9" t="n"/>
      <c r="E638" s="9" t="n"/>
      <c r="F638" s="9">
        <f>IF(E638="","",DATEDIF(E638,DATE(2026,12,31),"Y"))</f>
        <v/>
      </c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4.25" customHeight="1" s="37">
      <c r="A639" s="9">
        <f>IF(C639="","","UM"&amp;TEXT(ROW()-1,"00000"))</f>
        <v/>
      </c>
      <c r="B639" s="9" t="n"/>
      <c r="C639" s="9" t="n"/>
      <c r="D639" s="9" t="n"/>
      <c r="E639" s="9" t="n"/>
      <c r="F639" s="9">
        <f>IF(E639="","",DATEDIF(E639,DATE(2026,12,31),"Y"))</f>
        <v/>
      </c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4.25" customHeight="1" s="37">
      <c r="A640" s="9">
        <f>IF(C640="","","UM"&amp;TEXT(ROW()-1,"00000"))</f>
        <v/>
      </c>
      <c r="B640" s="9" t="n"/>
      <c r="C640" s="9" t="n"/>
      <c r="D640" s="9" t="n"/>
      <c r="E640" s="9" t="n"/>
      <c r="F640" s="9">
        <f>IF(E640="","",DATEDIF(E640,DATE(2026,12,31),"Y"))</f>
        <v/>
      </c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4.25" customHeight="1" s="37">
      <c r="A641" s="9">
        <f>IF(C641="","","UM"&amp;TEXT(ROW()-1,"00000"))</f>
        <v/>
      </c>
      <c r="B641" s="9" t="n"/>
      <c r="C641" s="9" t="n"/>
      <c r="D641" s="9" t="n"/>
      <c r="E641" s="9" t="n"/>
      <c r="F641" s="9">
        <f>IF(E641="","",DATEDIF(E641,DATE(2026,12,31),"Y"))</f>
        <v/>
      </c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4.25" customHeight="1" s="37">
      <c r="A642" s="9">
        <f>IF(C642="","","UM"&amp;TEXT(ROW()-1,"00000"))</f>
        <v/>
      </c>
      <c r="B642" s="9" t="n"/>
      <c r="C642" s="9" t="n"/>
      <c r="D642" s="9" t="n"/>
      <c r="E642" s="9" t="n"/>
      <c r="F642" s="9">
        <f>IF(E642="","",DATEDIF(E642,DATE(2026,12,31),"Y"))</f>
        <v/>
      </c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4.25" customHeight="1" s="37">
      <c r="A643" s="9">
        <f>IF(C643="","","UM"&amp;TEXT(ROW()-1,"00000"))</f>
        <v/>
      </c>
      <c r="B643" s="9" t="n"/>
      <c r="C643" s="9" t="n"/>
      <c r="D643" s="9" t="n"/>
      <c r="E643" s="9" t="n"/>
      <c r="F643" s="9">
        <f>IF(E643="","",DATEDIF(E643,DATE(2026,12,31),"Y"))</f>
        <v/>
      </c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4.25" customHeight="1" s="37">
      <c r="A644" s="9">
        <f>IF(C644="","","UM"&amp;TEXT(ROW()-1,"00000"))</f>
        <v/>
      </c>
      <c r="B644" s="9" t="n"/>
      <c r="C644" s="9" t="n"/>
      <c r="D644" s="9" t="n"/>
      <c r="E644" s="9" t="n"/>
      <c r="F644" s="9">
        <f>IF(E644="","",DATEDIF(E644,DATE(2026,12,31),"Y"))</f>
        <v/>
      </c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4.25" customHeight="1" s="37">
      <c r="A645" s="9">
        <f>IF(C645="","","UM"&amp;TEXT(ROW()-1,"00000"))</f>
        <v/>
      </c>
      <c r="B645" s="9" t="n"/>
      <c r="C645" s="9" t="n"/>
      <c r="D645" s="9" t="n"/>
      <c r="E645" s="9" t="n"/>
      <c r="F645" s="9">
        <f>IF(E645="","",DATEDIF(E645,DATE(2026,12,31),"Y"))</f>
        <v/>
      </c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4.25" customHeight="1" s="37">
      <c r="A646" s="9">
        <f>IF(C646="","","UM"&amp;TEXT(ROW()-1,"00000"))</f>
        <v/>
      </c>
      <c r="B646" s="9" t="n"/>
      <c r="C646" s="9" t="n"/>
      <c r="D646" s="9" t="n"/>
      <c r="E646" s="9" t="n"/>
      <c r="F646" s="9">
        <f>IF(E646="","",DATEDIF(E646,DATE(2026,12,31),"Y"))</f>
        <v/>
      </c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4.25" customHeight="1" s="37">
      <c r="A647" s="9">
        <f>IF(C647="","","UM"&amp;TEXT(ROW()-1,"00000"))</f>
        <v/>
      </c>
      <c r="B647" s="9" t="n"/>
      <c r="C647" s="9" t="n"/>
      <c r="D647" s="9" t="n"/>
      <c r="E647" s="9" t="n"/>
      <c r="F647" s="9">
        <f>IF(E647="","",DATEDIF(E647,DATE(2026,12,31),"Y"))</f>
        <v/>
      </c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4.25" customHeight="1" s="37">
      <c r="A648" s="9">
        <f>IF(C648="","","UM"&amp;TEXT(ROW()-1,"00000"))</f>
        <v/>
      </c>
      <c r="B648" s="9" t="n"/>
      <c r="C648" s="9" t="n"/>
      <c r="D648" s="9" t="n"/>
      <c r="E648" s="9" t="n"/>
      <c r="F648" s="9">
        <f>IF(E648="","",DATEDIF(E648,DATE(2026,12,31),"Y"))</f>
        <v/>
      </c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4.25" customHeight="1" s="37">
      <c r="A649" s="9">
        <f>IF(C649="","","UM"&amp;TEXT(ROW()-1,"00000"))</f>
        <v/>
      </c>
      <c r="B649" s="9" t="n"/>
      <c r="C649" s="9" t="n"/>
      <c r="D649" s="9" t="n"/>
      <c r="E649" s="9" t="n"/>
      <c r="F649" s="9">
        <f>IF(E649="","",DATEDIF(E649,DATE(2026,12,31),"Y"))</f>
        <v/>
      </c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4.25" customHeight="1" s="37">
      <c r="A650" s="9">
        <f>IF(C650="","","UM"&amp;TEXT(ROW()-1,"00000"))</f>
        <v/>
      </c>
      <c r="B650" s="9" t="n"/>
      <c r="C650" s="9" t="n"/>
      <c r="D650" s="9" t="n"/>
      <c r="E650" s="9" t="n"/>
      <c r="F650" s="9">
        <f>IF(E650="","",DATEDIF(E650,DATE(2026,12,31),"Y"))</f>
        <v/>
      </c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4.25" customHeight="1" s="37">
      <c r="A651" s="9">
        <f>IF(C651="","","UM"&amp;TEXT(ROW()-1,"00000"))</f>
        <v/>
      </c>
      <c r="B651" s="9" t="n"/>
      <c r="C651" s="9" t="n"/>
      <c r="D651" s="9" t="n"/>
      <c r="E651" s="9" t="n"/>
      <c r="F651" s="9">
        <f>IF(E651="","",DATEDIF(E651,DATE(2026,12,31),"Y"))</f>
        <v/>
      </c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4.25" customHeight="1" s="37">
      <c r="A652" s="9">
        <f>IF(C652="","","UM"&amp;TEXT(ROW()-1,"00000"))</f>
        <v/>
      </c>
      <c r="B652" s="9" t="n"/>
      <c r="C652" s="9" t="n"/>
      <c r="D652" s="9" t="n"/>
      <c r="E652" s="9" t="n"/>
      <c r="F652" s="9">
        <f>IF(E652="","",DATEDIF(E652,DATE(2026,12,31),"Y"))</f>
        <v/>
      </c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4.25" customHeight="1" s="37">
      <c r="A653" s="9">
        <f>IF(C653="","","UM"&amp;TEXT(ROW()-1,"00000"))</f>
        <v/>
      </c>
      <c r="B653" s="9" t="n"/>
      <c r="C653" s="9" t="n"/>
      <c r="D653" s="9" t="n"/>
      <c r="E653" s="9" t="n"/>
      <c r="F653" s="9">
        <f>IF(E653="","",DATEDIF(E653,DATE(2026,12,31),"Y"))</f>
        <v/>
      </c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4.25" customHeight="1" s="37">
      <c r="A654" s="9">
        <f>IF(C654="","","UM"&amp;TEXT(ROW()-1,"00000"))</f>
        <v/>
      </c>
      <c r="B654" s="9" t="n"/>
      <c r="C654" s="9" t="n"/>
      <c r="D654" s="9" t="n"/>
      <c r="E654" s="9" t="n"/>
      <c r="F654" s="9">
        <f>IF(E654="","",DATEDIF(E654,DATE(2026,12,31),"Y"))</f>
        <v/>
      </c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4.25" customHeight="1" s="37">
      <c r="A655" s="9">
        <f>IF(C655="","","UM"&amp;TEXT(ROW()-1,"00000"))</f>
        <v/>
      </c>
      <c r="B655" s="9" t="n"/>
      <c r="C655" s="9" t="n"/>
      <c r="D655" s="9" t="n"/>
      <c r="E655" s="9" t="n"/>
      <c r="F655" s="9">
        <f>IF(E655="","",DATEDIF(E655,DATE(2026,12,31),"Y"))</f>
        <v/>
      </c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4.25" customHeight="1" s="37">
      <c r="A656" s="9">
        <f>IF(C656="","","UM"&amp;TEXT(ROW()-1,"00000"))</f>
        <v/>
      </c>
      <c r="B656" s="9" t="n"/>
      <c r="C656" s="9" t="n"/>
      <c r="D656" s="9" t="n"/>
      <c r="E656" s="9" t="n"/>
      <c r="F656" s="9">
        <f>IF(E656="","",DATEDIF(E656,DATE(2026,12,31),"Y"))</f>
        <v/>
      </c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4.25" customHeight="1" s="37">
      <c r="A657" s="9">
        <f>IF(C657="","","UM"&amp;TEXT(ROW()-1,"00000"))</f>
        <v/>
      </c>
      <c r="B657" s="9" t="n"/>
      <c r="C657" s="9" t="n"/>
      <c r="D657" s="9" t="n"/>
      <c r="E657" s="9" t="n"/>
      <c r="F657" s="9">
        <f>IF(E657="","",DATEDIF(E657,DATE(2026,12,31),"Y"))</f>
        <v/>
      </c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4.25" customHeight="1" s="37">
      <c r="A658" s="9">
        <f>IF(C658="","","UM"&amp;TEXT(ROW()-1,"00000"))</f>
        <v/>
      </c>
      <c r="B658" s="9" t="n"/>
      <c r="C658" s="9" t="n"/>
      <c r="D658" s="9" t="n"/>
      <c r="E658" s="9" t="n"/>
      <c r="F658" s="9">
        <f>IF(E658="","",DATEDIF(E658,DATE(2026,12,31),"Y"))</f>
        <v/>
      </c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4.25" customHeight="1" s="37">
      <c r="A659" s="9">
        <f>IF(C659="","","UM"&amp;TEXT(ROW()-1,"00000"))</f>
        <v/>
      </c>
      <c r="B659" s="9" t="n"/>
      <c r="C659" s="9" t="n"/>
      <c r="D659" s="9" t="n"/>
      <c r="E659" s="9" t="n"/>
      <c r="F659" s="9">
        <f>IF(E659="","",DATEDIF(E659,DATE(2026,12,31),"Y"))</f>
        <v/>
      </c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4.25" customHeight="1" s="37">
      <c r="A660" s="9">
        <f>IF(C660="","","UM"&amp;TEXT(ROW()-1,"00000"))</f>
        <v/>
      </c>
      <c r="B660" s="9" t="n"/>
      <c r="C660" s="9" t="n"/>
      <c r="D660" s="9" t="n"/>
      <c r="E660" s="9" t="n"/>
      <c r="F660" s="9">
        <f>IF(E660="","",DATEDIF(E660,DATE(2026,12,31),"Y"))</f>
        <v/>
      </c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4.25" customHeight="1" s="37">
      <c r="A661" s="9">
        <f>IF(C661="","","UM"&amp;TEXT(ROW()-1,"00000"))</f>
        <v/>
      </c>
      <c r="B661" s="9" t="n"/>
      <c r="C661" s="9" t="n"/>
      <c r="D661" s="9" t="n"/>
      <c r="E661" s="9" t="n"/>
      <c r="F661" s="9">
        <f>IF(E661="","",DATEDIF(E661,DATE(2026,12,31),"Y"))</f>
        <v/>
      </c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4.25" customHeight="1" s="37">
      <c r="A662" s="9">
        <f>IF(C662="","","UM"&amp;TEXT(ROW()-1,"00000"))</f>
        <v/>
      </c>
      <c r="B662" s="9" t="n"/>
      <c r="C662" s="9" t="n"/>
      <c r="D662" s="9" t="n"/>
      <c r="E662" s="9" t="n"/>
      <c r="F662" s="9">
        <f>IF(E662="","",DATEDIF(E662,DATE(2026,12,31),"Y"))</f>
        <v/>
      </c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4.25" customHeight="1" s="37">
      <c r="A663" s="9">
        <f>IF(C663="","","UM"&amp;TEXT(ROW()-1,"00000"))</f>
        <v/>
      </c>
      <c r="B663" s="9" t="n"/>
      <c r="C663" s="9" t="n"/>
      <c r="D663" s="9" t="n"/>
      <c r="E663" s="9" t="n"/>
      <c r="F663" s="9">
        <f>IF(E663="","",DATEDIF(E663,DATE(2026,12,31),"Y"))</f>
        <v/>
      </c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4.25" customHeight="1" s="37">
      <c r="A664" s="9">
        <f>IF(C664="","","UM"&amp;TEXT(ROW()-1,"00000"))</f>
        <v/>
      </c>
      <c r="B664" s="9" t="n"/>
      <c r="C664" s="9" t="n"/>
      <c r="D664" s="9" t="n"/>
      <c r="E664" s="9" t="n"/>
      <c r="F664" s="9">
        <f>IF(E664="","",DATEDIF(E664,DATE(2026,12,31),"Y"))</f>
        <v/>
      </c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4.25" customHeight="1" s="37">
      <c r="A665" s="9">
        <f>IF(C665="","","UM"&amp;TEXT(ROW()-1,"00000"))</f>
        <v/>
      </c>
      <c r="B665" s="9" t="n"/>
      <c r="C665" s="9" t="n"/>
      <c r="D665" s="9" t="n"/>
      <c r="E665" s="9" t="n"/>
      <c r="F665" s="9">
        <f>IF(E665="","",DATEDIF(E665,DATE(2026,12,31),"Y"))</f>
        <v/>
      </c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4.25" customHeight="1" s="37">
      <c r="A666" s="9">
        <f>IF(C666="","","UM"&amp;TEXT(ROW()-1,"00000"))</f>
        <v/>
      </c>
      <c r="B666" s="9" t="n"/>
      <c r="C666" s="9" t="n"/>
      <c r="D666" s="9" t="n"/>
      <c r="E666" s="9" t="n"/>
      <c r="F666" s="9">
        <f>IF(E666="","",DATEDIF(E666,DATE(2026,12,31),"Y"))</f>
        <v/>
      </c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4.25" customHeight="1" s="37">
      <c r="A667" s="9">
        <f>IF(C667="","","UM"&amp;TEXT(ROW()-1,"00000"))</f>
        <v/>
      </c>
      <c r="B667" s="9" t="n"/>
      <c r="C667" s="9" t="n"/>
      <c r="D667" s="9" t="n"/>
      <c r="E667" s="9" t="n"/>
      <c r="F667" s="9">
        <f>IF(E667="","",DATEDIF(E667,DATE(2026,12,31),"Y"))</f>
        <v/>
      </c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4.25" customHeight="1" s="37">
      <c r="A668" s="9">
        <f>IF(C668="","","UM"&amp;TEXT(ROW()-1,"00000"))</f>
        <v/>
      </c>
      <c r="B668" s="9" t="n"/>
      <c r="C668" s="9" t="n"/>
      <c r="D668" s="9" t="n"/>
      <c r="E668" s="9" t="n"/>
      <c r="F668" s="9">
        <f>IF(E668="","",DATEDIF(E668,DATE(2026,12,31),"Y"))</f>
        <v/>
      </c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4.25" customHeight="1" s="37">
      <c r="A669" s="9">
        <f>IF(C669="","","UM"&amp;TEXT(ROW()-1,"00000"))</f>
        <v/>
      </c>
      <c r="B669" s="9" t="n"/>
      <c r="C669" s="9" t="n"/>
      <c r="D669" s="9" t="n"/>
      <c r="E669" s="9" t="n"/>
      <c r="F669" s="9">
        <f>IF(E669="","",DATEDIF(E669,DATE(2026,12,31),"Y"))</f>
        <v/>
      </c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4.25" customHeight="1" s="37">
      <c r="A670" s="9">
        <f>IF(C670="","","UM"&amp;TEXT(ROW()-1,"00000"))</f>
        <v/>
      </c>
      <c r="B670" s="9" t="n"/>
      <c r="C670" s="9" t="n"/>
      <c r="D670" s="9" t="n"/>
      <c r="E670" s="9" t="n"/>
      <c r="F670" s="9">
        <f>IF(E670="","",DATEDIF(E670,DATE(2026,12,31),"Y"))</f>
        <v/>
      </c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4.25" customHeight="1" s="37">
      <c r="A671" s="9">
        <f>IF(C671="","","UM"&amp;TEXT(ROW()-1,"00000"))</f>
        <v/>
      </c>
      <c r="B671" s="9" t="n"/>
      <c r="C671" s="9" t="n"/>
      <c r="D671" s="9" t="n"/>
      <c r="E671" s="9" t="n"/>
      <c r="F671" s="9">
        <f>IF(E671="","",DATEDIF(E671,DATE(2026,12,31),"Y"))</f>
        <v/>
      </c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4.25" customHeight="1" s="37">
      <c r="A672" s="9">
        <f>IF(C672="","","UM"&amp;TEXT(ROW()-1,"00000"))</f>
        <v/>
      </c>
      <c r="B672" s="9" t="n"/>
      <c r="C672" s="9" t="n"/>
      <c r="D672" s="9" t="n"/>
      <c r="E672" s="9" t="n"/>
      <c r="F672" s="9">
        <f>IF(E672="","",DATEDIF(E672,DATE(2026,12,31),"Y"))</f>
        <v/>
      </c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4.25" customHeight="1" s="37">
      <c r="A673" s="9">
        <f>IF(C673="","","UM"&amp;TEXT(ROW()-1,"00000"))</f>
        <v/>
      </c>
      <c r="B673" s="9" t="n"/>
      <c r="C673" s="9" t="n"/>
      <c r="D673" s="9" t="n"/>
      <c r="E673" s="9" t="n"/>
      <c r="F673" s="9">
        <f>IF(E673="","",DATEDIF(E673,DATE(2026,12,31),"Y"))</f>
        <v/>
      </c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4.25" customHeight="1" s="37">
      <c r="A674" s="9">
        <f>IF(C674="","","UM"&amp;TEXT(ROW()-1,"00000"))</f>
        <v/>
      </c>
      <c r="B674" s="9" t="n"/>
      <c r="C674" s="9" t="n"/>
      <c r="D674" s="9" t="n"/>
      <c r="E674" s="9" t="n"/>
      <c r="F674" s="9">
        <f>IF(E674="","",DATEDIF(E674,DATE(2026,12,31),"Y"))</f>
        <v/>
      </c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4.25" customHeight="1" s="37">
      <c r="A675" s="9">
        <f>IF(C675="","","UM"&amp;TEXT(ROW()-1,"00000"))</f>
        <v/>
      </c>
      <c r="B675" s="9" t="n"/>
      <c r="C675" s="9" t="n"/>
      <c r="D675" s="9" t="n"/>
      <c r="E675" s="9" t="n"/>
      <c r="F675" s="9">
        <f>IF(E675="","",DATEDIF(E675,DATE(2026,12,31),"Y"))</f>
        <v/>
      </c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4.25" customHeight="1" s="37">
      <c r="A676" s="9">
        <f>IF(C676="","","UM"&amp;TEXT(ROW()-1,"00000"))</f>
        <v/>
      </c>
      <c r="B676" s="9" t="n"/>
      <c r="C676" s="9" t="n"/>
      <c r="D676" s="9" t="n"/>
      <c r="E676" s="9" t="n"/>
      <c r="F676" s="9">
        <f>IF(E676="","",DATEDIF(E676,DATE(2026,12,31),"Y"))</f>
        <v/>
      </c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4.25" customHeight="1" s="37">
      <c r="A677" s="9">
        <f>IF(C677="","","UM"&amp;TEXT(ROW()-1,"00000"))</f>
        <v/>
      </c>
      <c r="B677" s="9" t="n"/>
      <c r="C677" s="9" t="n"/>
      <c r="D677" s="9" t="n"/>
      <c r="E677" s="9" t="n"/>
      <c r="F677" s="9">
        <f>IF(E677="","",DATEDIF(E677,DATE(2026,12,31),"Y"))</f>
        <v/>
      </c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4.25" customHeight="1" s="37">
      <c r="A678" s="9">
        <f>IF(C678="","","UM"&amp;TEXT(ROW()-1,"00000"))</f>
        <v/>
      </c>
      <c r="B678" s="9" t="n"/>
      <c r="C678" s="9" t="n"/>
      <c r="D678" s="9" t="n"/>
      <c r="E678" s="9" t="n"/>
      <c r="F678" s="9">
        <f>IF(E678="","",DATEDIF(E678,DATE(2026,12,31),"Y"))</f>
        <v/>
      </c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4.25" customHeight="1" s="37">
      <c r="A679" s="9">
        <f>IF(C679="","","UM"&amp;TEXT(ROW()-1,"00000"))</f>
        <v/>
      </c>
      <c r="B679" s="9" t="n"/>
      <c r="C679" s="9" t="n"/>
      <c r="D679" s="9" t="n"/>
      <c r="E679" s="9" t="n"/>
      <c r="F679" s="9">
        <f>IF(E679="","",DATEDIF(E679,DATE(2026,12,31),"Y"))</f>
        <v/>
      </c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4.25" customHeight="1" s="37">
      <c r="A680" s="9">
        <f>IF(C680="","","UM"&amp;TEXT(ROW()-1,"00000"))</f>
        <v/>
      </c>
      <c r="B680" s="9" t="n"/>
      <c r="C680" s="9" t="n"/>
      <c r="D680" s="9" t="n"/>
      <c r="E680" s="9" t="n"/>
      <c r="F680" s="9">
        <f>IF(E680="","",DATEDIF(E680,DATE(2026,12,31),"Y"))</f>
        <v/>
      </c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4.25" customHeight="1" s="37">
      <c r="A681" s="9">
        <f>IF(C681="","","UM"&amp;TEXT(ROW()-1,"00000"))</f>
        <v/>
      </c>
      <c r="B681" s="9" t="n"/>
      <c r="C681" s="9" t="n"/>
      <c r="D681" s="9" t="n"/>
      <c r="E681" s="9" t="n"/>
      <c r="F681" s="9">
        <f>IF(E681="","",DATEDIF(E681,DATE(2026,12,31),"Y"))</f>
        <v/>
      </c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4.25" customHeight="1" s="37">
      <c r="A682" s="9">
        <f>IF(C682="","","UM"&amp;TEXT(ROW()-1,"00000"))</f>
        <v/>
      </c>
      <c r="B682" s="9" t="n"/>
      <c r="C682" s="9" t="n"/>
      <c r="D682" s="9" t="n"/>
      <c r="E682" s="9" t="n"/>
      <c r="F682" s="9">
        <f>IF(E682="","",DATEDIF(E682,DATE(2026,12,31),"Y"))</f>
        <v/>
      </c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4.25" customHeight="1" s="37">
      <c r="A683" s="9">
        <f>IF(C683="","","UM"&amp;TEXT(ROW()-1,"00000"))</f>
        <v/>
      </c>
      <c r="B683" s="9" t="n"/>
      <c r="C683" s="9" t="n"/>
      <c r="D683" s="9" t="n"/>
      <c r="E683" s="9" t="n"/>
      <c r="F683" s="9">
        <f>IF(E683="","",DATEDIF(E683,DATE(2026,12,31),"Y"))</f>
        <v/>
      </c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4.25" customHeight="1" s="37">
      <c r="A684" s="9">
        <f>IF(C684="","","UM"&amp;TEXT(ROW()-1,"00000"))</f>
        <v/>
      </c>
      <c r="B684" s="9" t="n"/>
      <c r="C684" s="9" t="n"/>
      <c r="D684" s="9" t="n"/>
      <c r="E684" s="9" t="n"/>
      <c r="F684" s="9">
        <f>IF(E684="","",DATEDIF(E684,DATE(2026,12,31),"Y"))</f>
        <v/>
      </c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4.25" customHeight="1" s="37">
      <c r="A685" s="9">
        <f>IF(C685="","","UM"&amp;TEXT(ROW()-1,"00000"))</f>
        <v/>
      </c>
      <c r="B685" s="9" t="n"/>
      <c r="C685" s="9" t="n"/>
      <c r="D685" s="9" t="n"/>
      <c r="E685" s="9" t="n"/>
      <c r="F685" s="9">
        <f>IF(E685="","",DATEDIF(E685,DATE(2026,12,31),"Y"))</f>
        <v/>
      </c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4.25" customHeight="1" s="37">
      <c r="A686" s="9">
        <f>IF(C686="","","UM"&amp;TEXT(ROW()-1,"00000"))</f>
        <v/>
      </c>
      <c r="B686" s="9" t="n"/>
      <c r="C686" s="9" t="n"/>
      <c r="D686" s="9" t="n"/>
      <c r="E686" s="9" t="n"/>
      <c r="F686" s="9">
        <f>IF(E686="","",DATEDIF(E686,DATE(2026,12,31),"Y"))</f>
        <v/>
      </c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4.25" customHeight="1" s="37">
      <c r="A687" s="9">
        <f>IF(C687="","","UM"&amp;TEXT(ROW()-1,"00000"))</f>
        <v/>
      </c>
      <c r="B687" s="9" t="n"/>
      <c r="C687" s="9" t="n"/>
      <c r="D687" s="9" t="n"/>
      <c r="E687" s="9" t="n"/>
      <c r="F687" s="9">
        <f>IF(E687="","",DATEDIF(E687,DATE(2026,12,31),"Y"))</f>
        <v/>
      </c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4.25" customHeight="1" s="37">
      <c r="A688" s="9">
        <f>IF(C688="","","UM"&amp;TEXT(ROW()-1,"00000"))</f>
        <v/>
      </c>
      <c r="B688" s="9" t="n"/>
      <c r="C688" s="9" t="n"/>
      <c r="D688" s="9" t="n"/>
      <c r="E688" s="9" t="n"/>
      <c r="F688" s="9">
        <f>IF(E688="","",DATEDIF(E688,DATE(2026,12,31),"Y"))</f>
        <v/>
      </c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4.25" customHeight="1" s="37">
      <c r="A689" s="9">
        <f>IF(C689="","","UM"&amp;TEXT(ROW()-1,"00000"))</f>
        <v/>
      </c>
      <c r="B689" s="9" t="n"/>
      <c r="C689" s="9" t="n"/>
      <c r="D689" s="9" t="n"/>
      <c r="E689" s="9" t="n"/>
      <c r="F689" s="9">
        <f>IF(E689="","",DATEDIF(E689,DATE(2026,12,31),"Y"))</f>
        <v/>
      </c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4.25" customHeight="1" s="37">
      <c r="A690" s="9">
        <f>IF(C690="","","UM"&amp;TEXT(ROW()-1,"00000"))</f>
        <v/>
      </c>
      <c r="B690" s="9" t="n"/>
      <c r="C690" s="9" t="n"/>
      <c r="D690" s="9" t="n"/>
      <c r="E690" s="9" t="n"/>
      <c r="F690" s="9">
        <f>IF(E690="","",DATEDIF(E690,DATE(2026,12,31),"Y"))</f>
        <v/>
      </c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4.25" customHeight="1" s="37">
      <c r="A691" s="9">
        <f>IF(C691="","","UM"&amp;TEXT(ROW()-1,"00000"))</f>
        <v/>
      </c>
      <c r="B691" s="9" t="n"/>
      <c r="C691" s="9" t="n"/>
      <c r="D691" s="9" t="n"/>
      <c r="E691" s="9" t="n"/>
      <c r="F691" s="9">
        <f>IF(E691="","",DATEDIF(E691,DATE(2026,12,31),"Y"))</f>
        <v/>
      </c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4.25" customHeight="1" s="37">
      <c r="A692" s="9">
        <f>IF(C692="","","UM"&amp;TEXT(ROW()-1,"00000"))</f>
        <v/>
      </c>
      <c r="B692" s="9" t="n"/>
      <c r="C692" s="9" t="n"/>
      <c r="D692" s="9" t="n"/>
      <c r="E692" s="9" t="n"/>
      <c r="F692" s="9">
        <f>IF(E692="","",DATEDIF(E692,DATE(2026,12,31),"Y"))</f>
        <v/>
      </c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4.25" customHeight="1" s="37">
      <c r="A693" s="9">
        <f>IF(C693="","","UM"&amp;TEXT(ROW()-1,"00000"))</f>
        <v/>
      </c>
      <c r="B693" s="9" t="n"/>
      <c r="C693" s="9" t="n"/>
      <c r="D693" s="9" t="n"/>
      <c r="E693" s="9" t="n"/>
      <c r="F693" s="9">
        <f>IF(E693="","",DATEDIF(E693,DATE(2026,12,31),"Y"))</f>
        <v/>
      </c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4.25" customHeight="1" s="37">
      <c r="A694" s="9">
        <f>IF(C694="","","UM"&amp;TEXT(ROW()-1,"00000"))</f>
        <v/>
      </c>
      <c r="B694" s="9" t="n"/>
      <c r="C694" s="9" t="n"/>
      <c r="D694" s="9" t="n"/>
      <c r="E694" s="9" t="n"/>
      <c r="F694" s="9">
        <f>IF(E694="","",DATEDIF(E694,DATE(2026,12,31),"Y"))</f>
        <v/>
      </c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4.25" customHeight="1" s="37">
      <c r="A695" s="9">
        <f>IF(C695="","","UM"&amp;TEXT(ROW()-1,"00000"))</f>
        <v/>
      </c>
      <c r="B695" s="9" t="n"/>
      <c r="C695" s="9" t="n"/>
      <c r="D695" s="9" t="n"/>
      <c r="E695" s="9" t="n"/>
      <c r="F695" s="9">
        <f>IF(E695="","",DATEDIF(E695,DATE(2026,12,31),"Y"))</f>
        <v/>
      </c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4.25" customHeight="1" s="37">
      <c r="A696" s="9">
        <f>IF(C696="","","UM"&amp;TEXT(ROW()-1,"00000"))</f>
        <v/>
      </c>
      <c r="B696" s="9" t="n"/>
      <c r="C696" s="9" t="n"/>
      <c r="D696" s="9" t="n"/>
      <c r="E696" s="9" t="n"/>
      <c r="F696" s="9">
        <f>IF(E696="","",DATEDIF(E696,DATE(2026,12,31),"Y"))</f>
        <v/>
      </c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4.25" customHeight="1" s="37">
      <c r="A697" s="9">
        <f>IF(C697="","","UM"&amp;TEXT(ROW()-1,"00000"))</f>
        <v/>
      </c>
      <c r="B697" s="9" t="n"/>
      <c r="C697" s="9" t="n"/>
      <c r="D697" s="9" t="n"/>
      <c r="E697" s="9" t="n"/>
      <c r="F697" s="9">
        <f>IF(E697="","",DATEDIF(E697,DATE(2026,12,31),"Y"))</f>
        <v/>
      </c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4.25" customHeight="1" s="37">
      <c r="A698" s="9">
        <f>IF(C698="","","UM"&amp;TEXT(ROW()-1,"00000"))</f>
        <v/>
      </c>
      <c r="B698" s="9" t="n"/>
      <c r="C698" s="9" t="n"/>
      <c r="D698" s="9" t="n"/>
      <c r="E698" s="9" t="n"/>
      <c r="F698" s="9">
        <f>IF(E698="","",DATEDIF(E698,DATE(2026,12,31),"Y"))</f>
        <v/>
      </c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4.25" customHeight="1" s="37">
      <c r="A699" s="9">
        <f>IF(C699="","","UM"&amp;TEXT(ROW()-1,"00000"))</f>
        <v/>
      </c>
      <c r="B699" s="9" t="n"/>
      <c r="C699" s="9" t="n"/>
      <c r="D699" s="9" t="n"/>
      <c r="E699" s="9" t="n"/>
      <c r="F699" s="9">
        <f>IF(E699="","",DATEDIF(E699,DATE(2026,12,31),"Y"))</f>
        <v/>
      </c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4.25" customHeight="1" s="37">
      <c r="A700" s="9">
        <f>IF(C700="","","UM"&amp;TEXT(ROW()-1,"00000"))</f>
        <v/>
      </c>
      <c r="B700" s="9" t="n"/>
      <c r="C700" s="9" t="n"/>
      <c r="D700" s="9" t="n"/>
      <c r="E700" s="9" t="n"/>
      <c r="F700" s="9">
        <f>IF(E700="","",DATEDIF(E700,DATE(2026,12,31),"Y"))</f>
        <v/>
      </c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4.25" customHeight="1" s="37">
      <c r="A701" s="9">
        <f>IF(C701="","","UM"&amp;TEXT(ROW()-1,"00000"))</f>
        <v/>
      </c>
      <c r="B701" s="9" t="n"/>
      <c r="C701" s="9" t="n"/>
      <c r="D701" s="9" t="n"/>
      <c r="E701" s="9" t="n"/>
      <c r="F701" s="9">
        <f>IF(E701="","",DATEDIF(E701,DATE(2026,12,31),"Y"))</f>
        <v/>
      </c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4.25" customHeight="1" s="37">
      <c r="A702" s="9">
        <f>IF(C702="","","UM"&amp;TEXT(ROW()-1,"00000"))</f>
        <v/>
      </c>
      <c r="B702" s="9" t="n"/>
      <c r="C702" s="9" t="n"/>
      <c r="D702" s="9" t="n"/>
      <c r="E702" s="9" t="n"/>
      <c r="F702" s="9">
        <f>IF(E702="","",DATEDIF(E702,DATE(2026,12,31),"Y"))</f>
        <v/>
      </c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4.25" customHeight="1" s="37">
      <c r="A703" s="9">
        <f>IF(C703="","","UM"&amp;TEXT(ROW()-1,"00000"))</f>
        <v/>
      </c>
      <c r="B703" s="9" t="n"/>
      <c r="C703" s="9" t="n"/>
      <c r="D703" s="9" t="n"/>
      <c r="E703" s="9" t="n"/>
      <c r="F703" s="9">
        <f>IF(E703="","",DATEDIF(E703,DATE(2026,12,31),"Y"))</f>
        <v/>
      </c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4.25" customHeight="1" s="37">
      <c r="A704" s="9">
        <f>IF(C704="","","UM"&amp;TEXT(ROW()-1,"00000"))</f>
        <v/>
      </c>
      <c r="B704" s="9" t="n"/>
      <c r="C704" s="9" t="n"/>
      <c r="D704" s="9" t="n"/>
      <c r="E704" s="9" t="n"/>
      <c r="F704" s="9">
        <f>IF(E704="","",DATEDIF(E704,DATE(2026,12,31),"Y"))</f>
        <v/>
      </c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4.25" customHeight="1" s="37">
      <c r="A705" s="9">
        <f>IF(C705="","","UM"&amp;TEXT(ROW()-1,"00000"))</f>
        <v/>
      </c>
      <c r="B705" s="9" t="n"/>
      <c r="C705" s="9" t="n"/>
      <c r="D705" s="9" t="n"/>
      <c r="E705" s="9" t="n"/>
      <c r="F705" s="9">
        <f>IF(E705="","",DATEDIF(E705,DATE(2026,12,31),"Y"))</f>
        <v/>
      </c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4.25" customHeight="1" s="37">
      <c r="A706" s="9">
        <f>IF(C706="","","UM"&amp;TEXT(ROW()-1,"00000"))</f>
        <v/>
      </c>
      <c r="B706" s="9" t="n"/>
      <c r="C706" s="9" t="n"/>
      <c r="D706" s="9" t="n"/>
      <c r="E706" s="9" t="n"/>
      <c r="F706" s="9">
        <f>IF(E706="","",DATEDIF(E706,DATE(2026,12,31),"Y"))</f>
        <v/>
      </c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4.25" customHeight="1" s="37">
      <c r="A707" s="9">
        <f>IF(C707="","","UM"&amp;TEXT(ROW()-1,"00000"))</f>
        <v/>
      </c>
      <c r="B707" s="9" t="n"/>
      <c r="C707" s="9" t="n"/>
      <c r="D707" s="9" t="n"/>
      <c r="E707" s="9" t="n"/>
      <c r="F707" s="9">
        <f>IF(E707="","",DATEDIF(E707,DATE(2026,12,31),"Y"))</f>
        <v/>
      </c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4.25" customHeight="1" s="37">
      <c r="A708" s="9">
        <f>IF(C708="","","UM"&amp;TEXT(ROW()-1,"00000"))</f>
        <v/>
      </c>
      <c r="B708" s="9" t="n"/>
      <c r="C708" s="9" t="n"/>
      <c r="D708" s="9" t="n"/>
      <c r="E708" s="9" t="n"/>
      <c r="F708" s="9">
        <f>IF(E708="","",DATEDIF(E708,DATE(2026,12,31),"Y"))</f>
        <v/>
      </c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4.25" customHeight="1" s="37">
      <c r="A709" s="9">
        <f>IF(C709="","","UM"&amp;TEXT(ROW()-1,"00000"))</f>
        <v/>
      </c>
      <c r="B709" s="9" t="n"/>
      <c r="C709" s="9" t="n"/>
      <c r="D709" s="9" t="n"/>
      <c r="E709" s="9" t="n"/>
      <c r="F709" s="9">
        <f>IF(E709="","",DATEDIF(E709,DATE(2026,12,31),"Y"))</f>
        <v/>
      </c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4.25" customHeight="1" s="37">
      <c r="A710" s="9">
        <f>IF(C710="","","UM"&amp;TEXT(ROW()-1,"00000"))</f>
        <v/>
      </c>
      <c r="B710" s="9" t="n"/>
      <c r="C710" s="9" t="n"/>
      <c r="D710" s="9" t="n"/>
      <c r="E710" s="9" t="n"/>
      <c r="F710" s="9">
        <f>IF(E710="","",DATEDIF(E710,DATE(2026,12,31),"Y"))</f>
        <v/>
      </c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4.25" customHeight="1" s="37">
      <c r="A711" s="9">
        <f>IF(C711="","","UM"&amp;TEXT(ROW()-1,"00000"))</f>
        <v/>
      </c>
      <c r="B711" s="9" t="n"/>
      <c r="C711" s="9" t="n"/>
      <c r="D711" s="9" t="n"/>
      <c r="E711" s="9" t="n"/>
      <c r="F711" s="9">
        <f>IF(E711="","",DATEDIF(E711,DATE(2026,12,31),"Y"))</f>
        <v/>
      </c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4.25" customHeight="1" s="37">
      <c r="A712" s="9">
        <f>IF(C712="","","UM"&amp;TEXT(ROW()-1,"00000"))</f>
        <v/>
      </c>
      <c r="B712" s="9" t="n"/>
      <c r="C712" s="9" t="n"/>
      <c r="D712" s="9" t="n"/>
      <c r="E712" s="9" t="n"/>
      <c r="F712" s="9">
        <f>IF(E712="","",DATEDIF(E712,DATE(2026,12,31),"Y"))</f>
        <v/>
      </c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4.25" customHeight="1" s="37">
      <c r="A713" s="9">
        <f>IF(C713="","","UM"&amp;TEXT(ROW()-1,"00000"))</f>
        <v/>
      </c>
      <c r="B713" s="9" t="n"/>
      <c r="C713" s="9" t="n"/>
      <c r="D713" s="9" t="n"/>
      <c r="E713" s="9" t="n"/>
      <c r="F713" s="9">
        <f>IF(E713="","",DATEDIF(E713,DATE(2026,12,31),"Y"))</f>
        <v/>
      </c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4.25" customHeight="1" s="37">
      <c r="A714" s="9">
        <f>IF(C714="","","UM"&amp;TEXT(ROW()-1,"00000"))</f>
        <v/>
      </c>
      <c r="B714" s="9" t="n"/>
      <c r="C714" s="9" t="n"/>
      <c r="D714" s="9" t="n"/>
      <c r="E714" s="9" t="n"/>
      <c r="F714" s="9">
        <f>IF(E714="","",DATEDIF(E714,DATE(2026,12,31),"Y"))</f>
        <v/>
      </c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4.25" customHeight="1" s="37">
      <c r="A715" s="9">
        <f>IF(C715="","","UM"&amp;TEXT(ROW()-1,"00000"))</f>
        <v/>
      </c>
      <c r="B715" s="9" t="n"/>
      <c r="C715" s="9" t="n"/>
      <c r="D715" s="9" t="n"/>
      <c r="E715" s="9" t="n"/>
      <c r="F715" s="9">
        <f>IF(E715="","",DATEDIF(E715,DATE(2026,12,31),"Y"))</f>
        <v/>
      </c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4.25" customHeight="1" s="37">
      <c r="A716" s="9">
        <f>IF(C716="","","UM"&amp;TEXT(ROW()-1,"00000"))</f>
        <v/>
      </c>
      <c r="B716" s="9" t="n"/>
      <c r="C716" s="9" t="n"/>
      <c r="D716" s="9" t="n"/>
      <c r="E716" s="9" t="n"/>
      <c r="F716" s="9">
        <f>IF(E716="","",DATEDIF(E716,DATE(2026,12,31),"Y"))</f>
        <v/>
      </c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4.25" customHeight="1" s="37">
      <c r="A717" s="9">
        <f>IF(C717="","","UM"&amp;TEXT(ROW()-1,"00000"))</f>
        <v/>
      </c>
      <c r="B717" s="9" t="n"/>
      <c r="C717" s="9" t="n"/>
      <c r="D717" s="9" t="n"/>
      <c r="E717" s="9" t="n"/>
      <c r="F717" s="9">
        <f>IF(E717="","",DATEDIF(E717,DATE(2026,12,31),"Y"))</f>
        <v/>
      </c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4.25" customHeight="1" s="37">
      <c r="A718" s="9">
        <f>IF(C718="","","UM"&amp;TEXT(ROW()-1,"00000"))</f>
        <v/>
      </c>
      <c r="B718" s="9" t="n"/>
      <c r="C718" s="9" t="n"/>
      <c r="D718" s="9" t="n"/>
      <c r="E718" s="9" t="n"/>
      <c r="F718" s="9">
        <f>IF(E718="","",DATEDIF(E718,DATE(2026,12,31),"Y"))</f>
        <v/>
      </c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4.25" customHeight="1" s="37">
      <c r="A719" s="9">
        <f>IF(C719="","","UM"&amp;TEXT(ROW()-1,"00000"))</f>
        <v/>
      </c>
      <c r="B719" s="9" t="n"/>
      <c r="C719" s="9" t="n"/>
      <c r="D719" s="9" t="n"/>
      <c r="E719" s="9" t="n"/>
      <c r="F719" s="9">
        <f>IF(E719="","",DATEDIF(E719,DATE(2026,12,31),"Y"))</f>
        <v/>
      </c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4.25" customHeight="1" s="37">
      <c r="A720" s="9">
        <f>IF(C720="","","UM"&amp;TEXT(ROW()-1,"00000"))</f>
        <v/>
      </c>
      <c r="B720" s="9" t="n"/>
      <c r="C720" s="9" t="n"/>
      <c r="D720" s="9" t="n"/>
      <c r="E720" s="9" t="n"/>
      <c r="F720" s="9">
        <f>IF(E720="","",DATEDIF(E720,DATE(2026,12,31),"Y"))</f>
        <v/>
      </c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4.25" customHeight="1" s="37">
      <c r="A721" s="9">
        <f>IF(C721="","","UM"&amp;TEXT(ROW()-1,"00000"))</f>
        <v/>
      </c>
      <c r="B721" s="9" t="n"/>
      <c r="C721" s="9" t="n"/>
      <c r="D721" s="9" t="n"/>
      <c r="E721" s="9" t="n"/>
      <c r="F721" s="9">
        <f>IF(E721="","",DATEDIF(E721,DATE(2026,12,31),"Y"))</f>
        <v/>
      </c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4.25" customHeight="1" s="37">
      <c r="A722" s="9">
        <f>IF(C722="","","UM"&amp;TEXT(ROW()-1,"00000"))</f>
        <v/>
      </c>
      <c r="B722" s="9" t="n"/>
      <c r="C722" s="9" t="n"/>
      <c r="D722" s="9" t="n"/>
      <c r="E722" s="9" t="n"/>
      <c r="F722" s="9">
        <f>IF(E722="","",DATEDIF(E722,DATE(2026,12,31),"Y"))</f>
        <v/>
      </c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4.25" customHeight="1" s="37">
      <c r="A723" s="9">
        <f>IF(C723="","","UM"&amp;TEXT(ROW()-1,"00000"))</f>
        <v/>
      </c>
      <c r="B723" s="9" t="n"/>
      <c r="C723" s="9" t="n"/>
      <c r="D723" s="9" t="n"/>
      <c r="E723" s="9" t="n"/>
      <c r="F723" s="9">
        <f>IF(E723="","",DATEDIF(E723,DATE(2026,12,31),"Y"))</f>
        <v/>
      </c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4.25" customHeight="1" s="37">
      <c r="A724" s="9">
        <f>IF(C724="","","UM"&amp;TEXT(ROW()-1,"00000"))</f>
        <v/>
      </c>
      <c r="B724" s="9" t="n"/>
      <c r="C724" s="9" t="n"/>
      <c r="D724" s="9" t="n"/>
      <c r="E724" s="9" t="n"/>
      <c r="F724" s="9">
        <f>IF(E724="","",DATEDIF(E724,DATE(2026,12,31),"Y"))</f>
        <v/>
      </c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4.25" customHeight="1" s="37">
      <c r="A725" s="9">
        <f>IF(C725="","","UM"&amp;TEXT(ROW()-1,"00000"))</f>
        <v/>
      </c>
      <c r="B725" s="9" t="n"/>
      <c r="C725" s="9" t="n"/>
      <c r="D725" s="9" t="n"/>
      <c r="E725" s="9" t="n"/>
      <c r="F725" s="9">
        <f>IF(E725="","",DATEDIF(E725,DATE(2026,12,31),"Y"))</f>
        <v/>
      </c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4.25" customHeight="1" s="37">
      <c r="A726" s="9">
        <f>IF(C726="","","UM"&amp;TEXT(ROW()-1,"00000"))</f>
        <v/>
      </c>
      <c r="B726" s="9" t="n"/>
      <c r="C726" s="9" t="n"/>
      <c r="D726" s="9" t="n"/>
      <c r="E726" s="9" t="n"/>
      <c r="F726" s="9">
        <f>IF(E726="","",DATEDIF(E726,DATE(2026,12,31),"Y"))</f>
        <v/>
      </c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4.25" customHeight="1" s="37">
      <c r="A727" s="9">
        <f>IF(C727="","","UM"&amp;TEXT(ROW()-1,"00000"))</f>
        <v/>
      </c>
      <c r="B727" s="9" t="n"/>
      <c r="C727" s="9" t="n"/>
      <c r="D727" s="9" t="n"/>
      <c r="E727" s="9" t="n"/>
      <c r="F727" s="9">
        <f>IF(E727="","",DATEDIF(E727,DATE(2026,12,31),"Y"))</f>
        <v/>
      </c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4.25" customHeight="1" s="37">
      <c r="A728" s="9">
        <f>IF(C728="","","UM"&amp;TEXT(ROW()-1,"00000"))</f>
        <v/>
      </c>
      <c r="B728" s="9" t="n"/>
      <c r="C728" s="9" t="n"/>
      <c r="D728" s="9" t="n"/>
      <c r="E728" s="9" t="n"/>
      <c r="F728" s="9">
        <f>IF(E728="","",DATEDIF(E728,DATE(2026,12,31),"Y"))</f>
        <v/>
      </c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4.25" customHeight="1" s="37">
      <c r="A729" s="9">
        <f>IF(C729="","","UM"&amp;TEXT(ROW()-1,"00000"))</f>
        <v/>
      </c>
      <c r="B729" s="9" t="n"/>
      <c r="C729" s="9" t="n"/>
      <c r="D729" s="9" t="n"/>
      <c r="E729" s="9" t="n"/>
      <c r="F729" s="9">
        <f>IF(E729="","",DATEDIF(E729,DATE(2026,12,31),"Y"))</f>
        <v/>
      </c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4.25" customHeight="1" s="37">
      <c r="A730" s="9">
        <f>IF(C730="","","UM"&amp;TEXT(ROW()-1,"00000"))</f>
        <v/>
      </c>
      <c r="B730" s="9" t="n"/>
      <c r="C730" s="9" t="n"/>
      <c r="D730" s="9" t="n"/>
      <c r="E730" s="9" t="n"/>
      <c r="F730" s="9">
        <f>IF(E730="","",DATEDIF(E730,DATE(2026,12,31),"Y"))</f>
        <v/>
      </c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4.25" customHeight="1" s="37">
      <c r="A731" s="9">
        <f>IF(C731="","","UM"&amp;TEXT(ROW()-1,"00000"))</f>
        <v/>
      </c>
      <c r="B731" s="9" t="n"/>
      <c r="C731" s="9" t="n"/>
      <c r="D731" s="9" t="n"/>
      <c r="E731" s="9" t="n"/>
      <c r="F731" s="9">
        <f>IF(E731="","",DATEDIF(E731,DATE(2026,12,31),"Y"))</f>
        <v/>
      </c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4.25" customHeight="1" s="37">
      <c r="A732" s="9">
        <f>IF(C732="","","UM"&amp;TEXT(ROW()-1,"00000"))</f>
        <v/>
      </c>
      <c r="B732" s="9" t="n"/>
      <c r="C732" s="9" t="n"/>
      <c r="D732" s="9" t="n"/>
      <c r="E732" s="9" t="n"/>
      <c r="F732" s="9">
        <f>IF(E732="","",DATEDIF(E732,DATE(2026,12,31),"Y"))</f>
        <v/>
      </c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4.25" customHeight="1" s="37">
      <c r="A733" s="9">
        <f>IF(C733="","","UM"&amp;TEXT(ROW()-1,"00000"))</f>
        <v/>
      </c>
      <c r="B733" s="9" t="n"/>
      <c r="C733" s="9" t="n"/>
      <c r="D733" s="9" t="n"/>
      <c r="E733" s="9" t="n"/>
      <c r="F733" s="9">
        <f>IF(E733="","",DATEDIF(E733,DATE(2026,12,31),"Y"))</f>
        <v/>
      </c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4.25" customHeight="1" s="37">
      <c r="A734" s="9">
        <f>IF(C734="","","UM"&amp;TEXT(ROW()-1,"00000"))</f>
        <v/>
      </c>
      <c r="B734" s="9" t="n"/>
      <c r="C734" s="9" t="n"/>
      <c r="D734" s="9" t="n"/>
      <c r="E734" s="9" t="n"/>
      <c r="F734" s="9">
        <f>IF(E734="","",DATEDIF(E734,DATE(2026,12,31),"Y"))</f>
        <v/>
      </c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4.25" customHeight="1" s="37">
      <c r="A735" s="9">
        <f>IF(C735="","","UM"&amp;TEXT(ROW()-1,"00000"))</f>
        <v/>
      </c>
      <c r="B735" s="9" t="n"/>
      <c r="C735" s="9" t="n"/>
      <c r="D735" s="9" t="n"/>
      <c r="E735" s="9" t="n"/>
      <c r="F735" s="9">
        <f>IF(E735="","",DATEDIF(E735,DATE(2026,12,31),"Y"))</f>
        <v/>
      </c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4.25" customHeight="1" s="37">
      <c r="A736" s="9">
        <f>IF(C736="","","UM"&amp;TEXT(ROW()-1,"00000"))</f>
        <v/>
      </c>
      <c r="B736" s="9" t="n"/>
      <c r="C736" s="9" t="n"/>
      <c r="D736" s="9" t="n"/>
      <c r="E736" s="9" t="n"/>
      <c r="F736" s="9">
        <f>IF(E736="","",DATEDIF(E736,DATE(2026,12,31),"Y"))</f>
        <v/>
      </c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4.25" customHeight="1" s="37">
      <c r="A737" s="9">
        <f>IF(C737="","","UM"&amp;TEXT(ROW()-1,"00000"))</f>
        <v/>
      </c>
      <c r="B737" s="9" t="n"/>
      <c r="C737" s="9" t="n"/>
      <c r="D737" s="9" t="n"/>
      <c r="E737" s="9" t="n"/>
      <c r="F737" s="9">
        <f>IF(E737="","",DATEDIF(E737,DATE(2026,12,31),"Y"))</f>
        <v/>
      </c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4.25" customHeight="1" s="37">
      <c r="A738" s="9">
        <f>IF(C738="","","UM"&amp;TEXT(ROW()-1,"00000"))</f>
        <v/>
      </c>
      <c r="B738" s="9" t="n"/>
      <c r="C738" s="9" t="n"/>
      <c r="D738" s="9" t="n"/>
      <c r="E738" s="9" t="n"/>
      <c r="F738" s="9">
        <f>IF(E738="","",DATEDIF(E738,DATE(2026,12,31),"Y"))</f>
        <v/>
      </c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4.25" customHeight="1" s="37">
      <c r="A739" s="9">
        <f>IF(C739="","","UM"&amp;TEXT(ROW()-1,"00000"))</f>
        <v/>
      </c>
      <c r="B739" s="9" t="n"/>
      <c r="C739" s="9" t="n"/>
      <c r="D739" s="9" t="n"/>
      <c r="E739" s="9" t="n"/>
      <c r="F739" s="9">
        <f>IF(E739="","",DATEDIF(E739,DATE(2026,12,31),"Y"))</f>
        <v/>
      </c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4.25" customHeight="1" s="37">
      <c r="A740" s="9">
        <f>IF(C740="","","UM"&amp;TEXT(ROW()-1,"00000"))</f>
        <v/>
      </c>
      <c r="B740" s="9" t="n"/>
      <c r="C740" s="9" t="n"/>
      <c r="D740" s="9" t="n"/>
      <c r="E740" s="9" t="n"/>
      <c r="F740" s="9">
        <f>IF(E740="","",DATEDIF(E740,DATE(2026,12,31),"Y"))</f>
        <v/>
      </c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4.25" customHeight="1" s="37">
      <c r="A741" s="9">
        <f>IF(C741="","","UM"&amp;TEXT(ROW()-1,"00000"))</f>
        <v/>
      </c>
      <c r="B741" s="9" t="n"/>
      <c r="C741" s="9" t="n"/>
      <c r="D741" s="9" t="n"/>
      <c r="E741" s="9" t="n"/>
      <c r="F741" s="9">
        <f>IF(E741="","",DATEDIF(E741,DATE(2026,12,31),"Y"))</f>
        <v/>
      </c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4.25" customHeight="1" s="37">
      <c r="A742" s="9">
        <f>IF(C742="","","UM"&amp;TEXT(ROW()-1,"00000"))</f>
        <v/>
      </c>
      <c r="B742" s="9" t="n"/>
      <c r="C742" s="9" t="n"/>
      <c r="D742" s="9" t="n"/>
      <c r="E742" s="9" t="n"/>
      <c r="F742" s="9">
        <f>IF(E742="","",DATEDIF(E742,DATE(2026,12,31),"Y"))</f>
        <v/>
      </c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4.25" customHeight="1" s="37">
      <c r="A743" s="9">
        <f>IF(C743="","","UM"&amp;TEXT(ROW()-1,"00000"))</f>
        <v/>
      </c>
      <c r="B743" s="9" t="n"/>
      <c r="C743" s="9" t="n"/>
      <c r="D743" s="9" t="n"/>
      <c r="E743" s="9" t="n"/>
      <c r="F743" s="9">
        <f>IF(E743="","",DATEDIF(E743,DATE(2026,12,31),"Y"))</f>
        <v/>
      </c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4.25" customHeight="1" s="37">
      <c r="A744" s="9">
        <f>IF(C744="","","UM"&amp;TEXT(ROW()-1,"00000"))</f>
        <v/>
      </c>
      <c r="B744" s="9" t="n"/>
      <c r="C744" s="9" t="n"/>
      <c r="D744" s="9" t="n"/>
      <c r="E744" s="9" t="n"/>
      <c r="F744" s="9">
        <f>IF(E744="","",DATEDIF(E744,DATE(2026,12,31),"Y"))</f>
        <v/>
      </c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4.25" customHeight="1" s="37">
      <c r="A745" s="9">
        <f>IF(C745="","","UM"&amp;TEXT(ROW()-1,"00000"))</f>
        <v/>
      </c>
      <c r="B745" s="9" t="n"/>
      <c r="C745" s="9" t="n"/>
      <c r="D745" s="9" t="n"/>
      <c r="E745" s="9" t="n"/>
      <c r="F745" s="9">
        <f>IF(E745="","",DATEDIF(E745,DATE(2026,12,31),"Y"))</f>
        <v/>
      </c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4.25" customHeight="1" s="37">
      <c r="A746" s="9">
        <f>IF(C746="","","UM"&amp;TEXT(ROW()-1,"00000"))</f>
        <v/>
      </c>
      <c r="B746" s="9" t="n"/>
      <c r="C746" s="9" t="n"/>
      <c r="D746" s="9" t="n"/>
      <c r="E746" s="9" t="n"/>
      <c r="F746" s="9">
        <f>IF(E746="","",DATEDIF(E746,DATE(2026,12,31),"Y"))</f>
        <v/>
      </c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4.25" customHeight="1" s="37">
      <c r="A747" s="9">
        <f>IF(C747="","","UM"&amp;TEXT(ROW()-1,"00000"))</f>
        <v/>
      </c>
      <c r="B747" s="9" t="n"/>
      <c r="C747" s="9" t="n"/>
      <c r="D747" s="9" t="n"/>
      <c r="E747" s="9" t="n"/>
      <c r="F747" s="9">
        <f>IF(E747="","",DATEDIF(E747,DATE(2026,12,31),"Y"))</f>
        <v/>
      </c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4.25" customHeight="1" s="37">
      <c r="A748" s="9">
        <f>IF(C748="","","UM"&amp;TEXT(ROW()-1,"00000"))</f>
        <v/>
      </c>
      <c r="B748" s="9" t="n"/>
      <c r="C748" s="9" t="n"/>
      <c r="D748" s="9" t="n"/>
      <c r="E748" s="9" t="n"/>
      <c r="F748" s="9">
        <f>IF(E748="","",DATEDIF(E748,DATE(2026,12,31),"Y"))</f>
        <v/>
      </c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4.25" customHeight="1" s="37">
      <c r="A749" s="9">
        <f>IF(C749="","","UM"&amp;TEXT(ROW()-1,"00000"))</f>
        <v/>
      </c>
      <c r="B749" s="9" t="n"/>
      <c r="C749" s="9" t="n"/>
      <c r="D749" s="9" t="n"/>
      <c r="E749" s="9" t="n"/>
      <c r="F749" s="9">
        <f>IF(E749="","",DATEDIF(E749,DATE(2026,12,31),"Y"))</f>
        <v/>
      </c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4.25" customHeight="1" s="37">
      <c r="A750" s="9">
        <f>IF(C750="","","UM"&amp;TEXT(ROW()-1,"00000"))</f>
        <v/>
      </c>
      <c r="B750" s="9" t="n"/>
      <c r="C750" s="9" t="n"/>
      <c r="D750" s="9" t="n"/>
      <c r="E750" s="9" t="n"/>
      <c r="F750" s="9">
        <f>IF(E750="","",DATEDIF(E750,DATE(2026,12,31),"Y"))</f>
        <v/>
      </c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4.25" customHeight="1" s="37">
      <c r="A751" s="9">
        <f>IF(C751="","","UM"&amp;TEXT(ROW()-1,"00000"))</f>
        <v/>
      </c>
      <c r="B751" s="9" t="n"/>
      <c r="C751" s="9" t="n"/>
      <c r="D751" s="9" t="n"/>
      <c r="E751" s="9" t="n"/>
      <c r="F751" s="9">
        <f>IF(E751="","",DATEDIF(E751,DATE(2026,12,31),"Y"))</f>
        <v/>
      </c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4.25" customHeight="1" s="37">
      <c r="A752" s="9">
        <f>IF(C752="","","UM"&amp;TEXT(ROW()-1,"00000"))</f>
        <v/>
      </c>
      <c r="B752" s="9" t="n"/>
      <c r="C752" s="9" t="n"/>
      <c r="D752" s="9" t="n"/>
      <c r="E752" s="9" t="n"/>
      <c r="F752" s="9">
        <f>IF(E752="","",DATEDIF(E752,DATE(2026,12,31),"Y"))</f>
        <v/>
      </c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4.25" customHeight="1" s="37">
      <c r="A753" s="9">
        <f>IF(C753="","","UM"&amp;TEXT(ROW()-1,"00000"))</f>
        <v/>
      </c>
      <c r="B753" s="9" t="n"/>
      <c r="C753" s="9" t="n"/>
      <c r="D753" s="9" t="n"/>
      <c r="E753" s="9" t="n"/>
      <c r="F753" s="9">
        <f>IF(E753="","",DATEDIF(E753,DATE(2026,12,31),"Y"))</f>
        <v/>
      </c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4.25" customHeight="1" s="37">
      <c r="A754" s="9">
        <f>IF(C754="","","UM"&amp;TEXT(ROW()-1,"00000"))</f>
        <v/>
      </c>
      <c r="B754" s="9" t="n"/>
      <c r="C754" s="9" t="n"/>
      <c r="D754" s="9" t="n"/>
      <c r="E754" s="9" t="n"/>
      <c r="F754" s="9">
        <f>IF(E754="","",DATEDIF(E754,DATE(2026,12,31),"Y"))</f>
        <v/>
      </c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4.25" customHeight="1" s="37">
      <c r="A755" s="9">
        <f>IF(C755="","","UM"&amp;TEXT(ROW()-1,"00000"))</f>
        <v/>
      </c>
      <c r="B755" s="9" t="n"/>
      <c r="C755" s="9" t="n"/>
      <c r="D755" s="9" t="n"/>
      <c r="E755" s="9" t="n"/>
      <c r="F755" s="9">
        <f>IF(E755="","",DATEDIF(E755,DATE(2026,12,31),"Y"))</f>
        <v/>
      </c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4.25" customHeight="1" s="37">
      <c r="A756" s="9">
        <f>IF(C756="","","UM"&amp;TEXT(ROW()-1,"00000"))</f>
        <v/>
      </c>
      <c r="B756" s="9" t="n"/>
      <c r="C756" s="9" t="n"/>
      <c r="D756" s="9" t="n"/>
      <c r="E756" s="9" t="n"/>
      <c r="F756" s="9">
        <f>IF(E756="","",DATEDIF(E756,DATE(2026,12,31),"Y"))</f>
        <v/>
      </c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4.25" customHeight="1" s="37">
      <c r="A757" s="9">
        <f>IF(C757="","","UM"&amp;TEXT(ROW()-1,"00000"))</f>
        <v/>
      </c>
      <c r="B757" s="9" t="n"/>
      <c r="C757" s="9" t="n"/>
      <c r="D757" s="9" t="n"/>
      <c r="E757" s="9" t="n"/>
      <c r="F757" s="9">
        <f>IF(E757="","",DATEDIF(E757,DATE(2026,12,31),"Y"))</f>
        <v/>
      </c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4.25" customHeight="1" s="37">
      <c r="A758" s="9">
        <f>IF(C758="","","UM"&amp;TEXT(ROW()-1,"00000"))</f>
        <v/>
      </c>
      <c r="B758" s="9" t="n"/>
      <c r="C758" s="9" t="n"/>
      <c r="D758" s="9" t="n"/>
      <c r="E758" s="9" t="n"/>
      <c r="F758" s="9">
        <f>IF(E758="","",DATEDIF(E758,DATE(2026,12,31),"Y"))</f>
        <v/>
      </c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4.25" customHeight="1" s="37">
      <c r="A759" s="9">
        <f>IF(C759="","","UM"&amp;TEXT(ROW()-1,"00000"))</f>
        <v/>
      </c>
      <c r="B759" s="9" t="n"/>
      <c r="C759" s="9" t="n"/>
      <c r="D759" s="9" t="n"/>
      <c r="E759" s="9" t="n"/>
      <c r="F759" s="9">
        <f>IF(E759="","",DATEDIF(E759,DATE(2026,12,31),"Y"))</f>
        <v/>
      </c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4.25" customHeight="1" s="37">
      <c r="A760" s="9">
        <f>IF(C760="","","UM"&amp;TEXT(ROW()-1,"00000"))</f>
        <v/>
      </c>
      <c r="B760" s="9" t="n"/>
      <c r="C760" s="9" t="n"/>
      <c r="D760" s="9" t="n"/>
      <c r="E760" s="9" t="n"/>
      <c r="F760" s="9">
        <f>IF(E760="","",DATEDIF(E760,DATE(2026,12,31),"Y"))</f>
        <v/>
      </c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4.25" customHeight="1" s="37">
      <c r="A761" s="9">
        <f>IF(C761="","","UM"&amp;TEXT(ROW()-1,"00000"))</f>
        <v/>
      </c>
      <c r="B761" s="9" t="n"/>
      <c r="C761" s="9" t="n"/>
      <c r="D761" s="9" t="n"/>
      <c r="E761" s="9" t="n"/>
      <c r="F761" s="9">
        <f>IF(E761="","",DATEDIF(E761,DATE(2026,12,31),"Y"))</f>
        <v/>
      </c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4.25" customHeight="1" s="37">
      <c r="A762" s="9">
        <f>IF(C762="","","UM"&amp;TEXT(ROW()-1,"00000"))</f>
        <v/>
      </c>
      <c r="B762" s="9" t="n"/>
      <c r="C762" s="9" t="n"/>
      <c r="D762" s="9" t="n"/>
      <c r="E762" s="9" t="n"/>
      <c r="F762" s="9">
        <f>IF(E762="","",DATEDIF(E762,DATE(2026,12,31),"Y"))</f>
        <v/>
      </c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4.25" customHeight="1" s="37">
      <c r="A763" s="9">
        <f>IF(C763="","","UM"&amp;TEXT(ROW()-1,"00000"))</f>
        <v/>
      </c>
      <c r="B763" s="9" t="n"/>
      <c r="C763" s="9" t="n"/>
      <c r="D763" s="9" t="n"/>
      <c r="E763" s="9" t="n"/>
      <c r="F763" s="9">
        <f>IF(E763="","",DATEDIF(E763,DATE(2026,12,31),"Y"))</f>
        <v/>
      </c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4.25" customHeight="1" s="37">
      <c r="A764" s="9">
        <f>IF(C764="","","UM"&amp;TEXT(ROW()-1,"00000"))</f>
        <v/>
      </c>
      <c r="B764" s="9" t="n"/>
      <c r="C764" s="9" t="n"/>
      <c r="D764" s="9" t="n"/>
      <c r="E764" s="9" t="n"/>
      <c r="F764" s="9">
        <f>IF(E764="","",DATEDIF(E764,DATE(2026,12,31),"Y"))</f>
        <v/>
      </c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4.25" customHeight="1" s="37">
      <c r="A765" s="9">
        <f>IF(C765="","","UM"&amp;TEXT(ROW()-1,"00000"))</f>
        <v/>
      </c>
      <c r="B765" s="9" t="n"/>
      <c r="C765" s="9" t="n"/>
      <c r="D765" s="9" t="n"/>
      <c r="E765" s="9" t="n"/>
      <c r="F765" s="9">
        <f>IF(E765="","",DATEDIF(E765,DATE(2026,12,31),"Y"))</f>
        <v/>
      </c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4.25" customHeight="1" s="37">
      <c r="A766" s="9">
        <f>IF(C766="","","UM"&amp;TEXT(ROW()-1,"00000"))</f>
        <v/>
      </c>
      <c r="B766" s="9" t="n"/>
      <c r="C766" s="9" t="n"/>
      <c r="D766" s="9" t="n"/>
      <c r="E766" s="9" t="n"/>
      <c r="F766" s="9">
        <f>IF(E766="","",DATEDIF(E766,DATE(2026,12,31),"Y"))</f>
        <v/>
      </c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4.25" customHeight="1" s="37">
      <c r="A767" s="9">
        <f>IF(C767="","","UM"&amp;TEXT(ROW()-1,"00000"))</f>
        <v/>
      </c>
      <c r="B767" s="9" t="n"/>
      <c r="C767" s="9" t="n"/>
      <c r="D767" s="9" t="n"/>
      <c r="E767" s="9" t="n"/>
      <c r="F767" s="9">
        <f>IF(E767="","",DATEDIF(E767,DATE(2026,12,31),"Y"))</f>
        <v/>
      </c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4.25" customHeight="1" s="37">
      <c r="A768" s="9">
        <f>IF(C768="","","UM"&amp;TEXT(ROW()-1,"00000"))</f>
        <v/>
      </c>
      <c r="B768" s="9" t="n"/>
      <c r="C768" s="9" t="n"/>
      <c r="D768" s="9" t="n"/>
      <c r="E768" s="9" t="n"/>
      <c r="F768" s="9">
        <f>IF(E768="","",DATEDIF(E768,DATE(2026,12,31),"Y"))</f>
        <v/>
      </c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4.25" customHeight="1" s="37">
      <c r="A769" s="9">
        <f>IF(C769="","","UM"&amp;TEXT(ROW()-1,"00000"))</f>
        <v/>
      </c>
      <c r="B769" s="9" t="n"/>
      <c r="C769" s="9" t="n"/>
      <c r="D769" s="9" t="n"/>
      <c r="E769" s="9" t="n"/>
      <c r="F769" s="9">
        <f>IF(E769="","",DATEDIF(E769,DATE(2026,12,31),"Y"))</f>
        <v/>
      </c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4.25" customHeight="1" s="37">
      <c r="A770" s="9">
        <f>IF(C770="","","UM"&amp;TEXT(ROW()-1,"00000"))</f>
        <v/>
      </c>
      <c r="B770" s="9" t="n"/>
      <c r="C770" s="9" t="n"/>
      <c r="D770" s="9" t="n"/>
      <c r="E770" s="9" t="n"/>
      <c r="F770" s="9">
        <f>IF(E770="","",DATEDIF(E770,DATE(2026,12,31),"Y"))</f>
        <v/>
      </c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4.25" customHeight="1" s="37">
      <c r="A771" s="9">
        <f>IF(C771="","","UM"&amp;TEXT(ROW()-1,"00000"))</f>
        <v/>
      </c>
      <c r="B771" s="9" t="n"/>
      <c r="C771" s="9" t="n"/>
      <c r="D771" s="9" t="n"/>
      <c r="E771" s="9" t="n"/>
      <c r="F771" s="9">
        <f>IF(E771="","",DATEDIF(E771,DATE(2026,12,31),"Y"))</f>
        <v/>
      </c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4.25" customHeight="1" s="37">
      <c r="A772" s="9">
        <f>IF(C772="","","UM"&amp;TEXT(ROW()-1,"00000"))</f>
        <v/>
      </c>
      <c r="B772" s="9" t="n"/>
      <c r="C772" s="9" t="n"/>
      <c r="D772" s="9" t="n"/>
      <c r="E772" s="9" t="n"/>
      <c r="F772" s="9">
        <f>IF(E772="","",DATEDIF(E772,DATE(2026,12,31),"Y"))</f>
        <v/>
      </c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4.25" customHeight="1" s="37">
      <c r="A773" s="9">
        <f>IF(C773="","","UM"&amp;TEXT(ROW()-1,"00000"))</f>
        <v/>
      </c>
      <c r="B773" s="9" t="n"/>
      <c r="C773" s="9" t="n"/>
      <c r="D773" s="9" t="n"/>
      <c r="E773" s="9" t="n"/>
      <c r="F773" s="9">
        <f>IF(E773="","",DATEDIF(E773,DATE(2026,12,31),"Y"))</f>
        <v/>
      </c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4.25" customHeight="1" s="37">
      <c r="A774" s="9">
        <f>IF(C774="","","UM"&amp;TEXT(ROW()-1,"00000"))</f>
        <v/>
      </c>
      <c r="B774" s="9" t="n"/>
      <c r="C774" s="9" t="n"/>
      <c r="D774" s="9" t="n"/>
      <c r="E774" s="9" t="n"/>
      <c r="F774" s="9">
        <f>IF(E774="","",DATEDIF(E774,DATE(2026,12,31),"Y"))</f>
        <v/>
      </c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4.25" customHeight="1" s="37">
      <c r="A775" s="9">
        <f>IF(C775="","","UM"&amp;TEXT(ROW()-1,"00000"))</f>
        <v/>
      </c>
      <c r="B775" s="9" t="n"/>
      <c r="C775" s="9" t="n"/>
      <c r="D775" s="9" t="n"/>
      <c r="E775" s="9" t="n"/>
      <c r="F775" s="9">
        <f>IF(E775="","",DATEDIF(E775,DATE(2026,12,31),"Y"))</f>
        <v/>
      </c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4.25" customHeight="1" s="37">
      <c r="A776" s="9">
        <f>IF(C776="","","UM"&amp;TEXT(ROW()-1,"00000"))</f>
        <v/>
      </c>
      <c r="B776" s="9" t="n"/>
      <c r="C776" s="9" t="n"/>
      <c r="D776" s="9" t="n"/>
      <c r="E776" s="9" t="n"/>
      <c r="F776" s="9">
        <f>IF(E776="","",DATEDIF(E776,DATE(2026,12,31),"Y"))</f>
        <v/>
      </c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4.25" customHeight="1" s="37">
      <c r="A777" s="9">
        <f>IF(C777="","","UM"&amp;TEXT(ROW()-1,"00000"))</f>
        <v/>
      </c>
      <c r="B777" s="9" t="n"/>
      <c r="C777" s="9" t="n"/>
      <c r="D777" s="9" t="n"/>
      <c r="E777" s="9" t="n"/>
      <c r="F777" s="9">
        <f>IF(E777="","",DATEDIF(E777,DATE(2026,12,31),"Y"))</f>
        <v/>
      </c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4.25" customHeight="1" s="37">
      <c r="A778" s="9">
        <f>IF(C778="","","UM"&amp;TEXT(ROW()-1,"00000"))</f>
        <v/>
      </c>
      <c r="B778" s="9" t="n"/>
      <c r="C778" s="9" t="n"/>
      <c r="D778" s="9" t="n"/>
      <c r="E778" s="9" t="n"/>
      <c r="F778" s="9">
        <f>IF(E778="","",DATEDIF(E778,DATE(2026,12,31),"Y"))</f>
        <v/>
      </c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4.25" customHeight="1" s="37">
      <c r="A779" s="9">
        <f>IF(C779="","","UM"&amp;TEXT(ROW()-1,"00000"))</f>
        <v/>
      </c>
      <c r="B779" s="9" t="n"/>
      <c r="C779" s="9" t="n"/>
      <c r="D779" s="9" t="n"/>
      <c r="E779" s="9" t="n"/>
      <c r="F779" s="9">
        <f>IF(E779="","",DATEDIF(E779,DATE(2026,12,31),"Y"))</f>
        <v/>
      </c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4.25" customHeight="1" s="37">
      <c r="A780" s="9">
        <f>IF(C780="","","UM"&amp;TEXT(ROW()-1,"00000"))</f>
        <v/>
      </c>
      <c r="B780" s="9" t="n"/>
      <c r="C780" s="9" t="n"/>
      <c r="D780" s="9" t="n"/>
      <c r="E780" s="9" t="n"/>
      <c r="F780" s="9">
        <f>IF(E780="","",DATEDIF(E780,DATE(2026,12,31),"Y"))</f>
        <v/>
      </c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4.25" customHeight="1" s="37">
      <c r="A781" s="9">
        <f>IF(C781="","","UM"&amp;TEXT(ROW()-1,"00000"))</f>
        <v/>
      </c>
      <c r="B781" s="9" t="n"/>
      <c r="C781" s="9" t="n"/>
      <c r="D781" s="9" t="n"/>
      <c r="E781" s="9" t="n"/>
      <c r="F781" s="9">
        <f>IF(E781="","",DATEDIF(E781,DATE(2026,12,31),"Y"))</f>
        <v/>
      </c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4.25" customHeight="1" s="37">
      <c r="A782" s="9">
        <f>IF(C782="","","UM"&amp;TEXT(ROW()-1,"00000"))</f>
        <v/>
      </c>
      <c r="B782" s="9" t="n"/>
      <c r="C782" s="9" t="n"/>
      <c r="D782" s="9" t="n"/>
      <c r="E782" s="9" t="n"/>
      <c r="F782" s="9">
        <f>IF(E782="","",DATEDIF(E782,DATE(2026,12,31),"Y"))</f>
        <v/>
      </c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4.25" customHeight="1" s="37">
      <c r="A783" s="9">
        <f>IF(C783="","","UM"&amp;TEXT(ROW()-1,"00000"))</f>
        <v/>
      </c>
      <c r="B783" s="9" t="n"/>
      <c r="C783" s="9" t="n"/>
      <c r="D783" s="9" t="n"/>
      <c r="E783" s="9" t="n"/>
      <c r="F783" s="9">
        <f>IF(E783="","",DATEDIF(E783,DATE(2026,12,31),"Y"))</f>
        <v/>
      </c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4.25" customHeight="1" s="37">
      <c r="A784" s="9">
        <f>IF(C784="","","UM"&amp;TEXT(ROW()-1,"00000"))</f>
        <v/>
      </c>
      <c r="B784" s="9" t="n"/>
      <c r="C784" s="9" t="n"/>
      <c r="D784" s="9" t="n"/>
      <c r="E784" s="9" t="n"/>
      <c r="F784" s="9">
        <f>IF(E784="","",DATEDIF(E784,DATE(2026,12,31),"Y"))</f>
        <v/>
      </c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4.25" customHeight="1" s="37">
      <c r="A785" s="9">
        <f>IF(C785="","","UM"&amp;TEXT(ROW()-1,"00000"))</f>
        <v/>
      </c>
      <c r="B785" s="9" t="n"/>
      <c r="C785" s="9" t="n"/>
      <c r="D785" s="9" t="n"/>
      <c r="E785" s="9" t="n"/>
      <c r="F785" s="9">
        <f>IF(E785="","",DATEDIF(E785,DATE(2026,12,31),"Y"))</f>
        <v/>
      </c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4.25" customHeight="1" s="37">
      <c r="A786" s="9">
        <f>IF(C786="","","UM"&amp;TEXT(ROW()-1,"00000"))</f>
        <v/>
      </c>
      <c r="B786" s="9" t="n"/>
      <c r="C786" s="9" t="n"/>
      <c r="D786" s="9" t="n"/>
      <c r="E786" s="9" t="n"/>
      <c r="F786" s="9">
        <f>IF(E786="","",DATEDIF(E786,DATE(2026,12,31),"Y"))</f>
        <v/>
      </c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4.25" customHeight="1" s="37">
      <c r="A787" s="9">
        <f>IF(C787="","","UM"&amp;TEXT(ROW()-1,"00000"))</f>
        <v/>
      </c>
      <c r="B787" s="9" t="n"/>
      <c r="C787" s="9" t="n"/>
      <c r="D787" s="9" t="n"/>
      <c r="E787" s="9" t="n"/>
      <c r="F787" s="9">
        <f>IF(E787="","",DATEDIF(E787,DATE(2026,12,31),"Y"))</f>
        <v/>
      </c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4.25" customHeight="1" s="37">
      <c r="A788" s="9">
        <f>IF(C788="","","UM"&amp;TEXT(ROW()-1,"00000"))</f>
        <v/>
      </c>
      <c r="B788" s="9" t="n"/>
      <c r="C788" s="9" t="n"/>
      <c r="D788" s="9" t="n"/>
      <c r="E788" s="9" t="n"/>
      <c r="F788" s="9">
        <f>IF(E788="","",DATEDIF(E788,DATE(2026,12,31),"Y"))</f>
        <v/>
      </c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4.25" customHeight="1" s="37">
      <c r="A789" s="9">
        <f>IF(C789="","","UM"&amp;TEXT(ROW()-1,"00000"))</f>
        <v/>
      </c>
      <c r="B789" s="9" t="n"/>
      <c r="C789" s="9" t="n"/>
      <c r="D789" s="9" t="n"/>
      <c r="E789" s="9" t="n"/>
      <c r="F789" s="9">
        <f>IF(E789="","",DATEDIF(E789,DATE(2026,12,31),"Y"))</f>
        <v/>
      </c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4.25" customHeight="1" s="37">
      <c r="A790" s="9">
        <f>IF(C790="","","UM"&amp;TEXT(ROW()-1,"00000"))</f>
        <v/>
      </c>
      <c r="B790" s="9" t="n"/>
      <c r="C790" s="9" t="n"/>
      <c r="D790" s="9" t="n"/>
      <c r="E790" s="9" t="n"/>
      <c r="F790" s="9">
        <f>IF(E790="","",DATEDIF(E790,DATE(2026,12,31),"Y"))</f>
        <v/>
      </c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4.25" customHeight="1" s="37">
      <c r="A791" s="9">
        <f>IF(C791="","","UM"&amp;TEXT(ROW()-1,"00000"))</f>
        <v/>
      </c>
      <c r="B791" s="9" t="n"/>
      <c r="C791" s="9" t="n"/>
      <c r="D791" s="9" t="n"/>
      <c r="E791" s="9" t="n"/>
      <c r="F791" s="9">
        <f>IF(E791="","",DATEDIF(E791,DATE(2026,12,31),"Y"))</f>
        <v/>
      </c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4.25" customHeight="1" s="37">
      <c r="A792" s="9">
        <f>IF(C792="","","UM"&amp;TEXT(ROW()-1,"00000"))</f>
        <v/>
      </c>
      <c r="B792" s="9" t="n"/>
      <c r="C792" s="9" t="n"/>
      <c r="D792" s="9" t="n"/>
      <c r="E792" s="9" t="n"/>
      <c r="F792" s="9">
        <f>IF(E792="","",DATEDIF(E792,DATE(2026,12,31),"Y"))</f>
        <v/>
      </c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4.25" customHeight="1" s="37">
      <c r="A793" s="9">
        <f>IF(C793="","","UM"&amp;TEXT(ROW()-1,"00000"))</f>
        <v/>
      </c>
      <c r="B793" s="9" t="n"/>
      <c r="C793" s="9" t="n"/>
      <c r="D793" s="9" t="n"/>
      <c r="E793" s="9" t="n"/>
      <c r="F793" s="9">
        <f>IF(E793="","",DATEDIF(E793,DATE(2026,12,31),"Y"))</f>
        <v/>
      </c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4.25" customHeight="1" s="37">
      <c r="A794" s="9">
        <f>IF(C794="","","UM"&amp;TEXT(ROW()-1,"00000"))</f>
        <v/>
      </c>
      <c r="B794" s="9" t="n"/>
      <c r="C794" s="9" t="n"/>
      <c r="D794" s="9" t="n"/>
      <c r="E794" s="9" t="n"/>
      <c r="F794" s="9">
        <f>IF(E794="","",DATEDIF(E794,DATE(2026,12,31),"Y"))</f>
        <v/>
      </c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4.25" customHeight="1" s="37">
      <c r="A795" s="9">
        <f>IF(C795="","","UM"&amp;TEXT(ROW()-1,"00000"))</f>
        <v/>
      </c>
      <c r="B795" s="9" t="n"/>
      <c r="C795" s="9" t="n"/>
      <c r="D795" s="9" t="n"/>
      <c r="E795" s="9" t="n"/>
      <c r="F795" s="9">
        <f>IF(E795="","",DATEDIF(E795,DATE(2026,12,31),"Y"))</f>
        <v/>
      </c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4.25" customHeight="1" s="37">
      <c r="A796" s="9">
        <f>IF(C796="","","UM"&amp;TEXT(ROW()-1,"00000"))</f>
        <v/>
      </c>
      <c r="B796" s="9" t="n"/>
      <c r="C796" s="9" t="n"/>
      <c r="D796" s="9" t="n"/>
      <c r="E796" s="9" t="n"/>
      <c r="F796" s="9">
        <f>IF(E796="","",DATEDIF(E796,DATE(2026,12,31),"Y"))</f>
        <v/>
      </c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4.25" customHeight="1" s="37">
      <c r="A797" s="9">
        <f>IF(C797="","","UM"&amp;TEXT(ROW()-1,"00000"))</f>
        <v/>
      </c>
      <c r="B797" s="9" t="n"/>
      <c r="C797" s="9" t="n"/>
      <c r="D797" s="9" t="n"/>
      <c r="E797" s="9" t="n"/>
      <c r="F797" s="9">
        <f>IF(E797="","",DATEDIF(E797,DATE(2026,12,31),"Y"))</f>
        <v/>
      </c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4.25" customHeight="1" s="37">
      <c r="A798" s="9">
        <f>IF(C798="","","UM"&amp;TEXT(ROW()-1,"00000"))</f>
        <v/>
      </c>
      <c r="B798" s="9" t="n"/>
      <c r="C798" s="9" t="n"/>
      <c r="D798" s="9" t="n"/>
      <c r="E798" s="9" t="n"/>
      <c r="F798" s="9">
        <f>IF(E798="","",DATEDIF(E798,DATE(2026,12,31),"Y"))</f>
        <v/>
      </c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4.25" customHeight="1" s="37">
      <c r="A799" s="9">
        <f>IF(C799="","","UM"&amp;TEXT(ROW()-1,"00000"))</f>
        <v/>
      </c>
      <c r="B799" s="9" t="n"/>
      <c r="C799" s="9" t="n"/>
      <c r="D799" s="9" t="n"/>
      <c r="E799" s="9" t="n"/>
      <c r="F799" s="9">
        <f>IF(E799="","",DATEDIF(E799,DATE(2026,12,31),"Y"))</f>
        <v/>
      </c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4.25" customHeight="1" s="37">
      <c r="A800" s="9">
        <f>IF(C800="","","UM"&amp;TEXT(ROW()-1,"00000"))</f>
        <v/>
      </c>
      <c r="B800" s="9" t="n"/>
      <c r="C800" s="9" t="n"/>
      <c r="D800" s="9" t="n"/>
      <c r="E800" s="9" t="n"/>
      <c r="F800" s="9">
        <f>IF(E800="","",DATEDIF(E800,DATE(2026,12,31),"Y"))</f>
        <v/>
      </c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4.25" customHeight="1" s="37">
      <c r="A801" s="9">
        <f>IF(C801="","","UM"&amp;TEXT(ROW()-1,"00000"))</f>
        <v/>
      </c>
      <c r="B801" s="9" t="n"/>
      <c r="C801" s="9" t="n"/>
      <c r="D801" s="9" t="n"/>
      <c r="E801" s="9" t="n"/>
      <c r="F801" s="9">
        <f>IF(E801="","",DATEDIF(E801,DATE(2026,12,31),"Y"))</f>
        <v/>
      </c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4.25" customHeight="1" s="37">
      <c r="A802" s="9">
        <f>IF(C802="","","UM"&amp;TEXT(ROW()-1,"00000"))</f>
        <v/>
      </c>
      <c r="B802" s="9" t="n"/>
      <c r="C802" s="9" t="n"/>
      <c r="D802" s="9" t="n"/>
      <c r="E802" s="9" t="n"/>
      <c r="F802" s="9">
        <f>IF(E802="","",DATEDIF(E802,DATE(2026,12,31),"Y"))</f>
        <v/>
      </c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4.25" customHeight="1" s="37">
      <c r="A803" s="9">
        <f>IF(C803="","","UM"&amp;TEXT(ROW()-1,"00000"))</f>
        <v/>
      </c>
      <c r="B803" s="9" t="n"/>
      <c r="C803" s="9" t="n"/>
      <c r="D803" s="9" t="n"/>
      <c r="E803" s="9" t="n"/>
      <c r="F803" s="9">
        <f>IF(E803="","",DATEDIF(E803,DATE(2026,12,31),"Y"))</f>
        <v/>
      </c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4.25" customHeight="1" s="37">
      <c r="A804" s="9">
        <f>IF(C804="","","UM"&amp;TEXT(ROW()-1,"00000"))</f>
        <v/>
      </c>
      <c r="B804" s="9" t="n"/>
      <c r="C804" s="9" t="n"/>
      <c r="D804" s="9" t="n"/>
      <c r="E804" s="9" t="n"/>
      <c r="F804" s="9">
        <f>IF(E804="","",DATEDIF(E804,DATE(2026,12,31),"Y"))</f>
        <v/>
      </c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4.25" customHeight="1" s="37">
      <c r="A805" s="9">
        <f>IF(C805="","","UM"&amp;TEXT(ROW()-1,"00000"))</f>
        <v/>
      </c>
      <c r="B805" s="9" t="n"/>
      <c r="C805" s="9" t="n"/>
      <c r="D805" s="9" t="n"/>
      <c r="E805" s="9" t="n"/>
      <c r="F805" s="9">
        <f>IF(E805="","",DATEDIF(E805,DATE(2026,12,31),"Y"))</f>
        <v/>
      </c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4.25" customHeight="1" s="37">
      <c r="A806" s="9">
        <f>IF(C806="","","UM"&amp;TEXT(ROW()-1,"00000"))</f>
        <v/>
      </c>
      <c r="B806" s="9" t="n"/>
      <c r="C806" s="9" t="n"/>
      <c r="D806" s="9" t="n"/>
      <c r="E806" s="9" t="n"/>
      <c r="F806" s="9">
        <f>IF(E806="","",DATEDIF(E806,DATE(2026,12,31),"Y"))</f>
        <v/>
      </c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4.25" customHeight="1" s="37">
      <c r="A807" s="9">
        <f>IF(C807="","","UM"&amp;TEXT(ROW()-1,"00000"))</f>
        <v/>
      </c>
      <c r="B807" s="9" t="n"/>
      <c r="C807" s="9" t="n"/>
      <c r="D807" s="9" t="n"/>
      <c r="E807" s="9" t="n"/>
      <c r="F807" s="9">
        <f>IF(E807="","",DATEDIF(E807,DATE(2026,12,31),"Y"))</f>
        <v/>
      </c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4.25" customHeight="1" s="37">
      <c r="A808" s="9">
        <f>IF(C808="","","UM"&amp;TEXT(ROW()-1,"00000"))</f>
        <v/>
      </c>
      <c r="B808" s="9" t="n"/>
      <c r="C808" s="9" t="n"/>
      <c r="D808" s="9" t="n"/>
      <c r="E808" s="9" t="n"/>
      <c r="F808" s="9">
        <f>IF(E808="","",DATEDIF(E808,DATE(2026,12,31),"Y"))</f>
        <v/>
      </c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4.25" customHeight="1" s="37">
      <c r="A809" s="9">
        <f>IF(C809="","","UM"&amp;TEXT(ROW()-1,"00000"))</f>
        <v/>
      </c>
      <c r="B809" s="9" t="n"/>
      <c r="C809" s="9" t="n"/>
      <c r="D809" s="9" t="n"/>
      <c r="E809" s="9" t="n"/>
      <c r="F809" s="9">
        <f>IF(E809="","",DATEDIF(E809,DATE(2026,12,31),"Y"))</f>
        <v/>
      </c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4.25" customHeight="1" s="37">
      <c r="A810" s="9">
        <f>IF(C810="","","UM"&amp;TEXT(ROW()-1,"00000"))</f>
        <v/>
      </c>
      <c r="B810" s="9" t="n"/>
      <c r="C810" s="9" t="n"/>
      <c r="D810" s="9" t="n"/>
      <c r="E810" s="9" t="n"/>
      <c r="F810" s="9">
        <f>IF(E810="","",DATEDIF(E810,DATE(2026,12,31),"Y"))</f>
        <v/>
      </c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4.25" customHeight="1" s="37">
      <c r="A811" s="9">
        <f>IF(C811="","","UM"&amp;TEXT(ROW()-1,"00000"))</f>
        <v/>
      </c>
      <c r="B811" s="9" t="n"/>
      <c r="C811" s="9" t="n"/>
      <c r="D811" s="9" t="n"/>
      <c r="E811" s="9" t="n"/>
      <c r="F811" s="9">
        <f>IF(E811="","",DATEDIF(E811,DATE(2026,12,31),"Y"))</f>
        <v/>
      </c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4.25" customHeight="1" s="37">
      <c r="A812" s="9">
        <f>IF(C812="","","UM"&amp;TEXT(ROW()-1,"00000"))</f>
        <v/>
      </c>
      <c r="B812" s="9" t="n"/>
      <c r="C812" s="9" t="n"/>
      <c r="D812" s="9" t="n"/>
      <c r="E812" s="9" t="n"/>
      <c r="F812" s="9">
        <f>IF(E812="","",DATEDIF(E812,DATE(2026,12,31),"Y"))</f>
        <v/>
      </c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4.25" customHeight="1" s="37">
      <c r="A813" s="9">
        <f>IF(C813="","","UM"&amp;TEXT(ROW()-1,"00000"))</f>
        <v/>
      </c>
      <c r="B813" s="9" t="n"/>
      <c r="C813" s="9" t="n"/>
      <c r="D813" s="9" t="n"/>
      <c r="E813" s="9" t="n"/>
      <c r="F813" s="9">
        <f>IF(E813="","",DATEDIF(E813,DATE(2026,12,31),"Y"))</f>
        <v/>
      </c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4.25" customHeight="1" s="37">
      <c r="A814" s="9">
        <f>IF(C814="","","UM"&amp;TEXT(ROW()-1,"00000"))</f>
        <v/>
      </c>
      <c r="B814" s="9" t="n"/>
      <c r="C814" s="9" t="n"/>
      <c r="D814" s="9" t="n"/>
      <c r="E814" s="9" t="n"/>
      <c r="F814" s="9">
        <f>IF(E814="","",DATEDIF(E814,DATE(2026,12,31),"Y"))</f>
        <v/>
      </c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4.25" customHeight="1" s="37">
      <c r="A815" s="9">
        <f>IF(C815="","","UM"&amp;TEXT(ROW()-1,"00000"))</f>
        <v/>
      </c>
      <c r="B815" s="9" t="n"/>
      <c r="C815" s="9" t="n"/>
      <c r="D815" s="9" t="n"/>
      <c r="E815" s="9" t="n"/>
      <c r="F815" s="9">
        <f>IF(E815="","",DATEDIF(E815,DATE(2026,12,31),"Y"))</f>
        <v/>
      </c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4.25" customHeight="1" s="37">
      <c r="A816" s="9">
        <f>IF(C816="","","UM"&amp;TEXT(ROW()-1,"00000"))</f>
        <v/>
      </c>
      <c r="B816" s="9" t="n"/>
      <c r="C816" s="9" t="n"/>
      <c r="D816" s="9" t="n"/>
      <c r="E816" s="9" t="n"/>
      <c r="F816" s="9">
        <f>IF(E816="","",DATEDIF(E816,DATE(2026,12,31),"Y"))</f>
        <v/>
      </c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4.25" customHeight="1" s="37">
      <c r="A817" s="9">
        <f>IF(C817="","","UM"&amp;TEXT(ROW()-1,"00000"))</f>
        <v/>
      </c>
      <c r="B817" s="9" t="n"/>
      <c r="C817" s="9" t="n"/>
      <c r="D817" s="9" t="n"/>
      <c r="E817" s="9" t="n"/>
      <c r="F817" s="9">
        <f>IF(E817="","",DATEDIF(E817,DATE(2026,12,31),"Y"))</f>
        <v/>
      </c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4.25" customHeight="1" s="37">
      <c r="A818" s="9">
        <f>IF(C818="","","UM"&amp;TEXT(ROW()-1,"00000"))</f>
        <v/>
      </c>
      <c r="B818" s="9" t="n"/>
      <c r="C818" s="9" t="n"/>
      <c r="D818" s="9" t="n"/>
      <c r="E818" s="9" t="n"/>
      <c r="F818" s="9">
        <f>IF(E818="","",DATEDIF(E818,DATE(2026,12,31),"Y"))</f>
        <v/>
      </c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4.25" customHeight="1" s="37">
      <c r="A819" s="9">
        <f>IF(C819="","","UM"&amp;TEXT(ROW()-1,"00000"))</f>
        <v/>
      </c>
      <c r="B819" s="9" t="n"/>
      <c r="C819" s="9" t="n"/>
      <c r="D819" s="9" t="n"/>
      <c r="E819" s="9" t="n"/>
      <c r="F819" s="9">
        <f>IF(E819="","",DATEDIF(E819,DATE(2026,12,31),"Y"))</f>
        <v/>
      </c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4.25" customHeight="1" s="37">
      <c r="A820" s="9">
        <f>IF(C820="","","UM"&amp;TEXT(ROW()-1,"00000"))</f>
        <v/>
      </c>
      <c r="B820" s="9" t="n"/>
      <c r="C820" s="9" t="n"/>
      <c r="D820" s="9" t="n"/>
      <c r="E820" s="9" t="n"/>
      <c r="F820" s="9">
        <f>IF(E820="","",DATEDIF(E820,DATE(2026,12,31),"Y"))</f>
        <v/>
      </c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4.25" customHeight="1" s="37">
      <c r="A821" s="9">
        <f>IF(C821="","","UM"&amp;TEXT(ROW()-1,"00000"))</f>
        <v/>
      </c>
      <c r="B821" s="9" t="n"/>
      <c r="C821" s="9" t="n"/>
      <c r="D821" s="9" t="n"/>
      <c r="E821" s="9" t="n"/>
      <c r="F821" s="9">
        <f>IF(E821="","",DATEDIF(E821,DATE(2026,12,31),"Y"))</f>
        <v/>
      </c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4.25" customHeight="1" s="37">
      <c r="A822" s="9">
        <f>IF(C822="","","UM"&amp;TEXT(ROW()-1,"00000"))</f>
        <v/>
      </c>
      <c r="B822" s="9" t="n"/>
      <c r="C822" s="9" t="n"/>
      <c r="D822" s="9" t="n"/>
      <c r="E822" s="9" t="n"/>
      <c r="F822" s="9">
        <f>IF(E822="","",DATEDIF(E822,DATE(2026,12,31),"Y"))</f>
        <v/>
      </c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4.25" customHeight="1" s="37">
      <c r="A823" s="9">
        <f>IF(C823="","","UM"&amp;TEXT(ROW()-1,"00000"))</f>
        <v/>
      </c>
      <c r="B823" s="9" t="n"/>
      <c r="C823" s="9" t="n"/>
      <c r="D823" s="9" t="n"/>
      <c r="E823" s="9" t="n"/>
      <c r="F823" s="9">
        <f>IF(E823="","",DATEDIF(E823,DATE(2026,12,31),"Y"))</f>
        <v/>
      </c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4.25" customHeight="1" s="37">
      <c r="A824" s="9">
        <f>IF(C824="","","UM"&amp;TEXT(ROW()-1,"00000"))</f>
        <v/>
      </c>
      <c r="B824" s="9" t="n"/>
      <c r="C824" s="9" t="n"/>
      <c r="D824" s="9" t="n"/>
      <c r="E824" s="9" t="n"/>
      <c r="F824" s="9">
        <f>IF(E824="","",DATEDIF(E824,DATE(2026,12,31),"Y"))</f>
        <v/>
      </c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4.25" customHeight="1" s="37">
      <c r="A825" s="9">
        <f>IF(C825="","","UM"&amp;TEXT(ROW()-1,"00000"))</f>
        <v/>
      </c>
      <c r="B825" s="9" t="n"/>
      <c r="C825" s="9" t="n"/>
      <c r="D825" s="9" t="n"/>
      <c r="E825" s="9" t="n"/>
      <c r="F825" s="9">
        <f>IF(E825="","",DATEDIF(E825,DATE(2026,12,31),"Y"))</f>
        <v/>
      </c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4.25" customHeight="1" s="37">
      <c r="A826" s="9">
        <f>IF(C826="","","UM"&amp;TEXT(ROW()-1,"00000"))</f>
        <v/>
      </c>
      <c r="B826" s="9" t="n"/>
      <c r="C826" s="9" t="n"/>
      <c r="D826" s="9" t="n"/>
      <c r="E826" s="9" t="n"/>
      <c r="F826" s="9">
        <f>IF(E826="","",DATEDIF(E826,DATE(2026,12,31),"Y"))</f>
        <v/>
      </c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4.25" customHeight="1" s="37">
      <c r="A827" s="9">
        <f>IF(C827="","","UM"&amp;TEXT(ROW()-1,"00000"))</f>
        <v/>
      </c>
      <c r="B827" s="9" t="n"/>
      <c r="C827" s="9" t="n"/>
      <c r="D827" s="9" t="n"/>
      <c r="E827" s="9" t="n"/>
      <c r="F827" s="9">
        <f>IF(E827="","",DATEDIF(E827,DATE(2026,12,31),"Y"))</f>
        <v/>
      </c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4.25" customHeight="1" s="37">
      <c r="A828" s="9">
        <f>IF(C828="","","UM"&amp;TEXT(ROW()-1,"00000"))</f>
        <v/>
      </c>
      <c r="B828" s="9" t="n"/>
      <c r="C828" s="9" t="n"/>
      <c r="D828" s="9" t="n"/>
      <c r="E828" s="9" t="n"/>
      <c r="F828" s="9">
        <f>IF(E828="","",DATEDIF(E828,DATE(2026,12,31),"Y"))</f>
        <v/>
      </c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4.25" customHeight="1" s="37">
      <c r="A829" s="9">
        <f>IF(C829="","","UM"&amp;TEXT(ROW()-1,"00000"))</f>
        <v/>
      </c>
      <c r="B829" s="9" t="n"/>
      <c r="C829" s="9" t="n"/>
      <c r="D829" s="9" t="n"/>
      <c r="E829" s="9" t="n"/>
      <c r="F829" s="9">
        <f>IF(E829="","",DATEDIF(E829,DATE(2026,12,31),"Y"))</f>
        <v/>
      </c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4.25" customHeight="1" s="37">
      <c r="A830" s="9">
        <f>IF(C830="","","UM"&amp;TEXT(ROW()-1,"00000"))</f>
        <v/>
      </c>
      <c r="B830" s="9" t="n"/>
      <c r="C830" s="9" t="n"/>
      <c r="D830" s="9" t="n"/>
      <c r="E830" s="9" t="n"/>
      <c r="F830" s="9">
        <f>IF(E830="","",DATEDIF(E830,DATE(2026,12,31),"Y"))</f>
        <v/>
      </c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4.25" customHeight="1" s="37">
      <c r="A831" s="9">
        <f>IF(C831="","","UM"&amp;TEXT(ROW()-1,"00000"))</f>
        <v/>
      </c>
      <c r="B831" s="9" t="n"/>
      <c r="C831" s="9" t="n"/>
      <c r="D831" s="9" t="n"/>
      <c r="E831" s="9" t="n"/>
      <c r="F831" s="9">
        <f>IF(E831="","",DATEDIF(E831,DATE(2026,12,31),"Y"))</f>
        <v/>
      </c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4.25" customHeight="1" s="37">
      <c r="A832" s="9">
        <f>IF(C832="","","UM"&amp;TEXT(ROW()-1,"00000"))</f>
        <v/>
      </c>
      <c r="B832" s="9" t="n"/>
      <c r="C832" s="9" t="n"/>
      <c r="D832" s="9" t="n"/>
      <c r="E832" s="9" t="n"/>
      <c r="F832" s="9">
        <f>IF(E832="","",DATEDIF(E832,DATE(2026,12,31),"Y"))</f>
        <v/>
      </c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4.25" customHeight="1" s="37">
      <c r="A833" s="9">
        <f>IF(C833="","","UM"&amp;TEXT(ROW()-1,"00000"))</f>
        <v/>
      </c>
      <c r="B833" s="9" t="n"/>
      <c r="C833" s="9" t="n"/>
      <c r="D833" s="9" t="n"/>
      <c r="E833" s="9" t="n"/>
      <c r="F833" s="9">
        <f>IF(E833="","",DATEDIF(E833,DATE(2026,12,31),"Y"))</f>
        <v/>
      </c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4.25" customHeight="1" s="37">
      <c r="A834" s="9">
        <f>IF(C834="","","UM"&amp;TEXT(ROW()-1,"00000"))</f>
        <v/>
      </c>
      <c r="B834" s="9" t="n"/>
      <c r="C834" s="9" t="n"/>
      <c r="D834" s="9" t="n"/>
      <c r="E834" s="9" t="n"/>
      <c r="F834" s="9">
        <f>IF(E834="","",DATEDIF(E834,DATE(2026,12,31),"Y"))</f>
        <v/>
      </c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4.25" customHeight="1" s="37">
      <c r="A835" s="9">
        <f>IF(C835="","","UM"&amp;TEXT(ROW()-1,"00000"))</f>
        <v/>
      </c>
      <c r="B835" s="9" t="n"/>
      <c r="C835" s="9" t="n"/>
      <c r="D835" s="9" t="n"/>
      <c r="E835" s="9" t="n"/>
      <c r="F835" s="9">
        <f>IF(E835="","",DATEDIF(E835,DATE(2026,12,31),"Y"))</f>
        <v/>
      </c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4.25" customHeight="1" s="37">
      <c r="A836" s="9">
        <f>IF(C836="","","UM"&amp;TEXT(ROW()-1,"00000"))</f>
        <v/>
      </c>
      <c r="B836" s="9" t="n"/>
      <c r="C836" s="9" t="n"/>
      <c r="D836" s="9" t="n"/>
      <c r="E836" s="9" t="n"/>
      <c r="F836" s="9">
        <f>IF(E836="","",DATEDIF(E836,DATE(2026,12,31),"Y"))</f>
        <v/>
      </c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4.25" customHeight="1" s="37">
      <c r="A837" s="9">
        <f>IF(C837="","","UM"&amp;TEXT(ROW()-1,"00000"))</f>
        <v/>
      </c>
      <c r="B837" s="9" t="n"/>
      <c r="C837" s="9" t="n"/>
      <c r="D837" s="9" t="n"/>
      <c r="E837" s="9" t="n"/>
      <c r="F837" s="9">
        <f>IF(E837="","",DATEDIF(E837,DATE(2026,12,31),"Y"))</f>
        <v/>
      </c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4.25" customHeight="1" s="37">
      <c r="A838" s="9">
        <f>IF(C838="","","UM"&amp;TEXT(ROW()-1,"00000"))</f>
        <v/>
      </c>
      <c r="B838" s="9" t="n"/>
      <c r="C838" s="9" t="n"/>
      <c r="D838" s="9" t="n"/>
      <c r="E838" s="9" t="n"/>
      <c r="F838" s="9">
        <f>IF(E838="","",DATEDIF(E838,DATE(2026,12,31),"Y"))</f>
        <v/>
      </c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4.25" customHeight="1" s="37">
      <c r="A839" s="9">
        <f>IF(C839="","","UM"&amp;TEXT(ROW()-1,"00000"))</f>
        <v/>
      </c>
      <c r="B839" s="9" t="n"/>
      <c r="C839" s="9" t="n"/>
      <c r="D839" s="9" t="n"/>
      <c r="E839" s="9" t="n"/>
      <c r="F839" s="9">
        <f>IF(E839="","",DATEDIF(E839,DATE(2026,12,31),"Y"))</f>
        <v/>
      </c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4.25" customHeight="1" s="37">
      <c r="A840" s="9">
        <f>IF(C840="","","UM"&amp;TEXT(ROW()-1,"00000"))</f>
        <v/>
      </c>
      <c r="B840" s="9" t="n"/>
      <c r="C840" s="9" t="n"/>
      <c r="D840" s="9" t="n"/>
      <c r="E840" s="9" t="n"/>
      <c r="F840" s="9">
        <f>IF(E840="","",DATEDIF(E840,DATE(2026,12,31),"Y"))</f>
        <v/>
      </c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4.25" customHeight="1" s="37">
      <c r="A841" s="9">
        <f>IF(C841="","","UM"&amp;TEXT(ROW()-1,"00000"))</f>
        <v/>
      </c>
      <c r="B841" s="9" t="n"/>
      <c r="C841" s="9" t="n"/>
      <c r="D841" s="9" t="n"/>
      <c r="E841" s="9" t="n"/>
      <c r="F841" s="9">
        <f>IF(E841="","",DATEDIF(E841,DATE(2026,12,31),"Y"))</f>
        <v/>
      </c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4.25" customHeight="1" s="37">
      <c r="A842" s="9">
        <f>IF(C842="","","UM"&amp;TEXT(ROW()-1,"00000"))</f>
        <v/>
      </c>
      <c r="B842" s="9" t="n"/>
      <c r="C842" s="9" t="n"/>
      <c r="D842" s="9" t="n"/>
      <c r="E842" s="9" t="n"/>
      <c r="F842" s="9">
        <f>IF(E842="","",DATEDIF(E842,DATE(2026,12,31),"Y"))</f>
        <v/>
      </c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4.25" customHeight="1" s="37">
      <c r="A843" s="9">
        <f>IF(C843="","","UM"&amp;TEXT(ROW()-1,"00000"))</f>
        <v/>
      </c>
      <c r="B843" s="9" t="n"/>
      <c r="C843" s="9" t="n"/>
      <c r="D843" s="9" t="n"/>
      <c r="E843" s="9" t="n"/>
      <c r="F843" s="9">
        <f>IF(E843="","",DATEDIF(E843,DATE(2026,12,31),"Y"))</f>
        <v/>
      </c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4.25" customHeight="1" s="37">
      <c r="A844" s="9">
        <f>IF(C844="","","UM"&amp;TEXT(ROW()-1,"00000"))</f>
        <v/>
      </c>
      <c r="B844" s="9" t="n"/>
      <c r="C844" s="9" t="n"/>
      <c r="D844" s="9" t="n"/>
      <c r="E844" s="9" t="n"/>
      <c r="F844" s="9">
        <f>IF(E844="","",DATEDIF(E844,DATE(2026,12,31),"Y"))</f>
        <v/>
      </c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4.25" customHeight="1" s="37">
      <c r="A845" s="9">
        <f>IF(C845="","","UM"&amp;TEXT(ROW()-1,"00000"))</f>
        <v/>
      </c>
      <c r="B845" s="9" t="n"/>
      <c r="C845" s="9" t="n"/>
      <c r="D845" s="9" t="n"/>
      <c r="E845" s="9" t="n"/>
      <c r="F845" s="9">
        <f>IF(E845="","",DATEDIF(E845,DATE(2026,12,31),"Y"))</f>
        <v/>
      </c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4.25" customHeight="1" s="37">
      <c r="A846" s="9">
        <f>IF(C846="","","UM"&amp;TEXT(ROW()-1,"00000"))</f>
        <v/>
      </c>
      <c r="B846" s="9" t="n"/>
      <c r="C846" s="9" t="n"/>
      <c r="D846" s="9" t="n"/>
      <c r="E846" s="9" t="n"/>
      <c r="F846" s="9">
        <f>IF(E846="","",DATEDIF(E846,DATE(2026,12,31),"Y"))</f>
        <v/>
      </c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4.25" customHeight="1" s="37">
      <c r="A847" s="9">
        <f>IF(C847="","","UM"&amp;TEXT(ROW()-1,"00000"))</f>
        <v/>
      </c>
      <c r="B847" s="9" t="n"/>
      <c r="C847" s="9" t="n"/>
      <c r="D847" s="9" t="n"/>
      <c r="E847" s="9" t="n"/>
      <c r="F847" s="9">
        <f>IF(E847="","",DATEDIF(E847,DATE(2026,12,31),"Y"))</f>
        <v/>
      </c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4.25" customHeight="1" s="37">
      <c r="A848" s="9">
        <f>IF(C848="","","UM"&amp;TEXT(ROW()-1,"00000"))</f>
        <v/>
      </c>
      <c r="B848" s="9" t="n"/>
      <c r="C848" s="9" t="n"/>
      <c r="D848" s="9" t="n"/>
      <c r="E848" s="9" t="n"/>
      <c r="F848" s="9">
        <f>IF(E848="","",DATEDIF(E848,DATE(2026,12,31),"Y"))</f>
        <v/>
      </c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4.25" customHeight="1" s="37">
      <c r="A849" s="9">
        <f>IF(C849="","","UM"&amp;TEXT(ROW()-1,"00000"))</f>
        <v/>
      </c>
      <c r="B849" s="9" t="n"/>
      <c r="C849" s="9" t="n"/>
      <c r="D849" s="9" t="n"/>
      <c r="E849" s="9" t="n"/>
      <c r="F849" s="9">
        <f>IF(E849="","",DATEDIF(E849,DATE(2026,12,31),"Y"))</f>
        <v/>
      </c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4.25" customHeight="1" s="37">
      <c r="A850" s="9">
        <f>IF(C850="","","UM"&amp;TEXT(ROW()-1,"00000"))</f>
        <v/>
      </c>
      <c r="B850" s="9" t="n"/>
      <c r="C850" s="9" t="n"/>
      <c r="D850" s="9" t="n"/>
      <c r="E850" s="9" t="n"/>
      <c r="F850" s="9">
        <f>IF(E850="","",DATEDIF(E850,DATE(2026,12,31),"Y"))</f>
        <v/>
      </c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4.25" customHeight="1" s="37">
      <c r="A851" s="9">
        <f>IF(C851="","","UM"&amp;TEXT(ROW()-1,"00000"))</f>
        <v/>
      </c>
      <c r="B851" s="9" t="n"/>
      <c r="C851" s="9" t="n"/>
      <c r="D851" s="9" t="n"/>
      <c r="E851" s="9" t="n"/>
      <c r="F851" s="9">
        <f>IF(E851="","",DATEDIF(E851,DATE(2026,12,31),"Y"))</f>
        <v/>
      </c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4.25" customHeight="1" s="37">
      <c r="A852" s="9">
        <f>IF(C852="","","UM"&amp;TEXT(ROW()-1,"00000"))</f>
        <v/>
      </c>
      <c r="B852" s="9" t="n"/>
      <c r="C852" s="9" t="n"/>
      <c r="D852" s="9" t="n"/>
      <c r="E852" s="9" t="n"/>
      <c r="F852" s="9">
        <f>IF(E852="","",DATEDIF(E852,DATE(2026,12,31),"Y"))</f>
        <v/>
      </c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4.25" customHeight="1" s="37">
      <c r="A853" s="9">
        <f>IF(C853="","","UM"&amp;TEXT(ROW()-1,"00000"))</f>
        <v/>
      </c>
      <c r="B853" s="9" t="n"/>
      <c r="C853" s="9" t="n"/>
      <c r="D853" s="9" t="n"/>
      <c r="E853" s="9" t="n"/>
      <c r="F853" s="9">
        <f>IF(E853="","",DATEDIF(E853,DATE(2026,12,31),"Y"))</f>
        <v/>
      </c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4.25" customHeight="1" s="37">
      <c r="A854" s="9">
        <f>IF(C854="","","UM"&amp;TEXT(ROW()-1,"00000"))</f>
        <v/>
      </c>
      <c r="B854" s="9" t="n"/>
      <c r="C854" s="9" t="n"/>
      <c r="D854" s="9" t="n"/>
      <c r="E854" s="9" t="n"/>
      <c r="F854" s="9">
        <f>IF(E854="","",DATEDIF(E854,DATE(2026,12,31),"Y"))</f>
        <v/>
      </c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4.25" customHeight="1" s="37">
      <c r="A855" s="9">
        <f>IF(C855="","","UM"&amp;TEXT(ROW()-1,"00000"))</f>
        <v/>
      </c>
      <c r="B855" s="9" t="n"/>
      <c r="C855" s="9" t="n"/>
      <c r="D855" s="9" t="n"/>
      <c r="E855" s="9" t="n"/>
      <c r="F855" s="9">
        <f>IF(E855="","",DATEDIF(E855,DATE(2026,12,31),"Y"))</f>
        <v/>
      </c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4.25" customHeight="1" s="37">
      <c r="A856" s="9">
        <f>IF(C856="","","UM"&amp;TEXT(ROW()-1,"00000"))</f>
        <v/>
      </c>
      <c r="B856" s="9" t="n"/>
      <c r="C856" s="9" t="n"/>
      <c r="D856" s="9" t="n"/>
      <c r="E856" s="9" t="n"/>
      <c r="F856" s="9">
        <f>IF(E856="","",DATEDIF(E856,DATE(2026,12,31),"Y"))</f>
        <v/>
      </c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4.25" customHeight="1" s="37">
      <c r="A857" s="9">
        <f>IF(C857="","","UM"&amp;TEXT(ROW()-1,"00000"))</f>
        <v/>
      </c>
      <c r="B857" s="9" t="n"/>
      <c r="C857" s="9" t="n"/>
      <c r="D857" s="9" t="n"/>
      <c r="E857" s="9" t="n"/>
      <c r="F857" s="9">
        <f>IF(E857="","",DATEDIF(E857,DATE(2026,12,31),"Y"))</f>
        <v/>
      </c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4.25" customHeight="1" s="37">
      <c r="A858" s="9">
        <f>IF(C858="","","UM"&amp;TEXT(ROW()-1,"00000"))</f>
        <v/>
      </c>
      <c r="B858" s="9" t="n"/>
      <c r="C858" s="9" t="n"/>
      <c r="D858" s="9" t="n"/>
      <c r="E858" s="9" t="n"/>
      <c r="F858" s="9">
        <f>IF(E858="","",DATEDIF(E858,DATE(2026,12,31),"Y"))</f>
        <v/>
      </c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4.25" customHeight="1" s="37">
      <c r="A859" s="9">
        <f>IF(C859="","","UM"&amp;TEXT(ROW()-1,"00000"))</f>
        <v/>
      </c>
      <c r="B859" s="9" t="n"/>
      <c r="C859" s="9" t="n"/>
      <c r="D859" s="9" t="n"/>
      <c r="E859" s="9" t="n"/>
      <c r="F859" s="9">
        <f>IF(E859="","",DATEDIF(E859,DATE(2026,12,31),"Y"))</f>
        <v/>
      </c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4.25" customHeight="1" s="37">
      <c r="A860" s="9">
        <f>IF(C860="","","UM"&amp;TEXT(ROW()-1,"00000"))</f>
        <v/>
      </c>
      <c r="B860" s="9" t="n"/>
      <c r="C860" s="9" t="n"/>
      <c r="D860" s="9" t="n"/>
      <c r="E860" s="9" t="n"/>
      <c r="F860" s="9">
        <f>IF(E860="","",DATEDIF(E860,DATE(2026,12,31),"Y"))</f>
        <v/>
      </c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4.25" customHeight="1" s="37">
      <c r="A861" s="9">
        <f>IF(C861="","","UM"&amp;TEXT(ROW()-1,"00000"))</f>
        <v/>
      </c>
      <c r="B861" s="9" t="n"/>
      <c r="C861" s="9" t="n"/>
      <c r="D861" s="9" t="n"/>
      <c r="E861" s="9" t="n"/>
      <c r="F861" s="9">
        <f>IF(E861="","",DATEDIF(E861,DATE(2026,12,31),"Y"))</f>
        <v/>
      </c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4.25" customHeight="1" s="37">
      <c r="A862" s="9">
        <f>IF(C862="","","UM"&amp;TEXT(ROW()-1,"00000"))</f>
        <v/>
      </c>
      <c r="B862" s="9" t="n"/>
      <c r="C862" s="9" t="n"/>
      <c r="D862" s="9" t="n"/>
      <c r="E862" s="9" t="n"/>
      <c r="F862" s="9">
        <f>IF(E862="","",DATEDIF(E862,DATE(2026,12,31),"Y"))</f>
        <v/>
      </c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4.25" customHeight="1" s="37">
      <c r="A863" s="9">
        <f>IF(C863="","","UM"&amp;TEXT(ROW()-1,"00000"))</f>
        <v/>
      </c>
      <c r="B863" s="9" t="n"/>
      <c r="C863" s="9" t="n"/>
      <c r="D863" s="9" t="n"/>
      <c r="E863" s="9" t="n"/>
      <c r="F863" s="9">
        <f>IF(E863="","",DATEDIF(E863,DATE(2026,12,31),"Y"))</f>
        <v/>
      </c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4.25" customHeight="1" s="37">
      <c r="A864" s="9">
        <f>IF(C864="","","UM"&amp;TEXT(ROW()-1,"00000"))</f>
        <v/>
      </c>
      <c r="B864" s="9" t="n"/>
      <c r="C864" s="9" t="n"/>
      <c r="D864" s="9" t="n"/>
      <c r="E864" s="9" t="n"/>
      <c r="F864" s="9">
        <f>IF(E864="","",DATEDIF(E864,DATE(2026,12,31),"Y"))</f>
        <v/>
      </c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4.25" customHeight="1" s="37">
      <c r="A865" s="9">
        <f>IF(C865="","","UM"&amp;TEXT(ROW()-1,"00000"))</f>
        <v/>
      </c>
      <c r="B865" s="9" t="n"/>
      <c r="C865" s="9" t="n"/>
      <c r="D865" s="9" t="n"/>
      <c r="E865" s="9" t="n"/>
      <c r="F865" s="9">
        <f>IF(E865="","",DATEDIF(E865,DATE(2026,12,31),"Y"))</f>
        <v/>
      </c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4.25" customHeight="1" s="37">
      <c r="A866" s="9">
        <f>IF(C866="","","UM"&amp;TEXT(ROW()-1,"00000"))</f>
        <v/>
      </c>
      <c r="B866" s="9" t="n"/>
      <c r="C866" s="9" t="n"/>
      <c r="D866" s="9" t="n"/>
      <c r="E866" s="9" t="n"/>
      <c r="F866" s="9">
        <f>IF(E866="","",DATEDIF(E866,DATE(2026,12,31),"Y"))</f>
        <v/>
      </c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4.25" customHeight="1" s="37">
      <c r="A867" s="9">
        <f>IF(C867="","","UM"&amp;TEXT(ROW()-1,"00000"))</f>
        <v/>
      </c>
      <c r="B867" s="9" t="n"/>
      <c r="C867" s="9" t="n"/>
      <c r="D867" s="9" t="n"/>
      <c r="E867" s="9" t="n"/>
      <c r="F867" s="9">
        <f>IF(E867="","",DATEDIF(E867,DATE(2026,12,31),"Y"))</f>
        <v/>
      </c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4.25" customHeight="1" s="37">
      <c r="A868" s="9">
        <f>IF(C868="","","UM"&amp;TEXT(ROW()-1,"00000"))</f>
        <v/>
      </c>
      <c r="B868" s="9" t="n"/>
      <c r="C868" s="9" t="n"/>
      <c r="D868" s="9" t="n"/>
      <c r="E868" s="9" t="n"/>
      <c r="F868" s="9">
        <f>IF(E868="","",DATEDIF(E868,DATE(2026,12,31),"Y"))</f>
        <v/>
      </c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4.25" customHeight="1" s="37">
      <c r="A869" s="9">
        <f>IF(C869="","","UM"&amp;TEXT(ROW()-1,"00000"))</f>
        <v/>
      </c>
      <c r="B869" s="9" t="n"/>
      <c r="C869" s="9" t="n"/>
      <c r="D869" s="9" t="n"/>
      <c r="E869" s="9" t="n"/>
      <c r="F869" s="9">
        <f>IF(E869="","",DATEDIF(E869,DATE(2026,12,31),"Y"))</f>
        <v/>
      </c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4.25" customHeight="1" s="37">
      <c r="A870" s="9">
        <f>IF(C870="","","UM"&amp;TEXT(ROW()-1,"00000"))</f>
        <v/>
      </c>
      <c r="B870" s="9" t="n"/>
      <c r="C870" s="9" t="n"/>
      <c r="D870" s="9" t="n"/>
      <c r="E870" s="9" t="n"/>
      <c r="F870" s="9">
        <f>IF(E870="","",DATEDIF(E870,DATE(2026,12,31),"Y"))</f>
        <v/>
      </c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4.25" customHeight="1" s="37">
      <c r="A871" s="9">
        <f>IF(C871="","","UM"&amp;TEXT(ROW()-1,"00000"))</f>
        <v/>
      </c>
      <c r="B871" s="9" t="n"/>
      <c r="C871" s="9" t="n"/>
      <c r="D871" s="9" t="n"/>
      <c r="E871" s="9" t="n"/>
      <c r="F871" s="9">
        <f>IF(E871="","",DATEDIF(E871,DATE(2026,12,31),"Y"))</f>
        <v/>
      </c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4.25" customHeight="1" s="37">
      <c r="A872" s="9">
        <f>IF(C872="","","UM"&amp;TEXT(ROW()-1,"00000"))</f>
        <v/>
      </c>
      <c r="B872" s="9" t="n"/>
      <c r="C872" s="9" t="n"/>
      <c r="D872" s="9" t="n"/>
      <c r="E872" s="9" t="n"/>
      <c r="F872" s="9">
        <f>IF(E872="","",DATEDIF(E872,DATE(2026,12,31),"Y"))</f>
        <v/>
      </c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4.25" customHeight="1" s="37">
      <c r="A873" s="9">
        <f>IF(C873="","","UM"&amp;TEXT(ROW()-1,"00000"))</f>
        <v/>
      </c>
      <c r="B873" s="9" t="n"/>
      <c r="C873" s="9" t="n"/>
      <c r="D873" s="9" t="n"/>
      <c r="E873" s="9" t="n"/>
      <c r="F873" s="9">
        <f>IF(E873="","",DATEDIF(E873,DATE(2026,12,31),"Y"))</f>
        <v/>
      </c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4.25" customHeight="1" s="37">
      <c r="A874" s="9">
        <f>IF(C874="","","UM"&amp;TEXT(ROW()-1,"00000"))</f>
        <v/>
      </c>
      <c r="B874" s="9" t="n"/>
      <c r="C874" s="9" t="n"/>
      <c r="D874" s="9" t="n"/>
      <c r="E874" s="9" t="n"/>
      <c r="F874" s="9">
        <f>IF(E874="","",DATEDIF(E874,DATE(2026,12,31),"Y"))</f>
        <v/>
      </c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4.25" customHeight="1" s="37">
      <c r="A875" s="9">
        <f>IF(C875="","","UM"&amp;TEXT(ROW()-1,"00000"))</f>
        <v/>
      </c>
      <c r="B875" s="9" t="n"/>
      <c r="C875" s="9" t="n"/>
      <c r="D875" s="9" t="n"/>
      <c r="E875" s="9" t="n"/>
      <c r="F875" s="9">
        <f>IF(E875="","",DATEDIF(E875,DATE(2026,12,31),"Y"))</f>
        <v/>
      </c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4.25" customHeight="1" s="37">
      <c r="A876" s="9">
        <f>IF(C876="","","UM"&amp;TEXT(ROW()-1,"00000"))</f>
        <v/>
      </c>
      <c r="B876" s="9" t="n"/>
      <c r="C876" s="9" t="n"/>
      <c r="D876" s="9" t="n"/>
      <c r="E876" s="9" t="n"/>
      <c r="F876" s="9">
        <f>IF(E876="","",DATEDIF(E876,DATE(2026,12,31),"Y"))</f>
        <v/>
      </c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4.25" customHeight="1" s="37">
      <c r="A877" s="9">
        <f>IF(C877="","","UM"&amp;TEXT(ROW()-1,"00000"))</f>
        <v/>
      </c>
      <c r="B877" s="9" t="n"/>
      <c r="C877" s="9" t="n"/>
      <c r="D877" s="9" t="n"/>
      <c r="E877" s="9" t="n"/>
      <c r="F877" s="9">
        <f>IF(E877="","",DATEDIF(E877,DATE(2026,12,31),"Y"))</f>
        <v/>
      </c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4.25" customHeight="1" s="37">
      <c r="A878" s="9">
        <f>IF(C878="","","UM"&amp;TEXT(ROW()-1,"00000"))</f>
        <v/>
      </c>
      <c r="B878" s="9" t="n"/>
      <c r="C878" s="9" t="n"/>
      <c r="D878" s="9" t="n"/>
      <c r="E878" s="9" t="n"/>
      <c r="F878" s="9">
        <f>IF(E878="","",DATEDIF(E878,DATE(2026,12,31),"Y"))</f>
        <v/>
      </c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4.25" customHeight="1" s="37">
      <c r="A879" s="9">
        <f>IF(C879="","","UM"&amp;TEXT(ROW()-1,"00000"))</f>
        <v/>
      </c>
      <c r="B879" s="9" t="n"/>
      <c r="C879" s="9" t="n"/>
      <c r="D879" s="9" t="n"/>
      <c r="E879" s="9" t="n"/>
      <c r="F879" s="9">
        <f>IF(E879="","",DATEDIF(E879,DATE(2026,12,31),"Y"))</f>
        <v/>
      </c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4.25" customHeight="1" s="37">
      <c r="A880" s="9">
        <f>IF(C880="","","UM"&amp;TEXT(ROW()-1,"00000"))</f>
        <v/>
      </c>
      <c r="B880" s="9" t="n"/>
      <c r="C880" s="9" t="n"/>
      <c r="D880" s="9" t="n"/>
      <c r="E880" s="9" t="n"/>
      <c r="F880" s="9">
        <f>IF(E880="","",DATEDIF(E880,DATE(2026,12,31),"Y"))</f>
        <v/>
      </c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4.25" customHeight="1" s="37">
      <c r="A881" s="9">
        <f>IF(C881="","","UM"&amp;TEXT(ROW()-1,"00000"))</f>
        <v/>
      </c>
      <c r="B881" s="9" t="n"/>
      <c r="C881" s="9" t="n"/>
      <c r="D881" s="9" t="n"/>
      <c r="E881" s="9" t="n"/>
      <c r="F881" s="9">
        <f>IF(E881="","",DATEDIF(E881,DATE(2026,12,31),"Y"))</f>
        <v/>
      </c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4.25" customHeight="1" s="37">
      <c r="A882" s="9">
        <f>IF(C882="","","UM"&amp;TEXT(ROW()-1,"00000"))</f>
        <v/>
      </c>
      <c r="B882" s="9" t="n"/>
      <c r="C882" s="9" t="n"/>
      <c r="D882" s="9" t="n"/>
      <c r="E882" s="9" t="n"/>
      <c r="F882" s="9">
        <f>IF(E882="","",DATEDIF(E882,DATE(2026,12,31),"Y"))</f>
        <v/>
      </c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4.25" customHeight="1" s="37">
      <c r="A883" s="9">
        <f>IF(C883="","","UM"&amp;TEXT(ROW()-1,"00000"))</f>
        <v/>
      </c>
      <c r="B883" s="9" t="n"/>
      <c r="C883" s="9" t="n"/>
      <c r="D883" s="9" t="n"/>
      <c r="E883" s="9" t="n"/>
      <c r="F883" s="9">
        <f>IF(E883="","",DATEDIF(E883,DATE(2026,12,31),"Y"))</f>
        <v/>
      </c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4.25" customHeight="1" s="37">
      <c r="A884" s="9">
        <f>IF(C884="","","UM"&amp;TEXT(ROW()-1,"00000"))</f>
        <v/>
      </c>
      <c r="B884" s="9" t="n"/>
      <c r="C884" s="9" t="n"/>
      <c r="D884" s="9" t="n"/>
      <c r="E884" s="9" t="n"/>
      <c r="F884" s="9">
        <f>IF(E884="","",DATEDIF(E884,DATE(2026,12,31),"Y"))</f>
        <v/>
      </c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4.25" customHeight="1" s="37">
      <c r="A885" s="9">
        <f>IF(C885="","","UM"&amp;TEXT(ROW()-1,"00000"))</f>
        <v/>
      </c>
      <c r="B885" s="9" t="n"/>
      <c r="C885" s="9" t="n"/>
      <c r="D885" s="9" t="n"/>
      <c r="E885" s="9" t="n"/>
      <c r="F885" s="9">
        <f>IF(E885="","",DATEDIF(E885,DATE(2026,12,31),"Y"))</f>
        <v/>
      </c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4.25" customHeight="1" s="37">
      <c r="A886" s="9">
        <f>IF(C886="","","UM"&amp;TEXT(ROW()-1,"00000"))</f>
        <v/>
      </c>
      <c r="B886" s="9" t="n"/>
      <c r="C886" s="9" t="n"/>
      <c r="D886" s="9" t="n"/>
      <c r="E886" s="9" t="n"/>
      <c r="F886" s="9">
        <f>IF(E886="","",DATEDIF(E886,DATE(2026,12,31),"Y"))</f>
        <v/>
      </c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4.25" customHeight="1" s="37">
      <c r="A887" s="9">
        <f>IF(C887="","","UM"&amp;TEXT(ROW()-1,"00000"))</f>
        <v/>
      </c>
      <c r="B887" s="9" t="n"/>
      <c r="C887" s="9" t="n"/>
      <c r="D887" s="9" t="n"/>
      <c r="E887" s="9" t="n"/>
      <c r="F887" s="9">
        <f>IF(E887="","",DATEDIF(E887,DATE(2026,12,31),"Y"))</f>
        <v/>
      </c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4.25" customHeight="1" s="37">
      <c r="A888" s="9">
        <f>IF(C888="","","UM"&amp;TEXT(ROW()-1,"00000"))</f>
        <v/>
      </c>
      <c r="B888" s="9" t="n"/>
      <c r="C888" s="9" t="n"/>
      <c r="D888" s="9" t="n"/>
      <c r="E888" s="9" t="n"/>
      <c r="F888" s="9">
        <f>IF(E888="","",DATEDIF(E888,DATE(2026,12,31),"Y"))</f>
        <v/>
      </c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4.25" customHeight="1" s="37">
      <c r="A889" s="9">
        <f>IF(C889="","","UM"&amp;TEXT(ROW()-1,"00000"))</f>
        <v/>
      </c>
      <c r="B889" s="9" t="n"/>
      <c r="C889" s="9" t="n"/>
      <c r="D889" s="9" t="n"/>
      <c r="E889" s="9" t="n"/>
      <c r="F889" s="9">
        <f>IF(E889="","",DATEDIF(E889,DATE(2026,12,31),"Y"))</f>
        <v/>
      </c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4.25" customHeight="1" s="37">
      <c r="A890" s="9">
        <f>IF(C890="","","UM"&amp;TEXT(ROW()-1,"00000"))</f>
        <v/>
      </c>
      <c r="B890" s="9" t="n"/>
      <c r="C890" s="9" t="n"/>
      <c r="D890" s="9" t="n"/>
      <c r="E890" s="9" t="n"/>
      <c r="F890" s="9">
        <f>IF(E890="","",DATEDIF(E890,DATE(2026,12,31),"Y"))</f>
        <v/>
      </c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4.25" customHeight="1" s="37">
      <c r="A891" s="9">
        <f>IF(C891="","","UM"&amp;TEXT(ROW()-1,"00000"))</f>
        <v/>
      </c>
      <c r="B891" s="9" t="n"/>
      <c r="C891" s="9" t="n"/>
      <c r="D891" s="9" t="n"/>
      <c r="E891" s="9" t="n"/>
      <c r="F891" s="9">
        <f>IF(E891="","",DATEDIF(E891,DATE(2026,12,31),"Y"))</f>
        <v/>
      </c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4.25" customHeight="1" s="37">
      <c r="A892" s="9">
        <f>IF(C892="","","UM"&amp;TEXT(ROW()-1,"00000"))</f>
        <v/>
      </c>
      <c r="B892" s="9" t="n"/>
      <c r="C892" s="9" t="n"/>
      <c r="D892" s="9" t="n"/>
      <c r="E892" s="9" t="n"/>
      <c r="F892" s="9">
        <f>IF(E892="","",DATEDIF(E892,DATE(2026,12,31),"Y"))</f>
        <v/>
      </c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4.25" customHeight="1" s="37">
      <c r="A893" s="9">
        <f>IF(C893="","","UM"&amp;TEXT(ROW()-1,"00000"))</f>
        <v/>
      </c>
      <c r="B893" s="9" t="n"/>
      <c r="C893" s="9" t="n"/>
      <c r="D893" s="9" t="n"/>
      <c r="E893" s="9" t="n"/>
      <c r="F893" s="9">
        <f>IF(E893="","",DATEDIF(E893,DATE(2026,12,31),"Y"))</f>
        <v/>
      </c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4.25" customHeight="1" s="37">
      <c r="A894" s="9">
        <f>IF(C894="","","UM"&amp;TEXT(ROW()-1,"00000"))</f>
        <v/>
      </c>
      <c r="B894" s="9" t="n"/>
      <c r="C894" s="9" t="n"/>
      <c r="D894" s="9" t="n"/>
      <c r="E894" s="9" t="n"/>
      <c r="F894" s="9">
        <f>IF(E894="","",DATEDIF(E894,DATE(2026,12,31),"Y"))</f>
        <v/>
      </c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4.25" customHeight="1" s="37">
      <c r="A895" s="9">
        <f>IF(C895="","","UM"&amp;TEXT(ROW()-1,"00000"))</f>
        <v/>
      </c>
      <c r="B895" s="9" t="n"/>
      <c r="C895" s="9" t="n"/>
      <c r="D895" s="9" t="n"/>
      <c r="E895" s="9" t="n"/>
      <c r="F895" s="9">
        <f>IF(E895="","",DATEDIF(E895,DATE(2026,12,31),"Y"))</f>
        <v/>
      </c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4.25" customHeight="1" s="37">
      <c r="A896" s="9">
        <f>IF(C896="","","UM"&amp;TEXT(ROW()-1,"00000"))</f>
        <v/>
      </c>
      <c r="B896" s="9" t="n"/>
      <c r="C896" s="9" t="n"/>
      <c r="D896" s="9" t="n"/>
      <c r="E896" s="9" t="n"/>
      <c r="F896" s="9">
        <f>IF(E896="","",DATEDIF(E896,DATE(2026,12,31),"Y"))</f>
        <v/>
      </c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4.25" customHeight="1" s="37">
      <c r="A897" s="9">
        <f>IF(C897="","","UM"&amp;TEXT(ROW()-1,"00000"))</f>
        <v/>
      </c>
      <c r="B897" s="9" t="n"/>
      <c r="C897" s="9" t="n"/>
      <c r="D897" s="9" t="n"/>
      <c r="E897" s="9" t="n"/>
      <c r="F897" s="9">
        <f>IF(E897="","",DATEDIF(E897,DATE(2026,12,31),"Y"))</f>
        <v/>
      </c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4.25" customHeight="1" s="37">
      <c r="A898" s="9">
        <f>IF(C898="","","UM"&amp;TEXT(ROW()-1,"00000"))</f>
        <v/>
      </c>
      <c r="B898" s="9" t="n"/>
      <c r="C898" s="9" t="n"/>
      <c r="D898" s="9" t="n"/>
      <c r="E898" s="9" t="n"/>
      <c r="F898" s="9">
        <f>IF(E898="","",DATEDIF(E898,DATE(2026,12,31),"Y"))</f>
        <v/>
      </c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4.25" customHeight="1" s="37">
      <c r="A899" s="9">
        <f>IF(C899="","","UM"&amp;TEXT(ROW()-1,"00000"))</f>
        <v/>
      </c>
      <c r="B899" s="9" t="n"/>
      <c r="C899" s="9" t="n"/>
      <c r="D899" s="9" t="n"/>
      <c r="E899" s="9" t="n"/>
      <c r="F899" s="9">
        <f>IF(E899="","",DATEDIF(E899,DATE(2026,12,31),"Y"))</f>
        <v/>
      </c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4.25" customHeight="1" s="37">
      <c r="A900" s="9">
        <f>IF(C900="","","UM"&amp;TEXT(ROW()-1,"00000"))</f>
        <v/>
      </c>
      <c r="B900" s="9" t="n"/>
      <c r="C900" s="9" t="n"/>
      <c r="D900" s="9" t="n"/>
      <c r="E900" s="9" t="n"/>
      <c r="F900" s="9">
        <f>IF(E900="","",DATEDIF(E900,DATE(2026,12,31),"Y"))</f>
        <v/>
      </c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4.25" customHeight="1" s="37">
      <c r="A901" s="9">
        <f>IF(C901="","","UM"&amp;TEXT(ROW()-1,"00000"))</f>
        <v/>
      </c>
      <c r="B901" s="9" t="n"/>
      <c r="C901" s="9" t="n"/>
      <c r="D901" s="9" t="n"/>
      <c r="E901" s="9" t="n"/>
      <c r="F901" s="9">
        <f>IF(E901="","",DATEDIF(E901,DATE(2026,12,31),"Y"))</f>
        <v/>
      </c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4.25" customHeight="1" s="37">
      <c r="A902" s="9">
        <f>IF(C902="","","UM"&amp;TEXT(ROW()-1,"00000"))</f>
        <v/>
      </c>
      <c r="B902" s="9" t="n"/>
      <c r="C902" s="9" t="n"/>
      <c r="D902" s="9" t="n"/>
      <c r="E902" s="9" t="n"/>
      <c r="F902" s="9">
        <f>IF(E902="","",DATEDIF(E902,DATE(2026,12,31),"Y"))</f>
        <v/>
      </c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4.25" customHeight="1" s="37">
      <c r="A903" s="9">
        <f>IF(C903="","","UM"&amp;TEXT(ROW()-1,"00000"))</f>
        <v/>
      </c>
      <c r="B903" s="9" t="n"/>
      <c r="C903" s="9" t="n"/>
      <c r="D903" s="9" t="n"/>
      <c r="E903" s="9" t="n"/>
      <c r="F903" s="9">
        <f>IF(E903="","",DATEDIF(E903,DATE(2026,12,31),"Y"))</f>
        <v/>
      </c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4.25" customHeight="1" s="37">
      <c r="A904" s="9">
        <f>IF(C904="","","UM"&amp;TEXT(ROW()-1,"00000"))</f>
        <v/>
      </c>
      <c r="B904" s="9" t="n"/>
      <c r="C904" s="9" t="n"/>
      <c r="D904" s="9" t="n"/>
      <c r="E904" s="9" t="n"/>
      <c r="F904" s="9">
        <f>IF(E904="","",DATEDIF(E904,DATE(2026,12,31),"Y"))</f>
        <v/>
      </c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4.25" customHeight="1" s="37">
      <c r="A905" s="9">
        <f>IF(C905="","","UM"&amp;TEXT(ROW()-1,"00000"))</f>
        <v/>
      </c>
      <c r="B905" s="9" t="n"/>
      <c r="C905" s="9" t="n"/>
      <c r="D905" s="9" t="n"/>
      <c r="E905" s="9" t="n"/>
      <c r="F905" s="9">
        <f>IF(E905="","",DATEDIF(E905,DATE(2026,12,31),"Y"))</f>
        <v/>
      </c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4.25" customHeight="1" s="37">
      <c r="A906" s="9">
        <f>IF(C906="","","UM"&amp;TEXT(ROW()-1,"00000"))</f>
        <v/>
      </c>
      <c r="B906" s="9" t="n"/>
      <c r="C906" s="9" t="n"/>
      <c r="D906" s="9" t="n"/>
      <c r="E906" s="9" t="n"/>
      <c r="F906" s="9">
        <f>IF(E906="","",DATEDIF(E906,DATE(2026,12,31),"Y"))</f>
        <v/>
      </c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4.25" customHeight="1" s="37">
      <c r="A907" s="9">
        <f>IF(C907="","","UM"&amp;TEXT(ROW()-1,"00000"))</f>
        <v/>
      </c>
      <c r="B907" s="9" t="n"/>
      <c r="C907" s="9" t="n"/>
      <c r="D907" s="9" t="n"/>
      <c r="E907" s="9" t="n"/>
      <c r="F907" s="9">
        <f>IF(E907="","",DATEDIF(E907,DATE(2026,12,31),"Y"))</f>
        <v/>
      </c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4.25" customHeight="1" s="37">
      <c r="A908" s="9">
        <f>IF(C908="","","UM"&amp;TEXT(ROW()-1,"00000"))</f>
        <v/>
      </c>
      <c r="B908" s="9" t="n"/>
      <c r="C908" s="9" t="n"/>
      <c r="D908" s="9" t="n"/>
      <c r="E908" s="9" t="n"/>
      <c r="F908" s="9">
        <f>IF(E908="","",DATEDIF(E908,DATE(2026,12,31),"Y"))</f>
        <v/>
      </c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4.25" customHeight="1" s="37">
      <c r="A909" s="9">
        <f>IF(C909="","","UM"&amp;TEXT(ROW()-1,"00000"))</f>
        <v/>
      </c>
      <c r="B909" s="9" t="n"/>
      <c r="C909" s="9" t="n"/>
      <c r="D909" s="9" t="n"/>
      <c r="E909" s="9" t="n"/>
      <c r="F909" s="9">
        <f>IF(E909="","",DATEDIF(E909,DATE(2026,12,31),"Y"))</f>
        <v/>
      </c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4.25" customHeight="1" s="37">
      <c r="A910" s="9">
        <f>IF(C910="","","UM"&amp;TEXT(ROW()-1,"00000"))</f>
        <v/>
      </c>
      <c r="B910" s="9" t="n"/>
      <c r="C910" s="9" t="n"/>
      <c r="D910" s="9" t="n"/>
      <c r="E910" s="9" t="n"/>
      <c r="F910" s="9">
        <f>IF(E910="","",DATEDIF(E910,DATE(2026,12,31),"Y"))</f>
        <v/>
      </c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4.25" customHeight="1" s="37">
      <c r="A911" s="9">
        <f>IF(C911="","","UM"&amp;TEXT(ROW()-1,"00000"))</f>
        <v/>
      </c>
      <c r="B911" s="9" t="n"/>
      <c r="C911" s="9" t="n"/>
      <c r="D911" s="9" t="n"/>
      <c r="E911" s="9" t="n"/>
      <c r="F911" s="9">
        <f>IF(E911="","",DATEDIF(E911,DATE(2026,12,31),"Y"))</f>
        <v/>
      </c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4.25" customHeight="1" s="37">
      <c r="A912" s="9">
        <f>IF(C912="","","UM"&amp;TEXT(ROW()-1,"00000"))</f>
        <v/>
      </c>
      <c r="B912" s="9" t="n"/>
      <c r="C912" s="9" t="n"/>
      <c r="D912" s="9" t="n"/>
      <c r="E912" s="9" t="n"/>
      <c r="F912" s="9">
        <f>IF(E912="","",DATEDIF(E912,DATE(2026,12,31),"Y"))</f>
        <v/>
      </c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4.25" customHeight="1" s="37">
      <c r="A913" s="9">
        <f>IF(C913="","","UM"&amp;TEXT(ROW()-1,"00000"))</f>
        <v/>
      </c>
      <c r="B913" s="9" t="n"/>
      <c r="C913" s="9" t="n"/>
      <c r="D913" s="9" t="n"/>
      <c r="E913" s="9" t="n"/>
      <c r="F913" s="9">
        <f>IF(E913="","",DATEDIF(E913,DATE(2026,12,31),"Y"))</f>
        <v/>
      </c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4.25" customHeight="1" s="37">
      <c r="A914" s="9">
        <f>IF(C914="","","UM"&amp;TEXT(ROW()-1,"00000"))</f>
        <v/>
      </c>
      <c r="B914" s="9" t="n"/>
      <c r="C914" s="9" t="n"/>
      <c r="D914" s="9" t="n"/>
      <c r="E914" s="9" t="n"/>
      <c r="F914" s="9">
        <f>IF(E914="","",DATEDIF(E914,DATE(2026,12,31),"Y"))</f>
        <v/>
      </c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4.25" customHeight="1" s="37">
      <c r="A915" s="9">
        <f>IF(C915="","","UM"&amp;TEXT(ROW()-1,"00000"))</f>
        <v/>
      </c>
      <c r="B915" s="9" t="n"/>
      <c r="C915" s="9" t="n"/>
      <c r="D915" s="9" t="n"/>
      <c r="E915" s="9" t="n"/>
      <c r="F915" s="9">
        <f>IF(E915="","",DATEDIF(E915,DATE(2026,12,31),"Y"))</f>
        <v/>
      </c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4.25" customHeight="1" s="37">
      <c r="A916" s="9">
        <f>IF(C916="","","UM"&amp;TEXT(ROW()-1,"00000"))</f>
        <v/>
      </c>
      <c r="B916" s="9" t="n"/>
      <c r="C916" s="9" t="n"/>
      <c r="D916" s="9" t="n"/>
      <c r="E916" s="9" t="n"/>
      <c r="F916" s="9">
        <f>IF(E916="","",DATEDIF(E916,DATE(2026,12,31),"Y"))</f>
        <v/>
      </c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4.25" customHeight="1" s="37">
      <c r="A917" s="9">
        <f>IF(C917="","","UM"&amp;TEXT(ROW()-1,"00000"))</f>
        <v/>
      </c>
      <c r="B917" s="9" t="n"/>
      <c r="C917" s="9" t="n"/>
      <c r="D917" s="9" t="n"/>
      <c r="E917" s="9" t="n"/>
      <c r="F917" s="9">
        <f>IF(E917="","",DATEDIF(E917,DATE(2026,12,31),"Y"))</f>
        <v/>
      </c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4.25" customHeight="1" s="37">
      <c r="A918" s="9">
        <f>IF(C918="","","UM"&amp;TEXT(ROW()-1,"00000"))</f>
        <v/>
      </c>
      <c r="B918" s="9" t="n"/>
      <c r="C918" s="9" t="n"/>
      <c r="D918" s="9" t="n"/>
      <c r="E918" s="9" t="n"/>
      <c r="F918" s="9">
        <f>IF(E918="","",DATEDIF(E918,DATE(2026,12,31),"Y"))</f>
        <v/>
      </c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4.25" customHeight="1" s="37">
      <c r="A919" s="9">
        <f>IF(C919="","","UM"&amp;TEXT(ROW()-1,"00000"))</f>
        <v/>
      </c>
      <c r="B919" s="9" t="n"/>
      <c r="C919" s="9" t="n"/>
      <c r="D919" s="9" t="n"/>
      <c r="E919" s="9" t="n"/>
      <c r="F919" s="9">
        <f>IF(E919="","",DATEDIF(E919,DATE(2026,12,31),"Y"))</f>
        <v/>
      </c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4.25" customHeight="1" s="37">
      <c r="A920" s="9">
        <f>IF(C920="","","UM"&amp;TEXT(ROW()-1,"00000"))</f>
        <v/>
      </c>
      <c r="B920" s="9" t="n"/>
      <c r="C920" s="9" t="n"/>
      <c r="D920" s="9" t="n"/>
      <c r="E920" s="9" t="n"/>
      <c r="F920" s="9">
        <f>IF(E920="","",DATEDIF(E920,DATE(2026,12,31),"Y"))</f>
        <v/>
      </c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4.25" customHeight="1" s="37">
      <c r="A921" s="9">
        <f>IF(C921="","","UM"&amp;TEXT(ROW()-1,"00000"))</f>
        <v/>
      </c>
      <c r="B921" s="9" t="n"/>
      <c r="C921" s="9" t="n"/>
      <c r="D921" s="9" t="n"/>
      <c r="E921" s="9" t="n"/>
      <c r="F921" s="9">
        <f>IF(E921="","",DATEDIF(E921,DATE(2026,12,31),"Y"))</f>
        <v/>
      </c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4.25" customHeight="1" s="37">
      <c r="A922" s="9">
        <f>IF(C922="","","UM"&amp;TEXT(ROW()-1,"00000"))</f>
        <v/>
      </c>
      <c r="B922" s="9" t="n"/>
      <c r="C922" s="9" t="n"/>
      <c r="D922" s="9" t="n"/>
      <c r="E922" s="9" t="n"/>
      <c r="F922" s="9">
        <f>IF(E922="","",DATEDIF(E922,DATE(2026,12,31),"Y"))</f>
        <v/>
      </c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4.25" customHeight="1" s="37">
      <c r="A923" s="9">
        <f>IF(C923="","","UM"&amp;TEXT(ROW()-1,"00000"))</f>
        <v/>
      </c>
      <c r="B923" s="9" t="n"/>
      <c r="C923" s="9" t="n"/>
      <c r="D923" s="9" t="n"/>
      <c r="E923" s="9" t="n"/>
      <c r="F923" s="9">
        <f>IF(E923="","",DATEDIF(E923,DATE(2026,12,31),"Y"))</f>
        <v/>
      </c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4.25" customHeight="1" s="37">
      <c r="A924" s="9">
        <f>IF(C924="","","UM"&amp;TEXT(ROW()-1,"00000"))</f>
        <v/>
      </c>
      <c r="B924" s="9" t="n"/>
      <c r="C924" s="9" t="n"/>
      <c r="D924" s="9" t="n"/>
      <c r="E924" s="9" t="n"/>
      <c r="F924" s="9">
        <f>IF(E924="","",DATEDIF(E924,DATE(2026,12,31),"Y"))</f>
        <v/>
      </c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4.25" customHeight="1" s="37">
      <c r="A925" s="9">
        <f>IF(C925="","","UM"&amp;TEXT(ROW()-1,"00000"))</f>
        <v/>
      </c>
      <c r="B925" s="9" t="n"/>
      <c r="C925" s="9" t="n"/>
      <c r="D925" s="9" t="n"/>
      <c r="E925" s="9" t="n"/>
      <c r="F925" s="9">
        <f>IF(E925="","",DATEDIF(E925,DATE(2026,12,31),"Y"))</f>
        <v/>
      </c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4.25" customHeight="1" s="37">
      <c r="A926" s="9">
        <f>IF(C926="","","UM"&amp;TEXT(ROW()-1,"00000"))</f>
        <v/>
      </c>
      <c r="B926" s="9" t="n"/>
      <c r="C926" s="9" t="n"/>
      <c r="D926" s="9" t="n"/>
      <c r="E926" s="9" t="n"/>
      <c r="F926" s="9">
        <f>IF(E926="","",DATEDIF(E926,DATE(2026,12,31),"Y"))</f>
        <v/>
      </c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4.25" customHeight="1" s="37">
      <c r="A927" s="9">
        <f>IF(C927="","","UM"&amp;TEXT(ROW()-1,"00000"))</f>
        <v/>
      </c>
      <c r="B927" s="9" t="n"/>
      <c r="C927" s="9" t="n"/>
      <c r="D927" s="9" t="n"/>
      <c r="E927" s="9" t="n"/>
      <c r="F927" s="9">
        <f>IF(E927="","",DATEDIF(E927,DATE(2026,12,31),"Y"))</f>
        <v/>
      </c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4.25" customHeight="1" s="37">
      <c r="A928" s="9">
        <f>IF(C928="","","UM"&amp;TEXT(ROW()-1,"00000"))</f>
        <v/>
      </c>
      <c r="B928" s="9" t="n"/>
      <c r="C928" s="9" t="n"/>
      <c r="D928" s="9" t="n"/>
      <c r="E928" s="9" t="n"/>
      <c r="F928" s="9">
        <f>IF(E928="","",DATEDIF(E928,DATE(2026,12,31),"Y"))</f>
        <v/>
      </c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4.25" customHeight="1" s="37">
      <c r="A929" s="9">
        <f>IF(C929="","","UM"&amp;TEXT(ROW()-1,"00000"))</f>
        <v/>
      </c>
      <c r="B929" s="9" t="n"/>
      <c r="C929" s="9" t="n"/>
      <c r="D929" s="9" t="n"/>
      <c r="E929" s="9" t="n"/>
      <c r="F929" s="9">
        <f>IF(E929="","",DATEDIF(E929,DATE(2026,12,31),"Y"))</f>
        <v/>
      </c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4.25" customHeight="1" s="37">
      <c r="A930" s="9">
        <f>IF(C930="","","UM"&amp;TEXT(ROW()-1,"00000"))</f>
        <v/>
      </c>
      <c r="B930" s="9" t="n"/>
      <c r="C930" s="9" t="n"/>
      <c r="D930" s="9" t="n"/>
      <c r="E930" s="9" t="n"/>
      <c r="F930" s="9">
        <f>IF(E930="","",DATEDIF(E930,DATE(2026,12,31),"Y"))</f>
        <v/>
      </c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4.25" customHeight="1" s="37">
      <c r="A931" s="9">
        <f>IF(C931="","","UM"&amp;TEXT(ROW()-1,"00000"))</f>
        <v/>
      </c>
      <c r="B931" s="9" t="n"/>
      <c r="C931" s="9" t="n"/>
      <c r="D931" s="9" t="n"/>
      <c r="E931" s="9" t="n"/>
      <c r="F931" s="9">
        <f>IF(E931="","",DATEDIF(E931,DATE(2026,12,31),"Y"))</f>
        <v/>
      </c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4.25" customHeight="1" s="37">
      <c r="A932" s="9">
        <f>IF(C932="","","UM"&amp;TEXT(ROW()-1,"00000"))</f>
        <v/>
      </c>
      <c r="B932" s="9" t="n"/>
      <c r="C932" s="9" t="n"/>
      <c r="D932" s="9" t="n"/>
      <c r="E932" s="9" t="n"/>
      <c r="F932" s="9">
        <f>IF(E932="","",DATEDIF(E932,DATE(2026,12,31),"Y"))</f>
        <v/>
      </c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4.25" customHeight="1" s="37">
      <c r="A933" s="9">
        <f>IF(C933="","","UM"&amp;TEXT(ROW()-1,"00000"))</f>
        <v/>
      </c>
      <c r="B933" s="9" t="n"/>
      <c r="C933" s="9" t="n"/>
      <c r="D933" s="9" t="n"/>
      <c r="E933" s="9" t="n"/>
      <c r="F933" s="9">
        <f>IF(E933="","",DATEDIF(E933,DATE(2026,12,31),"Y"))</f>
        <v/>
      </c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4.25" customHeight="1" s="37">
      <c r="A934" s="9">
        <f>IF(C934="","","UM"&amp;TEXT(ROW()-1,"00000"))</f>
        <v/>
      </c>
      <c r="B934" s="9" t="n"/>
      <c r="C934" s="9" t="n"/>
      <c r="D934" s="9" t="n"/>
      <c r="E934" s="9" t="n"/>
      <c r="F934" s="9">
        <f>IF(E934="","",DATEDIF(E934,DATE(2026,12,31),"Y"))</f>
        <v/>
      </c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4.25" customHeight="1" s="37">
      <c r="A935" s="9">
        <f>IF(C935="","","UM"&amp;TEXT(ROW()-1,"00000"))</f>
        <v/>
      </c>
      <c r="B935" s="9" t="n"/>
      <c r="C935" s="9" t="n"/>
      <c r="D935" s="9" t="n"/>
      <c r="E935" s="9" t="n"/>
      <c r="F935" s="9">
        <f>IF(E935="","",DATEDIF(E935,DATE(2026,12,31),"Y"))</f>
        <v/>
      </c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4.25" customHeight="1" s="37">
      <c r="A936" s="9">
        <f>IF(C936="","","UM"&amp;TEXT(ROW()-1,"00000"))</f>
        <v/>
      </c>
      <c r="B936" s="9" t="n"/>
      <c r="C936" s="9" t="n"/>
      <c r="D936" s="9" t="n"/>
      <c r="E936" s="9" t="n"/>
      <c r="F936" s="9">
        <f>IF(E936="","",DATEDIF(E936,DATE(2026,12,31),"Y"))</f>
        <v/>
      </c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4.25" customHeight="1" s="37">
      <c r="A937" s="9">
        <f>IF(C937="","","UM"&amp;TEXT(ROW()-1,"00000"))</f>
        <v/>
      </c>
      <c r="B937" s="9" t="n"/>
      <c r="C937" s="9" t="n"/>
      <c r="D937" s="9" t="n"/>
      <c r="E937" s="9" t="n"/>
      <c r="F937" s="9">
        <f>IF(E937="","",DATEDIF(E937,DATE(2026,12,31),"Y"))</f>
        <v/>
      </c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4.25" customHeight="1" s="37">
      <c r="A938" s="9">
        <f>IF(C938="","","UM"&amp;TEXT(ROW()-1,"00000"))</f>
        <v/>
      </c>
      <c r="B938" s="9" t="n"/>
      <c r="C938" s="9" t="n"/>
      <c r="D938" s="9" t="n"/>
      <c r="E938" s="9" t="n"/>
      <c r="F938" s="9">
        <f>IF(E938="","",DATEDIF(E938,DATE(2026,12,31),"Y"))</f>
        <v/>
      </c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4.25" customHeight="1" s="37">
      <c r="A939" s="9">
        <f>IF(C939="","","UM"&amp;TEXT(ROW()-1,"00000"))</f>
        <v/>
      </c>
      <c r="B939" s="9" t="n"/>
      <c r="C939" s="9" t="n"/>
      <c r="D939" s="9" t="n"/>
      <c r="E939" s="9" t="n"/>
      <c r="F939" s="9">
        <f>IF(E939="","",DATEDIF(E939,DATE(2026,12,31),"Y"))</f>
        <v/>
      </c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4.25" customHeight="1" s="37">
      <c r="A940" s="9">
        <f>IF(C940="","","UM"&amp;TEXT(ROW()-1,"00000"))</f>
        <v/>
      </c>
      <c r="B940" s="9" t="n"/>
      <c r="C940" s="9" t="n"/>
      <c r="D940" s="9" t="n"/>
      <c r="E940" s="9" t="n"/>
      <c r="F940" s="9">
        <f>IF(E940="","",DATEDIF(E940,DATE(2026,12,31),"Y"))</f>
        <v/>
      </c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4.25" customHeight="1" s="37">
      <c r="A941" s="9">
        <f>IF(C941="","","UM"&amp;TEXT(ROW()-1,"00000"))</f>
        <v/>
      </c>
      <c r="B941" s="9" t="n"/>
      <c r="C941" s="9" t="n"/>
      <c r="D941" s="9" t="n"/>
      <c r="E941" s="9" t="n"/>
      <c r="F941" s="9">
        <f>IF(E941="","",DATEDIF(E941,DATE(2026,12,31),"Y"))</f>
        <v/>
      </c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4.25" customHeight="1" s="37">
      <c r="A942" s="9">
        <f>IF(C942="","","UM"&amp;TEXT(ROW()-1,"00000"))</f>
        <v/>
      </c>
      <c r="B942" s="9" t="n"/>
      <c r="C942" s="9" t="n"/>
      <c r="D942" s="9" t="n"/>
      <c r="E942" s="9" t="n"/>
      <c r="F942" s="9">
        <f>IF(E942="","",DATEDIF(E942,DATE(2026,12,31),"Y"))</f>
        <v/>
      </c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4.25" customHeight="1" s="37">
      <c r="A943" s="9">
        <f>IF(C943="","","UM"&amp;TEXT(ROW()-1,"00000"))</f>
        <v/>
      </c>
      <c r="B943" s="9" t="n"/>
      <c r="C943" s="9" t="n"/>
      <c r="D943" s="9" t="n"/>
      <c r="E943" s="9" t="n"/>
      <c r="F943" s="9">
        <f>IF(E943="","",DATEDIF(E943,DATE(2026,12,31),"Y"))</f>
        <v/>
      </c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4.25" customHeight="1" s="37">
      <c r="A944" s="9">
        <f>IF(C944="","","UM"&amp;TEXT(ROW()-1,"00000"))</f>
        <v/>
      </c>
      <c r="B944" s="9" t="n"/>
      <c r="C944" s="9" t="n"/>
      <c r="D944" s="9" t="n"/>
      <c r="E944" s="9" t="n"/>
      <c r="F944" s="9">
        <f>IF(E944="","",DATEDIF(E944,DATE(2026,12,31),"Y"))</f>
        <v/>
      </c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4.25" customHeight="1" s="37">
      <c r="A945" s="9">
        <f>IF(C945="","","UM"&amp;TEXT(ROW()-1,"00000"))</f>
        <v/>
      </c>
      <c r="B945" s="9" t="n"/>
      <c r="C945" s="9" t="n"/>
      <c r="D945" s="9" t="n"/>
      <c r="E945" s="9" t="n"/>
      <c r="F945" s="9">
        <f>IF(E945="","",DATEDIF(E945,DATE(2026,12,31),"Y"))</f>
        <v/>
      </c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4.25" customHeight="1" s="37">
      <c r="A946" s="9">
        <f>IF(C946="","","UM"&amp;TEXT(ROW()-1,"00000"))</f>
        <v/>
      </c>
      <c r="B946" s="9" t="n"/>
      <c r="C946" s="9" t="n"/>
      <c r="D946" s="9" t="n"/>
      <c r="E946" s="9" t="n"/>
      <c r="F946" s="9">
        <f>IF(E946="","",DATEDIF(E946,DATE(2026,12,31),"Y"))</f>
        <v/>
      </c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4.25" customHeight="1" s="37">
      <c r="A947" s="9">
        <f>IF(C947="","","UM"&amp;TEXT(ROW()-1,"00000"))</f>
        <v/>
      </c>
      <c r="B947" s="9" t="n"/>
      <c r="C947" s="9" t="n"/>
      <c r="D947" s="9" t="n"/>
      <c r="E947" s="9" t="n"/>
      <c r="F947" s="9">
        <f>IF(E947="","",DATEDIF(E947,DATE(2026,12,31),"Y"))</f>
        <v/>
      </c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4.25" customHeight="1" s="37">
      <c r="A948" s="9">
        <f>IF(C948="","","UM"&amp;TEXT(ROW()-1,"00000"))</f>
        <v/>
      </c>
      <c r="B948" s="9" t="n"/>
      <c r="C948" s="9" t="n"/>
      <c r="D948" s="9" t="n"/>
      <c r="E948" s="9" t="n"/>
      <c r="F948" s="9">
        <f>IF(E948="","",DATEDIF(E948,DATE(2026,12,31),"Y"))</f>
        <v/>
      </c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4.25" customHeight="1" s="37">
      <c r="A949" s="9">
        <f>IF(C949="","","UM"&amp;TEXT(ROW()-1,"00000"))</f>
        <v/>
      </c>
      <c r="B949" s="9" t="n"/>
      <c r="C949" s="9" t="n"/>
      <c r="D949" s="9" t="n"/>
      <c r="E949" s="9" t="n"/>
      <c r="F949" s="9">
        <f>IF(E949="","",DATEDIF(E949,DATE(2026,12,31),"Y"))</f>
        <v/>
      </c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4.25" customHeight="1" s="37">
      <c r="A950" s="9">
        <f>IF(C950="","","UM"&amp;TEXT(ROW()-1,"00000"))</f>
        <v/>
      </c>
      <c r="B950" s="9" t="n"/>
      <c r="C950" s="9" t="n"/>
      <c r="D950" s="9" t="n"/>
      <c r="E950" s="9" t="n"/>
      <c r="F950" s="9">
        <f>IF(E950="","",DATEDIF(E950,DATE(2026,12,31),"Y"))</f>
        <v/>
      </c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4.25" customHeight="1" s="37">
      <c r="A951" s="9">
        <f>IF(C951="","","UM"&amp;TEXT(ROW()-1,"00000"))</f>
        <v/>
      </c>
      <c r="B951" s="9" t="n"/>
      <c r="C951" s="9" t="n"/>
      <c r="D951" s="9" t="n"/>
      <c r="E951" s="9" t="n"/>
      <c r="F951" s="9">
        <f>IF(E951="","",DATEDIF(E951,DATE(2026,12,31),"Y"))</f>
        <v/>
      </c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4.25" customHeight="1" s="37">
      <c r="A952" s="9">
        <f>IF(C952="","","UM"&amp;TEXT(ROW()-1,"00000"))</f>
        <v/>
      </c>
      <c r="B952" s="9" t="n"/>
      <c r="C952" s="9" t="n"/>
      <c r="D952" s="9" t="n"/>
      <c r="E952" s="9" t="n"/>
      <c r="F952" s="9">
        <f>IF(E952="","",DATEDIF(E952,DATE(2026,12,31),"Y"))</f>
        <v/>
      </c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4.25" customHeight="1" s="37">
      <c r="A953" s="9">
        <f>IF(C953="","","UM"&amp;TEXT(ROW()-1,"00000"))</f>
        <v/>
      </c>
      <c r="B953" s="9" t="n"/>
      <c r="C953" s="9" t="n"/>
      <c r="D953" s="9" t="n"/>
      <c r="E953" s="9" t="n"/>
      <c r="F953" s="9">
        <f>IF(E953="","",DATEDIF(E953,DATE(2026,12,31),"Y"))</f>
        <v/>
      </c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4.25" customHeight="1" s="37">
      <c r="A954" s="9">
        <f>IF(C954="","","UM"&amp;TEXT(ROW()-1,"00000"))</f>
        <v/>
      </c>
      <c r="B954" s="9" t="n"/>
      <c r="C954" s="9" t="n"/>
      <c r="D954" s="9" t="n"/>
      <c r="E954" s="9" t="n"/>
      <c r="F954" s="9">
        <f>IF(E954="","",DATEDIF(E954,DATE(2026,12,31),"Y"))</f>
        <v/>
      </c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4.25" customHeight="1" s="37">
      <c r="A955" s="9">
        <f>IF(C955="","","UM"&amp;TEXT(ROW()-1,"00000"))</f>
        <v/>
      </c>
      <c r="B955" s="9" t="n"/>
      <c r="C955" s="9" t="n"/>
      <c r="D955" s="9" t="n"/>
      <c r="E955" s="9" t="n"/>
      <c r="F955" s="9">
        <f>IF(E955="","",DATEDIF(E955,DATE(2026,12,31),"Y"))</f>
        <v/>
      </c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4.25" customHeight="1" s="37">
      <c r="A956" s="9">
        <f>IF(C956="","","UM"&amp;TEXT(ROW()-1,"00000"))</f>
        <v/>
      </c>
      <c r="B956" s="9" t="n"/>
      <c r="C956" s="9" t="n"/>
      <c r="D956" s="9" t="n"/>
      <c r="E956" s="9" t="n"/>
      <c r="F956" s="9">
        <f>IF(E956="","",DATEDIF(E956,DATE(2026,12,31),"Y"))</f>
        <v/>
      </c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4.25" customHeight="1" s="37">
      <c r="A957" s="9">
        <f>IF(C957="","","UM"&amp;TEXT(ROW()-1,"00000"))</f>
        <v/>
      </c>
      <c r="B957" s="9" t="n"/>
      <c r="C957" s="9" t="n"/>
      <c r="D957" s="9" t="n"/>
      <c r="E957" s="9" t="n"/>
      <c r="F957" s="9">
        <f>IF(E957="","",DATEDIF(E957,DATE(2026,12,31),"Y"))</f>
        <v/>
      </c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4.25" customHeight="1" s="37">
      <c r="A958" s="9">
        <f>IF(C958="","","UM"&amp;TEXT(ROW()-1,"00000"))</f>
        <v/>
      </c>
      <c r="B958" s="9" t="n"/>
      <c r="C958" s="9" t="n"/>
      <c r="D958" s="9" t="n"/>
      <c r="E958" s="9" t="n"/>
      <c r="F958" s="9">
        <f>IF(E958="","",DATEDIF(E958,DATE(2026,12,31),"Y"))</f>
        <v/>
      </c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4.25" customHeight="1" s="37">
      <c r="A959" s="9">
        <f>IF(C959="","","UM"&amp;TEXT(ROW()-1,"00000"))</f>
        <v/>
      </c>
      <c r="B959" s="9" t="n"/>
      <c r="C959" s="9" t="n"/>
      <c r="D959" s="9" t="n"/>
      <c r="E959" s="9" t="n"/>
      <c r="F959" s="9">
        <f>IF(E959="","",DATEDIF(E959,DATE(2026,12,31),"Y"))</f>
        <v/>
      </c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4.25" customHeight="1" s="37">
      <c r="A960" s="9">
        <f>IF(C960="","","UM"&amp;TEXT(ROW()-1,"00000"))</f>
        <v/>
      </c>
      <c r="B960" s="9" t="n"/>
      <c r="C960" s="9" t="n"/>
      <c r="D960" s="9" t="n"/>
      <c r="E960" s="9" t="n"/>
      <c r="F960" s="9">
        <f>IF(E960="","",DATEDIF(E960,DATE(2026,12,31),"Y"))</f>
        <v/>
      </c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4.25" customHeight="1" s="37">
      <c r="A961" s="9">
        <f>IF(C961="","","UM"&amp;TEXT(ROW()-1,"00000"))</f>
        <v/>
      </c>
      <c r="B961" s="9" t="n"/>
      <c r="C961" s="9" t="n"/>
      <c r="D961" s="9" t="n"/>
      <c r="E961" s="9" t="n"/>
      <c r="F961" s="9">
        <f>IF(E961="","",DATEDIF(E961,DATE(2026,12,31),"Y"))</f>
        <v/>
      </c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4.25" customHeight="1" s="37">
      <c r="A962" s="9">
        <f>IF(C962="","","UM"&amp;TEXT(ROW()-1,"00000"))</f>
        <v/>
      </c>
      <c r="B962" s="9" t="n"/>
      <c r="C962" s="9" t="n"/>
      <c r="D962" s="9" t="n"/>
      <c r="E962" s="9" t="n"/>
      <c r="F962" s="9">
        <f>IF(E962="","",DATEDIF(E962,DATE(2026,12,31),"Y"))</f>
        <v/>
      </c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4.25" customHeight="1" s="37">
      <c r="A963" s="9">
        <f>IF(C963="","","UM"&amp;TEXT(ROW()-1,"00000"))</f>
        <v/>
      </c>
      <c r="B963" s="9" t="n"/>
      <c r="C963" s="9" t="n"/>
      <c r="D963" s="9" t="n"/>
      <c r="E963" s="9" t="n"/>
      <c r="F963" s="9">
        <f>IF(E963="","",DATEDIF(E963,DATE(2026,12,31),"Y"))</f>
        <v/>
      </c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4.25" customHeight="1" s="37">
      <c r="A964" s="9">
        <f>IF(C964="","","UM"&amp;TEXT(ROW()-1,"00000"))</f>
        <v/>
      </c>
      <c r="B964" s="9" t="n"/>
      <c r="C964" s="9" t="n"/>
      <c r="D964" s="9" t="n"/>
      <c r="E964" s="9" t="n"/>
      <c r="F964" s="9">
        <f>IF(E964="","",DATEDIF(E964,DATE(2026,12,31),"Y"))</f>
        <v/>
      </c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4.25" customHeight="1" s="37">
      <c r="A965" s="9">
        <f>IF(C965="","","UM"&amp;TEXT(ROW()-1,"00000"))</f>
        <v/>
      </c>
      <c r="B965" s="9" t="n"/>
      <c r="C965" s="9" t="n"/>
      <c r="D965" s="9" t="n"/>
      <c r="E965" s="9" t="n"/>
      <c r="F965" s="9">
        <f>IF(E965="","",DATEDIF(E965,DATE(2026,12,31),"Y"))</f>
        <v/>
      </c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4.25" customHeight="1" s="37">
      <c r="A966" s="9">
        <f>IF(C966="","","UM"&amp;TEXT(ROW()-1,"00000"))</f>
        <v/>
      </c>
      <c r="B966" s="9" t="n"/>
      <c r="C966" s="9" t="n"/>
      <c r="D966" s="9" t="n"/>
      <c r="E966" s="9" t="n"/>
      <c r="F966" s="9">
        <f>IF(E966="","",DATEDIF(E966,DATE(2026,12,31),"Y"))</f>
        <v/>
      </c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4.25" customHeight="1" s="37">
      <c r="A967" s="9">
        <f>IF(C967="","","UM"&amp;TEXT(ROW()-1,"00000"))</f>
        <v/>
      </c>
      <c r="B967" s="9" t="n"/>
      <c r="C967" s="9" t="n"/>
      <c r="D967" s="9" t="n"/>
      <c r="E967" s="9" t="n"/>
      <c r="F967" s="9">
        <f>IF(E967="","",DATEDIF(E967,DATE(2026,12,31),"Y"))</f>
        <v/>
      </c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4.25" customHeight="1" s="37">
      <c r="A968" s="9">
        <f>IF(C968="","","UM"&amp;TEXT(ROW()-1,"00000"))</f>
        <v/>
      </c>
      <c r="B968" s="9" t="n"/>
      <c r="C968" s="9" t="n"/>
      <c r="D968" s="9" t="n"/>
      <c r="E968" s="9" t="n"/>
      <c r="F968" s="9">
        <f>IF(E968="","",DATEDIF(E968,DATE(2026,12,31),"Y"))</f>
        <v/>
      </c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4.25" customHeight="1" s="37">
      <c r="A969" s="9">
        <f>IF(C969="","","UM"&amp;TEXT(ROW()-1,"00000"))</f>
        <v/>
      </c>
      <c r="B969" s="9" t="n"/>
      <c r="C969" s="9" t="n"/>
      <c r="D969" s="9" t="n"/>
      <c r="E969" s="9" t="n"/>
      <c r="F969" s="9">
        <f>IF(E969="","",DATEDIF(E969,DATE(2026,12,31),"Y"))</f>
        <v/>
      </c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4.25" customHeight="1" s="37">
      <c r="A970" s="9">
        <f>IF(C970="","","UM"&amp;TEXT(ROW()-1,"00000"))</f>
        <v/>
      </c>
      <c r="B970" s="9" t="n"/>
      <c r="C970" s="9" t="n"/>
      <c r="D970" s="9" t="n"/>
      <c r="E970" s="9" t="n"/>
      <c r="F970" s="9">
        <f>IF(E970="","",DATEDIF(E970,DATE(2026,12,31),"Y"))</f>
        <v/>
      </c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4.25" customHeight="1" s="37">
      <c r="A971" s="9">
        <f>IF(C971="","","UM"&amp;TEXT(ROW()-1,"00000"))</f>
        <v/>
      </c>
      <c r="B971" s="9" t="n"/>
      <c r="C971" s="9" t="n"/>
      <c r="D971" s="9" t="n"/>
      <c r="E971" s="9" t="n"/>
      <c r="F971" s="9">
        <f>IF(E971="","",DATEDIF(E971,DATE(2026,12,31),"Y"))</f>
        <v/>
      </c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4.25" customHeight="1" s="37">
      <c r="A972" s="9">
        <f>IF(C972="","","UM"&amp;TEXT(ROW()-1,"00000"))</f>
        <v/>
      </c>
      <c r="B972" s="9" t="n"/>
      <c r="C972" s="9" t="n"/>
      <c r="D972" s="9" t="n"/>
      <c r="E972" s="9" t="n"/>
      <c r="F972" s="9">
        <f>IF(E972="","",DATEDIF(E972,DATE(2026,12,31),"Y"))</f>
        <v/>
      </c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4.25" customHeight="1" s="37">
      <c r="A973" s="9">
        <f>IF(C973="","","UM"&amp;TEXT(ROW()-1,"00000"))</f>
        <v/>
      </c>
      <c r="B973" s="9" t="n"/>
      <c r="C973" s="9" t="n"/>
      <c r="D973" s="9" t="n"/>
      <c r="E973" s="9" t="n"/>
      <c r="F973" s="9">
        <f>IF(E973="","",DATEDIF(E973,DATE(2026,12,31),"Y"))</f>
        <v/>
      </c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4.25" customHeight="1" s="37">
      <c r="A974" s="9">
        <f>IF(C974="","","UM"&amp;TEXT(ROW()-1,"00000"))</f>
        <v/>
      </c>
      <c r="B974" s="9" t="n"/>
      <c r="C974" s="9" t="n"/>
      <c r="D974" s="9" t="n"/>
      <c r="E974" s="9" t="n"/>
      <c r="F974" s="9">
        <f>IF(E974="","",DATEDIF(E974,DATE(2026,12,31),"Y"))</f>
        <v/>
      </c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4.25" customHeight="1" s="37">
      <c r="A975" s="9">
        <f>IF(C975="","","UM"&amp;TEXT(ROW()-1,"00000"))</f>
        <v/>
      </c>
      <c r="B975" s="9" t="n"/>
      <c r="C975" s="9" t="n"/>
      <c r="D975" s="9" t="n"/>
      <c r="E975" s="9" t="n"/>
      <c r="F975" s="9">
        <f>IF(E975="","",DATEDIF(E975,DATE(2026,12,31),"Y"))</f>
        <v/>
      </c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4.25" customHeight="1" s="37">
      <c r="A976" s="9">
        <f>IF(C976="","","UM"&amp;TEXT(ROW()-1,"00000"))</f>
        <v/>
      </c>
      <c r="B976" s="9" t="n"/>
      <c r="C976" s="9" t="n"/>
      <c r="D976" s="9" t="n"/>
      <c r="E976" s="9" t="n"/>
      <c r="F976" s="9">
        <f>IF(E976="","",DATEDIF(E976,DATE(2026,12,31),"Y"))</f>
        <v/>
      </c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4.25" customHeight="1" s="37">
      <c r="A977" s="9">
        <f>IF(C977="","","UM"&amp;TEXT(ROW()-1,"00000"))</f>
        <v/>
      </c>
      <c r="B977" s="9" t="n"/>
      <c r="C977" s="9" t="n"/>
      <c r="D977" s="9" t="n"/>
      <c r="E977" s="9" t="n"/>
      <c r="F977" s="9">
        <f>IF(E977="","",DATEDIF(E977,DATE(2026,12,31),"Y"))</f>
        <v/>
      </c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4.25" customHeight="1" s="37">
      <c r="A978" s="9">
        <f>IF(C978="","","UM"&amp;TEXT(ROW()-1,"00000"))</f>
        <v/>
      </c>
      <c r="B978" s="9" t="n"/>
      <c r="C978" s="9" t="n"/>
      <c r="D978" s="9" t="n"/>
      <c r="E978" s="9" t="n"/>
      <c r="F978" s="9">
        <f>IF(E978="","",DATEDIF(E978,DATE(2026,12,31),"Y"))</f>
        <v/>
      </c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4.25" customHeight="1" s="37">
      <c r="A979" s="9">
        <f>IF(C979="","","UM"&amp;TEXT(ROW()-1,"00000"))</f>
        <v/>
      </c>
      <c r="B979" s="9" t="n"/>
      <c r="C979" s="9" t="n"/>
      <c r="D979" s="9" t="n"/>
      <c r="E979" s="9" t="n"/>
      <c r="F979" s="9">
        <f>IF(E979="","",DATEDIF(E979,DATE(2026,12,31),"Y"))</f>
        <v/>
      </c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4.25" customHeight="1" s="37">
      <c r="A980" s="9">
        <f>IF(C980="","","UM"&amp;TEXT(ROW()-1,"00000"))</f>
        <v/>
      </c>
      <c r="B980" s="9" t="n"/>
      <c r="C980" s="9" t="n"/>
      <c r="D980" s="9" t="n"/>
      <c r="E980" s="9" t="n"/>
      <c r="F980" s="9">
        <f>IF(E980="","",DATEDIF(E980,DATE(2026,12,31),"Y"))</f>
        <v/>
      </c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4.25" customHeight="1" s="37">
      <c r="A981" s="9">
        <f>IF(C981="","","UM"&amp;TEXT(ROW()-1,"00000"))</f>
        <v/>
      </c>
      <c r="B981" s="9" t="n"/>
      <c r="C981" s="9" t="n"/>
      <c r="D981" s="9" t="n"/>
      <c r="E981" s="9" t="n"/>
      <c r="F981" s="9">
        <f>IF(E981="","",DATEDIF(E981,DATE(2026,12,31),"Y"))</f>
        <v/>
      </c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4.25" customHeight="1" s="37">
      <c r="A982" s="9">
        <f>IF(C982="","","UM"&amp;TEXT(ROW()-1,"00000"))</f>
        <v/>
      </c>
      <c r="B982" s="9" t="n"/>
      <c r="C982" s="9" t="n"/>
      <c r="D982" s="9" t="n"/>
      <c r="E982" s="9" t="n"/>
      <c r="F982" s="9">
        <f>IF(E982="","",DATEDIF(E982,DATE(2026,12,31),"Y"))</f>
        <v/>
      </c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4.25" customHeight="1" s="37">
      <c r="A983" s="9">
        <f>IF(C983="","","UM"&amp;TEXT(ROW()-1,"00000"))</f>
        <v/>
      </c>
      <c r="B983" s="9" t="n"/>
      <c r="C983" s="9" t="n"/>
      <c r="D983" s="9" t="n"/>
      <c r="E983" s="9" t="n"/>
      <c r="F983" s="9">
        <f>IF(E983="","",DATEDIF(E983,DATE(2026,12,31),"Y"))</f>
        <v/>
      </c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4.25" customHeight="1" s="37">
      <c r="A984" s="9">
        <f>IF(C984="","","UM"&amp;TEXT(ROW()-1,"00000"))</f>
        <v/>
      </c>
      <c r="B984" s="9" t="n"/>
      <c r="C984" s="9" t="n"/>
      <c r="D984" s="9" t="n"/>
      <c r="E984" s="9" t="n"/>
      <c r="F984" s="9">
        <f>IF(E984="","",DATEDIF(E984,DATE(2026,12,31),"Y"))</f>
        <v/>
      </c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4.25" customHeight="1" s="37">
      <c r="A985" s="9">
        <f>IF(C985="","","UM"&amp;TEXT(ROW()-1,"00000"))</f>
        <v/>
      </c>
      <c r="B985" s="9" t="n"/>
      <c r="C985" s="9" t="n"/>
      <c r="D985" s="9" t="n"/>
      <c r="E985" s="9" t="n"/>
      <c r="F985" s="9">
        <f>IF(E985="","",DATEDIF(E985,DATE(2026,12,31),"Y"))</f>
        <v/>
      </c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4.25" customHeight="1" s="37">
      <c r="A986" s="9">
        <f>IF(C986="","","UM"&amp;TEXT(ROW()-1,"00000"))</f>
        <v/>
      </c>
      <c r="B986" s="9" t="n"/>
      <c r="C986" s="9" t="n"/>
      <c r="D986" s="9" t="n"/>
      <c r="E986" s="9" t="n"/>
      <c r="F986" s="9">
        <f>IF(E986="","",DATEDIF(E986,DATE(2026,12,31),"Y"))</f>
        <v/>
      </c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4.25" customHeight="1" s="37">
      <c r="A987" s="9">
        <f>IF(C987="","","UM"&amp;TEXT(ROW()-1,"00000"))</f>
        <v/>
      </c>
      <c r="B987" s="9" t="n"/>
      <c r="C987" s="9" t="n"/>
      <c r="D987" s="9" t="n"/>
      <c r="E987" s="9" t="n"/>
      <c r="F987" s="9">
        <f>IF(E987="","",DATEDIF(E987,DATE(2026,12,31),"Y"))</f>
        <v/>
      </c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4.25" customHeight="1" s="37">
      <c r="A988" s="9">
        <f>IF(C988="","","UM"&amp;TEXT(ROW()-1,"00000"))</f>
        <v/>
      </c>
      <c r="B988" s="9" t="n"/>
      <c r="C988" s="9" t="n"/>
      <c r="D988" s="9" t="n"/>
      <c r="E988" s="9" t="n"/>
      <c r="F988" s="9">
        <f>IF(E988="","",DATEDIF(E988,DATE(2026,12,31),"Y"))</f>
        <v/>
      </c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4.25" customHeight="1" s="37">
      <c r="A989" s="9">
        <f>IF(C989="","","UM"&amp;TEXT(ROW()-1,"00000"))</f>
        <v/>
      </c>
      <c r="B989" s="9" t="n"/>
      <c r="C989" s="9" t="n"/>
      <c r="D989" s="9" t="n"/>
      <c r="E989" s="9" t="n"/>
      <c r="F989" s="9">
        <f>IF(E989="","",DATEDIF(E989,DATE(2026,12,31),"Y"))</f>
        <v/>
      </c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4.25" customHeight="1" s="37">
      <c r="A990" s="9">
        <f>IF(C990="","","UM"&amp;TEXT(ROW()-1,"00000"))</f>
        <v/>
      </c>
      <c r="B990" s="9" t="n"/>
      <c r="C990" s="9" t="n"/>
      <c r="D990" s="9" t="n"/>
      <c r="E990" s="9" t="n"/>
      <c r="F990" s="9">
        <f>IF(E990="","",DATEDIF(E990,DATE(2026,12,31),"Y"))</f>
        <v/>
      </c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4.25" customHeight="1" s="37">
      <c r="A991" s="9">
        <f>IF(C991="","","UM"&amp;TEXT(ROW()-1,"00000"))</f>
        <v/>
      </c>
      <c r="B991" s="9" t="n"/>
      <c r="C991" s="9" t="n"/>
      <c r="D991" s="9" t="n"/>
      <c r="E991" s="9" t="n"/>
      <c r="F991" s="9">
        <f>IF(E991="","",DATEDIF(E991,DATE(2026,12,31),"Y"))</f>
        <v/>
      </c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4.25" customHeight="1" s="37">
      <c r="A992" s="9">
        <f>IF(C992="","","UM"&amp;TEXT(ROW()-1,"00000"))</f>
        <v/>
      </c>
      <c r="B992" s="9" t="n"/>
      <c r="C992" s="9" t="n"/>
      <c r="D992" s="9" t="n"/>
      <c r="E992" s="9" t="n"/>
      <c r="F992" s="9">
        <f>IF(E992="","",DATEDIF(E992,DATE(2026,12,31),"Y"))</f>
        <v/>
      </c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4.25" customHeight="1" s="37">
      <c r="A993" s="9">
        <f>IF(C993="","","UM"&amp;TEXT(ROW()-1,"00000"))</f>
        <v/>
      </c>
      <c r="B993" s="9" t="n"/>
      <c r="C993" s="9" t="n"/>
      <c r="D993" s="9" t="n"/>
      <c r="E993" s="9" t="n"/>
      <c r="F993" s="9">
        <f>IF(E993="","",DATEDIF(E993,DATE(2026,12,31),"Y"))</f>
        <v/>
      </c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4.25" customHeight="1" s="37">
      <c r="A994" s="9">
        <f>IF(C994="","","UM"&amp;TEXT(ROW()-1,"00000"))</f>
        <v/>
      </c>
      <c r="B994" s="9" t="n"/>
      <c r="C994" s="9" t="n"/>
      <c r="D994" s="9" t="n"/>
      <c r="E994" s="9" t="n"/>
      <c r="F994" s="9">
        <f>IF(E994="","",DATEDIF(E994,DATE(2026,12,31),"Y"))</f>
        <v/>
      </c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4.25" customHeight="1" s="37">
      <c r="A995" s="9">
        <f>IF(C995="","","UM"&amp;TEXT(ROW()-1,"00000"))</f>
        <v/>
      </c>
      <c r="B995" s="9" t="n"/>
      <c r="C995" s="9" t="n"/>
      <c r="D995" s="9" t="n"/>
      <c r="E995" s="9" t="n"/>
      <c r="F995" s="9">
        <f>IF(E995="","",DATEDIF(E995,DATE(2026,12,31),"Y"))</f>
        <v/>
      </c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4.25" customHeight="1" s="37">
      <c r="A996" s="9">
        <f>IF(C996="","","UM"&amp;TEXT(ROW()-1,"00000"))</f>
        <v/>
      </c>
      <c r="B996" s="9" t="n"/>
      <c r="C996" s="9" t="n"/>
      <c r="D996" s="9" t="n"/>
      <c r="E996" s="9" t="n"/>
      <c r="F996" s="9">
        <f>IF(E996="","",DATEDIF(E996,DATE(2026,12,31),"Y"))</f>
        <v/>
      </c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4.25" customHeight="1" s="37">
      <c r="A997" s="9">
        <f>IF(C997="","","UM"&amp;TEXT(ROW()-1,"00000"))</f>
        <v/>
      </c>
      <c r="B997" s="9" t="n"/>
      <c r="C997" s="9" t="n"/>
      <c r="D997" s="9" t="n"/>
      <c r="E997" s="9" t="n"/>
      <c r="F997" s="9">
        <f>IF(E997="","",DATEDIF(E997,DATE(2026,12,31),"Y"))</f>
        <v/>
      </c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4.25" customHeight="1" s="37">
      <c r="A998" s="9">
        <f>IF(C998="","","UM"&amp;TEXT(ROW()-1,"00000"))</f>
        <v/>
      </c>
      <c r="B998" s="9" t="n"/>
      <c r="C998" s="9" t="n"/>
      <c r="D998" s="9" t="n"/>
      <c r="E998" s="9" t="n"/>
      <c r="F998" s="9">
        <f>IF(E998="","",DATEDIF(E998,DATE(2026,12,31),"Y"))</f>
        <v/>
      </c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4.25" customHeight="1" s="37">
      <c r="A999" s="9">
        <f>IF(C999="","","UM"&amp;TEXT(ROW()-1,"00000"))</f>
        <v/>
      </c>
      <c r="B999" s="9" t="n"/>
      <c r="C999" s="9" t="n"/>
      <c r="D999" s="9" t="n"/>
      <c r="E999" s="9" t="n"/>
      <c r="F999" s="9">
        <f>IF(E999="","",DATEDIF(E999,DATE(2026,12,31),"Y"))</f>
        <v/>
      </c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4.25" customHeight="1" s="37">
      <c r="A1000" s="9">
        <f>IF(C1000="","","UM"&amp;TEXT(ROW()-1,"00000"))</f>
        <v/>
      </c>
      <c r="B1000" s="9" t="n"/>
      <c r="C1000" s="9" t="n"/>
      <c r="D1000" s="9" t="n"/>
      <c r="E1000" s="9" t="n"/>
      <c r="F1000" s="9">
        <f>IF(E1000="","",DATEDIF(E1000,DATE(2026,12,31),"Y"))</f>
        <v/>
      </c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  <row r="1001" ht="14.25" customHeight="1" s="37">
      <c r="A1001" s="9">
        <f>IF(C1001="","","UM"&amp;TEXT(ROW()-1,"00000"))</f>
        <v/>
      </c>
      <c r="B1001" s="9" t="n"/>
      <c r="C1001" s="9" t="n"/>
      <c r="D1001" s="9" t="n"/>
      <c r="E1001" s="9" t="n"/>
      <c r="F1001" s="9">
        <f>IF(E1001="","",DATEDIF(E1001,DATE(2026,12,31),"Y"))</f>
        <v/>
      </c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</row>
    <row r="1002" ht="14.25" customHeight="1" s="37">
      <c r="A1002" s="9">
        <f>IF(C1002="","","UM"&amp;TEXT(ROW()-1,"00000"))</f>
        <v/>
      </c>
      <c r="B1002" s="9" t="n"/>
      <c r="C1002" s="9" t="n"/>
      <c r="D1002" s="9" t="n"/>
      <c r="E1002" s="9" t="n"/>
      <c r="F1002" s="9">
        <f>IF(E1002="","",DATEDIF(E1002,DATE(2026,12,31),"Y"))</f>
        <v/>
      </c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9" t="n"/>
      <c r="Y1002" s="9" t="n"/>
      <c r="Z1002" s="9" t="n"/>
    </row>
    <row r="1003" ht="14.25" customHeight="1" s="37">
      <c r="A1003" s="9">
        <f>IF(C1003="","","UM"&amp;TEXT(ROW()-1,"00000"))</f>
        <v/>
      </c>
      <c r="B1003" s="9" t="n"/>
      <c r="C1003" s="9" t="n"/>
      <c r="D1003" s="9" t="n"/>
      <c r="E1003" s="9" t="n"/>
      <c r="F1003" s="9">
        <f>IF(E1003="","",DATEDIF(E1003,DATE(2026,12,31),"Y"))</f>
        <v/>
      </c>
      <c r="G1003" s="9" t="n"/>
      <c r="H1003" s="9" t="n"/>
      <c r="I1003" s="9" t="n"/>
      <c r="J1003" s="9" t="n"/>
      <c r="K1003" s="9" t="n"/>
      <c r="L1003" s="9" t="n"/>
      <c r="M1003" s="9" t="n"/>
      <c r="N1003" s="9" t="n"/>
      <c r="O1003" s="9" t="n"/>
      <c r="P1003" s="9" t="n"/>
      <c r="Q1003" s="9" t="n"/>
      <c r="R1003" s="9" t="n"/>
      <c r="S1003" s="9" t="n"/>
      <c r="T1003" s="9" t="n"/>
      <c r="U1003" s="9" t="n"/>
      <c r="V1003" s="9" t="n"/>
      <c r="W1003" s="9" t="n"/>
      <c r="X1003" s="9" t="n"/>
      <c r="Y1003" s="9" t="n"/>
      <c r="Z1003" s="9" t="n"/>
    </row>
    <row r="1004" ht="14.25" customHeight="1" s="37">
      <c r="A1004" s="9">
        <f>IF(C1004="","","UM"&amp;TEXT(ROW()-1,"00000"))</f>
        <v/>
      </c>
      <c r="B1004" s="9" t="n"/>
      <c r="C1004" s="9" t="n"/>
      <c r="D1004" s="9" t="n"/>
      <c r="E1004" s="9" t="n"/>
      <c r="F1004" s="9">
        <f>IF(E1004="","",DATEDIF(E1004,DATE(2026,12,31),"Y"))</f>
        <v/>
      </c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  <c r="R1004" s="9" t="n"/>
      <c r="S1004" s="9" t="n"/>
      <c r="T1004" s="9" t="n"/>
      <c r="U1004" s="9" t="n"/>
      <c r="V1004" s="9" t="n"/>
      <c r="W1004" s="9" t="n"/>
      <c r="X1004" s="9" t="n"/>
      <c r="Y1004" s="9" t="n"/>
      <c r="Z1004" s="9" t="n"/>
    </row>
    <row r="1005" ht="14.25" customHeight="1" s="37">
      <c r="A1005" s="9">
        <f>IF(C1005="","","UM"&amp;TEXT(ROW()-1,"00000"))</f>
        <v/>
      </c>
      <c r="B1005" s="9" t="n"/>
      <c r="C1005" s="9" t="n"/>
      <c r="D1005" s="9" t="n"/>
      <c r="E1005" s="9" t="n"/>
      <c r="F1005" s="9">
        <f>IF(E1005="","",DATEDIF(E1005,DATE(2026,12,31),"Y"))</f>
        <v/>
      </c>
      <c r="G1005" s="9" t="n"/>
      <c r="H1005" s="9" t="n"/>
      <c r="I1005" s="9" t="n"/>
      <c r="J1005" s="9" t="n"/>
      <c r="K1005" s="9" t="n"/>
      <c r="L1005" s="9" t="n"/>
      <c r="M1005" s="9" t="n"/>
      <c r="N1005" s="9" t="n"/>
      <c r="O1005" s="9" t="n"/>
      <c r="P1005" s="9" t="n"/>
      <c r="Q1005" s="9" t="n"/>
      <c r="R1005" s="9" t="n"/>
      <c r="S1005" s="9" t="n"/>
      <c r="T1005" s="9" t="n"/>
      <c r="U1005" s="9" t="n"/>
      <c r="V1005" s="9" t="n"/>
      <c r="W1005" s="9" t="n"/>
      <c r="X1005" s="9" t="n"/>
      <c r="Y1005" s="9" t="n"/>
      <c r="Z1005" s="9" t="n"/>
    </row>
    <row r="1006" ht="14.25" customHeight="1" s="37">
      <c r="A1006" s="9">
        <f>IF(C1006="","","UM"&amp;TEXT(ROW()-1,"00000"))</f>
        <v/>
      </c>
      <c r="B1006" s="9" t="n"/>
      <c r="C1006" s="9" t="n"/>
      <c r="D1006" s="9" t="n"/>
      <c r="E1006" s="9" t="n"/>
      <c r="F1006" s="9">
        <f>IF(E1006="","",DATEDIF(E1006,DATE(2026,12,31),"Y"))</f>
        <v/>
      </c>
      <c r="G1006" s="9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  <c r="R1006" s="9" t="n"/>
      <c r="S1006" s="9" t="n"/>
      <c r="T1006" s="9" t="n"/>
      <c r="U1006" s="9" t="n"/>
      <c r="V1006" s="9" t="n"/>
      <c r="W1006" s="9" t="n"/>
      <c r="X1006" s="9" t="n"/>
      <c r="Y1006" s="9" t="n"/>
      <c r="Z1006" s="9" t="n"/>
    </row>
    <row r="1007" ht="14.25" customHeight="1" s="37">
      <c r="A1007" s="9">
        <f>IF(C1007="","","UM"&amp;TEXT(ROW()-1,"00000"))</f>
        <v/>
      </c>
      <c r="B1007" s="9" t="n"/>
      <c r="C1007" s="9" t="n"/>
      <c r="D1007" s="9" t="n"/>
      <c r="E1007" s="9" t="n"/>
      <c r="F1007" s="9">
        <f>IF(E1007="","",DATEDIF(E1007,DATE(2026,12,31),"Y"))</f>
        <v/>
      </c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</row>
    <row r="1008" ht="14.25" customHeight="1" s="37">
      <c r="A1008" s="9">
        <f>IF(C1008="","","UM"&amp;TEXT(ROW()-1,"00000"))</f>
        <v/>
      </c>
      <c r="B1008" s="9" t="n"/>
      <c r="C1008" s="9" t="n"/>
      <c r="D1008" s="9" t="n"/>
      <c r="E1008" s="9" t="n"/>
      <c r="F1008" s="9">
        <f>IF(E1008="","",DATEDIF(E1008,DATE(2026,12,31),"Y"))</f>
        <v/>
      </c>
      <c r="G1008" s="9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  <c r="R1008" s="9" t="n"/>
      <c r="S1008" s="9" t="n"/>
      <c r="T1008" s="9" t="n"/>
      <c r="U1008" s="9" t="n"/>
      <c r="V1008" s="9" t="n"/>
      <c r="W1008" s="9" t="n"/>
      <c r="X1008" s="9" t="n"/>
      <c r="Y1008" s="9" t="n"/>
      <c r="Z1008" s="9" t="n"/>
    </row>
    <row r="1009" ht="14.25" customHeight="1" s="37">
      <c r="A1009" s="9">
        <f>IF(C1009="","","UM"&amp;TEXT(ROW()-1,"00000"))</f>
        <v/>
      </c>
      <c r="B1009" s="9" t="n"/>
      <c r="C1009" s="9" t="n"/>
      <c r="D1009" s="9" t="n"/>
      <c r="E1009" s="9" t="n"/>
      <c r="F1009" s="9">
        <f>IF(E1009="","",DATEDIF(E1009,DATE(2026,12,31),"Y"))</f>
        <v/>
      </c>
      <c r="G1009" s="9" t="n"/>
      <c r="H1009" s="9" t="n"/>
      <c r="I1009" s="9" t="n"/>
      <c r="J1009" s="9" t="n"/>
      <c r="K1009" s="9" t="n"/>
      <c r="L1009" s="9" t="n"/>
      <c r="M1009" s="9" t="n"/>
      <c r="N1009" s="9" t="n"/>
      <c r="O1009" s="9" t="n"/>
      <c r="P1009" s="9" t="n"/>
      <c r="Q1009" s="9" t="n"/>
      <c r="R1009" s="9" t="n"/>
      <c r="S1009" s="9" t="n"/>
      <c r="T1009" s="9" t="n"/>
      <c r="U1009" s="9" t="n"/>
      <c r="V1009" s="9" t="n"/>
      <c r="W1009" s="9" t="n"/>
      <c r="X1009" s="9" t="n"/>
      <c r="Y1009" s="9" t="n"/>
      <c r="Z1009" s="9" t="n"/>
    </row>
    <row r="1010" ht="14.25" customHeight="1" s="37">
      <c r="A1010" s="9">
        <f>IF(C1010="","","UM"&amp;TEXT(ROW()-1,"00000"))</f>
        <v/>
      </c>
      <c r="B1010" s="9" t="n"/>
      <c r="C1010" s="9" t="n"/>
      <c r="D1010" s="9" t="n"/>
      <c r="E1010" s="9" t="n"/>
      <c r="F1010" s="9">
        <f>IF(E1010="","",DATEDIF(E1010,DATE(2026,12,31),"Y"))</f>
        <v/>
      </c>
      <c r="G1010" s="9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  <c r="R1010" s="9" t="n"/>
      <c r="S1010" s="9" t="n"/>
      <c r="T1010" s="9" t="n"/>
      <c r="U1010" s="9" t="n"/>
      <c r="V1010" s="9" t="n"/>
      <c r="W1010" s="9" t="n"/>
      <c r="X1010" s="9" t="n"/>
      <c r="Y1010" s="9" t="n"/>
      <c r="Z1010" s="9" t="n"/>
    </row>
    <row r="1011" ht="14.25" customHeight="1" s="37">
      <c r="A1011" s="9">
        <f>IF(C1011="","","UM"&amp;TEXT(ROW()-1,"00000"))</f>
        <v/>
      </c>
      <c r="B1011" s="9" t="n"/>
      <c r="C1011" s="9" t="n"/>
      <c r="D1011" s="9" t="n"/>
      <c r="E1011" s="9" t="n"/>
      <c r="F1011" s="9">
        <f>IF(E1011="","",DATEDIF(E1011,DATE(2026,12,31),"Y"))</f>
        <v/>
      </c>
      <c r="G1011" s="9" t="n"/>
      <c r="H1011" s="9" t="n"/>
      <c r="I1011" s="9" t="n"/>
      <c r="J1011" s="9" t="n"/>
      <c r="K1011" s="9" t="n"/>
      <c r="L1011" s="9" t="n"/>
      <c r="M1011" s="9" t="n"/>
      <c r="N1011" s="9" t="n"/>
      <c r="O1011" s="9" t="n"/>
      <c r="P1011" s="9" t="n"/>
      <c r="Q1011" s="9" t="n"/>
      <c r="R1011" s="9" t="n"/>
      <c r="S1011" s="9" t="n"/>
      <c r="T1011" s="9" t="n"/>
      <c r="U1011" s="9" t="n"/>
      <c r="V1011" s="9" t="n"/>
      <c r="W1011" s="9" t="n"/>
      <c r="X1011" s="9" t="n"/>
      <c r="Y1011" s="9" t="n"/>
      <c r="Z1011" s="9" t="n"/>
    </row>
    <row r="1012" ht="14.25" customHeight="1" s="37">
      <c r="A1012" s="9">
        <f>IF(C1012="","","UM"&amp;TEXT(ROW()-1,"00000"))</f>
        <v/>
      </c>
      <c r="B1012" s="9" t="n"/>
      <c r="C1012" s="9" t="n"/>
      <c r="D1012" s="9" t="n"/>
      <c r="E1012" s="9" t="n"/>
      <c r="F1012" s="9">
        <f>IF(E1012="","",DATEDIF(E1012,DATE(2026,12,31),"Y"))</f>
        <v/>
      </c>
      <c r="G1012" s="9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  <c r="R1012" s="9" t="n"/>
      <c r="S1012" s="9" t="n"/>
      <c r="T1012" s="9" t="n"/>
      <c r="U1012" s="9" t="n"/>
      <c r="V1012" s="9" t="n"/>
      <c r="W1012" s="9" t="n"/>
      <c r="X1012" s="9" t="n"/>
      <c r="Y1012" s="9" t="n"/>
      <c r="Z1012" s="9" t="n"/>
    </row>
    <row r="1013" ht="14.25" customHeight="1" s="37">
      <c r="A1013" s="9">
        <f>IF(C1013="","","UM"&amp;TEXT(ROW()-1,"00000"))</f>
        <v/>
      </c>
      <c r="B1013" s="9" t="n"/>
      <c r="C1013" s="9" t="n"/>
      <c r="D1013" s="9" t="n"/>
      <c r="E1013" s="9" t="n"/>
      <c r="F1013" s="9">
        <f>IF(E1013="","",DATEDIF(E1013,DATE(2026,12,31),"Y"))</f>
        <v/>
      </c>
      <c r="G1013" s="9" t="n"/>
      <c r="H1013" s="9" t="n"/>
      <c r="I1013" s="9" t="n"/>
      <c r="J1013" s="9" t="n"/>
      <c r="K1013" s="9" t="n"/>
      <c r="L1013" s="9" t="n"/>
      <c r="M1013" s="9" t="n"/>
      <c r="N1013" s="9" t="n"/>
      <c r="O1013" s="9" t="n"/>
      <c r="P1013" s="9" t="n"/>
      <c r="Q1013" s="9" t="n"/>
      <c r="R1013" s="9" t="n"/>
      <c r="S1013" s="9" t="n"/>
      <c r="T1013" s="9" t="n"/>
      <c r="U1013" s="9" t="n"/>
      <c r="V1013" s="9" t="n"/>
      <c r="W1013" s="9" t="n"/>
      <c r="X1013" s="9" t="n"/>
      <c r="Y1013" s="9" t="n"/>
      <c r="Z1013" s="9" t="n"/>
    </row>
    <row r="1014" ht="14.25" customHeight="1" s="37">
      <c r="A1014" s="9">
        <f>IF(C1014="","","UM"&amp;TEXT(ROW()-1,"00000"))</f>
        <v/>
      </c>
      <c r="B1014" s="9" t="n"/>
      <c r="C1014" s="9" t="n"/>
      <c r="D1014" s="9" t="n"/>
      <c r="E1014" s="9" t="n"/>
      <c r="F1014" s="9">
        <f>IF(E1014="","",DATEDIF(E1014,DATE(2026,12,31),"Y"))</f>
        <v/>
      </c>
      <c r="G1014" s="9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  <c r="R1014" s="9" t="n"/>
      <c r="S1014" s="9" t="n"/>
      <c r="T1014" s="9" t="n"/>
      <c r="U1014" s="9" t="n"/>
      <c r="V1014" s="9" t="n"/>
      <c r="W1014" s="9" t="n"/>
      <c r="X1014" s="9" t="n"/>
      <c r="Y1014" s="9" t="n"/>
      <c r="Z1014" s="9" t="n"/>
    </row>
    <row r="1015" ht="14.25" customHeight="1" s="37">
      <c r="A1015" s="9">
        <f>IF(C1015="","","UM"&amp;TEXT(ROW()-1,"00000"))</f>
        <v/>
      </c>
      <c r="B1015" s="9" t="n"/>
      <c r="C1015" s="9" t="n"/>
      <c r="D1015" s="9" t="n"/>
      <c r="E1015" s="9" t="n"/>
      <c r="F1015" s="9">
        <f>IF(E1015="","",DATEDIF(E1015,DATE(2026,12,31),"Y"))</f>
        <v/>
      </c>
      <c r="G1015" s="9" t="n"/>
      <c r="H1015" s="9" t="n"/>
      <c r="I1015" s="9" t="n"/>
      <c r="J1015" s="9" t="n"/>
      <c r="K1015" s="9" t="n"/>
      <c r="L1015" s="9" t="n"/>
      <c r="M1015" s="9" t="n"/>
      <c r="N1015" s="9" t="n"/>
      <c r="O1015" s="9" t="n"/>
      <c r="P1015" s="9" t="n"/>
      <c r="Q1015" s="9" t="n"/>
      <c r="R1015" s="9" t="n"/>
      <c r="S1015" s="9" t="n"/>
      <c r="T1015" s="9" t="n"/>
      <c r="U1015" s="9" t="n"/>
      <c r="V1015" s="9" t="n"/>
      <c r="W1015" s="9" t="n"/>
      <c r="X1015" s="9" t="n"/>
      <c r="Y1015" s="9" t="n"/>
      <c r="Z1015" s="9" t="n"/>
    </row>
    <row r="1016" ht="14.25" customHeight="1" s="37">
      <c r="A1016" s="9">
        <f>IF(C1016="","","UM"&amp;TEXT(ROW()-1,"00000"))</f>
        <v/>
      </c>
      <c r="B1016" s="9" t="n"/>
      <c r="C1016" s="9" t="n"/>
      <c r="D1016" s="9" t="n"/>
      <c r="E1016" s="9" t="n"/>
      <c r="F1016" s="9">
        <f>IF(E1016="","",DATEDIF(E1016,DATE(2026,12,31),"Y"))</f>
        <v/>
      </c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  <c r="R1016" s="9" t="n"/>
      <c r="S1016" s="9" t="n"/>
      <c r="T1016" s="9" t="n"/>
      <c r="U1016" s="9" t="n"/>
      <c r="V1016" s="9" t="n"/>
      <c r="W1016" s="9" t="n"/>
      <c r="X1016" s="9" t="n"/>
      <c r="Y1016" s="9" t="n"/>
      <c r="Z1016" s="9" t="n"/>
    </row>
    <row r="1017" ht="14.25" customHeight="1" s="37">
      <c r="A1017" s="9">
        <f>IF(C1017="","","UM"&amp;TEXT(ROW()-1,"00000"))</f>
        <v/>
      </c>
      <c r="B1017" s="9" t="n"/>
      <c r="C1017" s="9" t="n"/>
      <c r="D1017" s="9" t="n"/>
      <c r="E1017" s="9" t="n"/>
      <c r="F1017" s="9">
        <f>IF(E1017="","",DATEDIF(E1017,DATE(2026,12,31),"Y"))</f>
        <v/>
      </c>
      <c r="G1017" s="9" t="n"/>
      <c r="H1017" s="9" t="n"/>
      <c r="I1017" s="9" t="n"/>
      <c r="J1017" s="9" t="n"/>
      <c r="K1017" s="9" t="n"/>
      <c r="L1017" s="9" t="n"/>
      <c r="M1017" s="9" t="n"/>
      <c r="N1017" s="9" t="n"/>
      <c r="O1017" s="9" t="n"/>
      <c r="P1017" s="9" t="n"/>
      <c r="Q1017" s="9" t="n"/>
      <c r="R1017" s="9" t="n"/>
      <c r="S1017" s="9" t="n"/>
      <c r="T1017" s="9" t="n"/>
      <c r="U1017" s="9" t="n"/>
      <c r="V1017" s="9" t="n"/>
      <c r="W1017" s="9" t="n"/>
      <c r="X1017" s="9" t="n"/>
      <c r="Y1017" s="9" t="n"/>
      <c r="Z1017" s="9" t="n"/>
    </row>
    <row r="1018" ht="14.25" customHeight="1" s="37">
      <c r="A1018" s="9">
        <f>IF(C1018="","","UM"&amp;TEXT(ROW()-1,"00000"))</f>
        <v/>
      </c>
      <c r="B1018" s="9" t="n"/>
      <c r="C1018" s="9" t="n"/>
      <c r="D1018" s="9" t="n"/>
      <c r="E1018" s="9" t="n"/>
      <c r="F1018" s="9">
        <f>IF(E1018="","",DATEDIF(E1018,DATE(2026,12,31),"Y"))</f>
        <v/>
      </c>
      <c r="G1018" s="9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  <c r="R1018" s="9" t="n"/>
      <c r="S1018" s="9" t="n"/>
      <c r="T1018" s="9" t="n"/>
      <c r="U1018" s="9" t="n"/>
      <c r="V1018" s="9" t="n"/>
      <c r="W1018" s="9" t="n"/>
      <c r="X1018" s="9" t="n"/>
      <c r="Y1018" s="9" t="n"/>
      <c r="Z1018" s="9" t="n"/>
    </row>
    <row r="1019" ht="14.25" customHeight="1" s="37">
      <c r="A1019" s="9">
        <f>IF(C1019="","","UM"&amp;TEXT(ROW()-1,"00000"))</f>
        <v/>
      </c>
      <c r="B1019" s="9" t="n"/>
      <c r="C1019" s="9" t="n"/>
      <c r="D1019" s="9" t="n"/>
      <c r="E1019" s="9" t="n"/>
      <c r="F1019" s="9">
        <f>IF(E1019="","",DATEDIF(E1019,DATE(2026,12,31),"Y"))</f>
        <v/>
      </c>
      <c r="G1019" s="9" t="n"/>
      <c r="H1019" s="9" t="n"/>
      <c r="I1019" s="9" t="n"/>
      <c r="J1019" s="9" t="n"/>
      <c r="K1019" s="9" t="n"/>
      <c r="L1019" s="9" t="n"/>
      <c r="M1019" s="9" t="n"/>
      <c r="N1019" s="9" t="n"/>
      <c r="O1019" s="9" t="n"/>
      <c r="P1019" s="9" t="n"/>
      <c r="Q1019" s="9" t="n"/>
      <c r="R1019" s="9" t="n"/>
      <c r="S1019" s="9" t="n"/>
      <c r="T1019" s="9" t="n"/>
      <c r="U1019" s="9" t="n"/>
      <c r="V1019" s="9" t="n"/>
      <c r="W1019" s="9" t="n"/>
      <c r="X1019" s="9" t="n"/>
      <c r="Y1019" s="9" t="n"/>
      <c r="Z1019" s="9" t="n"/>
    </row>
    <row r="1020" ht="14.25" customHeight="1" s="37">
      <c r="A1020" s="9">
        <f>IF(C1020="","","UM"&amp;TEXT(ROW()-1,"00000"))</f>
        <v/>
      </c>
      <c r="B1020" s="9" t="n"/>
      <c r="C1020" s="9" t="n"/>
      <c r="D1020" s="9" t="n"/>
      <c r="E1020" s="9" t="n"/>
      <c r="F1020" s="9">
        <f>IF(E1020="","",DATEDIF(E1020,DATE(2026,12,31),"Y"))</f>
        <v/>
      </c>
      <c r="G1020" s="9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  <c r="R1020" s="9" t="n"/>
      <c r="S1020" s="9" t="n"/>
      <c r="T1020" s="9" t="n"/>
      <c r="U1020" s="9" t="n"/>
      <c r="V1020" s="9" t="n"/>
      <c r="W1020" s="9" t="n"/>
      <c r="X1020" s="9" t="n"/>
      <c r="Y1020" s="9" t="n"/>
      <c r="Z1020" s="9" t="n"/>
    </row>
    <row r="1021" ht="14.25" customHeight="1" s="37">
      <c r="A1021" s="9">
        <f>IF(C1021="","","UM"&amp;TEXT(ROW()-1,"00000"))</f>
        <v/>
      </c>
      <c r="B1021" s="9" t="n"/>
      <c r="C1021" s="9" t="n"/>
      <c r="D1021" s="9" t="n"/>
      <c r="E1021" s="9" t="n"/>
      <c r="F1021" s="9">
        <f>IF(E1021="","",DATEDIF(E1021,DATE(2026,12,31),"Y"))</f>
        <v/>
      </c>
      <c r="G1021" s="9" t="n"/>
      <c r="H1021" s="9" t="n"/>
      <c r="I1021" s="9" t="n"/>
      <c r="J1021" s="9" t="n"/>
      <c r="K1021" s="9" t="n"/>
      <c r="L1021" s="9" t="n"/>
      <c r="M1021" s="9" t="n"/>
      <c r="N1021" s="9" t="n"/>
      <c r="O1021" s="9" t="n"/>
      <c r="P1021" s="9" t="n"/>
      <c r="Q1021" s="9" t="n"/>
      <c r="R1021" s="9" t="n"/>
      <c r="S1021" s="9" t="n"/>
      <c r="T1021" s="9" t="n"/>
      <c r="U1021" s="9" t="n"/>
      <c r="V1021" s="9" t="n"/>
      <c r="W1021" s="9" t="n"/>
      <c r="X1021" s="9" t="n"/>
      <c r="Y1021" s="9" t="n"/>
      <c r="Z1021" s="9" t="n"/>
    </row>
    <row r="1022" ht="14.25" customHeight="1" s="37">
      <c r="A1022" s="9">
        <f>IF(C1022="","","UM"&amp;TEXT(ROW()-1,"00000"))</f>
        <v/>
      </c>
      <c r="B1022" s="9" t="n"/>
      <c r="C1022" s="9" t="n"/>
      <c r="D1022" s="9" t="n"/>
      <c r="E1022" s="9" t="n"/>
      <c r="F1022" s="9">
        <f>IF(E1022="","",DATEDIF(E1022,DATE(2026,12,31),"Y"))</f>
        <v/>
      </c>
      <c r="G1022" s="9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  <c r="R1022" s="9" t="n"/>
      <c r="S1022" s="9" t="n"/>
      <c r="T1022" s="9" t="n"/>
      <c r="U1022" s="9" t="n"/>
      <c r="V1022" s="9" t="n"/>
      <c r="W1022" s="9" t="n"/>
      <c r="X1022" s="9" t="n"/>
      <c r="Y1022" s="9" t="n"/>
      <c r="Z1022" s="9" t="n"/>
    </row>
    <row r="1023" ht="14.25" customHeight="1" s="37">
      <c r="A1023" s="9">
        <f>IF(C1023="","","UM"&amp;TEXT(ROW()-1,"00000"))</f>
        <v/>
      </c>
      <c r="B1023" s="9" t="n"/>
      <c r="C1023" s="9" t="n"/>
      <c r="D1023" s="9" t="n"/>
      <c r="E1023" s="9" t="n"/>
      <c r="F1023" s="9">
        <f>IF(E1023="","",DATEDIF(E1023,DATE(2026,12,31),"Y"))</f>
        <v/>
      </c>
      <c r="G1023" s="9" t="n"/>
      <c r="H1023" s="9" t="n"/>
      <c r="I1023" s="9" t="n"/>
      <c r="J1023" s="9" t="n"/>
      <c r="K1023" s="9" t="n"/>
      <c r="L1023" s="9" t="n"/>
      <c r="M1023" s="9" t="n"/>
      <c r="N1023" s="9" t="n"/>
      <c r="O1023" s="9" t="n"/>
      <c r="P1023" s="9" t="n"/>
      <c r="Q1023" s="9" t="n"/>
      <c r="R1023" s="9" t="n"/>
      <c r="S1023" s="9" t="n"/>
      <c r="T1023" s="9" t="n"/>
      <c r="U1023" s="9" t="n"/>
      <c r="V1023" s="9" t="n"/>
      <c r="W1023" s="9" t="n"/>
      <c r="X1023" s="9" t="n"/>
      <c r="Y1023" s="9" t="n"/>
      <c r="Z1023" s="9" t="n"/>
    </row>
    <row r="1024" ht="14.25" customHeight="1" s="37">
      <c r="A1024" s="9">
        <f>IF(C1024="","","UM"&amp;TEXT(ROW()-1,"00000"))</f>
        <v/>
      </c>
      <c r="B1024" s="9" t="n"/>
      <c r="C1024" s="9" t="n"/>
      <c r="D1024" s="9" t="n"/>
      <c r="E1024" s="9" t="n"/>
      <c r="F1024" s="9">
        <f>IF(E1024="","",DATEDIF(E1024,DATE(2026,12,31),"Y"))</f>
        <v/>
      </c>
      <c r="G1024" s="9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  <c r="R1024" s="9" t="n"/>
      <c r="S1024" s="9" t="n"/>
      <c r="T1024" s="9" t="n"/>
      <c r="U1024" s="9" t="n"/>
      <c r="V1024" s="9" t="n"/>
      <c r="W1024" s="9" t="n"/>
      <c r="X1024" s="9" t="n"/>
      <c r="Y1024" s="9" t="n"/>
      <c r="Z1024" s="9" t="n"/>
    </row>
    <row r="1025" ht="14.25" customHeight="1" s="37">
      <c r="A1025" s="9">
        <f>IF(C1025="","","UM"&amp;TEXT(ROW()-1,"00000"))</f>
        <v/>
      </c>
      <c r="B1025" s="9" t="n"/>
      <c r="C1025" s="9" t="n"/>
      <c r="D1025" s="9" t="n"/>
      <c r="E1025" s="9" t="n"/>
      <c r="F1025" s="9">
        <f>IF(E1025="","",DATEDIF(E1025,DATE(2026,12,31),"Y"))</f>
        <v/>
      </c>
      <c r="G1025" s="9" t="n"/>
      <c r="H1025" s="9" t="n"/>
      <c r="I1025" s="9" t="n"/>
      <c r="J1025" s="9" t="n"/>
      <c r="K1025" s="9" t="n"/>
      <c r="L1025" s="9" t="n"/>
      <c r="M1025" s="9" t="n"/>
      <c r="N1025" s="9" t="n"/>
      <c r="O1025" s="9" t="n"/>
      <c r="P1025" s="9" t="n"/>
      <c r="Q1025" s="9" t="n"/>
      <c r="R1025" s="9" t="n"/>
      <c r="S1025" s="9" t="n"/>
      <c r="T1025" s="9" t="n"/>
      <c r="U1025" s="9" t="n"/>
      <c r="V1025" s="9" t="n"/>
      <c r="W1025" s="9" t="n"/>
      <c r="X1025" s="9" t="n"/>
      <c r="Y1025" s="9" t="n"/>
      <c r="Z1025" s="9" t="n"/>
    </row>
    <row r="1026" ht="14.25" customHeight="1" s="37">
      <c r="A1026" s="9">
        <f>IF(C1026="","","UM"&amp;TEXT(ROW()-1,"00000"))</f>
        <v/>
      </c>
      <c r="B1026" s="9" t="n"/>
      <c r="C1026" s="9" t="n"/>
      <c r="D1026" s="9" t="n"/>
      <c r="E1026" s="9" t="n"/>
      <c r="F1026" s="9">
        <f>IF(E1026="","",DATEDIF(E1026,DATE(2026,12,31),"Y"))</f>
        <v/>
      </c>
      <c r="G1026" s="9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  <c r="R1026" s="9" t="n"/>
      <c r="S1026" s="9" t="n"/>
      <c r="T1026" s="9" t="n"/>
      <c r="U1026" s="9" t="n"/>
      <c r="V1026" s="9" t="n"/>
      <c r="W1026" s="9" t="n"/>
      <c r="X1026" s="9" t="n"/>
      <c r="Y1026" s="9" t="n"/>
      <c r="Z1026" s="9" t="n"/>
    </row>
    <row r="1027" ht="14.25" customHeight="1" s="37">
      <c r="A1027" s="9">
        <f>IF(C1027="","","UM"&amp;TEXT(ROW()-1,"00000"))</f>
        <v/>
      </c>
      <c r="B1027" s="9" t="n"/>
      <c r="C1027" s="9" t="n"/>
      <c r="D1027" s="9" t="n"/>
      <c r="E1027" s="9" t="n"/>
      <c r="F1027" s="9">
        <f>IF(E1027="","",DATEDIF(E1027,DATE(2026,12,31),"Y"))</f>
        <v/>
      </c>
      <c r="G1027" s="9" t="n"/>
      <c r="H1027" s="9" t="n"/>
      <c r="I1027" s="9" t="n"/>
      <c r="J1027" s="9" t="n"/>
      <c r="K1027" s="9" t="n"/>
      <c r="L1027" s="9" t="n"/>
      <c r="M1027" s="9" t="n"/>
      <c r="N1027" s="9" t="n"/>
      <c r="O1027" s="9" t="n"/>
      <c r="P1027" s="9" t="n"/>
      <c r="Q1027" s="9" t="n"/>
      <c r="R1027" s="9" t="n"/>
      <c r="S1027" s="9" t="n"/>
      <c r="T1027" s="9" t="n"/>
      <c r="U1027" s="9" t="n"/>
      <c r="V1027" s="9" t="n"/>
      <c r="W1027" s="9" t="n"/>
      <c r="X1027" s="9" t="n"/>
      <c r="Y1027" s="9" t="n"/>
      <c r="Z1027" s="9" t="n"/>
    </row>
    <row r="1028" ht="14.25" customHeight="1" s="37">
      <c r="A1028" s="9">
        <f>IF(C1028="","","UM"&amp;TEXT(ROW()-1,"00000"))</f>
        <v/>
      </c>
      <c r="B1028" s="9" t="n"/>
      <c r="C1028" s="9" t="n"/>
      <c r="D1028" s="9" t="n"/>
      <c r="E1028" s="9" t="n"/>
      <c r="F1028" s="9">
        <f>IF(E1028="","",DATEDIF(E1028,DATE(2026,12,31),"Y"))</f>
        <v/>
      </c>
      <c r="G1028" s="9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  <c r="R1028" s="9" t="n"/>
      <c r="S1028" s="9" t="n"/>
      <c r="T1028" s="9" t="n"/>
      <c r="U1028" s="9" t="n"/>
      <c r="V1028" s="9" t="n"/>
      <c r="W1028" s="9" t="n"/>
      <c r="X1028" s="9" t="n"/>
      <c r="Y1028" s="9" t="n"/>
      <c r="Z1028" s="9" t="n"/>
    </row>
    <row r="1029" ht="14.25" customHeight="1" s="37">
      <c r="A1029" s="9">
        <f>IF(C1029="","","UM"&amp;TEXT(ROW()-1,"00000"))</f>
        <v/>
      </c>
      <c r="B1029" s="9" t="n"/>
      <c r="C1029" s="9" t="n"/>
      <c r="D1029" s="9" t="n"/>
      <c r="E1029" s="9" t="n"/>
      <c r="F1029" s="9">
        <f>IF(E1029="","",DATEDIF(E1029,DATE(2026,12,31),"Y"))</f>
        <v/>
      </c>
      <c r="G1029" s="9" t="n"/>
      <c r="H1029" s="9" t="n"/>
      <c r="I1029" s="9" t="n"/>
      <c r="J1029" s="9" t="n"/>
      <c r="K1029" s="9" t="n"/>
      <c r="L1029" s="9" t="n"/>
      <c r="M1029" s="9" t="n"/>
      <c r="N1029" s="9" t="n"/>
      <c r="O1029" s="9" t="n"/>
      <c r="P1029" s="9" t="n"/>
      <c r="Q1029" s="9" t="n"/>
      <c r="R1029" s="9" t="n"/>
      <c r="S1029" s="9" t="n"/>
      <c r="T1029" s="9" t="n"/>
      <c r="U1029" s="9" t="n"/>
      <c r="V1029" s="9" t="n"/>
      <c r="W1029" s="9" t="n"/>
      <c r="X1029" s="9" t="n"/>
      <c r="Y1029" s="9" t="n"/>
      <c r="Z1029" s="9" t="n"/>
    </row>
    <row r="1030" ht="14.25" customHeight="1" s="37">
      <c r="A1030" s="9">
        <f>IF(C1030="","","UM"&amp;TEXT(ROW()-1,"00000"))</f>
        <v/>
      </c>
      <c r="B1030" s="9" t="n"/>
      <c r="C1030" s="9" t="n"/>
      <c r="D1030" s="9" t="n"/>
      <c r="E1030" s="9" t="n"/>
      <c r="F1030" s="9">
        <f>IF(E1030="","",DATEDIF(E1030,DATE(2026,12,31),"Y"))</f>
        <v/>
      </c>
      <c r="G1030" s="9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  <c r="R1030" s="9" t="n"/>
      <c r="S1030" s="9" t="n"/>
      <c r="T1030" s="9" t="n"/>
      <c r="U1030" s="9" t="n"/>
      <c r="V1030" s="9" t="n"/>
      <c r="W1030" s="9" t="n"/>
      <c r="X1030" s="9" t="n"/>
      <c r="Y1030" s="9" t="n"/>
      <c r="Z1030" s="9" t="n"/>
    </row>
    <row r="1031" ht="14.25" customHeight="1" s="37">
      <c r="A1031" s="9">
        <f>IF(C1031="","","UM"&amp;TEXT(ROW()-1,"00000"))</f>
        <v/>
      </c>
      <c r="B1031" s="9" t="n"/>
      <c r="C1031" s="9" t="n"/>
      <c r="D1031" s="9" t="n"/>
      <c r="E1031" s="9" t="n"/>
      <c r="F1031" s="9">
        <f>IF(E1031="","",DATEDIF(E1031,DATE(2026,12,31),"Y"))</f>
        <v/>
      </c>
      <c r="G1031" s="9" t="n"/>
      <c r="H1031" s="9" t="n"/>
      <c r="I1031" s="9" t="n"/>
      <c r="J1031" s="9" t="n"/>
      <c r="K1031" s="9" t="n"/>
      <c r="L1031" s="9" t="n"/>
      <c r="M1031" s="9" t="n"/>
      <c r="N1031" s="9" t="n"/>
      <c r="O1031" s="9" t="n"/>
      <c r="P1031" s="9" t="n"/>
      <c r="Q1031" s="9" t="n"/>
      <c r="R1031" s="9" t="n"/>
      <c r="S1031" s="9" t="n"/>
      <c r="T1031" s="9" t="n"/>
      <c r="U1031" s="9" t="n"/>
      <c r="V1031" s="9" t="n"/>
      <c r="W1031" s="9" t="n"/>
      <c r="X1031" s="9" t="n"/>
      <c r="Y1031" s="9" t="n"/>
      <c r="Z1031" s="9" t="n"/>
    </row>
    <row r="1032" ht="14.25" customHeight="1" s="37">
      <c r="A1032" s="9">
        <f>IF(C1032="","","UM"&amp;TEXT(ROW()-1,"00000"))</f>
        <v/>
      </c>
      <c r="B1032" s="9" t="n"/>
      <c r="C1032" s="9" t="n"/>
      <c r="D1032" s="9" t="n"/>
      <c r="E1032" s="9" t="n"/>
      <c r="F1032" s="9">
        <f>IF(E1032="","",DATEDIF(E1032,DATE(2026,12,31),"Y"))</f>
        <v/>
      </c>
      <c r="G1032" s="9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  <c r="R1032" s="9" t="n"/>
      <c r="S1032" s="9" t="n"/>
      <c r="T1032" s="9" t="n"/>
      <c r="U1032" s="9" t="n"/>
      <c r="V1032" s="9" t="n"/>
      <c r="W1032" s="9" t="n"/>
      <c r="X1032" s="9" t="n"/>
      <c r="Y1032" s="9" t="n"/>
      <c r="Z1032" s="9" t="n"/>
    </row>
    <row r="1033" ht="14.25" customHeight="1" s="37">
      <c r="A1033" s="9">
        <f>IF(C1033="","","UM"&amp;TEXT(ROW()-1,"00000"))</f>
        <v/>
      </c>
      <c r="B1033" s="9" t="n"/>
      <c r="C1033" s="9" t="n"/>
      <c r="D1033" s="9" t="n"/>
      <c r="E1033" s="9" t="n"/>
      <c r="F1033" s="9">
        <f>IF(E1033="","",DATEDIF(E1033,DATE(2026,12,31),"Y"))</f>
        <v/>
      </c>
      <c r="G1033" s="9" t="n"/>
      <c r="H1033" s="9" t="n"/>
      <c r="I1033" s="9" t="n"/>
      <c r="J1033" s="9" t="n"/>
      <c r="K1033" s="9" t="n"/>
      <c r="L1033" s="9" t="n"/>
      <c r="M1033" s="9" t="n"/>
      <c r="N1033" s="9" t="n"/>
      <c r="O1033" s="9" t="n"/>
      <c r="P1033" s="9" t="n"/>
      <c r="Q1033" s="9" t="n"/>
      <c r="R1033" s="9" t="n"/>
      <c r="S1033" s="9" t="n"/>
      <c r="T1033" s="9" t="n"/>
      <c r="U1033" s="9" t="n"/>
      <c r="V1033" s="9" t="n"/>
      <c r="W1033" s="9" t="n"/>
      <c r="X1033" s="9" t="n"/>
      <c r="Y1033" s="9" t="n"/>
      <c r="Z1033" s="9" t="n"/>
    </row>
    <row r="1034" ht="14.25" customHeight="1" s="37">
      <c r="A1034" s="9">
        <f>IF(C1034="","","UM"&amp;TEXT(ROW()-1,"00000"))</f>
        <v/>
      </c>
      <c r="B1034" s="9" t="n"/>
      <c r="C1034" s="9" t="n"/>
      <c r="D1034" s="9" t="n"/>
      <c r="E1034" s="9" t="n"/>
      <c r="F1034" s="9">
        <f>IF(E1034="","",DATEDIF(E1034,DATE(2026,12,31),"Y"))</f>
        <v/>
      </c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  <c r="R1034" s="9" t="n"/>
      <c r="S1034" s="9" t="n"/>
      <c r="T1034" s="9" t="n"/>
      <c r="U1034" s="9" t="n"/>
      <c r="V1034" s="9" t="n"/>
      <c r="W1034" s="9" t="n"/>
      <c r="X1034" s="9" t="n"/>
      <c r="Y1034" s="9" t="n"/>
      <c r="Z1034" s="9" t="n"/>
    </row>
    <row r="1035" ht="14.25" customHeight="1" s="37">
      <c r="A1035" s="9">
        <f>IF(C1035="","","UM"&amp;TEXT(ROW()-1,"00000"))</f>
        <v/>
      </c>
      <c r="B1035" s="9" t="n"/>
      <c r="C1035" s="9" t="n"/>
      <c r="D1035" s="9" t="n"/>
      <c r="E1035" s="9" t="n"/>
      <c r="F1035" s="9">
        <f>IF(E1035="","",DATEDIF(E1035,DATE(2026,12,31),"Y"))</f>
        <v/>
      </c>
      <c r="G1035" s="9" t="n"/>
      <c r="H1035" s="9" t="n"/>
      <c r="I1035" s="9" t="n"/>
      <c r="J1035" s="9" t="n"/>
      <c r="K1035" s="9" t="n"/>
      <c r="L1035" s="9" t="n"/>
      <c r="M1035" s="9" t="n"/>
      <c r="N1035" s="9" t="n"/>
      <c r="O1035" s="9" t="n"/>
      <c r="P1035" s="9" t="n"/>
      <c r="Q1035" s="9" t="n"/>
      <c r="R1035" s="9" t="n"/>
      <c r="S1035" s="9" t="n"/>
      <c r="T1035" s="9" t="n"/>
      <c r="U1035" s="9" t="n"/>
      <c r="V1035" s="9" t="n"/>
      <c r="W1035" s="9" t="n"/>
      <c r="X1035" s="9" t="n"/>
      <c r="Y1035" s="9" t="n"/>
      <c r="Z1035" s="9" t="n"/>
    </row>
    <row r="1036" ht="14.25" customHeight="1" s="37">
      <c r="A1036" s="9">
        <f>IF(C1036="","","UM"&amp;TEXT(ROW()-1,"00000"))</f>
        <v/>
      </c>
      <c r="B1036" s="9" t="n"/>
      <c r="C1036" s="9" t="n"/>
      <c r="D1036" s="9" t="n"/>
      <c r="E1036" s="9" t="n"/>
      <c r="F1036" s="9">
        <f>IF(E1036="","",DATEDIF(E1036,DATE(2026,12,31),"Y"))</f>
        <v/>
      </c>
      <c r="G1036" s="9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  <c r="R1036" s="9" t="n"/>
      <c r="S1036" s="9" t="n"/>
      <c r="T1036" s="9" t="n"/>
      <c r="U1036" s="9" t="n"/>
      <c r="V1036" s="9" t="n"/>
      <c r="W1036" s="9" t="n"/>
      <c r="X1036" s="9" t="n"/>
      <c r="Y1036" s="9" t="n"/>
      <c r="Z1036" s="9" t="n"/>
    </row>
    <row r="1037" ht="14.25" customHeight="1" s="37">
      <c r="A1037" s="9">
        <f>IF(C1037="","","UM"&amp;TEXT(ROW()-1,"00000"))</f>
        <v/>
      </c>
      <c r="B1037" s="9" t="n"/>
      <c r="C1037" s="9" t="n"/>
      <c r="D1037" s="9" t="n"/>
      <c r="E1037" s="9" t="n"/>
      <c r="F1037" s="9">
        <f>IF(E1037="","",DATEDIF(E1037,DATE(2026,12,31),"Y"))</f>
        <v/>
      </c>
      <c r="G1037" s="9" t="n"/>
      <c r="H1037" s="9" t="n"/>
      <c r="I1037" s="9" t="n"/>
      <c r="J1037" s="9" t="n"/>
      <c r="K1037" s="9" t="n"/>
      <c r="L1037" s="9" t="n"/>
      <c r="M1037" s="9" t="n"/>
      <c r="N1037" s="9" t="n"/>
      <c r="O1037" s="9" t="n"/>
      <c r="P1037" s="9" t="n"/>
      <c r="Q1037" s="9" t="n"/>
      <c r="R1037" s="9" t="n"/>
      <c r="S1037" s="9" t="n"/>
      <c r="T1037" s="9" t="n"/>
      <c r="U1037" s="9" t="n"/>
      <c r="V1037" s="9" t="n"/>
      <c r="W1037" s="9" t="n"/>
      <c r="X1037" s="9" t="n"/>
      <c r="Y1037" s="9" t="n"/>
      <c r="Z1037" s="9" t="n"/>
    </row>
    <row r="1038" ht="14.25" customHeight="1" s="37">
      <c r="A1038" s="9">
        <f>IF(C1038="","","UM"&amp;TEXT(ROW()-1,"00000"))</f>
        <v/>
      </c>
      <c r="B1038" s="9" t="n"/>
      <c r="C1038" s="9" t="n"/>
      <c r="D1038" s="9" t="n"/>
      <c r="E1038" s="9" t="n"/>
      <c r="F1038" s="9">
        <f>IF(E1038="","",DATEDIF(E1038,DATE(2026,12,31),"Y"))</f>
        <v/>
      </c>
      <c r="G1038" s="9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  <c r="R1038" s="9" t="n"/>
      <c r="S1038" s="9" t="n"/>
      <c r="T1038" s="9" t="n"/>
      <c r="U1038" s="9" t="n"/>
      <c r="V1038" s="9" t="n"/>
      <c r="W1038" s="9" t="n"/>
      <c r="X1038" s="9" t="n"/>
      <c r="Y1038" s="9" t="n"/>
      <c r="Z1038" s="9" t="n"/>
    </row>
    <row r="1039" ht="14.25" customHeight="1" s="37">
      <c r="A1039" s="9">
        <f>IF(C1039="","","UM"&amp;TEXT(ROW()-1,"00000"))</f>
        <v/>
      </c>
      <c r="B1039" s="9" t="n"/>
      <c r="C1039" s="9" t="n"/>
      <c r="D1039" s="9" t="n"/>
      <c r="E1039" s="9" t="n"/>
      <c r="F1039" s="9">
        <f>IF(E1039="","",DATEDIF(E1039,DATE(2026,12,31),"Y"))</f>
        <v/>
      </c>
      <c r="G1039" s="9" t="n"/>
      <c r="H1039" s="9" t="n"/>
      <c r="I1039" s="9" t="n"/>
      <c r="J1039" s="9" t="n"/>
      <c r="K1039" s="9" t="n"/>
      <c r="L1039" s="9" t="n"/>
      <c r="M1039" s="9" t="n"/>
      <c r="N1039" s="9" t="n"/>
      <c r="O1039" s="9" t="n"/>
      <c r="P1039" s="9" t="n"/>
      <c r="Q1039" s="9" t="n"/>
      <c r="R1039" s="9" t="n"/>
      <c r="S1039" s="9" t="n"/>
      <c r="T1039" s="9" t="n"/>
      <c r="U1039" s="9" t="n"/>
      <c r="V1039" s="9" t="n"/>
      <c r="W1039" s="9" t="n"/>
      <c r="X1039" s="9" t="n"/>
      <c r="Y1039" s="9" t="n"/>
      <c r="Z1039" s="9" t="n"/>
    </row>
    <row r="1040" ht="14.25" customHeight="1" s="37">
      <c r="A1040" s="9">
        <f>IF(C1040="","","UM"&amp;TEXT(ROW()-1,"00000"))</f>
        <v/>
      </c>
      <c r="B1040" s="9" t="n"/>
      <c r="C1040" s="9" t="n"/>
      <c r="D1040" s="9" t="n"/>
      <c r="E1040" s="9" t="n"/>
      <c r="F1040" s="9">
        <f>IF(E1040="","",DATEDIF(E1040,DATE(2026,12,31),"Y"))</f>
        <v/>
      </c>
      <c r="G1040" s="9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  <c r="R1040" s="9" t="n"/>
      <c r="S1040" s="9" t="n"/>
      <c r="T1040" s="9" t="n"/>
      <c r="U1040" s="9" t="n"/>
      <c r="V1040" s="9" t="n"/>
      <c r="W1040" s="9" t="n"/>
      <c r="X1040" s="9" t="n"/>
      <c r="Y1040" s="9" t="n"/>
      <c r="Z1040" s="9" t="n"/>
    </row>
    <row r="1041" ht="14.25" customHeight="1" s="37">
      <c r="A1041" s="9">
        <f>IF(C1041="","","UM"&amp;TEXT(ROW()-1,"00000"))</f>
        <v/>
      </c>
      <c r="B1041" s="9" t="n"/>
      <c r="C1041" s="9" t="n"/>
      <c r="D1041" s="9" t="n"/>
      <c r="E1041" s="9" t="n"/>
      <c r="F1041" s="9">
        <f>IF(E1041="","",DATEDIF(E1041,DATE(2026,12,31),"Y"))</f>
        <v/>
      </c>
      <c r="G1041" s="9" t="n"/>
      <c r="H1041" s="9" t="n"/>
      <c r="I1041" s="9" t="n"/>
      <c r="J1041" s="9" t="n"/>
      <c r="K1041" s="9" t="n"/>
      <c r="L1041" s="9" t="n"/>
      <c r="M1041" s="9" t="n"/>
      <c r="N1041" s="9" t="n"/>
      <c r="O1041" s="9" t="n"/>
      <c r="P1041" s="9" t="n"/>
      <c r="Q1041" s="9" t="n"/>
      <c r="R1041" s="9" t="n"/>
      <c r="S1041" s="9" t="n"/>
      <c r="T1041" s="9" t="n"/>
      <c r="U1041" s="9" t="n"/>
      <c r="V1041" s="9" t="n"/>
      <c r="W1041" s="9" t="n"/>
      <c r="X1041" s="9" t="n"/>
      <c r="Y1041" s="9" t="n"/>
      <c r="Z1041" s="9" t="n"/>
    </row>
    <row r="1042" ht="14.25" customHeight="1" s="37">
      <c r="A1042" s="9">
        <f>IF(C1042="","","UM"&amp;TEXT(ROW()-1,"00000"))</f>
        <v/>
      </c>
      <c r="B1042" s="9" t="n"/>
      <c r="C1042" s="9" t="n"/>
      <c r="D1042" s="9" t="n"/>
      <c r="E1042" s="9" t="n"/>
      <c r="F1042" s="9">
        <f>IF(E1042="","",DATEDIF(E1042,DATE(2026,12,31),"Y"))</f>
        <v/>
      </c>
      <c r="G1042" s="9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  <c r="R1042" s="9" t="n"/>
      <c r="S1042" s="9" t="n"/>
      <c r="T1042" s="9" t="n"/>
      <c r="U1042" s="9" t="n"/>
      <c r="V1042" s="9" t="n"/>
      <c r="W1042" s="9" t="n"/>
      <c r="X1042" s="9" t="n"/>
      <c r="Y1042" s="9" t="n"/>
      <c r="Z1042" s="9" t="n"/>
    </row>
    <row r="1043" ht="14.25" customHeight="1" s="37">
      <c r="A1043" s="9">
        <f>IF(C1043="","","UM"&amp;TEXT(ROW()-1,"00000"))</f>
        <v/>
      </c>
      <c r="B1043" s="9" t="n"/>
      <c r="C1043" s="9" t="n"/>
      <c r="D1043" s="9" t="n"/>
      <c r="E1043" s="9" t="n"/>
      <c r="F1043" s="9">
        <f>IF(E1043="","",DATEDIF(E1043,DATE(2026,12,31),"Y"))</f>
        <v/>
      </c>
      <c r="G1043" s="9" t="n"/>
      <c r="H1043" s="9" t="n"/>
      <c r="I1043" s="9" t="n"/>
      <c r="J1043" s="9" t="n"/>
      <c r="K1043" s="9" t="n"/>
      <c r="L1043" s="9" t="n"/>
      <c r="M1043" s="9" t="n"/>
      <c r="N1043" s="9" t="n"/>
      <c r="O1043" s="9" t="n"/>
      <c r="P1043" s="9" t="n"/>
      <c r="Q1043" s="9" t="n"/>
      <c r="R1043" s="9" t="n"/>
      <c r="S1043" s="9" t="n"/>
      <c r="T1043" s="9" t="n"/>
      <c r="U1043" s="9" t="n"/>
      <c r="V1043" s="9" t="n"/>
      <c r="W1043" s="9" t="n"/>
      <c r="X1043" s="9" t="n"/>
      <c r="Y1043" s="9" t="n"/>
      <c r="Z1043" s="9" t="n"/>
    </row>
    <row r="1044" ht="14.25" customHeight="1" s="37">
      <c r="A1044" s="9">
        <f>IF(C1044="","","UM"&amp;TEXT(ROW()-1,"00000"))</f>
        <v/>
      </c>
      <c r="B1044" s="9" t="n"/>
      <c r="C1044" s="9" t="n"/>
      <c r="D1044" s="9" t="n"/>
      <c r="E1044" s="9" t="n"/>
      <c r="F1044" s="9">
        <f>IF(E1044="","",DATEDIF(E1044,DATE(2026,12,31),"Y"))</f>
        <v/>
      </c>
      <c r="G1044" s="9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  <c r="R1044" s="9" t="n"/>
      <c r="S1044" s="9" t="n"/>
      <c r="T1044" s="9" t="n"/>
      <c r="U1044" s="9" t="n"/>
      <c r="V1044" s="9" t="n"/>
      <c r="W1044" s="9" t="n"/>
      <c r="X1044" s="9" t="n"/>
      <c r="Y1044" s="9" t="n"/>
      <c r="Z1044" s="9" t="n"/>
    </row>
    <row r="1045" ht="14.25" customHeight="1" s="37">
      <c r="A1045" s="9">
        <f>IF(C1045="","","UM"&amp;TEXT(ROW()-1,"00000"))</f>
        <v/>
      </c>
      <c r="B1045" s="9" t="n"/>
      <c r="C1045" s="9" t="n"/>
      <c r="D1045" s="9" t="n"/>
      <c r="E1045" s="9" t="n"/>
      <c r="F1045" s="9">
        <f>IF(E1045="","",DATEDIF(E1045,DATE(2026,12,31),"Y"))</f>
        <v/>
      </c>
      <c r="G1045" s="9" t="n"/>
      <c r="H1045" s="9" t="n"/>
      <c r="I1045" s="9" t="n"/>
      <c r="J1045" s="9" t="n"/>
      <c r="K1045" s="9" t="n"/>
      <c r="L1045" s="9" t="n"/>
      <c r="M1045" s="9" t="n"/>
      <c r="N1045" s="9" t="n"/>
      <c r="O1045" s="9" t="n"/>
      <c r="P1045" s="9" t="n"/>
      <c r="Q1045" s="9" t="n"/>
      <c r="R1045" s="9" t="n"/>
      <c r="S1045" s="9" t="n"/>
      <c r="T1045" s="9" t="n"/>
      <c r="U1045" s="9" t="n"/>
      <c r="V1045" s="9" t="n"/>
      <c r="W1045" s="9" t="n"/>
      <c r="X1045" s="9" t="n"/>
      <c r="Y1045" s="9" t="n"/>
      <c r="Z1045" s="9" t="n"/>
    </row>
    <row r="1046" ht="14.25" customHeight="1" s="37">
      <c r="A1046" s="9">
        <f>IF(C1046="","","UM"&amp;TEXT(ROW()-1,"00000"))</f>
        <v/>
      </c>
      <c r="B1046" s="9" t="n"/>
      <c r="C1046" s="9" t="n"/>
      <c r="D1046" s="9" t="n"/>
      <c r="E1046" s="9" t="n"/>
      <c r="F1046" s="9">
        <f>IF(E1046="","",DATEDIF(E1046,DATE(2026,12,31),"Y"))</f>
        <v/>
      </c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  <c r="R1046" s="9" t="n"/>
      <c r="S1046" s="9" t="n"/>
      <c r="T1046" s="9" t="n"/>
      <c r="U1046" s="9" t="n"/>
      <c r="V1046" s="9" t="n"/>
      <c r="W1046" s="9" t="n"/>
      <c r="X1046" s="9" t="n"/>
      <c r="Y1046" s="9" t="n"/>
      <c r="Z1046" s="9" t="n"/>
    </row>
    <row r="1047" ht="14.25" customHeight="1" s="37">
      <c r="A1047" s="9">
        <f>IF(C1047="","","UM"&amp;TEXT(ROW()-1,"00000"))</f>
        <v/>
      </c>
      <c r="B1047" s="9" t="n"/>
      <c r="C1047" s="9" t="n"/>
      <c r="D1047" s="9" t="n"/>
      <c r="E1047" s="9" t="n"/>
      <c r="F1047" s="9">
        <f>IF(E1047="","",DATEDIF(E1047,DATE(2026,12,31),"Y"))</f>
        <v/>
      </c>
      <c r="G1047" s="9" t="n"/>
      <c r="H1047" s="9" t="n"/>
      <c r="I1047" s="9" t="n"/>
      <c r="J1047" s="9" t="n"/>
      <c r="K1047" s="9" t="n"/>
      <c r="L1047" s="9" t="n"/>
      <c r="M1047" s="9" t="n"/>
      <c r="N1047" s="9" t="n"/>
      <c r="O1047" s="9" t="n"/>
      <c r="P1047" s="9" t="n"/>
      <c r="Q1047" s="9" t="n"/>
      <c r="R1047" s="9" t="n"/>
      <c r="S1047" s="9" t="n"/>
      <c r="T1047" s="9" t="n"/>
      <c r="U1047" s="9" t="n"/>
      <c r="V1047" s="9" t="n"/>
      <c r="W1047" s="9" t="n"/>
      <c r="X1047" s="9" t="n"/>
      <c r="Y1047" s="9" t="n"/>
      <c r="Z1047" s="9" t="n"/>
    </row>
    <row r="1048" ht="14.25" customHeight="1" s="37">
      <c r="A1048" s="9">
        <f>IF(C1048="","","UM"&amp;TEXT(ROW()-1,"00000"))</f>
        <v/>
      </c>
      <c r="B1048" s="9" t="n"/>
      <c r="C1048" s="9" t="n"/>
      <c r="D1048" s="9" t="n"/>
      <c r="E1048" s="9" t="n"/>
      <c r="F1048" s="9">
        <f>IF(E1048="","",DATEDIF(E1048,DATE(2026,12,31),"Y"))</f>
        <v/>
      </c>
      <c r="G1048" s="9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  <c r="R1048" s="9" t="n"/>
      <c r="S1048" s="9" t="n"/>
      <c r="T1048" s="9" t="n"/>
      <c r="U1048" s="9" t="n"/>
      <c r="V1048" s="9" t="n"/>
      <c r="W1048" s="9" t="n"/>
      <c r="X1048" s="9" t="n"/>
      <c r="Y1048" s="9" t="n"/>
      <c r="Z1048" s="9" t="n"/>
    </row>
    <row r="1049" ht="14.25" customHeight="1" s="37">
      <c r="A1049" s="9">
        <f>IF(C1049="","","UM"&amp;TEXT(ROW()-1,"00000"))</f>
        <v/>
      </c>
      <c r="B1049" s="9" t="n"/>
      <c r="C1049" s="9" t="n"/>
      <c r="D1049" s="9" t="n"/>
      <c r="E1049" s="9" t="n"/>
      <c r="F1049" s="9">
        <f>IF(E1049="","",DATEDIF(E1049,DATE(2026,12,31),"Y"))</f>
        <v/>
      </c>
      <c r="G1049" s="9" t="n"/>
      <c r="H1049" s="9" t="n"/>
      <c r="I1049" s="9" t="n"/>
      <c r="J1049" s="9" t="n"/>
      <c r="K1049" s="9" t="n"/>
      <c r="L1049" s="9" t="n"/>
      <c r="M1049" s="9" t="n"/>
      <c r="N1049" s="9" t="n"/>
      <c r="O1049" s="9" t="n"/>
      <c r="P1049" s="9" t="n"/>
      <c r="Q1049" s="9" t="n"/>
      <c r="R1049" s="9" t="n"/>
      <c r="S1049" s="9" t="n"/>
      <c r="T1049" s="9" t="n"/>
      <c r="U1049" s="9" t="n"/>
      <c r="V1049" s="9" t="n"/>
      <c r="W1049" s="9" t="n"/>
      <c r="X1049" s="9" t="n"/>
      <c r="Y1049" s="9" t="n"/>
      <c r="Z1049" s="9" t="n"/>
    </row>
    <row r="1050" ht="14.25" customHeight="1" s="37">
      <c r="A1050" s="9">
        <f>IF(C1050="","","UM"&amp;TEXT(ROW()-1,"00000"))</f>
        <v/>
      </c>
      <c r="B1050" s="9" t="n"/>
      <c r="C1050" s="9" t="n"/>
      <c r="D1050" s="9" t="n"/>
      <c r="E1050" s="9" t="n"/>
      <c r="F1050" s="9">
        <f>IF(E1050="","",DATEDIF(E1050,DATE(2026,12,31),"Y"))</f>
        <v/>
      </c>
      <c r="G1050" s="9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  <c r="R1050" s="9" t="n"/>
      <c r="S1050" s="9" t="n"/>
      <c r="T1050" s="9" t="n"/>
      <c r="U1050" s="9" t="n"/>
      <c r="V1050" s="9" t="n"/>
      <c r="W1050" s="9" t="n"/>
      <c r="X1050" s="9" t="n"/>
      <c r="Y1050" s="9" t="n"/>
      <c r="Z1050" s="9" t="n"/>
    </row>
    <row r="1051" ht="14.25" customHeight="1" s="37">
      <c r="A1051" s="9">
        <f>IF(C1051="","","UM"&amp;TEXT(ROW()-1,"00000"))</f>
        <v/>
      </c>
      <c r="B1051" s="9" t="n"/>
      <c r="C1051" s="9" t="n"/>
      <c r="D1051" s="9" t="n"/>
      <c r="E1051" s="9" t="n"/>
      <c r="F1051" s="9">
        <f>IF(E1051="","",DATEDIF(E1051,DATE(2026,12,31),"Y"))</f>
        <v/>
      </c>
      <c r="G1051" s="9" t="n"/>
      <c r="H1051" s="9" t="n"/>
      <c r="I1051" s="9" t="n"/>
      <c r="J1051" s="9" t="n"/>
      <c r="K1051" s="9" t="n"/>
      <c r="L1051" s="9" t="n"/>
      <c r="M1051" s="9" t="n"/>
      <c r="N1051" s="9" t="n"/>
      <c r="O1051" s="9" t="n"/>
      <c r="P1051" s="9" t="n"/>
      <c r="Q1051" s="9" t="n"/>
      <c r="R1051" s="9" t="n"/>
      <c r="S1051" s="9" t="n"/>
      <c r="T1051" s="9" t="n"/>
      <c r="U1051" s="9" t="n"/>
      <c r="V1051" s="9" t="n"/>
      <c r="W1051" s="9" t="n"/>
      <c r="X1051" s="9" t="n"/>
      <c r="Y1051" s="9" t="n"/>
      <c r="Z1051" s="9" t="n"/>
    </row>
    <row r="1052" ht="14.25" customHeight="1" s="37">
      <c r="A1052" s="9">
        <f>IF(C1052="","","UM"&amp;TEXT(ROW()-1,"00000"))</f>
        <v/>
      </c>
      <c r="B1052" s="9" t="n"/>
      <c r="C1052" s="9" t="n"/>
      <c r="D1052" s="9" t="n"/>
      <c r="E1052" s="9" t="n"/>
      <c r="F1052" s="9">
        <f>IF(E1052="","",DATEDIF(E1052,DATE(2026,12,31),"Y"))</f>
        <v/>
      </c>
      <c r="G1052" s="9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  <c r="R1052" s="9" t="n"/>
      <c r="S1052" s="9" t="n"/>
      <c r="T1052" s="9" t="n"/>
      <c r="U1052" s="9" t="n"/>
      <c r="V1052" s="9" t="n"/>
      <c r="W1052" s="9" t="n"/>
      <c r="X1052" s="9" t="n"/>
      <c r="Y1052" s="9" t="n"/>
      <c r="Z1052" s="9" t="n"/>
    </row>
    <row r="1053" ht="14.25" customHeight="1" s="37">
      <c r="A1053" s="9">
        <f>IF(C1053="","","UM"&amp;TEXT(ROW()-1,"00000"))</f>
        <v/>
      </c>
      <c r="B1053" s="9" t="n"/>
      <c r="C1053" s="9" t="n"/>
      <c r="D1053" s="9" t="n"/>
      <c r="E1053" s="9" t="n"/>
      <c r="F1053" s="9">
        <f>IF(E1053="","",DATEDIF(E1053,DATE(2026,12,31),"Y"))</f>
        <v/>
      </c>
      <c r="G1053" s="9" t="n"/>
      <c r="H1053" s="9" t="n"/>
      <c r="I1053" s="9" t="n"/>
      <c r="J1053" s="9" t="n"/>
      <c r="K1053" s="9" t="n"/>
      <c r="L1053" s="9" t="n"/>
      <c r="M1053" s="9" t="n"/>
      <c r="N1053" s="9" t="n"/>
      <c r="O1053" s="9" t="n"/>
      <c r="P1053" s="9" t="n"/>
      <c r="Q1053" s="9" t="n"/>
      <c r="R1053" s="9" t="n"/>
      <c r="S1053" s="9" t="n"/>
      <c r="T1053" s="9" t="n"/>
      <c r="U1053" s="9" t="n"/>
      <c r="V1053" s="9" t="n"/>
      <c r="W1053" s="9" t="n"/>
      <c r="X1053" s="9" t="n"/>
      <c r="Y1053" s="9" t="n"/>
      <c r="Z1053" s="9" t="n"/>
    </row>
    <row r="1054" ht="14.25" customHeight="1" s="37">
      <c r="A1054" s="9">
        <f>IF(C1054="","","UM"&amp;TEXT(ROW()-1,"00000"))</f>
        <v/>
      </c>
      <c r="B1054" s="9" t="n"/>
      <c r="C1054" s="9" t="n"/>
      <c r="D1054" s="9" t="n"/>
      <c r="E1054" s="9" t="n"/>
      <c r="F1054" s="9">
        <f>IF(E1054="","",DATEDIF(E1054,DATE(2026,12,31),"Y"))</f>
        <v/>
      </c>
      <c r="G1054" s="9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  <c r="R1054" s="9" t="n"/>
      <c r="S1054" s="9" t="n"/>
      <c r="T1054" s="9" t="n"/>
      <c r="U1054" s="9" t="n"/>
      <c r="V1054" s="9" t="n"/>
      <c r="W1054" s="9" t="n"/>
      <c r="X1054" s="9" t="n"/>
      <c r="Y1054" s="9" t="n"/>
      <c r="Z1054" s="9" t="n"/>
    </row>
    <row r="1055" ht="14.25" customHeight="1" s="37">
      <c r="A1055" s="9">
        <f>IF(C1055="","","UM"&amp;TEXT(ROW()-1,"00000"))</f>
        <v/>
      </c>
      <c r="B1055" s="9" t="n"/>
      <c r="C1055" s="9" t="n"/>
      <c r="D1055" s="9" t="n"/>
      <c r="E1055" s="9" t="n"/>
      <c r="F1055" s="9">
        <f>IF(E1055="","",DATEDIF(E1055,DATE(2026,12,31),"Y"))</f>
        <v/>
      </c>
      <c r="G1055" s="9" t="n"/>
      <c r="H1055" s="9" t="n"/>
      <c r="I1055" s="9" t="n"/>
      <c r="J1055" s="9" t="n"/>
      <c r="K1055" s="9" t="n"/>
      <c r="L1055" s="9" t="n"/>
      <c r="M1055" s="9" t="n"/>
      <c r="N1055" s="9" t="n"/>
      <c r="O1055" s="9" t="n"/>
      <c r="P1055" s="9" t="n"/>
      <c r="Q1055" s="9" t="n"/>
      <c r="R1055" s="9" t="n"/>
      <c r="S1055" s="9" t="n"/>
      <c r="T1055" s="9" t="n"/>
      <c r="U1055" s="9" t="n"/>
      <c r="V1055" s="9" t="n"/>
      <c r="W1055" s="9" t="n"/>
      <c r="X1055" s="9" t="n"/>
      <c r="Y1055" s="9" t="n"/>
      <c r="Z1055" s="9" t="n"/>
    </row>
    <row r="1056" ht="14.25" customHeight="1" s="37">
      <c r="A1056" s="9">
        <f>IF(C1056="","","UM"&amp;TEXT(ROW()-1,"00000"))</f>
        <v/>
      </c>
      <c r="B1056" s="9" t="n"/>
      <c r="C1056" s="9" t="n"/>
      <c r="D1056" s="9" t="n"/>
      <c r="E1056" s="9" t="n"/>
      <c r="F1056" s="9">
        <f>IF(E1056="","",DATEDIF(E1056,DATE(2026,12,31),"Y"))</f>
        <v/>
      </c>
      <c r="G1056" s="9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  <c r="R1056" s="9" t="n"/>
      <c r="S1056" s="9" t="n"/>
      <c r="T1056" s="9" t="n"/>
      <c r="U1056" s="9" t="n"/>
      <c r="V1056" s="9" t="n"/>
      <c r="W1056" s="9" t="n"/>
      <c r="X1056" s="9" t="n"/>
      <c r="Y1056" s="9" t="n"/>
      <c r="Z1056" s="9" t="n"/>
    </row>
    <row r="1057" ht="14.25" customHeight="1" s="37">
      <c r="A1057" s="9">
        <f>IF(C1057="","","UM"&amp;TEXT(ROW()-1,"00000"))</f>
        <v/>
      </c>
      <c r="B1057" s="9" t="n"/>
      <c r="C1057" s="9" t="n"/>
      <c r="D1057" s="9" t="n"/>
      <c r="E1057" s="9" t="n"/>
      <c r="F1057" s="9">
        <f>IF(E1057="","",DATEDIF(E1057,DATE(2026,12,31),"Y"))</f>
        <v/>
      </c>
      <c r="G1057" s="9" t="n"/>
      <c r="H1057" s="9" t="n"/>
      <c r="I1057" s="9" t="n"/>
      <c r="J1057" s="9" t="n"/>
      <c r="K1057" s="9" t="n"/>
      <c r="L1057" s="9" t="n"/>
      <c r="M1057" s="9" t="n"/>
      <c r="N1057" s="9" t="n"/>
      <c r="O1057" s="9" t="n"/>
      <c r="P1057" s="9" t="n"/>
      <c r="Q1057" s="9" t="n"/>
      <c r="R1057" s="9" t="n"/>
      <c r="S1057" s="9" t="n"/>
      <c r="T1057" s="9" t="n"/>
      <c r="U1057" s="9" t="n"/>
      <c r="V1057" s="9" t="n"/>
      <c r="W1057" s="9" t="n"/>
      <c r="X1057" s="9" t="n"/>
      <c r="Y1057" s="9" t="n"/>
      <c r="Z1057" s="9" t="n"/>
    </row>
    <row r="1058" ht="14.25" customHeight="1" s="37">
      <c r="A1058" s="9">
        <f>IF(C1058="","","UM"&amp;TEXT(ROW()-1,"00000"))</f>
        <v/>
      </c>
      <c r="B1058" s="9" t="n"/>
      <c r="C1058" s="9" t="n"/>
      <c r="D1058" s="9" t="n"/>
      <c r="E1058" s="9" t="n"/>
      <c r="F1058" s="9">
        <f>IF(E1058="","",DATEDIF(E1058,DATE(2026,12,31),"Y"))</f>
        <v/>
      </c>
      <c r="G1058" s="9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  <c r="R1058" s="9" t="n"/>
      <c r="S1058" s="9" t="n"/>
      <c r="T1058" s="9" t="n"/>
      <c r="U1058" s="9" t="n"/>
      <c r="V1058" s="9" t="n"/>
      <c r="W1058" s="9" t="n"/>
      <c r="X1058" s="9" t="n"/>
      <c r="Y1058" s="9" t="n"/>
      <c r="Z1058" s="9" t="n"/>
    </row>
    <row r="1059" ht="14.25" customHeight="1" s="37">
      <c r="A1059" s="9">
        <f>IF(C1059="","","UM"&amp;TEXT(ROW()-1,"00000"))</f>
        <v/>
      </c>
      <c r="B1059" s="9" t="n"/>
      <c r="C1059" s="9" t="n"/>
      <c r="D1059" s="9" t="n"/>
      <c r="E1059" s="9" t="n"/>
      <c r="F1059" s="9">
        <f>IF(E1059="","",DATEDIF(E1059,DATE(2026,12,31),"Y"))</f>
        <v/>
      </c>
      <c r="G1059" s="9" t="n"/>
      <c r="H1059" s="9" t="n"/>
      <c r="I1059" s="9" t="n"/>
      <c r="J1059" s="9" t="n"/>
      <c r="K1059" s="9" t="n"/>
      <c r="L1059" s="9" t="n"/>
      <c r="M1059" s="9" t="n"/>
      <c r="N1059" s="9" t="n"/>
      <c r="O1059" s="9" t="n"/>
      <c r="P1059" s="9" t="n"/>
      <c r="Q1059" s="9" t="n"/>
      <c r="R1059" s="9" t="n"/>
      <c r="S1059" s="9" t="n"/>
      <c r="T1059" s="9" t="n"/>
      <c r="U1059" s="9" t="n"/>
      <c r="V1059" s="9" t="n"/>
      <c r="W1059" s="9" t="n"/>
      <c r="X1059" s="9" t="n"/>
      <c r="Y1059" s="9" t="n"/>
      <c r="Z1059" s="9" t="n"/>
    </row>
    <row r="1060" ht="14.25" customHeight="1" s="37">
      <c r="A1060" s="9">
        <f>IF(C1060="","","UM"&amp;TEXT(ROW()-1,"00000"))</f>
        <v/>
      </c>
      <c r="B1060" s="9" t="n"/>
      <c r="C1060" s="9" t="n"/>
      <c r="D1060" s="9" t="n"/>
      <c r="E1060" s="9" t="n"/>
      <c r="F1060" s="9">
        <f>IF(E1060="","",DATEDIF(E1060,DATE(2026,12,31),"Y"))</f>
        <v/>
      </c>
      <c r="G1060" s="9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  <c r="R1060" s="9" t="n"/>
      <c r="S1060" s="9" t="n"/>
      <c r="T1060" s="9" t="n"/>
      <c r="U1060" s="9" t="n"/>
      <c r="V1060" s="9" t="n"/>
      <c r="W1060" s="9" t="n"/>
      <c r="X1060" s="9" t="n"/>
      <c r="Y1060" s="9" t="n"/>
      <c r="Z1060" s="9" t="n"/>
    </row>
    <row r="1061" ht="14.25" customHeight="1" s="37">
      <c r="A1061" s="9">
        <f>IF(C1061="","","UM"&amp;TEXT(ROW()-1,"00000"))</f>
        <v/>
      </c>
      <c r="B1061" s="9" t="n"/>
      <c r="C1061" s="9" t="n"/>
      <c r="D1061" s="9" t="n"/>
      <c r="E1061" s="9" t="n"/>
      <c r="F1061" s="9">
        <f>IF(E1061="","",DATEDIF(E1061,DATE(2026,12,31),"Y"))</f>
        <v/>
      </c>
      <c r="G1061" s="9" t="n"/>
      <c r="H1061" s="9" t="n"/>
      <c r="I1061" s="9" t="n"/>
      <c r="J1061" s="9" t="n"/>
      <c r="K1061" s="9" t="n"/>
      <c r="L1061" s="9" t="n"/>
      <c r="M1061" s="9" t="n"/>
      <c r="N1061" s="9" t="n"/>
      <c r="O1061" s="9" t="n"/>
      <c r="P1061" s="9" t="n"/>
      <c r="Q1061" s="9" t="n"/>
      <c r="R1061" s="9" t="n"/>
      <c r="S1061" s="9" t="n"/>
      <c r="T1061" s="9" t="n"/>
      <c r="U1061" s="9" t="n"/>
      <c r="V1061" s="9" t="n"/>
      <c r="W1061" s="9" t="n"/>
      <c r="X1061" s="9" t="n"/>
      <c r="Y1061" s="9" t="n"/>
      <c r="Z1061" s="9" t="n"/>
    </row>
    <row r="1062" ht="14.25" customHeight="1" s="37">
      <c r="A1062" s="9">
        <f>IF(C1062="","","UM"&amp;TEXT(ROW()-1,"00000"))</f>
        <v/>
      </c>
      <c r="B1062" s="9" t="n"/>
      <c r="C1062" s="9" t="n"/>
      <c r="D1062" s="9" t="n"/>
      <c r="E1062" s="9" t="n"/>
      <c r="F1062" s="9">
        <f>IF(E1062="","",DATEDIF(E1062,DATE(2026,12,31),"Y"))</f>
        <v/>
      </c>
      <c r="G1062" s="9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  <c r="R1062" s="9" t="n"/>
      <c r="S1062" s="9" t="n"/>
      <c r="T1062" s="9" t="n"/>
      <c r="U1062" s="9" t="n"/>
      <c r="V1062" s="9" t="n"/>
      <c r="W1062" s="9" t="n"/>
      <c r="X1062" s="9" t="n"/>
      <c r="Y1062" s="9" t="n"/>
      <c r="Z1062" s="9" t="n"/>
    </row>
    <row r="1063" ht="14.25" customHeight="1" s="37">
      <c r="A1063" s="9">
        <f>IF(C1063="","","UM"&amp;TEXT(ROW()-1,"00000"))</f>
        <v/>
      </c>
      <c r="B1063" s="9" t="n"/>
      <c r="C1063" s="9" t="n"/>
      <c r="D1063" s="9" t="n"/>
      <c r="E1063" s="9" t="n"/>
      <c r="F1063" s="9">
        <f>IF(E1063="","",DATEDIF(E1063,DATE(2026,12,31),"Y"))</f>
        <v/>
      </c>
      <c r="G1063" s="9" t="n"/>
      <c r="H1063" s="9" t="n"/>
      <c r="I1063" s="9" t="n"/>
      <c r="J1063" s="9" t="n"/>
      <c r="K1063" s="9" t="n"/>
      <c r="L1063" s="9" t="n"/>
      <c r="M1063" s="9" t="n"/>
      <c r="N1063" s="9" t="n"/>
      <c r="O1063" s="9" t="n"/>
      <c r="P1063" s="9" t="n"/>
      <c r="Q1063" s="9" t="n"/>
      <c r="R1063" s="9" t="n"/>
      <c r="S1063" s="9" t="n"/>
      <c r="T1063" s="9" t="n"/>
      <c r="U1063" s="9" t="n"/>
      <c r="V1063" s="9" t="n"/>
      <c r="W1063" s="9" t="n"/>
      <c r="X1063" s="9" t="n"/>
      <c r="Y1063" s="9" t="n"/>
      <c r="Z1063" s="9" t="n"/>
    </row>
    <row r="1064" ht="14.25" customHeight="1" s="37">
      <c r="A1064" s="9">
        <f>IF(C1064="","","UM"&amp;TEXT(ROW()-1,"00000"))</f>
        <v/>
      </c>
      <c r="B1064" s="9" t="n"/>
      <c r="C1064" s="9" t="n"/>
      <c r="D1064" s="9" t="n"/>
      <c r="E1064" s="9" t="n"/>
      <c r="F1064" s="9">
        <f>IF(E1064="","",DATEDIF(E1064,DATE(2026,12,31),"Y"))</f>
        <v/>
      </c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  <c r="R1064" s="9" t="n"/>
      <c r="S1064" s="9" t="n"/>
      <c r="T1064" s="9" t="n"/>
      <c r="U1064" s="9" t="n"/>
      <c r="V1064" s="9" t="n"/>
      <c r="W1064" s="9" t="n"/>
      <c r="X1064" s="9" t="n"/>
      <c r="Y1064" s="9" t="n"/>
      <c r="Z1064" s="9" t="n"/>
    </row>
    <row r="1065" ht="14.25" customHeight="1" s="37">
      <c r="A1065" s="9">
        <f>IF(C1065="","","UM"&amp;TEXT(ROW()-1,"00000"))</f>
        <v/>
      </c>
      <c r="B1065" s="9" t="n"/>
      <c r="C1065" s="9" t="n"/>
      <c r="D1065" s="9" t="n"/>
      <c r="E1065" s="9" t="n"/>
      <c r="F1065" s="9">
        <f>IF(E1065="","",DATEDIF(E1065,DATE(2026,12,31),"Y"))</f>
        <v/>
      </c>
      <c r="G1065" s="9" t="n"/>
      <c r="H1065" s="9" t="n"/>
      <c r="I1065" s="9" t="n"/>
      <c r="J1065" s="9" t="n"/>
      <c r="K1065" s="9" t="n"/>
      <c r="L1065" s="9" t="n"/>
      <c r="M1065" s="9" t="n"/>
      <c r="N1065" s="9" t="n"/>
      <c r="O1065" s="9" t="n"/>
      <c r="P1065" s="9" t="n"/>
      <c r="Q1065" s="9" t="n"/>
      <c r="R1065" s="9" t="n"/>
      <c r="S1065" s="9" t="n"/>
      <c r="T1065" s="9" t="n"/>
      <c r="U1065" s="9" t="n"/>
      <c r="V1065" s="9" t="n"/>
      <c r="W1065" s="9" t="n"/>
      <c r="X1065" s="9" t="n"/>
      <c r="Y1065" s="9" t="n"/>
      <c r="Z1065" s="9" t="n"/>
    </row>
    <row r="1066" ht="14.25" customHeight="1" s="37">
      <c r="A1066" s="9">
        <f>IF(C1066="","","UM"&amp;TEXT(ROW()-1,"00000"))</f>
        <v/>
      </c>
      <c r="B1066" s="9" t="n"/>
      <c r="C1066" s="9" t="n"/>
      <c r="D1066" s="9" t="n"/>
      <c r="E1066" s="9" t="n"/>
      <c r="F1066" s="9">
        <f>IF(E1066="","",DATEDIF(E1066,DATE(2026,12,31),"Y"))</f>
        <v/>
      </c>
      <c r="G1066" s="9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  <c r="R1066" s="9" t="n"/>
      <c r="S1066" s="9" t="n"/>
      <c r="T1066" s="9" t="n"/>
      <c r="U1066" s="9" t="n"/>
      <c r="V1066" s="9" t="n"/>
      <c r="W1066" s="9" t="n"/>
      <c r="X1066" s="9" t="n"/>
      <c r="Y1066" s="9" t="n"/>
      <c r="Z1066" s="9" t="n"/>
    </row>
    <row r="1067" ht="14.25" customHeight="1" s="37">
      <c r="A1067" s="9">
        <f>IF(C1067="","","UM"&amp;TEXT(ROW()-1,"00000"))</f>
        <v/>
      </c>
      <c r="B1067" s="9" t="n"/>
      <c r="C1067" s="9" t="n"/>
      <c r="D1067" s="9" t="n"/>
      <c r="E1067" s="9" t="n"/>
      <c r="F1067" s="9">
        <f>IF(E1067="","",DATEDIF(E1067,DATE(2026,12,31),"Y"))</f>
        <v/>
      </c>
      <c r="G1067" s="9" t="n"/>
      <c r="H1067" s="9" t="n"/>
      <c r="I1067" s="9" t="n"/>
      <c r="J1067" s="9" t="n"/>
      <c r="K1067" s="9" t="n"/>
      <c r="L1067" s="9" t="n"/>
      <c r="M1067" s="9" t="n"/>
      <c r="N1067" s="9" t="n"/>
      <c r="O1067" s="9" t="n"/>
      <c r="P1067" s="9" t="n"/>
      <c r="Q1067" s="9" t="n"/>
      <c r="R1067" s="9" t="n"/>
      <c r="S1067" s="9" t="n"/>
      <c r="T1067" s="9" t="n"/>
      <c r="U1067" s="9" t="n"/>
      <c r="V1067" s="9" t="n"/>
      <c r="W1067" s="9" t="n"/>
      <c r="X1067" s="9" t="n"/>
      <c r="Y1067" s="9" t="n"/>
      <c r="Z1067" s="9" t="n"/>
    </row>
    <row r="1068" ht="14.25" customHeight="1" s="37">
      <c r="A1068" s="9">
        <f>IF(C1068="","","UM"&amp;TEXT(ROW()-1,"00000"))</f>
        <v/>
      </c>
      <c r="B1068" s="9" t="n"/>
      <c r="C1068" s="9" t="n"/>
      <c r="D1068" s="9" t="n"/>
      <c r="E1068" s="9" t="n"/>
      <c r="F1068" s="9">
        <f>IF(E1068="","",DATEDIF(E1068,DATE(2026,12,31),"Y"))</f>
        <v/>
      </c>
      <c r="G1068" s="9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  <c r="R1068" s="9" t="n"/>
      <c r="S1068" s="9" t="n"/>
      <c r="T1068" s="9" t="n"/>
      <c r="U1068" s="9" t="n"/>
      <c r="V1068" s="9" t="n"/>
      <c r="W1068" s="9" t="n"/>
      <c r="X1068" s="9" t="n"/>
      <c r="Y1068" s="9" t="n"/>
      <c r="Z1068" s="9" t="n"/>
    </row>
    <row r="1069" ht="14.25" customHeight="1" s="37">
      <c r="A1069" s="9">
        <f>IF(C1069="","","UM"&amp;TEXT(ROW()-1,"00000"))</f>
        <v/>
      </c>
      <c r="B1069" s="9" t="n"/>
      <c r="C1069" s="9" t="n"/>
      <c r="D1069" s="9" t="n"/>
      <c r="E1069" s="9" t="n"/>
      <c r="F1069" s="9">
        <f>IF(E1069="","",DATEDIF(E1069,DATE(2026,12,31),"Y"))</f>
        <v/>
      </c>
      <c r="G1069" s="9" t="n"/>
      <c r="H1069" s="9" t="n"/>
      <c r="I1069" s="9" t="n"/>
      <c r="J1069" s="9" t="n"/>
      <c r="K1069" s="9" t="n"/>
      <c r="L1069" s="9" t="n"/>
      <c r="M1069" s="9" t="n"/>
      <c r="N1069" s="9" t="n"/>
      <c r="O1069" s="9" t="n"/>
      <c r="P1069" s="9" t="n"/>
      <c r="Q1069" s="9" t="n"/>
      <c r="R1069" s="9" t="n"/>
      <c r="S1069" s="9" t="n"/>
      <c r="T1069" s="9" t="n"/>
      <c r="U1069" s="9" t="n"/>
      <c r="V1069" s="9" t="n"/>
      <c r="W1069" s="9" t="n"/>
      <c r="X1069" s="9" t="n"/>
      <c r="Y1069" s="9" t="n"/>
      <c r="Z1069" s="9" t="n"/>
    </row>
    <row r="1070" ht="14.25" customHeight="1" s="37">
      <c r="A1070" s="9">
        <f>IF(C1070="","","UM"&amp;TEXT(ROW()-1,"00000"))</f>
        <v/>
      </c>
      <c r="B1070" s="9" t="n"/>
      <c r="C1070" s="9" t="n"/>
      <c r="D1070" s="9" t="n"/>
      <c r="E1070" s="9" t="n"/>
      <c r="F1070" s="9">
        <f>IF(E1070="","",DATEDIF(E1070,DATE(2026,12,31),"Y"))</f>
        <v/>
      </c>
      <c r="G1070" s="9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  <c r="R1070" s="9" t="n"/>
      <c r="S1070" s="9" t="n"/>
      <c r="T1070" s="9" t="n"/>
      <c r="U1070" s="9" t="n"/>
      <c r="V1070" s="9" t="n"/>
      <c r="W1070" s="9" t="n"/>
      <c r="X1070" s="9" t="n"/>
      <c r="Y1070" s="9" t="n"/>
      <c r="Z1070" s="9" t="n"/>
    </row>
    <row r="1071" ht="14.25" customHeight="1" s="37">
      <c r="A1071" s="9">
        <f>IF(C1071="","","UM"&amp;TEXT(ROW()-1,"00000"))</f>
        <v/>
      </c>
      <c r="B1071" s="9" t="n"/>
      <c r="C1071" s="9" t="n"/>
      <c r="D1071" s="9" t="n"/>
      <c r="E1071" s="9" t="n"/>
      <c r="F1071" s="9">
        <f>IF(E1071="","",DATEDIF(E1071,DATE(2026,12,31),"Y"))</f>
        <v/>
      </c>
      <c r="G1071" s="9" t="n"/>
      <c r="H1071" s="9" t="n"/>
      <c r="I1071" s="9" t="n"/>
      <c r="J1071" s="9" t="n"/>
      <c r="K1071" s="9" t="n"/>
      <c r="L1071" s="9" t="n"/>
      <c r="M1071" s="9" t="n"/>
      <c r="N1071" s="9" t="n"/>
      <c r="O1071" s="9" t="n"/>
      <c r="P1071" s="9" t="n"/>
      <c r="Q1071" s="9" t="n"/>
      <c r="R1071" s="9" t="n"/>
      <c r="S1071" s="9" t="n"/>
      <c r="T1071" s="9" t="n"/>
      <c r="U1071" s="9" t="n"/>
      <c r="V1071" s="9" t="n"/>
      <c r="W1071" s="9" t="n"/>
      <c r="X1071" s="9" t="n"/>
      <c r="Y1071" s="9" t="n"/>
      <c r="Z1071" s="9" t="n"/>
    </row>
    <row r="1072" ht="14.25" customHeight="1" s="37">
      <c r="A1072" s="9">
        <f>IF(C1072="","","UM"&amp;TEXT(ROW()-1,"00000"))</f>
        <v/>
      </c>
      <c r="B1072" s="9" t="n"/>
      <c r="C1072" s="9" t="n"/>
      <c r="D1072" s="9" t="n"/>
      <c r="E1072" s="9" t="n"/>
      <c r="F1072" s="9">
        <f>IF(E1072="","",DATEDIF(E1072,DATE(2026,12,31),"Y"))</f>
        <v/>
      </c>
      <c r="G1072" s="9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  <c r="R1072" s="9" t="n"/>
      <c r="S1072" s="9" t="n"/>
      <c r="T1072" s="9" t="n"/>
      <c r="U1072" s="9" t="n"/>
      <c r="V1072" s="9" t="n"/>
      <c r="W1072" s="9" t="n"/>
      <c r="X1072" s="9" t="n"/>
      <c r="Y1072" s="9" t="n"/>
      <c r="Z1072" s="9" t="n"/>
    </row>
    <row r="1073" ht="14.25" customHeight="1" s="37">
      <c r="A1073" s="9">
        <f>IF(C1073="","","UM"&amp;TEXT(ROW()-1,"00000"))</f>
        <v/>
      </c>
      <c r="B1073" s="9" t="n"/>
      <c r="C1073" s="9" t="n"/>
      <c r="D1073" s="9" t="n"/>
      <c r="E1073" s="9" t="n"/>
      <c r="F1073" s="9">
        <f>IF(E1073="","",DATEDIF(E1073,DATE(2026,12,31),"Y"))</f>
        <v/>
      </c>
      <c r="G1073" s="9" t="n"/>
      <c r="H1073" s="9" t="n"/>
      <c r="I1073" s="9" t="n"/>
      <c r="J1073" s="9" t="n"/>
      <c r="K1073" s="9" t="n"/>
      <c r="L1073" s="9" t="n"/>
      <c r="M1073" s="9" t="n"/>
      <c r="N1073" s="9" t="n"/>
      <c r="O1073" s="9" t="n"/>
      <c r="P1073" s="9" t="n"/>
      <c r="Q1073" s="9" t="n"/>
      <c r="R1073" s="9" t="n"/>
      <c r="S1073" s="9" t="n"/>
      <c r="T1073" s="9" t="n"/>
      <c r="U1073" s="9" t="n"/>
      <c r="V1073" s="9" t="n"/>
      <c r="W1073" s="9" t="n"/>
      <c r="X1073" s="9" t="n"/>
      <c r="Y1073" s="9" t="n"/>
      <c r="Z1073" s="9" t="n"/>
    </row>
    <row r="1074" ht="14.25" customHeight="1" s="37">
      <c r="A1074" s="9">
        <f>IF(C1074="","","UM"&amp;TEXT(ROW()-1,"00000"))</f>
        <v/>
      </c>
      <c r="B1074" s="9" t="n"/>
      <c r="C1074" s="9" t="n"/>
      <c r="D1074" s="9" t="n"/>
      <c r="E1074" s="9" t="n"/>
      <c r="F1074" s="9">
        <f>IF(E1074="","",DATEDIF(E1074,DATE(2026,12,31),"Y"))</f>
        <v/>
      </c>
      <c r="G1074" s="9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  <c r="R1074" s="9" t="n"/>
      <c r="S1074" s="9" t="n"/>
      <c r="T1074" s="9" t="n"/>
      <c r="U1074" s="9" t="n"/>
      <c r="V1074" s="9" t="n"/>
      <c r="W1074" s="9" t="n"/>
      <c r="X1074" s="9" t="n"/>
      <c r="Y1074" s="9" t="n"/>
      <c r="Z1074" s="9" t="n"/>
    </row>
    <row r="1075" ht="14.25" customHeight="1" s="37">
      <c r="A1075" s="9">
        <f>IF(C1075="","","UM"&amp;TEXT(ROW()-1,"00000"))</f>
        <v/>
      </c>
      <c r="B1075" s="9" t="n"/>
      <c r="C1075" s="9" t="n"/>
      <c r="D1075" s="9" t="n"/>
      <c r="E1075" s="9" t="n"/>
      <c r="F1075" s="9">
        <f>IF(E1075="","",DATEDIF(E1075,DATE(2026,12,31),"Y"))</f>
        <v/>
      </c>
      <c r="G1075" s="9" t="n"/>
      <c r="H1075" s="9" t="n"/>
      <c r="I1075" s="9" t="n"/>
      <c r="J1075" s="9" t="n"/>
      <c r="K1075" s="9" t="n"/>
      <c r="L1075" s="9" t="n"/>
      <c r="M1075" s="9" t="n"/>
      <c r="N1075" s="9" t="n"/>
      <c r="O1075" s="9" t="n"/>
      <c r="P1075" s="9" t="n"/>
      <c r="Q1075" s="9" t="n"/>
      <c r="R1075" s="9" t="n"/>
      <c r="S1075" s="9" t="n"/>
      <c r="T1075" s="9" t="n"/>
      <c r="U1075" s="9" t="n"/>
      <c r="V1075" s="9" t="n"/>
      <c r="W1075" s="9" t="n"/>
      <c r="X1075" s="9" t="n"/>
      <c r="Y1075" s="9" t="n"/>
      <c r="Z1075" s="9" t="n"/>
    </row>
    <row r="1076" ht="14.25" customHeight="1" s="37">
      <c r="A1076" s="9">
        <f>IF(C1076="","","UM"&amp;TEXT(ROW()-1,"00000"))</f>
        <v/>
      </c>
      <c r="B1076" s="9" t="n"/>
      <c r="C1076" s="9" t="n"/>
      <c r="D1076" s="9" t="n"/>
      <c r="E1076" s="9" t="n"/>
      <c r="F1076" s="9">
        <f>IF(E1076="","",DATEDIF(E1076,DATE(2026,12,31),"Y"))</f>
        <v/>
      </c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  <c r="R1076" s="9" t="n"/>
      <c r="S1076" s="9" t="n"/>
      <c r="T1076" s="9" t="n"/>
      <c r="U1076" s="9" t="n"/>
      <c r="V1076" s="9" t="n"/>
      <c r="W1076" s="9" t="n"/>
      <c r="X1076" s="9" t="n"/>
      <c r="Y1076" s="9" t="n"/>
      <c r="Z1076" s="9" t="n"/>
    </row>
    <row r="1077" ht="14.25" customHeight="1" s="37">
      <c r="A1077" s="9">
        <f>IF(C1077="","","UM"&amp;TEXT(ROW()-1,"00000"))</f>
        <v/>
      </c>
      <c r="B1077" s="9" t="n"/>
      <c r="C1077" s="9" t="n"/>
      <c r="D1077" s="9" t="n"/>
      <c r="E1077" s="9" t="n"/>
      <c r="F1077" s="9">
        <f>IF(E1077="","",DATEDIF(E1077,DATE(2026,12,31),"Y"))</f>
        <v/>
      </c>
      <c r="G1077" s="9" t="n"/>
      <c r="H1077" s="9" t="n"/>
      <c r="I1077" s="9" t="n"/>
      <c r="J1077" s="9" t="n"/>
      <c r="K1077" s="9" t="n"/>
      <c r="L1077" s="9" t="n"/>
      <c r="M1077" s="9" t="n"/>
      <c r="N1077" s="9" t="n"/>
      <c r="O1077" s="9" t="n"/>
      <c r="P1077" s="9" t="n"/>
      <c r="Q1077" s="9" t="n"/>
      <c r="R1077" s="9" t="n"/>
      <c r="S1077" s="9" t="n"/>
      <c r="T1077" s="9" t="n"/>
      <c r="U1077" s="9" t="n"/>
      <c r="V1077" s="9" t="n"/>
      <c r="W1077" s="9" t="n"/>
      <c r="X1077" s="9" t="n"/>
      <c r="Y1077" s="9" t="n"/>
      <c r="Z1077" s="9" t="n"/>
    </row>
    <row r="1078" ht="14.25" customHeight="1" s="37">
      <c r="A1078" s="9">
        <f>IF(C1078="","","UM"&amp;TEXT(ROW()-1,"00000"))</f>
        <v/>
      </c>
      <c r="B1078" s="9" t="n"/>
      <c r="C1078" s="9" t="n"/>
      <c r="D1078" s="9" t="n"/>
      <c r="E1078" s="9" t="n"/>
      <c r="F1078" s="9">
        <f>IF(E1078="","",DATEDIF(E1078,DATE(2026,12,31),"Y"))</f>
        <v/>
      </c>
      <c r="G1078" s="9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  <c r="R1078" s="9" t="n"/>
      <c r="S1078" s="9" t="n"/>
      <c r="T1078" s="9" t="n"/>
      <c r="U1078" s="9" t="n"/>
      <c r="V1078" s="9" t="n"/>
      <c r="W1078" s="9" t="n"/>
      <c r="X1078" s="9" t="n"/>
      <c r="Y1078" s="9" t="n"/>
      <c r="Z1078" s="9" t="n"/>
    </row>
    <row r="1079" ht="14.25" customHeight="1" s="37">
      <c r="A1079" s="9">
        <f>IF(C1079="","","UM"&amp;TEXT(ROW()-1,"00000"))</f>
        <v/>
      </c>
      <c r="B1079" s="9" t="n"/>
      <c r="C1079" s="9" t="n"/>
      <c r="D1079" s="9" t="n"/>
      <c r="E1079" s="9" t="n"/>
      <c r="F1079" s="9">
        <f>IF(E1079="","",DATEDIF(E1079,DATE(2026,12,31),"Y"))</f>
        <v/>
      </c>
      <c r="G1079" s="9" t="n"/>
      <c r="H1079" s="9" t="n"/>
      <c r="I1079" s="9" t="n"/>
      <c r="J1079" s="9" t="n"/>
      <c r="K1079" s="9" t="n"/>
      <c r="L1079" s="9" t="n"/>
      <c r="M1079" s="9" t="n"/>
      <c r="N1079" s="9" t="n"/>
      <c r="O1079" s="9" t="n"/>
      <c r="P1079" s="9" t="n"/>
      <c r="Q1079" s="9" t="n"/>
      <c r="R1079" s="9" t="n"/>
      <c r="S1079" s="9" t="n"/>
      <c r="T1079" s="9" t="n"/>
      <c r="U1079" s="9" t="n"/>
      <c r="V1079" s="9" t="n"/>
      <c r="W1079" s="9" t="n"/>
      <c r="X1079" s="9" t="n"/>
      <c r="Y1079" s="9" t="n"/>
      <c r="Z1079" s="9" t="n"/>
    </row>
    <row r="1080" ht="14.25" customHeight="1" s="37">
      <c r="A1080" s="9">
        <f>IF(C1080="","","UM"&amp;TEXT(ROW()-1,"00000"))</f>
        <v/>
      </c>
      <c r="B1080" s="9" t="n"/>
      <c r="C1080" s="9" t="n"/>
      <c r="D1080" s="9" t="n"/>
      <c r="E1080" s="9" t="n"/>
      <c r="F1080" s="9">
        <f>IF(E1080="","",DATEDIF(E1080,DATE(2026,12,31),"Y"))</f>
        <v/>
      </c>
      <c r="G1080" s="9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  <c r="R1080" s="9" t="n"/>
      <c r="S1080" s="9" t="n"/>
      <c r="T1080" s="9" t="n"/>
      <c r="U1080" s="9" t="n"/>
      <c r="V1080" s="9" t="n"/>
      <c r="W1080" s="9" t="n"/>
      <c r="X1080" s="9" t="n"/>
      <c r="Y1080" s="9" t="n"/>
      <c r="Z1080" s="9" t="n"/>
    </row>
    <row r="1081" ht="14.25" customHeight="1" s="37">
      <c r="A1081" s="9">
        <f>IF(C1081="","","UM"&amp;TEXT(ROW()-1,"00000"))</f>
        <v/>
      </c>
      <c r="B1081" s="9" t="n"/>
      <c r="C1081" s="9" t="n"/>
      <c r="D1081" s="9" t="n"/>
      <c r="E1081" s="9" t="n"/>
      <c r="F1081" s="9">
        <f>IF(E1081="","",DATEDIF(E1081,DATE(2026,12,31),"Y"))</f>
        <v/>
      </c>
      <c r="G1081" s="9" t="n"/>
      <c r="H1081" s="9" t="n"/>
      <c r="I1081" s="9" t="n"/>
      <c r="J1081" s="9" t="n"/>
      <c r="K1081" s="9" t="n"/>
      <c r="L1081" s="9" t="n"/>
      <c r="M1081" s="9" t="n"/>
      <c r="N1081" s="9" t="n"/>
      <c r="O1081" s="9" t="n"/>
      <c r="P1081" s="9" t="n"/>
      <c r="Q1081" s="9" t="n"/>
      <c r="R1081" s="9" t="n"/>
      <c r="S1081" s="9" t="n"/>
      <c r="T1081" s="9" t="n"/>
      <c r="U1081" s="9" t="n"/>
      <c r="V1081" s="9" t="n"/>
      <c r="W1081" s="9" t="n"/>
      <c r="X1081" s="9" t="n"/>
      <c r="Y1081" s="9" t="n"/>
      <c r="Z1081" s="9" t="n"/>
    </row>
    <row r="1082" ht="14.25" customHeight="1" s="37">
      <c r="A1082" s="9">
        <f>IF(C1082="","","UM"&amp;TEXT(ROW()-1,"00000"))</f>
        <v/>
      </c>
      <c r="B1082" s="9" t="n"/>
      <c r="C1082" s="9" t="n"/>
      <c r="D1082" s="9" t="n"/>
      <c r="E1082" s="9" t="n"/>
      <c r="F1082" s="9">
        <f>IF(E1082="","",DATEDIF(E1082,DATE(2026,12,31),"Y"))</f>
        <v/>
      </c>
      <c r="G1082" s="9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  <c r="R1082" s="9" t="n"/>
      <c r="S1082" s="9" t="n"/>
      <c r="T1082" s="9" t="n"/>
      <c r="U1082" s="9" t="n"/>
      <c r="V1082" s="9" t="n"/>
      <c r="W1082" s="9" t="n"/>
      <c r="X1082" s="9" t="n"/>
      <c r="Y1082" s="9" t="n"/>
      <c r="Z1082" s="9" t="n"/>
    </row>
    <row r="1083" ht="14.25" customHeight="1" s="37">
      <c r="A1083" s="9">
        <f>IF(C1083="","","UM"&amp;TEXT(ROW()-1,"00000"))</f>
        <v/>
      </c>
      <c r="B1083" s="9" t="n"/>
      <c r="C1083" s="9" t="n"/>
      <c r="D1083" s="9" t="n"/>
      <c r="E1083" s="9" t="n"/>
      <c r="F1083" s="9">
        <f>IF(E1083="","",DATEDIF(E1083,DATE(2026,12,31),"Y"))</f>
        <v/>
      </c>
      <c r="G1083" s="9" t="n"/>
      <c r="H1083" s="9" t="n"/>
      <c r="I1083" s="9" t="n"/>
      <c r="J1083" s="9" t="n"/>
      <c r="K1083" s="9" t="n"/>
      <c r="L1083" s="9" t="n"/>
      <c r="M1083" s="9" t="n"/>
      <c r="N1083" s="9" t="n"/>
      <c r="O1083" s="9" t="n"/>
      <c r="P1083" s="9" t="n"/>
      <c r="Q1083" s="9" t="n"/>
      <c r="R1083" s="9" t="n"/>
      <c r="S1083" s="9" t="n"/>
      <c r="T1083" s="9" t="n"/>
      <c r="U1083" s="9" t="n"/>
      <c r="V1083" s="9" t="n"/>
      <c r="W1083" s="9" t="n"/>
      <c r="X1083" s="9" t="n"/>
      <c r="Y1083" s="9" t="n"/>
      <c r="Z1083" s="9" t="n"/>
    </row>
    <row r="1084" ht="14.25" customHeight="1" s="37">
      <c r="A1084" s="9">
        <f>IF(C1084="","","UM"&amp;TEXT(ROW()-1,"00000"))</f>
        <v/>
      </c>
      <c r="B1084" s="9" t="n"/>
      <c r="C1084" s="9" t="n"/>
      <c r="D1084" s="9" t="n"/>
      <c r="E1084" s="9" t="n"/>
      <c r="F1084" s="9">
        <f>IF(E1084="","",DATEDIF(E1084,DATE(2026,12,31),"Y"))</f>
        <v/>
      </c>
      <c r="G1084" s="9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  <c r="R1084" s="9" t="n"/>
      <c r="S1084" s="9" t="n"/>
      <c r="T1084" s="9" t="n"/>
      <c r="U1084" s="9" t="n"/>
      <c r="V1084" s="9" t="n"/>
      <c r="W1084" s="9" t="n"/>
      <c r="X1084" s="9" t="n"/>
      <c r="Y1084" s="9" t="n"/>
      <c r="Z1084" s="9" t="n"/>
    </row>
    <row r="1085" ht="14.25" customHeight="1" s="37">
      <c r="A1085" s="9">
        <f>IF(C1085="","","UM"&amp;TEXT(ROW()-1,"00000"))</f>
        <v/>
      </c>
      <c r="B1085" s="9" t="n"/>
      <c r="C1085" s="9" t="n"/>
      <c r="D1085" s="9" t="n"/>
      <c r="E1085" s="9" t="n"/>
      <c r="F1085" s="9">
        <f>IF(E1085="","",DATEDIF(E1085,DATE(2026,12,31),"Y"))</f>
        <v/>
      </c>
      <c r="G1085" s="9" t="n"/>
      <c r="H1085" s="9" t="n"/>
      <c r="I1085" s="9" t="n"/>
      <c r="J1085" s="9" t="n"/>
      <c r="K1085" s="9" t="n"/>
      <c r="L1085" s="9" t="n"/>
      <c r="M1085" s="9" t="n"/>
      <c r="N1085" s="9" t="n"/>
      <c r="O1085" s="9" t="n"/>
      <c r="P1085" s="9" t="n"/>
      <c r="Q1085" s="9" t="n"/>
      <c r="R1085" s="9" t="n"/>
      <c r="S1085" s="9" t="n"/>
      <c r="T1085" s="9" t="n"/>
      <c r="U1085" s="9" t="n"/>
      <c r="V1085" s="9" t="n"/>
      <c r="W1085" s="9" t="n"/>
      <c r="X1085" s="9" t="n"/>
      <c r="Y1085" s="9" t="n"/>
      <c r="Z1085" s="9" t="n"/>
    </row>
    <row r="1086" ht="14.25" customHeight="1" s="37">
      <c r="A1086" s="9">
        <f>IF(C1086="","","UM"&amp;TEXT(ROW()-1,"00000"))</f>
        <v/>
      </c>
      <c r="B1086" s="9" t="n"/>
      <c r="C1086" s="9" t="n"/>
      <c r="D1086" s="9" t="n"/>
      <c r="E1086" s="9" t="n"/>
      <c r="F1086" s="9">
        <f>IF(E1086="","",DATEDIF(E1086,DATE(2026,12,31),"Y"))</f>
        <v/>
      </c>
      <c r="G1086" s="9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  <c r="R1086" s="9" t="n"/>
      <c r="S1086" s="9" t="n"/>
      <c r="T1086" s="9" t="n"/>
      <c r="U1086" s="9" t="n"/>
      <c r="V1086" s="9" t="n"/>
      <c r="W1086" s="9" t="n"/>
      <c r="X1086" s="9" t="n"/>
      <c r="Y1086" s="9" t="n"/>
      <c r="Z1086" s="9" t="n"/>
    </row>
    <row r="1087" ht="14.25" customHeight="1" s="37">
      <c r="A1087" s="9">
        <f>IF(C1087="","","UM"&amp;TEXT(ROW()-1,"00000"))</f>
        <v/>
      </c>
      <c r="B1087" s="9" t="n"/>
      <c r="C1087" s="9" t="n"/>
      <c r="D1087" s="9" t="n"/>
      <c r="E1087" s="9" t="n"/>
      <c r="F1087" s="9">
        <f>IF(E1087="","",DATEDIF(E1087,DATE(2026,12,31),"Y"))</f>
        <v/>
      </c>
      <c r="G1087" s="9" t="n"/>
      <c r="H1087" s="9" t="n"/>
      <c r="I1087" s="9" t="n"/>
      <c r="J1087" s="9" t="n"/>
      <c r="K1087" s="9" t="n"/>
      <c r="L1087" s="9" t="n"/>
      <c r="M1087" s="9" t="n"/>
      <c r="N1087" s="9" t="n"/>
      <c r="O1087" s="9" t="n"/>
      <c r="P1087" s="9" t="n"/>
      <c r="Q1087" s="9" t="n"/>
      <c r="R1087" s="9" t="n"/>
      <c r="S1087" s="9" t="n"/>
      <c r="T1087" s="9" t="n"/>
      <c r="U1087" s="9" t="n"/>
      <c r="V1087" s="9" t="n"/>
      <c r="W1087" s="9" t="n"/>
      <c r="X1087" s="9" t="n"/>
      <c r="Y1087" s="9" t="n"/>
      <c r="Z1087" s="9" t="n"/>
    </row>
    <row r="1088" ht="14.25" customHeight="1" s="37">
      <c r="A1088" s="9">
        <f>IF(C1088="","","UM"&amp;TEXT(ROW()-1,"00000"))</f>
        <v/>
      </c>
      <c r="B1088" s="9" t="n"/>
      <c r="C1088" s="9" t="n"/>
      <c r="D1088" s="9" t="n"/>
      <c r="E1088" s="9" t="n"/>
      <c r="F1088" s="9">
        <f>IF(E1088="","",DATEDIF(E1088,DATE(2026,12,31),"Y"))</f>
        <v/>
      </c>
      <c r="G1088" s="9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  <c r="R1088" s="9" t="n"/>
      <c r="S1088" s="9" t="n"/>
      <c r="T1088" s="9" t="n"/>
      <c r="U1088" s="9" t="n"/>
      <c r="V1088" s="9" t="n"/>
      <c r="W1088" s="9" t="n"/>
      <c r="X1088" s="9" t="n"/>
      <c r="Y1088" s="9" t="n"/>
      <c r="Z1088" s="9" t="n"/>
    </row>
    <row r="1089" ht="14.25" customHeight="1" s="37">
      <c r="A1089" s="9">
        <f>IF(C1089="","","UM"&amp;TEXT(ROW()-1,"00000"))</f>
        <v/>
      </c>
      <c r="B1089" s="9" t="n"/>
      <c r="C1089" s="9" t="n"/>
      <c r="D1089" s="9" t="n"/>
      <c r="E1089" s="9" t="n"/>
      <c r="F1089" s="9">
        <f>IF(E1089="","",DATEDIF(E1089,DATE(2026,12,31),"Y"))</f>
        <v/>
      </c>
      <c r="G1089" s="9" t="n"/>
      <c r="H1089" s="9" t="n"/>
      <c r="I1089" s="9" t="n"/>
      <c r="J1089" s="9" t="n"/>
      <c r="K1089" s="9" t="n"/>
      <c r="L1089" s="9" t="n"/>
      <c r="M1089" s="9" t="n"/>
      <c r="N1089" s="9" t="n"/>
      <c r="O1089" s="9" t="n"/>
      <c r="P1089" s="9" t="n"/>
      <c r="Q1089" s="9" t="n"/>
      <c r="R1089" s="9" t="n"/>
      <c r="S1089" s="9" t="n"/>
      <c r="T1089" s="9" t="n"/>
      <c r="U1089" s="9" t="n"/>
      <c r="V1089" s="9" t="n"/>
      <c r="W1089" s="9" t="n"/>
      <c r="X1089" s="9" t="n"/>
      <c r="Y1089" s="9" t="n"/>
      <c r="Z1089" s="9" t="n"/>
    </row>
    <row r="1090" ht="14.25" customHeight="1" s="37">
      <c r="A1090" s="9">
        <f>IF(C1090="","","UM"&amp;TEXT(ROW()-1,"00000"))</f>
        <v/>
      </c>
      <c r="B1090" s="9" t="n"/>
      <c r="C1090" s="9" t="n"/>
      <c r="D1090" s="9" t="n"/>
      <c r="E1090" s="9" t="n"/>
      <c r="F1090" s="9">
        <f>IF(E1090="","",DATEDIF(E1090,DATE(2026,12,31),"Y"))</f>
        <v/>
      </c>
      <c r="G1090" s="9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  <c r="R1090" s="9" t="n"/>
      <c r="S1090" s="9" t="n"/>
      <c r="T1090" s="9" t="n"/>
      <c r="U1090" s="9" t="n"/>
      <c r="V1090" s="9" t="n"/>
      <c r="W1090" s="9" t="n"/>
      <c r="X1090" s="9" t="n"/>
      <c r="Y1090" s="9" t="n"/>
      <c r="Z1090" s="9" t="n"/>
    </row>
    <row r="1091" ht="14.25" customHeight="1" s="37">
      <c r="A1091" s="9">
        <f>IF(C1091="","","UM"&amp;TEXT(ROW()-1,"00000"))</f>
        <v/>
      </c>
      <c r="B1091" s="9" t="n"/>
      <c r="C1091" s="9" t="n"/>
      <c r="D1091" s="9" t="n"/>
      <c r="E1091" s="9" t="n"/>
      <c r="F1091" s="9">
        <f>IF(E1091="","",DATEDIF(E1091,DATE(2026,12,31),"Y"))</f>
        <v/>
      </c>
      <c r="G1091" s="9" t="n"/>
      <c r="H1091" s="9" t="n"/>
      <c r="I1091" s="9" t="n"/>
      <c r="J1091" s="9" t="n"/>
      <c r="K1091" s="9" t="n"/>
      <c r="L1091" s="9" t="n"/>
      <c r="M1091" s="9" t="n"/>
      <c r="N1091" s="9" t="n"/>
      <c r="O1091" s="9" t="n"/>
      <c r="P1091" s="9" t="n"/>
      <c r="Q1091" s="9" t="n"/>
      <c r="R1091" s="9" t="n"/>
      <c r="S1091" s="9" t="n"/>
      <c r="T1091" s="9" t="n"/>
      <c r="U1091" s="9" t="n"/>
      <c r="V1091" s="9" t="n"/>
      <c r="W1091" s="9" t="n"/>
      <c r="X1091" s="9" t="n"/>
      <c r="Y1091" s="9" t="n"/>
      <c r="Z1091" s="9" t="n"/>
    </row>
    <row r="1092" ht="14.25" customHeight="1" s="37">
      <c r="A1092" s="9">
        <f>IF(C1092="","","UM"&amp;TEXT(ROW()-1,"00000"))</f>
        <v/>
      </c>
      <c r="B1092" s="9" t="n"/>
      <c r="C1092" s="9" t="n"/>
      <c r="D1092" s="9" t="n"/>
      <c r="E1092" s="9" t="n"/>
      <c r="F1092" s="9">
        <f>IF(E1092="","",DATEDIF(E1092,DATE(2026,12,31),"Y"))</f>
        <v/>
      </c>
      <c r="G1092" s="9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  <c r="R1092" s="9" t="n"/>
      <c r="S1092" s="9" t="n"/>
      <c r="T1092" s="9" t="n"/>
      <c r="U1092" s="9" t="n"/>
      <c r="V1092" s="9" t="n"/>
      <c r="W1092" s="9" t="n"/>
      <c r="X1092" s="9" t="n"/>
      <c r="Y1092" s="9" t="n"/>
      <c r="Z1092" s="9" t="n"/>
    </row>
    <row r="1093" ht="14.25" customHeight="1" s="37">
      <c r="A1093" s="9">
        <f>IF(C1093="","","UM"&amp;TEXT(ROW()-1,"00000"))</f>
        <v/>
      </c>
      <c r="B1093" s="9" t="n"/>
      <c r="C1093" s="9" t="n"/>
      <c r="D1093" s="9" t="n"/>
      <c r="E1093" s="9" t="n"/>
      <c r="F1093" s="9">
        <f>IF(E1093="","",DATEDIF(E1093,DATE(2026,12,31),"Y"))</f>
        <v/>
      </c>
      <c r="G1093" s="9" t="n"/>
      <c r="H1093" s="9" t="n"/>
      <c r="I1093" s="9" t="n"/>
      <c r="J1093" s="9" t="n"/>
      <c r="K1093" s="9" t="n"/>
      <c r="L1093" s="9" t="n"/>
      <c r="M1093" s="9" t="n"/>
      <c r="N1093" s="9" t="n"/>
      <c r="O1093" s="9" t="n"/>
      <c r="P1093" s="9" t="n"/>
      <c r="Q1093" s="9" t="n"/>
      <c r="R1093" s="9" t="n"/>
      <c r="S1093" s="9" t="n"/>
      <c r="T1093" s="9" t="n"/>
      <c r="U1093" s="9" t="n"/>
      <c r="V1093" s="9" t="n"/>
      <c r="W1093" s="9" t="n"/>
      <c r="X1093" s="9" t="n"/>
      <c r="Y1093" s="9" t="n"/>
      <c r="Z1093" s="9" t="n"/>
    </row>
    <row r="1094" ht="14.25" customHeight="1" s="37">
      <c r="A1094" s="9">
        <f>IF(C1094="","","UM"&amp;TEXT(ROW()-1,"00000"))</f>
        <v/>
      </c>
      <c r="B1094" s="9" t="n"/>
      <c r="C1094" s="9" t="n"/>
      <c r="D1094" s="9" t="n"/>
      <c r="E1094" s="9" t="n"/>
      <c r="F1094" s="9">
        <f>IF(E1094="","",DATEDIF(E1094,DATE(2026,12,31),"Y"))</f>
        <v/>
      </c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  <c r="R1094" s="9" t="n"/>
      <c r="S1094" s="9" t="n"/>
      <c r="T1094" s="9" t="n"/>
      <c r="U1094" s="9" t="n"/>
      <c r="V1094" s="9" t="n"/>
      <c r="W1094" s="9" t="n"/>
      <c r="X1094" s="9" t="n"/>
      <c r="Y1094" s="9" t="n"/>
      <c r="Z1094" s="9" t="n"/>
    </row>
    <row r="1095" ht="14.25" customHeight="1" s="37">
      <c r="A1095" s="9">
        <f>IF(C1095="","","UM"&amp;TEXT(ROW()-1,"00000"))</f>
        <v/>
      </c>
      <c r="B1095" s="9" t="n"/>
      <c r="C1095" s="9" t="n"/>
      <c r="D1095" s="9" t="n"/>
      <c r="E1095" s="9" t="n"/>
      <c r="F1095" s="9">
        <f>IF(E1095="","",DATEDIF(E1095,DATE(2026,12,31),"Y"))</f>
        <v/>
      </c>
      <c r="G1095" s="9" t="n"/>
      <c r="H1095" s="9" t="n"/>
      <c r="I1095" s="9" t="n"/>
      <c r="J1095" s="9" t="n"/>
      <c r="K1095" s="9" t="n"/>
      <c r="L1095" s="9" t="n"/>
      <c r="M1095" s="9" t="n"/>
      <c r="N1095" s="9" t="n"/>
      <c r="O1095" s="9" t="n"/>
      <c r="P1095" s="9" t="n"/>
      <c r="Q1095" s="9" t="n"/>
      <c r="R1095" s="9" t="n"/>
      <c r="S1095" s="9" t="n"/>
      <c r="T1095" s="9" t="n"/>
      <c r="U1095" s="9" t="n"/>
      <c r="V1095" s="9" t="n"/>
      <c r="W1095" s="9" t="n"/>
      <c r="X1095" s="9" t="n"/>
      <c r="Y1095" s="9" t="n"/>
      <c r="Z1095" s="9" t="n"/>
    </row>
    <row r="1096" ht="14.25" customHeight="1" s="37">
      <c r="A1096" s="9">
        <f>IF(C1096="","","UM"&amp;TEXT(ROW()-1,"00000"))</f>
        <v/>
      </c>
      <c r="B1096" s="9" t="n"/>
      <c r="C1096" s="9" t="n"/>
      <c r="D1096" s="9" t="n"/>
      <c r="E1096" s="9" t="n"/>
      <c r="F1096" s="9">
        <f>IF(E1096="","",DATEDIF(E1096,DATE(2026,12,31),"Y"))</f>
        <v/>
      </c>
      <c r="G1096" s="9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  <c r="R1096" s="9" t="n"/>
      <c r="S1096" s="9" t="n"/>
      <c r="T1096" s="9" t="n"/>
      <c r="U1096" s="9" t="n"/>
      <c r="V1096" s="9" t="n"/>
      <c r="W1096" s="9" t="n"/>
      <c r="X1096" s="9" t="n"/>
      <c r="Y1096" s="9" t="n"/>
      <c r="Z1096" s="9" t="n"/>
    </row>
    <row r="1097" ht="14.25" customHeight="1" s="37">
      <c r="A1097" s="9">
        <f>IF(C1097="","","UM"&amp;TEXT(ROW()-1,"00000"))</f>
        <v/>
      </c>
      <c r="B1097" s="9" t="n"/>
      <c r="C1097" s="9" t="n"/>
      <c r="D1097" s="9" t="n"/>
      <c r="E1097" s="9" t="n"/>
      <c r="F1097" s="9">
        <f>IF(E1097="","",DATEDIF(E1097,DATE(2026,12,31),"Y"))</f>
        <v/>
      </c>
      <c r="G1097" s="9" t="n"/>
      <c r="H1097" s="9" t="n"/>
      <c r="I1097" s="9" t="n"/>
      <c r="J1097" s="9" t="n"/>
      <c r="K1097" s="9" t="n"/>
      <c r="L1097" s="9" t="n"/>
      <c r="M1097" s="9" t="n"/>
      <c r="N1097" s="9" t="n"/>
      <c r="O1097" s="9" t="n"/>
      <c r="P1097" s="9" t="n"/>
      <c r="Q1097" s="9" t="n"/>
      <c r="R1097" s="9" t="n"/>
      <c r="S1097" s="9" t="n"/>
      <c r="T1097" s="9" t="n"/>
      <c r="U1097" s="9" t="n"/>
      <c r="V1097" s="9" t="n"/>
      <c r="W1097" s="9" t="n"/>
      <c r="X1097" s="9" t="n"/>
      <c r="Y1097" s="9" t="n"/>
      <c r="Z1097" s="9" t="n"/>
    </row>
    <row r="1098" ht="14.25" customHeight="1" s="37">
      <c r="A1098" s="9">
        <f>IF(C1098="","","UM"&amp;TEXT(ROW()-1,"00000"))</f>
        <v/>
      </c>
      <c r="B1098" s="9" t="n"/>
      <c r="C1098" s="9" t="n"/>
      <c r="D1098" s="9" t="n"/>
      <c r="E1098" s="9" t="n"/>
      <c r="F1098" s="9">
        <f>IF(E1098="","",DATEDIF(E1098,DATE(2026,12,31),"Y"))</f>
        <v/>
      </c>
      <c r="G1098" s="9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  <c r="R1098" s="9" t="n"/>
      <c r="S1098" s="9" t="n"/>
      <c r="T1098" s="9" t="n"/>
      <c r="U1098" s="9" t="n"/>
      <c r="V1098" s="9" t="n"/>
      <c r="W1098" s="9" t="n"/>
      <c r="X1098" s="9" t="n"/>
      <c r="Y1098" s="9" t="n"/>
      <c r="Z1098" s="9" t="n"/>
    </row>
    <row r="1099" ht="14.25" customHeight="1" s="37">
      <c r="A1099" s="9">
        <f>IF(C1099="","","UM"&amp;TEXT(ROW()-1,"00000"))</f>
        <v/>
      </c>
      <c r="B1099" s="9" t="n"/>
      <c r="C1099" s="9" t="n"/>
      <c r="D1099" s="9" t="n"/>
      <c r="E1099" s="9" t="n"/>
      <c r="F1099" s="9">
        <f>IF(E1099="","",DATEDIF(E1099,DATE(2026,12,31),"Y"))</f>
        <v/>
      </c>
      <c r="G1099" s="9" t="n"/>
      <c r="H1099" s="9" t="n"/>
      <c r="I1099" s="9" t="n"/>
      <c r="J1099" s="9" t="n"/>
      <c r="K1099" s="9" t="n"/>
      <c r="L1099" s="9" t="n"/>
      <c r="M1099" s="9" t="n"/>
      <c r="N1099" s="9" t="n"/>
      <c r="O1099" s="9" t="n"/>
      <c r="P1099" s="9" t="n"/>
      <c r="Q1099" s="9" t="n"/>
      <c r="R1099" s="9" t="n"/>
      <c r="S1099" s="9" t="n"/>
      <c r="T1099" s="9" t="n"/>
      <c r="U1099" s="9" t="n"/>
      <c r="V1099" s="9" t="n"/>
      <c r="W1099" s="9" t="n"/>
      <c r="X1099" s="9" t="n"/>
      <c r="Y1099" s="9" t="n"/>
      <c r="Z1099" s="9" t="n"/>
    </row>
    <row r="1100" ht="14.25" customHeight="1" s="37">
      <c r="A1100" s="9">
        <f>IF(C1100="","","UM"&amp;TEXT(ROW()-1,"00000"))</f>
        <v/>
      </c>
      <c r="B1100" s="9" t="n"/>
      <c r="C1100" s="9" t="n"/>
      <c r="D1100" s="9" t="n"/>
      <c r="E1100" s="9" t="n"/>
      <c r="F1100" s="9">
        <f>IF(E1100="","",DATEDIF(E1100,DATE(2026,12,31),"Y"))</f>
        <v/>
      </c>
      <c r="G1100" s="9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  <c r="R1100" s="9" t="n"/>
      <c r="S1100" s="9" t="n"/>
      <c r="T1100" s="9" t="n"/>
      <c r="U1100" s="9" t="n"/>
      <c r="V1100" s="9" t="n"/>
      <c r="W1100" s="9" t="n"/>
      <c r="X1100" s="9" t="n"/>
      <c r="Y1100" s="9" t="n"/>
      <c r="Z1100" s="9" t="n"/>
    </row>
    <row r="1101" ht="14.25" customHeight="1" s="37">
      <c r="A1101" s="9">
        <f>IF(C1101="","","UM"&amp;TEXT(ROW()-1,"00000"))</f>
        <v/>
      </c>
      <c r="B1101" s="9" t="n"/>
      <c r="C1101" s="9" t="n"/>
      <c r="D1101" s="9" t="n"/>
      <c r="E1101" s="9" t="n"/>
      <c r="F1101" s="9">
        <f>IF(E1101="","",DATEDIF(E1101,DATE(2026,12,31),"Y"))</f>
        <v/>
      </c>
      <c r="G1101" s="9" t="n"/>
      <c r="H1101" s="9" t="n"/>
      <c r="I1101" s="9" t="n"/>
      <c r="J1101" s="9" t="n"/>
      <c r="K1101" s="9" t="n"/>
      <c r="L1101" s="9" t="n"/>
      <c r="M1101" s="9" t="n"/>
      <c r="N1101" s="9" t="n"/>
      <c r="O1101" s="9" t="n"/>
      <c r="P1101" s="9" t="n"/>
      <c r="Q1101" s="9" t="n"/>
      <c r="R1101" s="9" t="n"/>
      <c r="S1101" s="9" t="n"/>
      <c r="T1101" s="9" t="n"/>
      <c r="U1101" s="9" t="n"/>
      <c r="V1101" s="9" t="n"/>
      <c r="W1101" s="9" t="n"/>
      <c r="X1101" s="9" t="n"/>
      <c r="Y1101" s="9" t="n"/>
      <c r="Z1101" s="9" t="n"/>
    </row>
    <row r="1102" ht="14.25" customHeight="1" s="37">
      <c r="A1102" s="9">
        <f>IF(C1102="","","UM"&amp;TEXT(ROW()-1,"00000"))</f>
        <v/>
      </c>
      <c r="B1102" s="9" t="n"/>
      <c r="C1102" s="9" t="n"/>
      <c r="D1102" s="9" t="n"/>
      <c r="E1102" s="9" t="n"/>
      <c r="F1102" s="9">
        <f>IF(E1102="","",DATEDIF(E1102,DATE(2026,12,31),"Y"))</f>
        <v/>
      </c>
      <c r="G1102" s="9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  <c r="R1102" s="9" t="n"/>
      <c r="S1102" s="9" t="n"/>
      <c r="T1102" s="9" t="n"/>
      <c r="U1102" s="9" t="n"/>
      <c r="V1102" s="9" t="n"/>
      <c r="W1102" s="9" t="n"/>
      <c r="X1102" s="9" t="n"/>
      <c r="Y1102" s="9" t="n"/>
      <c r="Z1102" s="9" t="n"/>
    </row>
    <row r="1103" ht="14.25" customHeight="1" s="37">
      <c r="A1103" s="9">
        <f>IF(C1103="","","UM"&amp;TEXT(ROW()-1,"00000"))</f>
        <v/>
      </c>
      <c r="B1103" s="9" t="n"/>
      <c r="C1103" s="9" t="n"/>
      <c r="D1103" s="9" t="n"/>
      <c r="E1103" s="9" t="n"/>
      <c r="F1103" s="9">
        <f>IF(E1103="","",DATEDIF(E1103,DATE(2026,12,31),"Y"))</f>
        <v/>
      </c>
      <c r="G1103" s="9" t="n"/>
      <c r="H1103" s="9" t="n"/>
      <c r="I1103" s="9" t="n"/>
      <c r="J1103" s="9" t="n"/>
      <c r="K1103" s="9" t="n"/>
      <c r="L1103" s="9" t="n"/>
      <c r="M1103" s="9" t="n"/>
      <c r="N1103" s="9" t="n"/>
      <c r="O1103" s="9" t="n"/>
      <c r="P1103" s="9" t="n"/>
      <c r="Q1103" s="9" t="n"/>
      <c r="R1103" s="9" t="n"/>
      <c r="S1103" s="9" t="n"/>
      <c r="T1103" s="9" t="n"/>
      <c r="U1103" s="9" t="n"/>
      <c r="V1103" s="9" t="n"/>
      <c r="W1103" s="9" t="n"/>
      <c r="X1103" s="9" t="n"/>
      <c r="Y1103" s="9" t="n"/>
      <c r="Z1103" s="9" t="n"/>
    </row>
    <row r="1104" ht="14.25" customHeight="1" s="37">
      <c r="A1104" s="9">
        <f>IF(C1104="","","UM"&amp;TEXT(ROW()-1,"00000"))</f>
        <v/>
      </c>
      <c r="B1104" s="9" t="n"/>
      <c r="C1104" s="9" t="n"/>
      <c r="D1104" s="9" t="n"/>
      <c r="E1104" s="9" t="n"/>
      <c r="F1104" s="9">
        <f>IF(E1104="","",DATEDIF(E1104,DATE(2026,12,31),"Y"))</f>
        <v/>
      </c>
      <c r="G1104" s="9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  <c r="R1104" s="9" t="n"/>
      <c r="S1104" s="9" t="n"/>
      <c r="T1104" s="9" t="n"/>
      <c r="U1104" s="9" t="n"/>
      <c r="V1104" s="9" t="n"/>
      <c r="W1104" s="9" t="n"/>
      <c r="X1104" s="9" t="n"/>
      <c r="Y1104" s="9" t="n"/>
      <c r="Z1104" s="9" t="n"/>
    </row>
    <row r="1105" ht="14.25" customHeight="1" s="37">
      <c r="A1105" s="9">
        <f>IF(C1105="","","UM"&amp;TEXT(ROW()-1,"00000"))</f>
        <v/>
      </c>
      <c r="B1105" s="9" t="n"/>
      <c r="C1105" s="9" t="n"/>
      <c r="D1105" s="9" t="n"/>
      <c r="E1105" s="9" t="n"/>
      <c r="F1105" s="9">
        <f>IF(E1105="","",DATEDIF(E1105,DATE(2026,12,31),"Y"))</f>
        <v/>
      </c>
      <c r="G1105" s="9" t="n"/>
      <c r="H1105" s="9" t="n"/>
      <c r="I1105" s="9" t="n"/>
      <c r="J1105" s="9" t="n"/>
      <c r="K1105" s="9" t="n"/>
      <c r="L1105" s="9" t="n"/>
      <c r="M1105" s="9" t="n"/>
      <c r="N1105" s="9" t="n"/>
      <c r="O1105" s="9" t="n"/>
      <c r="P1105" s="9" t="n"/>
      <c r="Q1105" s="9" t="n"/>
      <c r="R1105" s="9" t="n"/>
      <c r="S1105" s="9" t="n"/>
      <c r="T1105" s="9" t="n"/>
      <c r="U1105" s="9" t="n"/>
      <c r="V1105" s="9" t="n"/>
      <c r="W1105" s="9" t="n"/>
      <c r="X1105" s="9" t="n"/>
      <c r="Y1105" s="9" t="n"/>
      <c r="Z1105" s="9" t="n"/>
    </row>
    <row r="1106" ht="14.25" customHeight="1" s="37">
      <c r="A1106" s="9">
        <f>IF(C1106="","","UM"&amp;TEXT(ROW()-1,"00000"))</f>
        <v/>
      </c>
      <c r="B1106" s="9" t="n"/>
      <c r="C1106" s="9" t="n"/>
      <c r="D1106" s="9" t="n"/>
      <c r="E1106" s="9" t="n"/>
      <c r="F1106" s="9">
        <f>IF(E1106="","",DATEDIF(E1106,DATE(2026,12,31),"Y"))</f>
        <v/>
      </c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  <c r="R1106" s="9" t="n"/>
      <c r="S1106" s="9" t="n"/>
      <c r="T1106" s="9" t="n"/>
      <c r="U1106" s="9" t="n"/>
      <c r="V1106" s="9" t="n"/>
      <c r="W1106" s="9" t="n"/>
      <c r="X1106" s="9" t="n"/>
      <c r="Y1106" s="9" t="n"/>
      <c r="Z1106" s="9" t="n"/>
    </row>
    <row r="1107" ht="14.25" customHeight="1" s="37">
      <c r="A1107" s="9">
        <f>IF(C1107="","","UM"&amp;TEXT(ROW()-1,"00000"))</f>
        <v/>
      </c>
      <c r="B1107" s="9" t="n"/>
      <c r="C1107" s="9" t="n"/>
      <c r="D1107" s="9" t="n"/>
      <c r="E1107" s="9" t="n"/>
      <c r="F1107" s="9">
        <f>IF(E1107="","",DATEDIF(E1107,DATE(2026,12,31),"Y"))</f>
        <v/>
      </c>
      <c r="G1107" s="9" t="n"/>
      <c r="H1107" s="9" t="n"/>
      <c r="I1107" s="9" t="n"/>
      <c r="J1107" s="9" t="n"/>
      <c r="K1107" s="9" t="n"/>
      <c r="L1107" s="9" t="n"/>
      <c r="M1107" s="9" t="n"/>
      <c r="N1107" s="9" t="n"/>
      <c r="O1107" s="9" t="n"/>
      <c r="P1107" s="9" t="n"/>
      <c r="Q1107" s="9" t="n"/>
      <c r="R1107" s="9" t="n"/>
      <c r="S1107" s="9" t="n"/>
      <c r="T1107" s="9" t="n"/>
      <c r="U1107" s="9" t="n"/>
      <c r="V1107" s="9" t="n"/>
      <c r="W1107" s="9" t="n"/>
      <c r="X1107" s="9" t="n"/>
      <c r="Y1107" s="9" t="n"/>
      <c r="Z1107" s="9" t="n"/>
    </row>
    <row r="1108" ht="14.25" customHeight="1" s="37">
      <c r="A1108" s="9">
        <f>IF(C1108="","","UM"&amp;TEXT(ROW()-1,"00000"))</f>
        <v/>
      </c>
      <c r="B1108" s="9" t="n"/>
      <c r="C1108" s="9" t="n"/>
      <c r="D1108" s="9" t="n"/>
      <c r="E1108" s="9" t="n"/>
      <c r="F1108" s="9">
        <f>IF(E1108="","",DATEDIF(E1108,DATE(2026,12,31),"Y"))</f>
        <v/>
      </c>
      <c r="G1108" s="9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  <c r="R1108" s="9" t="n"/>
      <c r="S1108" s="9" t="n"/>
      <c r="T1108" s="9" t="n"/>
      <c r="U1108" s="9" t="n"/>
      <c r="V1108" s="9" t="n"/>
      <c r="W1108" s="9" t="n"/>
      <c r="X1108" s="9" t="n"/>
      <c r="Y1108" s="9" t="n"/>
      <c r="Z1108" s="9" t="n"/>
    </row>
    <row r="1109" ht="14.25" customHeight="1" s="37">
      <c r="A1109" s="9">
        <f>IF(C1109="","","UM"&amp;TEXT(ROW()-1,"00000"))</f>
        <v/>
      </c>
      <c r="B1109" s="9" t="n"/>
      <c r="C1109" s="9" t="n"/>
      <c r="D1109" s="9" t="n"/>
      <c r="E1109" s="9" t="n"/>
      <c r="F1109" s="9">
        <f>IF(E1109="","",DATEDIF(E1109,DATE(2026,12,31),"Y"))</f>
        <v/>
      </c>
      <c r="G1109" s="9" t="n"/>
      <c r="H1109" s="9" t="n"/>
      <c r="I1109" s="9" t="n"/>
      <c r="J1109" s="9" t="n"/>
      <c r="K1109" s="9" t="n"/>
      <c r="L1109" s="9" t="n"/>
      <c r="M1109" s="9" t="n"/>
      <c r="N1109" s="9" t="n"/>
      <c r="O1109" s="9" t="n"/>
      <c r="P1109" s="9" t="n"/>
      <c r="Q1109" s="9" t="n"/>
      <c r="R1109" s="9" t="n"/>
      <c r="S1109" s="9" t="n"/>
      <c r="T1109" s="9" t="n"/>
      <c r="U1109" s="9" t="n"/>
      <c r="V1109" s="9" t="n"/>
      <c r="W1109" s="9" t="n"/>
      <c r="X1109" s="9" t="n"/>
      <c r="Y1109" s="9" t="n"/>
      <c r="Z1109" s="9" t="n"/>
    </row>
    <row r="1110" ht="14.25" customHeight="1" s="37">
      <c r="A1110" s="9">
        <f>IF(C1110="","","UM"&amp;TEXT(ROW()-1,"00000"))</f>
        <v/>
      </c>
      <c r="B1110" s="9" t="n"/>
      <c r="C1110" s="9" t="n"/>
      <c r="D1110" s="9" t="n"/>
      <c r="E1110" s="9" t="n"/>
      <c r="F1110" s="9">
        <f>IF(E1110="","",DATEDIF(E1110,DATE(2026,12,31),"Y"))</f>
        <v/>
      </c>
      <c r="G1110" s="9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  <c r="R1110" s="9" t="n"/>
      <c r="S1110" s="9" t="n"/>
      <c r="T1110" s="9" t="n"/>
      <c r="U1110" s="9" t="n"/>
      <c r="V1110" s="9" t="n"/>
      <c r="W1110" s="9" t="n"/>
      <c r="X1110" s="9" t="n"/>
      <c r="Y1110" s="9" t="n"/>
      <c r="Z1110" s="9" t="n"/>
    </row>
    <row r="1111" ht="14.25" customHeight="1" s="37">
      <c r="A1111" s="9">
        <f>IF(C1111="","","UM"&amp;TEXT(ROW()-1,"00000"))</f>
        <v/>
      </c>
      <c r="B1111" s="9" t="n"/>
      <c r="C1111" s="9" t="n"/>
      <c r="D1111" s="9" t="n"/>
      <c r="E1111" s="9" t="n"/>
      <c r="F1111" s="9">
        <f>IF(E1111="","",DATEDIF(E1111,DATE(2026,12,31),"Y"))</f>
        <v/>
      </c>
      <c r="G1111" s="9" t="n"/>
      <c r="H1111" s="9" t="n"/>
      <c r="I1111" s="9" t="n"/>
      <c r="J1111" s="9" t="n"/>
      <c r="K1111" s="9" t="n"/>
      <c r="L1111" s="9" t="n"/>
      <c r="M1111" s="9" t="n"/>
      <c r="N1111" s="9" t="n"/>
      <c r="O1111" s="9" t="n"/>
      <c r="P1111" s="9" t="n"/>
      <c r="Q1111" s="9" t="n"/>
      <c r="R1111" s="9" t="n"/>
      <c r="S1111" s="9" t="n"/>
      <c r="T1111" s="9" t="n"/>
      <c r="U1111" s="9" t="n"/>
      <c r="V1111" s="9" t="n"/>
      <c r="W1111" s="9" t="n"/>
      <c r="X1111" s="9" t="n"/>
      <c r="Y1111" s="9" t="n"/>
      <c r="Z1111" s="9" t="n"/>
    </row>
    <row r="1112" ht="14.25" customHeight="1" s="37">
      <c r="A1112" s="9">
        <f>IF(C1112="","","UM"&amp;TEXT(ROW()-1,"00000"))</f>
        <v/>
      </c>
      <c r="B1112" s="9" t="n"/>
      <c r="C1112" s="9" t="n"/>
      <c r="D1112" s="9" t="n"/>
      <c r="E1112" s="9" t="n"/>
      <c r="F1112" s="9">
        <f>IF(E1112="","",DATEDIF(E1112,DATE(2026,12,31),"Y"))</f>
        <v/>
      </c>
      <c r="G1112" s="9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  <c r="R1112" s="9" t="n"/>
      <c r="S1112" s="9" t="n"/>
      <c r="T1112" s="9" t="n"/>
      <c r="U1112" s="9" t="n"/>
      <c r="V1112" s="9" t="n"/>
      <c r="W1112" s="9" t="n"/>
      <c r="X1112" s="9" t="n"/>
      <c r="Y1112" s="9" t="n"/>
      <c r="Z1112" s="9" t="n"/>
    </row>
    <row r="1113" ht="14.25" customHeight="1" s="37">
      <c r="A1113" s="9">
        <f>IF(C1113="","","UM"&amp;TEXT(ROW()-1,"00000"))</f>
        <v/>
      </c>
      <c r="B1113" s="9" t="n"/>
      <c r="C1113" s="9" t="n"/>
      <c r="D1113" s="9" t="n"/>
      <c r="E1113" s="9" t="n"/>
      <c r="F1113" s="9">
        <f>IF(E1113="","",DATEDIF(E1113,DATE(2026,12,31),"Y"))</f>
        <v/>
      </c>
      <c r="G1113" s="9" t="n"/>
      <c r="H1113" s="9" t="n"/>
      <c r="I1113" s="9" t="n"/>
      <c r="J1113" s="9" t="n"/>
      <c r="K1113" s="9" t="n"/>
      <c r="L1113" s="9" t="n"/>
      <c r="M1113" s="9" t="n"/>
      <c r="N1113" s="9" t="n"/>
      <c r="O1113" s="9" t="n"/>
      <c r="P1113" s="9" t="n"/>
      <c r="Q1113" s="9" t="n"/>
      <c r="R1113" s="9" t="n"/>
      <c r="S1113" s="9" t="n"/>
      <c r="T1113" s="9" t="n"/>
      <c r="U1113" s="9" t="n"/>
      <c r="V1113" s="9" t="n"/>
      <c r="W1113" s="9" t="n"/>
      <c r="X1113" s="9" t="n"/>
      <c r="Y1113" s="9" t="n"/>
      <c r="Z1113" s="9" t="n"/>
    </row>
    <row r="1114" ht="14.25" customHeight="1" s="37">
      <c r="A1114" s="9">
        <f>IF(C1114="","","UM"&amp;TEXT(ROW()-1,"00000"))</f>
        <v/>
      </c>
      <c r="B1114" s="9" t="n"/>
      <c r="C1114" s="9" t="n"/>
      <c r="D1114" s="9" t="n"/>
      <c r="E1114" s="9" t="n"/>
      <c r="F1114" s="9">
        <f>IF(E1114="","",DATEDIF(E1114,DATE(2026,12,31),"Y"))</f>
        <v/>
      </c>
      <c r="G1114" s="9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  <c r="R1114" s="9" t="n"/>
      <c r="S1114" s="9" t="n"/>
      <c r="T1114" s="9" t="n"/>
      <c r="U1114" s="9" t="n"/>
      <c r="V1114" s="9" t="n"/>
      <c r="W1114" s="9" t="n"/>
      <c r="X1114" s="9" t="n"/>
      <c r="Y1114" s="9" t="n"/>
      <c r="Z1114" s="9" t="n"/>
    </row>
    <row r="1115" ht="14.25" customHeight="1" s="37">
      <c r="A1115" s="9">
        <f>IF(C1115="","","UM"&amp;TEXT(ROW()-1,"00000"))</f>
        <v/>
      </c>
      <c r="B1115" s="9" t="n"/>
      <c r="C1115" s="9" t="n"/>
      <c r="D1115" s="9" t="n"/>
      <c r="E1115" s="9" t="n"/>
      <c r="F1115" s="9">
        <f>IF(E1115="","",DATEDIF(E1115,DATE(2026,12,31),"Y"))</f>
        <v/>
      </c>
      <c r="G1115" s="9" t="n"/>
      <c r="H1115" s="9" t="n"/>
      <c r="I1115" s="9" t="n"/>
      <c r="J1115" s="9" t="n"/>
      <c r="K1115" s="9" t="n"/>
      <c r="L1115" s="9" t="n"/>
      <c r="M1115" s="9" t="n"/>
      <c r="N1115" s="9" t="n"/>
      <c r="O1115" s="9" t="n"/>
      <c r="P1115" s="9" t="n"/>
      <c r="Q1115" s="9" t="n"/>
      <c r="R1115" s="9" t="n"/>
      <c r="S1115" s="9" t="n"/>
      <c r="T1115" s="9" t="n"/>
      <c r="U1115" s="9" t="n"/>
      <c r="V1115" s="9" t="n"/>
      <c r="W1115" s="9" t="n"/>
      <c r="X1115" s="9" t="n"/>
      <c r="Y1115" s="9" t="n"/>
      <c r="Z1115" s="9" t="n"/>
    </row>
    <row r="1116" ht="14.25" customHeight="1" s="37">
      <c r="A1116" s="9">
        <f>IF(C1116="","","UM"&amp;TEXT(ROW()-1,"00000"))</f>
        <v/>
      </c>
      <c r="B1116" s="9" t="n"/>
      <c r="C1116" s="9" t="n"/>
      <c r="D1116" s="9" t="n"/>
      <c r="E1116" s="9" t="n"/>
      <c r="F1116" s="9">
        <f>IF(E1116="","",DATEDIF(E1116,DATE(2026,12,31),"Y"))</f>
        <v/>
      </c>
      <c r="G1116" s="9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  <c r="R1116" s="9" t="n"/>
      <c r="S1116" s="9" t="n"/>
      <c r="T1116" s="9" t="n"/>
      <c r="U1116" s="9" t="n"/>
      <c r="V1116" s="9" t="n"/>
      <c r="W1116" s="9" t="n"/>
      <c r="X1116" s="9" t="n"/>
      <c r="Y1116" s="9" t="n"/>
      <c r="Z1116" s="9" t="n"/>
    </row>
    <row r="1117" ht="14.25" customHeight="1" s="37">
      <c r="A1117" s="9">
        <f>IF(C1117="","","UM"&amp;TEXT(ROW()-1,"00000"))</f>
        <v/>
      </c>
      <c r="B1117" s="9" t="n"/>
      <c r="C1117" s="9" t="n"/>
      <c r="D1117" s="9" t="n"/>
      <c r="E1117" s="9" t="n"/>
      <c r="F1117" s="9">
        <f>IF(E1117="","",DATEDIF(E1117,DATE(2026,12,31),"Y"))</f>
        <v/>
      </c>
      <c r="G1117" s="9" t="n"/>
      <c r="H1117" s="9" t="n"/>
      <c r="I1117" s="9" t="n"/>
      <c r="J1117" s="9" t="n"/>
      <c r="K1117" s="9" t="n"/>
      <c r="L1117" s="9" t="n"/>
      <c r="M1117" s="9" t="n"/>
      <c r="N1117" s="9" t="n"/>
      <c r="O1117" s="9" t="n"/>
      <c r="P1117" s="9" t="n"/>
      <c r="Q1117" s="9" t="n"/>
      <c r="R1117" s="9" t="n"/>
      <c r="S1117" s="9" t="n"/>
      <c r="T1117" s="9" t="n"/>
      <c r="U1117" s="9" t="n"/>
      <c r="V1117" s="9" t="n"/>
      <c r="W1117" s="9" t="n"/>
      <c r="X1117" s="9" t="n"/>
      <c r="Y1117" s="9" t="n"/>
      <c r="Z1117" s="9" t="n"/>
    </row>
    <row r="1118" ht="14.25" customHeight="1" s="37">
      <c r="A1118" s="9">
        <f>IF(C1118="","","UM"&amp;TEXT(ROW()-1,"00000"))</f>
        <v/>
      </c>
      <c r="B1118" s="9" t="n"/>
      <c r="C1118" s="9" t="n"/>
      <c r="D1118" s="9" t="n"/>
      <c r="E1118" s="9" t="n"/>
      <c r="F1118" s="9">
        <f>IF(E1118="","",DATEDIF(E1118,DATE(2026,12,31),"Y"))</f>
        <v/>
      </c>
      <c r="G1118" s="9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  <c r="R1118" s="9" t="n"/>
      <c r="S1118" s="9" t="n"/>
      <c r="T1118" s="9" t="n"/>
      <c r="U1118" s="9" t="n"/>
      <c r="V1118" s="9" t="n"/>
      <c r="W1118" s="9" t="n"/>
      <c r="X1118" s="9" t="n"/>
      <c r="Y1118" s="9" t="n"/>
      <c r="Z1118" s="9" t="n"/>
    </row>
    <row r="1119" ht="14.25" customHeight="1" s="37">
      <c r="A1119" s="9">
        <f>IF(C1119="","","UM"&amp;TEXT(ROW()-1,"00000"))</f>
        <v/>
      </c>
      <c r="B1119" s="9" t="n"/>
      <c r="C1119" s="9" t="n"/>
      <c r="D1119" s="9" t="n"/>
      <c r="E1119" s="9" t="n"/>
      <c r="F1119" s="9">
        <f>IF(E1119="","",DATEDIF(E1119,DATE(2026,12,31),"Y"))</f>
        <v/>
      </c>
      <c r="G1119" s="9" t="n"/>
      <c r="H1119" s="9" t="n"/>
      <c r="I1119" s="9" t="n"/>
      <c r="J1119" s="9" t="n"/>
      <c r="K1119" s="9" t="n"/>
      <c r="L1119" s="9" t="n"/>
      <c r="M1119" s="9" t="n"/>
      <c r="N1119" s="9" t="n"/>
      <c r="O1119" s="9" t="n"/>
      <c r="P1119" s="9" t="n"/>
      <c r="Q1119" s="9" t="n"/>
      <c r="R1119" s="9" t="n"/>
      <c r="S1119" s="9" t="n"/>
      <c r="T1119" s="9" t="n"/>
      <c r="U1119" s="9" t="n"/>
      <c r="V1119" s="9" t="n"/>
      <c r="W1119" s="9" t="n"/>
      <c r="X1119" s="9" t="n"/>
      <c r="Y1119" s="9" t="n"/>
      <c r="Z1119" s="9" t="n"/>
    </row>
    <row r="1120" ht="14.25" customHeight="1" s="37">
      <c r="A1120" s="9">
        <f>IF(C1120="","","UM"&amp;TEXT(ROW()-1,"00000"))</f>
        <v/>
      </c>
      <c r="B1120" s="9" t="n"/>
      <c r="C1120" s="9" t="n"/>
      <c r="D1120" s="9" t="n"/>
      <c r="E1120" s="9" t="n"/>
      <c r="F1120" s="9">
        <f>IF(E1120="","",DATEDIF(E1120,DATE(2026,12,31),"Y"))</f>
        <v/>
      </c>
      <c r="G1120" s="9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  <c r="R1120" s="9" t="n"/>
      <c r="S1120" s="9" t="n"/>
      <c r="T1120" s="9" t="n"/>
      <c r="U1120" s="9" t="n"/>
      <c r="V1120" s="9" t="n"/>
      <c r="W1120" s="9" t="n"/>
      <c r="X1120" s="9" t="n"/>
      <c r="Y1120" s="9" t="n"/>
      <c r="Z1120" s="9" t="n"/>
    </row>
    <row r="1121" ht="14.25" customHeight="1" s="37">
      <c r="A1121" s="9">
        <f>IF(C1121="","","UM"&amp;TEXT(ROW()-1,"00000"))</f>
        <v/>
      </c>
      <c r="B1121" s="9" t="n"/>
      <c r="C1121" s="9" t="n"/>
      <c r="D1121" s="9" t="n"/>
      <c r="E1121" s="9" t="n"/>
      <c r="F1121" s="9">
        <f>IF(E1121="","",DATEDIF(E1121,DATE(2026,12,31),"Y"))</f>
        <v/>
      </c>
      <c r="G1121" s="9" t="n"/>
      <c r="H1121" s="9" t="n"/>
      <c r="I1121" s="9" t="n"/>
      <c r="J1121" s="9" t="n"/>
      <c r="K1121" s="9" t="n"/>
      <c r="L1121" s="9" t="n"/>
      <c r="M1121" s="9" t="n"/>
      <c r="N1121" s="9" t="n"/>
      <c r="O1121" s="9" t="n"/>
      <c r="P1121" s="9" t="n"/>
      <c r="Q1121" s="9" t="n"/>
      <c r="R1121" s="9" t="n"/>
      <c r="S1121" s="9" t="n"/>
      <c r="T1121" s="9" t="n"/>
      <c r="U1121" s="9" t="n"/>
      <c r="V1121" s="9" t="n"/>
      <c r="W1121" s="9" t="n"/>
      <c r="X1121" s="9" t="n"/>
      <c r="Y1121" s="9" t="n"/>
      <c r="Z1121" s="9" t="n"/>
    </row>
    <row r="1122" ht="14.25" customHeight="1" s="37">
      <c r="A1122" s="9">
        <f>IF(C1122="","","UM"&amp;TEXT(ROW()-1,"00000"))</f>
        <v/>
      </c>
      <c r="B1122" s="9" t="n"/>
      <c r="C1122" s="9" t="n"/>
      <c r="D1122" s="9" t="n"/>
      <c r="E1122" s="9" t="n"/>
      <c r="F1122" s="9">
        <f>IF(E1122="","",DATEDIF(E1122,DATE(2026,12,31),"Y"))</f>
        <v/>
      </c>
      <c r="G1122" s="9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  <c r="R1122" s="9" t="n"/>
      <c r="S1122" s="9" t="n"/>
      <c r="T1122" s="9" t="n"/>
      <c r="U1122" s="9" t="n"/>
      <c r="V1122" s="9" t="n"/>
      <c r="W1122" s="9" t="n"/>
      <c r="X1122" s="9" t="n"/>
      <c r="Y1122" s="9" t="n"/>
      <c r="Z1122" s="9" t="n"/>
    </row>
    <row r="1123" ht="14.25" customHeight="1" s="37">
      <c r="A1123" s="9">
        <f>IF(C1123="","","UM"&amp;TEXT(ROW()-1,"00000"))</f>
        <v/>
      </c>
      <c r="B1123" s="9" t="n"/>
      <c r="C1123" s="9" t="n"/>
      <c r="D1123" s="9" t="n"/>
      <c r="E1123" s="9" t="n"/>
      <c r="F1123" s="9">
        <f>IF(E1123="","",DATEDIF(E1123,DATE(2026,12,31),"Y"))</f>
        <v/>
      </c>
      <c r="G1123" s="9" t="n"/>
      <c r="H1123" s="9" t="n"/>
      <c r="I1123" s="9" t="n"/>
      <c r="J1123" s="9" t="n"/>
      <c r="K1123" s="9" t="n"/>
      <c r="L1123" s="9" t="n"/>
      <c r="M1123" s="9" t="n"/>
      <c r="N1123" s="9" t="n"/>
      <c r="O1123" s="9" t="n"/>
      <c r="P1123" s="9" t="n"/>
      <c r="Q1123" s="9" t="n"/>
      <c r="R1123" s="9" t="n"/>
      <c r="S1123" s="9" t="n"/>
      <c r="T1123" s="9" t="n"/>
      <c r="U1123" s="9" t="n"/>
      <c r="V1123" s="9" t="n"/>
      <c r="W1123" s="9" t="n"/>
      <c r="X1123" s="9" t="n"/>
      <c r="Y1123" s="9" t="n"/>
      <c r="Z1123" s="9" t="n"/>
    </row>
    <row r="1124" ht="14.25" customHeight="1" s="37">
      <c r="A1124" s="9">
        <f>IF(C1124="","","UM"&amp;TEXT(ROW()-1,"00000"))</f>
        <v/>
      </c>
      <c r="B1124" s="9" t="n"/>
      <c r="C1124" s="9" t="n"/>
      <c r="D1124" s="9" t="n"/>
      <c r="E1124" s="9" t="n"/>
      <c r="F1124" s="9">
        <f>IF(E1124="","",DATEDIF(E1124,DATE(2026,12,31),"Y"))</f>
        <v/>
      </c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  <c r="R1124" s="9" t="n"/>
      <c r="S1124" s="9" t="n"/>
      <c r="T1124" s="9" t="n"/>
      <c r="U1124" s="9" t="n"/>
      <c r="V1124" s="9" t="n"/>
      <c r="W1124" s="9" t="n"/>
      <c r="X1124" s="9" t="n"/>
      <c r="Y1124" s="9" t="n"/>
      <c r="Z1124" s="9" t="n"/>
    </row>
    <row r="1125" ht="14.25" customHeight="1" s="37">
      <c r="A1125" s="9">
        <f>IF(C1125="","","UM"&amp;TEXT(ROW()-1,"00000"))</f>
        <v/>
      </c>
      <c r="B1125" s="9" t="n"/>
      <c r="C1125" s="9" t="n"/>
      <c r="D1125" s="9" t="n"/>
      <c r="E1125" s="9" t="n"/>
      <c r="F1125" s="9">
        <f>IF(E1125="","",DATEDIF(E1125,DATE(2026,12,31),"Y"))</f>
        <v/>
      </c>
      <c r="G1125" s="9" t="n"/>
      <c r="H1125" s="9" t="n"/>
      <c r="I1125" s="9" t="n"/>
      <c r="J1125" s="9" t="n"/>
      <c r="K1125" s="9" t="n"/>
      <c r="L1125" s="9" t="n"/>
      <c r="M1125" s="9" t="n"/>
      <c r="N1125" s="9" t="n"/>
      <c r="O1125" s="9" t="n"/>
      <c r="P1125" s="9" t="n"/>
      <c r="Q1125" s="9" t="n"/>
      <c r="R1125" s="9" t="n"/>
      <c r="S1125" s="9" t="n"/>
      <c r="T1125" s="9" t="n"/>
      <c r="U1125" s="9" t="n"/>
      <c r="V1125" s="9" t="n"/>
      <c r="W1125" s="9" t="n"/>
      <c r="X1125" s="9" t="n"/>
      <c r="Y1125" s="9" t="n"/>
      <c r="Z1125" s="9" t="n"/>
    </row>
    <row r="1126" ht="14.25" customHeight="1" s="37">
      <c r="A1126" s="9">
        <f>IF(C1126="","","UM"&amp;TEXT(ROW()-1,"00000"))</f>
        <v/>
      </c>
      <c r="B1126" s="9" t="n"/>
      <c r="C1126" s="9" t="n"/>
      <c r="D1126" s="9" t="n"/>
      <c r="E1126" s="9" t="n"/>
      <c r="F1126" s="9">
        <f>IF(E1126="","",DATEDIF(E1126,DATE(2026,12,31),"Y"))</f>
        <v/>
      </c>
      <c r="G1126" s="9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  <c r="R1126" s="9" t="n"/>
      <c r="S1126" s="9" t="n"/>
      <c r="T1126" s="9" t="n"/>
      <c r="U1126" s="9" t="n"/>
      <c r="V1126" s="9" t="n"/>
      <c r="W1126" s="9" t="n"/>
      <c r="X1126" s="9" t="n"/>
      <c r="Y1126" s="9" t="n"/>
      <c r="Z1126" s="9" t="n"/>
    </row>
    <row r="1127" ht="14.25" customHeight="1" s="37">
      <c r="A1127" s="9">
        <f>IF(C1127="","","UM"&amp;TEXT(ROW()-1,"00000"))</f>
        <v/>
      </c>
      <c r="B1127" s="9" t="n"/>
      <c r="C1127" s="9" t="n"/>
      <c r="D1127" s="9" t="n"/>
      <c r="E1127" s="9" t="n"/>
      <c r="F1127" s="9">
        <f>IF(E1127="","",DATEDIF(E1127,DATE(2026,12,31),"Y"))</f>
        <v/>
      </c>
      <c r="G1127" s="9" t="n"/>
      <c r="H1127" s="9" t="n"/>
      <c r="I1127" s="9" t="n"/>
      <c r="J1127" s="9" t="n"/>
      <c r="K1127" s="9" t="n"/>
      <c r="L1127" s="9" t="n"/>
      <c r="M1127" s="9" t="n"/>
      <c r="N1127" s="9" t="n"/>
      <c r="O1127" s="9" t="n"/>
      <c r="P1127" s="9" t="n"/>
      <c r="Q1127" s="9" t="n"/>
      <c r="R1127" s="9" t="n"/>
      <c r="S1127" s="9" t="n"/>
      <c r="T1127" s="9" t="n"/>
      <c r="U1127" s="9" t="n"/>
      <c r="V1127" s="9" t="n"/>
      <c r="W1127" s="9" t="n"/>
      <c r="X1127" s="9" t="n"/>
      <c r="Y1127" s="9" t="n"/>
      <c r="Z1127" s="9" t="n"/>
    </row>
    <row r="1128" ht="14.25" customHeight="1" s="37">
      <c r="A1128" s="9">
        <f>IF(C1128="","","UM"&amp;TEXT(ROW()-1,"00000"))</f>
        <v/>
      </c>
      <c r="B1128" s="9" t="n"/>
      <c r="C1128" s="9" t="n"/>
      <c r="D1128" s="9" t="n"/>
      <c r="E1128" s="9" t="n"/>
      <c r="F1128" s="9">
        <f>IF(E1128="","",DATEDIF(E1128,DATE(2026,12,31),"Y"))</f>
        <v/>
      </c>
      <c r="G1128" s="9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  <c r="R1128" s="9" t="n"/>
      <c r="S1128" s="9" t="n"/>
      <c r="T1128" s="9" t="n"/>
      <c r="U1128" s="9" t="n"/>
      <c r="V1128" s="9" t="n"/>
      <c r="W1128" s="9" t="n"/>
      <c r="X1128" s="9" t="n"/>
      <c r="Y1128" s="9" t="n"/>
      <c r="Z1128" s="9" t="n"/>
    </row>
    <row r="1129" ht="14.25" customHeight="1" s="37">
      <c r="A1129" s="9">
        <f>IF(C1129="","","UM"&amp;TEXT(ROW()-1,"00000"))</f>
        <v/>
      </c>
      <c r="B1129" s="9" t="n"/>
      <c r="C1129" s="9" t="n"/>
      <c r="D1129" s="9" t="n"/>
      <c r="E1129" s="9" t="n"/>
      <c r="F1129" s="9">
        <f>IF(E1129="","",DATEDIF(E1129,DATE(2026,12,31),"Y"))</f>
        <v/>
      </c>
      <c r="G1129" s="9" t="n"/>
      <c r="H1129" s="9" t="n"/>
      <c r="I1129" s="9" t="n"/>
      <c r="J1129" s="9" t="n"/>
      <c r="K1129" s="9" t="n"/>
      <c r="L1129" s="9" t="n"/>
      <c r="M1129" s="9" t="n"/>
      <c r="N1129" s="9" t="n"/>
      <c r="O1129" s="9" t="n"/>
      <c r="P1129" s="9" t="n"/>
      <c r="Q1129" s="9" t="n"/>
      <c r="R1129" s="9" t="n"/>
      <c r="S1129" s="9" t="n"/>
      <c r="T1129" s="9" t="n"/>
      <c r="U1129" s="9" t="n"/>
      <c r="V1129" s="9" t="n"/>
      <c r="W1129" s="9" t="n"/>
      <c r="X1129" s="9" t="n"/>
      <c r="Y1129" s="9" t="n"/>
      <c r="Z1129" s="9" t="n"/>
    </row>
    <row r="1130" ht="14.25" customHeight="1" s="37">
      <c r="A1130" s="9">
        <f>IF(C1130="","","UM"&amp;TEXT(ROW()-1,"00000"))</f>
        <v/>
      </c>
      <c r="B1130" s="9" t="n"/>
      <c r="C1130" s="9" t="n"/>
      <c r="D1130" s="9" t="n"/>
      <c r="E1130" s="9" t="n"/>
      <c r="F1130" s="9">
        <f>IF(E1130="","",DATEDIF(E1130,DATE(2026,12,31),"Y"))</f>
        <v/>
      </c>
      <c r="G1130" s="9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  <c r="R1130" s="9" t="n"/>
      <c r="S1130" s="9" t="n"/>
      <c r="T1130" s="9" t="n"/>
      <c r="U1130" s="9" t="n"/>
      <c r="V1130" s="9" t="n"/>
      <c r="W1130" s="9" t="n"/>
      <c r="X1130" s="9" t="n"/>
      <c r="Y1130" s="9" t="n"/>
      <c r="Z1130" s="9" t="n"/>
    </row>
    <row r="1131" ht="14.25" customHeight="1" s="37">
      <c r="A1131" s="9">
        <f>IF(C1131="","","UM"&amp;TEXT(ROW()-1,"00000"))</f>
        <v/>
      </c>
      <c r="B1131" s="9" t="n"/>
      <c r="C1131" s="9" t="n"/>
      <c r="D1131" s="9" t="n"/>
      <c r="E1131" s="9" t="n"/>
      <c r="F1131" s="9">
        <f>IF(E1131="","",DATEDIF(E1131,DATE(2026,12,31),"Y"))</f>
        <v/>
      </c>
      <c r="G1131" s="9" t="n"/>
      <c r="H1131" s="9" t="n"/>
      <c r="I1131" s="9" t="n"/>
      <c r="J1131" s="9" t="n"/>
      <c r="K1131" s="9" t="n"/>
      <c r="L1131" s="9" t="n"/>
      <c r="M1131" s="9" t="n"/>
      <c r="N1131" s="9" t="n"/>
      <c r="O1131" s="9" t="n"/>
      <c r="P1131" s="9" t="n"/>
      <c r="Q1131" s="9" t="n"/>
      <c r="R1131" s="9" t="n"/>
      <c r="S1131" s="9" t="n"/>
      <c r="T1131" s="9" t="n"/>
      <c r="U1131" s="9" t="n"/>
      <c r="V1131" s="9" t="n"/>
      <c r="W1131" s="9" t="n"/>
      <c r="X1131" s="9" t="n"/>
      <c r="Y1131" s="9" t="n"/>
      <c r="Z1131" s="9" t="n"/>
    </row>
    <row r="1132" ht="14.25" customHeight="1" s="37">
      <c r="A1132" s="9">
        <f>IF(C1132="","","UM"&amp;TEXT(ROW()-1,"00000"))</f>
        <v/>
      </c>
      <c r="B1132" s="9" t="n"/>
      <c r="C1132" s="9" t="n"/>
      <c r="D1132" s="9" t="n"/>
      <c r="E1132" s="9" t="n"/>
      <c r="F1132" s="9">
        <f>IF(E1132="","",DATEDIF(E1132,DATE(2026,12,31),"Y"))</f>
        <v/>
      </c>
      <c r="G1132" s="9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  <c r="R1132" s="9" t="n"/>
      <c r="S1132" s="9" t="n"/>
      <c r="T1132" s="9" t="n"/>
      <c r="U1132" s="9" t="n"/>
      <c r="V1132" s="9" t="n"/>
      <c r="W1132" s="9" t="n"/>
      <c r="X1132" s="9" t="n"/>
      <c r="Y1132" s="9" t="n"/>
      <c r="Z1132" s="9" t="n"/>
    </row>
    <row r="1133" ht="14.25" customHeight="1" s="37">
      <c r="A1133" s="9">
        <f>IF(C1133="","","UM"&amp;TEXT(ROW()-1,"00000"))</f>
        <v/>
      </c>
      <c r="B1133" s="9" t="n"/>
      <c r="C1133" s="9" t="n"/>
      <c r="D1133" s="9" t="n"/>
      <c r="E1133" s="9" t="n"/>
      <c r="F1133" s="9">
        <f>IF(E1133="","",DATEDIF(E1133,DATE(2026,12,31),"Y"))</f>
        <v/>
      </c>
      <c r="G1133" s="9" t="n"/>
      <c r="H1133" s="9" t="n"/>
      <c r="I1133" s="9" t="n"/>
      <c r="J1133" s="9" t="n"/>
      <c r="K1133" s="9" t="n"/>
      <c r="L1133" s="9" t="n"/>
      <c r="M1133" s="9" t="n"/>
      <c r="N1133" s="9" t="n"/>
      <c r="O1133" s="9" t="n"/>
      <c r="P1133" s="9" t="n"/>
      <c r="Q1133" s="9" t="n"/>
      <c r="R1133" s="9" t="n"/>
      <c r="S1133" s="9" t="n"/>
      <c r="T1133" s="9" t="n"/>
      <c r="U1133" s="9" t="n"/>
      <c r="V1133" s="9" t="n"/>
      <c r="W1133" s="9" t="n"/>
      <c r="X1133" s="9" t="n"/>
      <c r="Y1133" s="9" t="n"/>
      <c r="Z1133" s="9" t="n"/>
    </row>
    <row r="1134" ht="14.25" customHeight="1" s="37">
      <c r="A1134" s="9">
        <f>IF(C1134="","","UM"&amp;TEXT(ROW()-1,"00000"))</f>
        <v/>
      </c>
      <c r="B1134" s="9" t="n"/>
      <c r="C1134" s="9" t="n"/>
      <c r="D1134" s="9" t="n"/>
      <c r="E1134" s="9" t="n"/>
      <c r="F1134" s="9">
        <f>IF(E1134="","",DATEDIF(E1134,DATE(2026,12,31),"Y"))</f>
        <v/>
      </c>
      <c r="G1134" s="9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  <c r="R1134" s="9" t="n"/>
      <c r="S1134" s="9" t="n"/>
      <c r="T1134" s="9" t="n"/>
      <c r="U1134" s="9" t="n"/>
      <c r="V1134" s="9" t="n"/>
      <c r="W1134" s="9" t="n"/>
      <c r="X1134" s="9" t="n"/>
      <c r="Y1134" s="9" t="n"/>
      <c r="Z1134" s="9" t="n"/>
    </row>
    <row r="1135" ht="14.25" customHeight="1" s="37">
      <c r="A1135" s="9">
        <f>IF(C1135="","","UM"&amp;TEXT(ROW()-1,"00000"))</f>
        <v/>
      </c>
      <c r="B1135" s="9" t="n"/>
      <c r="C1135" s="9" t="n"/>
      <c r="D1135" s="9" t="n"/>
      <c r="E1135" s="9" t="n"/>
      <c r="F1135" s="9">
        <f>IF(E1135="","",DATEDIF(E1135,DATE(2026,12,31),"Y"))</f>
        <v/>
      </c>
      <c r="G1135" s="9" t="n"/>
      <c r="H1135" s="9" t="n"/>
      <c r="I1135" s="9" t="n"/>
      <c r="J1135" s="9" t="n"/>
      <c r="K1135" s="9" t="n"/>
      <c r="L1135" s="9" t="n"/>
      <c r="M1135" s="9" t="n"/>
      <c r="N1135" s="9" t="n"/>
      <c r="O1135" s="9" t="n"/>
      <c r="P1135" s="9" t="n"/>
      <c r="Q1135" s="9" t="n"/>
      <c r="R1135" s="9" t="n"/>
      <c r="S1135" s="9" t="n"/>
      <c r="T1135" s="9" t="n"/>
      <c r="U1135" s="9" t="n"/>
      <c r="V1135" s="9" t="n"/>
      <c r="W1135" s="9" t="n"/>
      <c r="X1135" s="9" t="n"/>
      <c r="Y1135" s="9" t="n"/>
      <c r="Z1135" s="9" t="n"/>
    </row>
    <row r="1136" ht="14.25" customHeight="1" s="37">
      <c r="A1136" s="9">
        <f>IF(C1136="","","UM"&amp;TEXT(ROW()-1,"00000"))</f>
        <v/>
      </c>
      <c r="B1136" s="9" t="n"/>
      <c r="C1136" s="9" t="n"/>
      <c r="D1136" s="9" t="n"/>
      <c r="E1136" s="9" t="n"/>
      <c r="F1136" s="9">
        <f>IF(E1136="","",DATEDIF(E1136,DATE(2026,12,31),"Y"))</f>
        <v/>
      </c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  <c r="R1136" s="9" t="n"/>
      <c r="S1136" s="9" t="n"/>
      <c r="T1136" s="9" t="n"/>
      <c r="U1136" s="9" t="n"/>
      <c r="V1136" s="9" t="n"/>
      <c r="W1136" s="9" t="n"/>
      <c r="X1136" s="9" t="n"/>
      <c r="Y1136" s="9" t="n"/>
      <c r="Z1136" s="9" t="n"/>
    </row>
    <row r="1137" ht="14.25" customHeight="1" s="37">
      <c r="A1137" s="9">
        <f>IF(C1137="","","UM"&amp;TEXT(ROW()-1,"00000"))</f>
        <v/>
      </c>
      <c r="B1137" s="9" t="n"/>
      <c r="C1137" s="9" t="n"/>
      <c r="D1137" s="9" t="n"/>
      <c r="E1137" s="9" t="n"/>
      <c r="F1137" s="9">
        <f>IF(E1137="","",DATEDIF(E1137,DATE(2026,12,31),"Y"))</f>
        <v/>
      </c>
      <c r="G1137" s="9" t="n"/>
      <c r="H1137" s="9" t="n"/>
      <c r="I1137" s="9" t="n"/>
      <c r="J1137" s="9" t="n"/>
      <c r="K1137" s="9" t="n"/>
      <c r="L1137" s="9" t="n"/>
      <c r="M1137" s="9" t="n"/>
      <c r="N1137" s="9" t="n"/>
      <c r="O1137" s="9" t="n"/>
      <c r="P1137" s="9" t="n"/>
      <c r="Q1137" s="9" t="n"/>
      <c r="R1137" s="9" t="n"/>
      <c r="S1137" s="9" t="n"/>
      <c r="T1137" s="9" t="n"/>
      <c r="U1137" s="9" t="n"/>
      <c r="V1137" s="9" t="n"/>
      <c r="W1137" s="9" t="n"/>
      <c r="X1137" s="9" t="n"/>
      <c r="Y1137" s="9" t="n"/>
      <c r="Z1137" s="9" t="n"/>
    </row>
    <row r="1138" ht="14.25" customHeight="1" s="37">
      <c r="A1138" s="9">
        <f>IF(C1138="","","UM"&amp;TEXT(ROW()-1,"00000"))</f>
        <v/>
      </c>
      <c r="B1138" s="9" t="n"/>
      <c r="C1138" s="9" t="n"/>
      <c r="D1138" s="9" t="n"/>
      <c r="E1138" s="9" t="n"/>
      <c r="F1138" s="9">
        <f>IF(E1138="","",DATEDIF(E1138,DATE(2026,12,31),"Y"))</f>
        <v/>
      </c>
      <c r="G1138" s="9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  <c r="R1138" s="9" t="n"/>
      <c r="S1138" s="9" t="n"/>
      <c r="T1138" s="9" t="n"/>
      <c r="U1138" s="9" t="n"/>
      <c r="V1138" s="9" t="n"/>
      <c r="W1138" s="9" t="n"/>
      <c r="X1138" s="9" t="n"/>
      <c r="Y1138" s="9" t="n"/>
      <c r="Z1138" s="9" t="n"/>
    </row>
    <row r="1139" ht="14.25" customHeight="1" s="37">
      <c r="A1139" s="9">
        <f>IF(C1139="","","UM"&amp;TEXT(ROW()-1,"00000"))</f>
        <v/>
      </c>
      <c r="B1139" s="9" t="n"/>
      <c r="C1139" s="9" t="n"/>
      <c r="D1139" s="9" t="n"/>
      <c r="E1139" s="9" t="n"/>
      <c r="F1139" s="9">
        <f>IF(E1139="","",DATEDIF(E1139,DATE(2026,12,31),"Y"))</f>
        <v/>
      </c>
      <c r="G1139" s="9" t="n"/>
      <c r="H1139" s="9" t="n"/>
      <c r="I1139" s="9" t="n"/>
      <c r="J1139" s="9" t="n"/>
      <c r="K1139" s="9" t="n"/>
      <c r="L1139" s="9" t="n"/>
      <c r="M1139" s="9" t="n"/>
      <c r="N1139" s="9" t="n"/>
      <c r="O1139" s="9" t="n"/>
      <c r="P1139" s="9" t="n"/>
      <c r="Q1139" s="9" t="n"/>
      <c r="R1139" s="9" t="n"/>
      <c r="S1139" s="9" t="n"/>
      <c r="T1139" s="9" t="n"/>
      <c r="U1139" s="9" t="n"/>
      <c r="V1139" s="9" t="n"/>
      <c r="W1139" s="9" t="n"/>
      <c r="X1139" s="9" t="n"/>
      <c r="Y1139" s="9" t="n"/>
      <c r="Z1139" s="9" t="n"/>
    </row>
    <row r="1140" ht="14.25" customHeight="1" s="37">
      <c r="A1140" s="9">
        <f>IF(C1140="","","UM"&amp;TEXT(ROW()-1,"00000"))</f>
        <v/>
      </c>
      <c r="B1140" s="9" t="n"/>
      <c r="C1140" s="9" t="n"/>
      <c r="D1140" s="9" t="n"/>
      <c r="E1140" s="9" t="n"/>
      <c r="F1140" s="9">
        <f>IF(E1140="","",DATEDIF(E1140,DATE(2026,12,31),"Y"))</f>
        <v/>
      </c>
      <c r="G1140" s="9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  <c r="R1140" s="9" t="n"/>
      <c r="S1140" s="9" t="n"/>
      <c r="T1140" s="9" t="n"/>
      <c r="U1140" s="9" t="n"/>
      <c r="V1140" s="9" t="n"/>
      <c r="W1140" s="9" t="n"/>
      <c r="X1140" s="9" t="n"/>
      <c r="Y1140" s="9" t="n"/>
      <c r="Z1140" s="9" t="n"/>
    </row>
    <row r="1141" ht="14.25" customHeight="1" s="37">
      <c r="A1141" s="9">
        <f>IF(C1141="","","UM"&amp;TEXT(ROW()-1,"00000"))</f>
        <v/>
      </c>
      <c r="B1141" s="9" t="n"/>
      <c r="C1141" s="9" t="n"/>
      <c r="D1141" s="9" t="n"/>
      <c r="E1141" s="9" t="n"/>
      <c r="F1141" s="9">
        <f>IF(E1141="","",DATEDIF(E1141,DATE(2026,12,31),"Y"))</f>
        <v/>
      </c>
      <c r="G1141" s="9" t="n"/>
      <c r="H1141" s="9" t="n"/>
      <c r="I1141" s="9" t="n"/>
      <c r="J1141" s="9" t="n"/>
      <c r="K1141" s="9" t="n"/>
      <c r="L1141" s="9" t="n"/>
      <c r="M1141" s="9" t="n"/>
      <c r="N1141" s="9" t="n"/>
      <c r="O1141" s="9" t="n"/>
      <c r="P1141" s="9" t="n"/>
      <c r="Q1141" s="9" t="n"/>
      <c r="R1141" s="9" t="n"/>
      <c r="S1141" s="9" t="n"/>
      <c r="T1141" s="9" t="n"/>
      <c r="U1141" s="9" t="n"/>
      <c r="V1141" s="9" t="n"/>
      <c r="W1141" s="9" t="n"/>
      <c r="X1141" s="9" t="n"/>
      <c r="Y1141" s="9" t="n"/>
      <c r="Z1141" s="9" t="n"/>
    </row>
    <row r="1142" ht="14.25" customHeight="1" s="37">
      <c r="A1142" s="9">
        <f>IF(C1142="","","UM"&amp;TEXT(ROW()-1,"00000"))</f>
        <v/>
      </c>
      <c r="B1142" s="9" t="n"/>
      <c r="C1142" s="9" t="n"/>
      <c r="D1142" s="9" t="n"/>
      <c r="E1142" s="9" t="n"/>
      <c r="F1142" s="9">
        <f>IF(E1142="","",DATEDIF(E1142,DATE(2026,12,31),"Y"))</f>
        <v/>
      </c>
      <c r="G1142" s="9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  <c r="R1142" s="9" t="n"/>
      <c r="S1142" s="9" t="n"/>
      <c r="T1142" s="9" t="n"/>
      <c r="U1142" s="9" t="n"/>
      <c r="V1142" s="9" t="n"/>
      <c r="W1142" s="9" t="n"/>
      <c r="X1142" s="9" t="n"/>
      <c r="Y1142" s="9" t="n"/>
      <c r="Z1142" s="9" t="n"/>
    </row>
    <row r="1143" ht="14.25" customHeight="1" s="37">
      <c r="A1143" s="9">
        <f>IF(C1143="","","UM"&amp;TEXT(ROW()-1,"00000"))</f>
        <v/>
      </c>
      <c r="B1143" s="9" t="n"/>
      <c r="C1143" s="9" t="n"/>
      <c r="D1143" s="9" t="n"/>
      <c r="E1143" s="9" t="n"/>
      <c r="F1143" s="9">
        <f>IF(E1143="","",DATEDIF(E1143,DATE(2026,12,31),"Y"))</f>
        <v/>
      </c>
      <c r="G1143" s="9" t="n"/>
      <c r="H1143" s="9" t="n"/>
      <c r="I1143" s="9" t="n"/>
      <c r="J1143" s="9" t="n"/>
      <c r="K1143" s="9" t="n"/>
      <c r="L1143" s="9" t="n"/>
      <c r="M1143" s="9" t="n"/>
      <c r="N1143" s="9" t="n"/>
      <c r="O1143" s="9" t="n"/>
      <c r="P1143" s="9" t="n"/>
      <c r="Q1143" s="9" t="n"/>
      <c r="R1143" s="9" t="n"/>
      <c r="S1143" s="9" t="n"/>
      <c r="T1143" s="9" t="n"/>
      <c r="U1143" s="9" t="n"/>
      <c r="V1143" s="9" t="n"/>
      <c r="W1143" s="9" t="n"/>
      <c r="X1143" s="9" t="n"/>
      <c r="Y1143" s="9" t="n"/>
      <c r="Z1143" s="9" t="n"/>
    </row>
    <row r="1144" ht="14.25" customHeight="1" s="37">
      <c r="A1144" s="9">
        <f>IF(C1144="","","UM"&amp;TEXT(ROW()-1,"00000"))</f>
        <v/>
      </c>
      <c r="B1144" s="9" t="n"/>
      <c r="C1144" s="9" t="n"/>
      <c r="D1144" s="9" t="n"/>
      <c r="E1144" s="9" t="n"/>
      <c r="F1144" s="9">
        <f>IF(E1144="","",DATEDIF(E1144,DATE(2026,12,31),"Y"))</f>
        <v/>
      </c>
      <c r="G1144" s="9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  <c r="R1144" s="9" t="n"/>
      <c r="S1144" s="9" t="n"/>
      <c r="T1144" s="9" t="n"/>
      <c r="U1144" s="9" t="n"/>
      <c r="V1144" s="9" t="n"/>
      <c r="W1144" s="9" t="n"/>
      <c r="X1144" s="9" t="n"/>
      <c r="Y1144" s="9" t="n"/>
      <c r="Z1144" s="9" t="n"/>
    </row>
    <row r="1145" ht="14.25" customHeight="1" s="37">
      <c r="A1145" s="9">
        <f>IF(C1145="","","UM"&amp;TEXT(ROW()-1,"00000"))</f>
        <v/>
      </c>
      <c r="B1145" s="9" t="n"/>
      <c r="C1145" s="9" t="n"/>
      <c r="D1145" s="9" t="n"/>
      <c r="E1145" s="9" t="n"/>
      <c r="F1145" s="9">
        <f>IF(E1145="","",DATEDIF(E1145,DATE(2026,12,31),"Y"))</f>
        <v/>
      </c>
      <c r="G1145" s="9" t="n"/>
      <c r="H1145" s="9" t="n"/>
      <c r="I1145" s="9" t="n"/>
      <c r="J1145" s="9" t="n"/>
      <c r="K1145" s="9" t="n"/>
      <c r="L1145" s="9" t="n"/>
      <c r="M1145" s="9" t="n"/>
      <c r="N1145" s="9" t="n"/>
      <c r="O1145" s="9" t="n"/>
      <c r="P1145" s="9" t="n"/>
      <c r="Q1145" s="9" t="n"/>
      <c r="R1145" s="9" t="n"/>
      <c r="S1145" s="9" t="n"/>
      <c r="T1145" s="9" t="n"/>
      <c r="U1145" s="9" t="n"/>
      <c r="V1145" s="9" t="n"/>
      <c r="W1145" s="9" t="n"/>
      <c r="X1145" s="9" t="n"/>
      <c r="Y1145" s="9" t="n"/>
      <c r="Z1145" s="9" t="n"/>
    </row>
    <row r="1146" ht="14.25" customHeight="1" s="37">
      <c r="A1146" s="9">
        <f>IF(C1146="","","UM"&amp;TEXT(ROW()-1,"00000"))</f>
        <v/>
      </c>
      <c r="B1146" s="9" t="n"/>
      <c r="C1146" s="9" t="n"/>
      <c r="D1146" s="9" t="n"/>
      <c r="E1146" s="9" t="n"/>
      <c r="F1146" s="9">
        <f>IF(E1146="","",DATEDIF(E1146,DATE(2026,12,31),"Y"))</f>
        <v/>
      </c>
      <c r="G1146" s="9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  <c r="R1146" s="9" t="n"/>
      <c r="S1146" s="9" t="n"/>
      <c r="T1146" s="9" t="n"/>
      <c r="U1146" s="9" t="n"/>
      <c r="V1146" s="9" t="n"/>
      <c r="W1146" s="9" t="n"/>
      <c r="X1146" s="9" t="n"/>
      <c r="Y1146" s="9" t="n"/>
      <c r="Z1146" s="9" t="n"/>
    </row>
    <row r="1147" ht="14.25" customHeight="1" s="37">
      <c r="A1147" s="9">
        <f>IF(C1147="","","UM"&amp;TEXT(ROW()-1,"00000"))</f>
        <v/>
      </c>
      <c r="B1147" s="9" t="n"/>
      <c r="C1147" s="9" t="n"/>
      <c r="D1147" s="9" t="n"/>
      <c r="E1147" s="9" t="n"/>
      <c r="F1147" s="9">
        <f>IF(E1147="","",DATEDIF(E1147,DATE(2026,12,31),"Y"))</f>
        <v/>
      </c>
      <c r="G1147" s="9" t="n"/>
      <c r="H1147" s="9" t="n"/>
      <c r="I1147" s="9" t="n"/>
      <c r="J1147" s="9" t="n"/>
      <c r="K1147" s="9" t="n"/>
      <c r="L1147" s="9" t="n"/>
      <c r="M1147" s="9" t="n"/>
      <c r="N1147" s="9" t="n"/>
      <c r="O1147" s="9" t="n"/>
      <c r="P1147" s="9" t="n"/>
      <c r="Q1147" s="9" t="n"/>
      <c r="R1147" s="9" t="n"/>
      <c r="S1147" s="9" t="n"/>
      <c r="T1147" s="9" t="n"/>
      <c r="U1147" s="9" t="n"/>
      <c r="V1147" s="9" t="n"/>
      <c r="W1147" s="9" t="n"/>
      <c r="X1147" s="9" t="n"/>
      <c r="Y1147" s="9" t="n"/>
      <c r="Z1147" s="9" t="n"/>
    </row>
    <row r="1148" ht="14.25" customHeight="1" s="37">
      <c r="A1148" s="9">
        <f>IF(C1148="","","UM"&amp;TEXT(ROW()-1,"00000"))</f>
        <v/>
      </c>
      <c r="B1148" s="9" t="n"/>
      <c r="C1148" s="9" t="n"/>
      <c r="D1148" s="9" t="n"/>
      <c r="E1148" s="9" t="n"/>
      <c r="F1148" s="9">
        <f>IF(E1148="","",DATEDIF(E1148,DATE(2026,12,31),"Y"))</f>
        <v/>
      </c>
      <c r="G1148" s="9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  <c r="R1148" s="9" t="n"/>
      <c r="S1148" s="9" t="n"/>
      <c r="T1148" s="9" t="n"/>
      <c r="U1148" s="9" t="n"/>
      <c r="V1148" s="9" t="n"/>
      <c r="W1148" s="9" t="n"/>
      <c r="X1148" s="9" t="n"/>
      <c r="Y1148" s="9" t="n"/>
      <c r="Z1148" s="9" t="n"/>
    </row>
    <row r="1149" ht="14.25" customHeight="1" s="37">
      <c r="A1149" s="9">
        <f>IF(C1149="","","UM"&amp;TEXT(ROW()-1,"00000"))</f>
        <v/>
      </c>
      <c r="B1149" s="9" t="n"/>
      <c r="C1149" s="9" t="n"/>
      <c r="D1149" s="9" t="n"/>
      <c r="E1149" s="9" t="n"/>
      <c r="F1149" s="9">
        <f>IF(E1149="","",DATEDIF(E1149,DATE(2026,12,31),"Y"))</f>
        <v/>
      </c>
      <c r="G1149" s="9" t="n"/>
      <c r="H1149" s="9" t="n"/>
      <c r="I1149" s="9" t="n"/>
      <c r="J1149" s="9" t="n"/>
      <c r="K1149" s="9" t="n"/>
      <c r="L1149" s="9" t="n"/>
      <c r="M1149" s="9" t="n"/>
      <c r="N1149" s="9" t="n"/>
      <c r="O1149" s="9" t="n"/>
      <c r="P1149" s="9" t="n"/>
      <c r="Q1149" s="9" t="n"/>
      <c r="R1149" s="9" t="n"/>
      <c r="S1149" s="9" t="n"/>
      <c r="T1149" s="9" t="n"/>
      <c r="U1149" s="9" t="n"/>
      <c r="V1149" s="9" t="n"/>
      <c r="W1149" s="9" t="n"/>
      <c r="X1149" s="9" t="n"/>
      <c r="Y1149" s="9" t="n"/>
      <c r="Z1149" s="9" t="n"/>
    </row>
    <row r="1150" ht="14.25" customHeight="1" s="37">
      <c r="A1150" s="9">
        <f>IF(C1150="","","UM"&amp;TEXT(ROW()-1,"00000"))</f>
        <v/>
      </c>
      <c r="B1150" s="9" t="n"/>
      <c r="C1150" s="9" t="n"/>
      <c r="D1150" s="9" t="n"/>
      <c r="E1150" s="9" t="n"/>
      <c r="F1150" s="9">
        <f>IF(E1150="","",DATEDIF(E1150,DATE(2026,12,31),"Y"))</f>
        <v/>
      </c>
      <c r="G1150" s="9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  <c r="R1150" s="9" t="n"/>
      <c r="S1150" s="9" t="n"/>
      <c r="T1150" s="9" t="n"/>
      <c r="U1150" s="9" t="n"/>
      <c r="V1150" s="9" t="n"/>
      <c r="W1150" s="9" t="n"/>
      <c r="X1150" s="9" t="n"/>
      <c r="Y1150" s="9" t="n"/>
      <c r="Z1150" s="9" t="n"/>
    </row>
    <row r="1151" ht="14.25" customHeight="1" s="37">
      <c r="A1151" s="9">
        <f>IF(C1151="","","UM"&amp;TEXT(ROW()-1,"00000"))</f>
        <v/>
      </c>
      <c r="B1151" s="9" t="n"/>
      <c r="C1151" s="9" t="n"/>
      <c r="D1151" s="9" t="n"/>
      <c r="E1151" s="9" t="n"/>
      <c r="F1151" s="9">
        <f>IF(E1151="","",DATEDIF(E1151,DATE(2026,12,31),"Y"))</f>
        <v/>
      </c>
      <c r="G1151" s="9" t="n"/>
      <c r="H1151" s="9" t="n"/>
      <c r="I1151" s="9" t="n"/>
      <c r="J1151" s="9" t="n"/>
      <c r="K1151" s="9" t="n"/>
      <c r="L1151" s="9" t="n"/>
      <c r="M1151" s="9" t="n"/>
      <c r="N1151" s="9" t="n"/>
      <c r="O1151" s="9" t="n"/>
      <c r="P1151" s="9" t="n"/>
      <c r="Q1151" s="9" t="n"/>
      <c r="R1151" s="9" t="n"/>
      <c r="S1151" s="9" t="n"/>
      <c r="T1151" s="9" t="n"/>
      <c r="U1151" s="9" t="n"/>
      <c r="V1151" s="9" t="n"/>
      <c r="W1151" s="9" t="n"/>
      <c r="X1151" s="9" t="n"/>
      <c r="Y1151" s="9" t="n"/>
      <c r="Z1151" s="9" t="n"/>
    </row>
    <row r="1152" ht="14.25" customHeight="1" s="37">
      <c r="A1152" s="9">
        <f>IF(C1152="","","UM"&amp;TEXT(ROW()-1,"00000"))</f>
        <v/>
      </c>
      <c r="B1152" s="9" t="n"/>
      <c r="C1152" s="9" t="n"/>
      <c r="D1152" s="9" t="n"/>
      <c r="E1152" s="9" t="n"/>
      <c r="F1152" s="9">
        <f>IF(E1152="","",DATEDIF(E1152,DATE(2026,12,31),"Y"))</f>
        <v/>
      </c>
      <c r="G1152" s="9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  <c r="R1152" s="9" t="n"/>
      <c r="S1152" s="9" t="n"/>
      <c r="T1152" s="9" t="n"/>
      <c r="U1152" s="9" t="n"/>
      <c r="V1152" s="9" t="n"/>
      <c r="W1152" s="9" t="n"/>
      <c r="X1152" s="9" t="n"/>
      <c r="Y1152" s="9" t="n"/>
      <c r="Z1152" s="9" t="n"/>
    </row>
    <row r="1153" ht="14.25" customHeight="1" s="37">
      <c r="A1153" s="9">
        <f>IF(C1153="","","UM"&amp;TEXT(ROW()-1,"00000"))</f>
        <v/>
      </c>
      <c r="B1153" s="9" t="n"/>
      <c r="C1153" s="9" t="n"/>
      <c r="D1153" s="9" t="n"/>
      <c r="E1153" s="9" t="n"/>
      <c r="F1153" s="9">
        <f>IF(E1153="","",DATEDIF(E1153,DATE(2026,12,31),"Y"))</f>
        <v/>
      </c>
      <c r="G1153" s="9" t="n"/>
      <c r="H1153" s="9" t="n"/>
      <c r="I1153" s="9" t="n"/>
      <c r="J1153" s="9" t="n"/>
      <c r="K1153" s="9" t="n"/>
      <c r="L1153" s="9" t="n"/>
      <c r="M1153" s="9" t="n"/>
      <c r="N1153" s="9" t="n"/>
      <c r="O1153" s="9" t="n"/>
      <c r="P1153" s="9" t="n"/>
      <c r="Q1153" s="9" t="n"/>
      <c r="R1153" s="9" t="n"/>
      <c r="S1153" s="9" t="n"/>
      <c r="T1153" s="9" t="n"/>
      <c r="U1153" s="9" t="n"/>
      <c r="V1153" s="9" t="n"/>
      <c r="W1153" s="9" t="n"/>
      <c r="X1153" s="9" t="n"/>
      <c r="Y1153" s="9" t="n"/>
      <c r="Z1153" s="9" t="n"/>
    </row>
    <row r="1154" ht="14.25" customHeight="1" s="37">
      <c r="A1154" s="9">
        <f>IF(C1154="","","UM"&amp;TEXT(ROW()-1,"00000"))</f>
        <v/>
      </c>
      <c r="B1154" s="9" t="n"/>
      <c r="C1154" s="9" t="n"/>
      <c r="D1154" s="9" t="n"/>
      <c r="E1154" s="9" t="n"/>
      <c r="F1154" s="9">
        <f>IF(E1154="","",DATEDIF(E1154,DATE(2026,12,31),"Y"))</f>
        <v/>
      </c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  <c r="R1154" s="9" t="n"/>
      <c r="S1154" s="9" t="n"/>
      <c r="T1154" s="9" t="n"/>
      <c r="U1154" s="9" t="n"/>
      <c r="V1154" s="9" t="n"/>
      <c r="W1154" s="9" t="n"/>
      <c r="X1154" s="9" t="n"/>
      <c r="Y1154" s="9" t="n"/>
      <c r="Z1154" s="9" t="n"/>
    </row>
    <row r="1155" ht="14.25" customHeight="1" s="37">
      <c r="A1155" s="9">
        <f>IF(C1155="","","UM"&amp;TEXT(ROW()-1,"00000"))</f>
        <v/>
      </c>
      <c r="B1155" s="9" t="n"/>
      <c r="C1155" s="9" t="n"/>
      <c r="D1155" s="9" t="n"/>
      <c r="E1155" s="9" t="n"/>
      <c r="F1155" s="9">
        <f>IF(E1155="","",DATEDIF(E1155,DATE(2026,12,31),"Y"))</f>
        <v/>
      </c>
      <c r="G1155" s="9" t="n"/>
      <c r="H1155" s="9" t="n"/>
      <c r="I1155" s="9" t="n"/>
      <c r="J1155" s="9" t="n"/>
      <c r="K1155" s="9" t="n"/>
      <c r="L1155" s="9" t="n"/>
      <c r="M1155" s="9" t="n"/>
      <c r="N1155" s="9" t="n"/>
      <c r="O1155" s="9" t="n"/>
      <c r="P1155" s="9" t="n"/>
      <c r="Q1155" s="9" t="n"/>
      <c r="R1155" s="9" t="n"/>
      <c r="S1155" s="9" t="n"/>
      <c r="T1155" s="9" t="n"/>
      <c r="U1155" s="9" t="n"/>
      <c r="V1155" s="9" t="n"/>
      <c r="W1155" s="9" t="n"/>
      <c r="X1155" s="9" t="n"/>
      <c r="Y1155" s="9" t="n"/>
      <c r="Z1155" s="9" t="n"/>
    </row>
    <row r="1156" ht="14.25" customHeight="1" s="37">
      <c r="A1156" s="9">
        <f>IF(C1156="","","UM"&amp;TEXT(ROW()-1,"00000"))</f>
        <v/>
      </c>
      <c r="B1156" s="9" t="n"/>
      <c r="C1156" s="9" t="n"/>
      <c r="D1156" s="9" t="n"/>
      <c r="E1156" s="9" t="n"/>
      <c r="F1156" s="9">
        <f>IF(E1156="","",DATEDIF(E1156,DATE(2026,12,31),"Y"))</f>
        <v/>
      </c>
      <c r="G1156" s="9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  <c r="R1156" s="9" t="n"/>
      <c r="S1156" s="9" t="n"/>
      <c r="T1156" s="9" t="n"/>
      <c r="U1156" s="9" t="n"/>
      <c r="V1156" s="9" t="n"/>
      <c r="W1156" s="9" t="n"/>
      <c r="X1156" s="9" t="n"/>
      <c r="Y1156" s="9" t="n"/>
      <c r="Z1156" s="9" t="n"/>
    </row>
    <row r="1157" ht="14.25" customHeight="1" s="37">
      <c r="A1157" s="9">
        <f>IF(C1157="","","UM"&amp;TEXT(ROW()-1,"00000"))</f>
        <v/>
      </c>
      <c r="B1157" s="9" t="n"/>
      <c r="C1157" s="9" t="n"/>
      <c r="D1157" s="9" t="n"/>
      <c r="E1157" s="9" t="n"/>
      <c r="F1157" s="9">
        <f>IF(E1157="","",DATEDIF(E1157,DATE(2026,12,31),"Y"))</f>
        <v/>
      </c>
      <c r="G1157" s="9" t="n"/>
      <c r="H1157" s="9" t="n"/>
      <c r="I1157" s="9" t="n"/>
      <c r="J1157" s="9" t="n"/>
      <c r="K1157" s="9" t="n"/>
      <c r="L1157" s="9" t="n"/>
      <c r="M1157" s="9" t="n"/>
      <c r="N1157" s="9" t="n"/>
      <c r="O1157" s="9" t="n"/>
      <c r="P1157" s="9" t="n"/>
      <c r="Q1157" s="9" t="n"/>
      <c r="R1157" s="9" t="n"/>
      <c r="S1157" s="9" t="n"/>
      <c r="T1157" s="9" t="n"/>
      <c r="U1157" s="9" t="n"/>
      <c r="V1157" s="9" t="n"/>
      <c r="W1157" s="9" t="n"/>
      <c r="X1157" s="9" t="n"/>
      <c r="Y1157" s="9" t="n"/>
      <c r="Z1157" s="9" t="n"/>
    </row>
    <row r="1158" ht="14.25" customHeight="1" s="37">
      <c r="A1158" s="9">
        <f>IF(C1158="","","UM"&amp;TEXT(ROW()-1,"00000"))</f>
        <v/>
      </c>
      <c r="B1158" s="9" t="n"/>
      <c r="C1158" s="9" t="n"/>
      <c r="D1158" s="9" t="n"/>
      <c r="E1158" s="9" t="n"/>
      <c r="F1158" s="9">
        <f>IF(E1158="","",DATEDIF(E1158,DATE(2026,12,31),"Y"))</f>
        <v/>
      </c>
      <c r="G1158" s="9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  <c r="R1158" s="9" t="n"/>
      <c r="S1158" s="9" t="n"/>
      <c r="T1158" s="9" t="n"/>
      <c r="U1158" s="9" t="n"/>
      <c r="V1158" s="9" t="n"/>
      <c r="W1158" s="9" t="n"/>
      <c r="X1158" s="9" t="n"/>
      <c r="Y1158" s="9" t="n"/>
      <c r="Z1158" s="9" t="n"/>
    </row>
    <row r="1159" ht="14.25" customHeight="1" s="37">
      <c r="A1159" s="9">
        <f>IF(C1159="","","UM"&amp;TEXT(ROW()-1,"00000"))</f>
        <v/>
      </c>
      <c r="B1159" s="9" t="n"/>
      <c r="C1159" s="9" t="n"/>
      <c r="D1159" s="9" t="n"/>
      <c r="E1159" s="9" t="n"/>
      <c r="F1159" s="9">
        <f>IF(E1159="","",DATEDIF(E1159,DATE(2026,12,31),"Y"))</f>
        <v/>
      </c>
      <c r="G1159" s="9" t="n"/>
      <c r="H1159" s="9" t="n"/>
      <c r="I1159" s="9" t="n"/>
      <c r="J1159" s="9" t="n"/>
      <c r="K1159" s="9" t="n"/>
      <c r="L1159" s="9" t="n"/>
      <c r="M1159" s="9" t="n"/>
      <c r="N1159" s="9" t="n"/>
      <c r="O1159" s="9" t="n"/>
      <c r="P1159" s="9" t="n"/>
      <c r="Q1159" s="9" t="n"/>
      <c r="R1159" s="9" t="n"/>
      <c r="S1159" s="9" t="n"/>
      <c r="T1159" s="9" t="n"/>
      <c r="U1159" s="9" t="n"/>
      <c r="V1159" s="9" t="n"/>
      <c r="W1159" s="9" t="n"/>
      <c r="X1159" s="9" t="n"/>
      <c r="Y1159" s="9" t="n"/>
      <c r="Z1159" s="9" t="n"/>
    </row>
    <row r="1160" ht="14.25" customHeight="1" s="37">
      <c r="A1160" s="9">
        <f>IF(C1160="","","UM"&amp;TEXT(ROW()-1,"00000"))</f>
        <v/>
      </c>
      <c r="B1160" s="9" t="n"/>
      <c r="C1160" s="9" t="n"/>
      <c r="D1160" s="9" t="n"/>
      <c r="E1160" s="9" t="n"/>
      <c r="F1160" s="9">
        <f>IF(E1160="","",DATEDIF(E1160,DATE(2026,12,31),"Y"))</f>
        <v/>
      </c>
      <c r="G1160" s="9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  <c r="R1160" s="9" t="n"/>
      <c r="S1160" s="9" t="n"/>
      <c r="T1160" s="9" t="n"/>
      <c r="U1160" s="9" t="n"/>
      <c r="V1160" s="9" t="n"/>
      <c r="W1160" s="9" t="n"/>
      <c r="X1160" s="9" t="n"/>
      <c r="Y1160" s="9" t="n"/>
      <c r="Z1160" s="9" t="n"/>
    </row>
    <row r="1161" ht="14.25" customHeight="1" s="37">
      <c r="A1161" s="9">
        <f>IF(C1161="","","UM"&amp;TEXT(ROW()-1,"00000"))</f>
        <v/>
      </c>
      <c r="B1161" s="9" t="n"/>
      <c r="C1161" s="9" t="n"/>
      <c r="D1161" s="9" t="n"/>
      <c r="E1161" s="9" t="n"/>
      <c r="F1161" s="9">
        <f>IF(E1161="","",DATEDIF(E1161,DATE(2026,12,31),"Y"))</f>
        <v/>
      </c>
      <c r="G1161" s="9" t="n"/>
      <c r="H1161" s="9" t="n"/>
      <c r="I1161" s="9" t="n"/>
      <c r="J1161" s="9" t="n"/>
      <c r="K1161" s="9" t="n"/>
      <c r="L1161" s="9" t="n"/>
      <c r="M1161" s="9" t="n"/>
      <c r="N1161" s="9" t="n"/>
      <c r="O1161" s="9" t="n"/>
      <c r="P1161" s="9" t="n"/>
      <c r="Q1161" s="9" t="n"/>
      <c r="R1161" s="9" t="n"/>
      <c r="S1161" s="9" t="n"/>
      <c r="T1161" s="9" t="n"/>
      <c r="U1161" s="9" t="n"/>
      <c r="V1161" s="9" t="n"/>
      <c r="W1161" s="9" t="n"/>
      <c r="X1161" s="9" t="n"/>
      <c r="Y1161" s="9" t="n"/>
      <c r="Z1161" s="9" t="n"/>
    </row>
    <row r="1162" ht="14.25" customHeight="1" s="37">
      <c r="A1162" s="9">
        <f>IF(C1162="","","UM"&amp;TEXT(ROW()-1,"00000"))</f>
        <v/>
      </c>
      <c r="B1162" s="9" t="n"/>
      <c r="C1162" s="9" t="n"/>
      <c r="D1162" s="9" t="n"/>
      <c r="E1162" s="9" t="n"/>
      <c r="F1162" s="9">
        <f>IF(E1162="","",DATEDIF(E1162,DATE(2026,12,31),"Y"))</f>
        <v/>
      </c>
      <c r="G1162" s="9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  <c r="R1162" s="9" t="n"/>
      <c r="S1162" s="9" t="n"/>
      <c r="T1162" s="9" t="n"/>
      <c r="U1162" s="9" t="n"/>
      <c r="V1162" s="9" t="n"/>
      <c r="W1162" s="9" t="n"/>
      <c r="X1162" s="9" t="n"/>
      <c r="Y1162" s="9" t="n"/>
      <c r="Z1162" s="9" t="n"/>
    </row>
    <row r="1163" ht="14.25" customHeight="1" s="37">
      <c r="A1163" s="9">
        <f>IF(C1163="","","UM"&amp;TEXT(ROW()-1,"00000"))</f>
        <v/>
      </c>
      <c r="B1163" s="9" t="n"/>
      <c r="C1163" s="9" t="n"/>
      <c r="D1163" s="9" t="n"/>
      <c r="E1163" s="9" t="n"/>
      <c r="F1163" s="9">
        <f>IF(E1163="","",DATEDIF(E1163,DATE(2026,12,31),"Y"))</f>
        <v/>
      </c>
      <c r="G1163" s="9" t="n"/>
      <c r="H1163" s="9" t="n"/>
      <c r="I1163" s="9" t="n"/>
      <c r="J1163" s="9" t="n"/>
      <c r="K1163" s="9" t="n"/>
      <c r="L1163" s="9" t="n"/>
      <c r="M1163" s="9" t="n"/>
      <c r="N1163" s="9" t="n"/>
      <c r="O1163" s="9" t="n"/>
      <c r="P1163" s="9" t="n"/>
      <c r="Q1163" s="9" t="n"/>
      <c r="R1163" s="9" t="n"/>
      <c r="S1163" s="9" t="n"/>
      <c r="T1163" s="9" t="n"/>
      <c r="U1163" s="9" t="n"/>
      <c r="V1163" s="9" t="n"/>
      <c r="W1163" s="9" t="n"/>
      <c r="X1163" s="9" t="n"/>
      <c r="Y1163" s="9" t="n"/>
      <c r="Z1163" s="9" t="n"/>
    </row>
    <row r="1164" ht="14.25" customHeight="1" s="37">
      <c r="A1164" s="9">
        <f>IF(C1164="","","UM"&amp;TEXT(ROW()-1,"00000"))</f>
        <v/>
      </c>
      <c r="B1164" s="9" t="n"/>
      <c r="C1164" s="9" t="n"/>
      <c r="D1164" s="9" t="n"/>
      <c r="E1164" s="9" t="n"/>
      <c r="F1164" s="9">
        <f>IF(E1164="","",DATEDIF(E1164,DATE(2026,12,31),"Y"))</f>
        <v/>
      </c>
      <c r="G1164" s="9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  <c r="R1164" s="9" t="n"/>
      <c r="S1164" s="9" t="n"/>
      <c r="T1164" s="9" t="n"/>
      <c r="U1164" s="9" t="n"/>
      <c r="V1164" s="9" t="n"/>
      <c r="W1164" s="9" t="n"/>
      <c r="X1164" s="9" t="n"/>
      <c r="Y1164" s="9" t="n"/>
      <c r="Z1164" s="9" t="n"/>
    </row>
    <row r="1165" ht="14.25" customHeight="1" s="37">
      <c r="A1165" s="9">
        <f>IF(C1165="","","UM"&amp;TEXT(ROW()-1,"00000"))</f>
        <v/>
      </c>
      <c r="B1165" s="9" t="n"/>
      <c r="C1165" s="9" t="n"/>
      <c r="D1165" s="9" t="n"/>
      <c r="E1165" s="9" t="n"/>
      <c r="F1165" s="9">
        <f>IF(E1165="","",DATEDIF(E1165,DATE(2026,12,31),"Y"))</f>
        <v/>
      </c>
      <c r="G1165" s="9" t="n"/>
      <c r="H1165" s="9" t="n"/>
      <c r="I1165" s="9" t="n"/>
      <c r="J1165" s="9" t="n"/>
      <c r="K1165" s="9" t="n"/>
      <c r="L1165" s="9" t="n"/>
      <c r="M1165" s="9" t="n"/>
      <c r="N1165" s="9" t="n"/>
      <c r="O1165" s="9" t="n"/>
      <c r="P1165" s="9" t="n"/>
      <c r="Q1165" s="9" t="n"/>
      <c r="R1165" s="9" t="n"/>
      <c r="S1165" s="9" t="n"/>
      <c r="T1165" s="9" t="n"/>
      <c r="U1165" s="9" t="n"/>
      <c r="V1165" s="9" t="n"/>
      <c r="W1165" s="9" t="n"/>
      <c r="X1165" s="9" t="n"/>
      <c r="Y1165" s="9" t="n"/>
      <c r="Z1165" s="9" t="n"/>
    </row>
    <row r="1166" ht="14.25" customHeight="1" s="37">
      <c r="A1166" s="9">
        <f>IF(C1166="","","UM"&amp;TEXT(ROW()-1,"00000"))</f>
        <v/>
      </c>
      <c r="B1166" s="9" t="n"/>
      <c r="C1166" s="9" t="n"/>
      <c r="D1166" s="9" t="n"/>
      <c r="E1166" s="9" t="n"/>
      <c r="F1166" s="9">
        <f>IF(E1166="","",DATEDIF(E1166,DATE(2026,12,31),"Y"))</f>
        <v/>
      </c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  <c r="R1166" s="9" t="n"/>
      <c r="S1166" s="9" t="n"/>
      <c r="T1166" s="9" t="n"/>
      <c r="U1166" s="9" t="n"/>
      <c r="V1166" s="9" t="n"/>
      <c r="W1166" s="9" t="n"/>
      <c r="X1166" s="9" t="n"/>
      <c r="Y1166" s="9" t="n"/>
      <c r="Z1166" s="9" t="n"/>
    </row>
    <row r="1167" ht="14.25" customHeight="1" s="37">
      <c r="A1167" s="9">
        <f>IF(C1167="","","UM"&amp;TEXT(ROW()-1,"00000"))</f>
        <v/>
      </c>
      <c r="B1167" s="9" t="n"/>
      <c r="C1167" s="9" t="n"/>
      <c r="D1167" s="9" t="n"/>
      <c r="E1167" s="9" t="n"/>
      <c r="F1167" s="9">
        <f>IF(E1167="","",DATEDIF(E1167,DATE(2026,12,31),"Y"))</f>
        <v/>
      </c>
      <c r="G1167" s="9" t="n"/>
      <c r="H1167" s="9" t="n"/>
      <c r="I1167" s="9" t="n"/>
      <c r="J1167" s="9" t="n"/>
      <c r="K1167" s="9" t="n"/>
      <c r="L1167" s="9" t="n"/>
      <c r="M1167" s="9" t="n"/>
      <c r="N1167" s="9" t="n"/>
      <c r="O1167" s="9" t="n"/>
      <c r="P1167" s="9" t="n"/>
      <c r="Q1167" s="9" t="n"/>
      <c r="R1167" s="9" t="n"/>
      <c r="S1167" s="9" t="n"/>
      <c r="T1167" s="9" t="n"/>
      <c r="U1167" s="9" t="n"/>
      <c r="V1167" s="9" t="n"/>
      <c r="W1167" s="9" t="n"/>
      <c r="X1167" s="9" t="n"/>
      <c r="Y1167" s="9" t="n"/>
      <c r="Z1167" s="9" t="n"/>
    </row>
    <row r="1168" ht="14.25" customHeight="1" s="37">
      <c r="A1168" s="9">
        <f>IF(C1168="","","UM"&amp;TEXT(ROW()-1,"00000"))</f>
        <v/>
      </c>
      <c r="B1168" s="9" t="n"/>
      <c r="C1168" s="9" t="n"/>
      <c r="D1168" s="9" t="n"/>
      <c r="E1168" s="9" t="n"/>
      <c r="F1168" s="9">
        <f>IF(E1168="","",DATEDIF(E1168,DATE(2026,12,31),"Y"))</f>
        <v/>
      </c>
      <c r="G1168" s="9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  <c r="R1168" s="9" t="n"/>
      <c r="S1168" s="9" t="n"/>
      <c r="T1168" s="9" t="n"/>
      <c r="U1168" s="9" t="n"/>
      <c r="V1168" s="9" t="n"/>
      <c r="W1168" s="9" t="n"/>
      <c r="X1168" s="9" t="n"/>
      <c r="Y1168" s="9" t="n"/>
      <c r="Z1168" s="9" t="n"/>
    </row>
    <row r="1169" ht="14.25" customHeight="1" s="37">
      <c r="A1169" s="9">
        <f>IF(C1169="","","UM"&amp;TEXT(ROW()-1,"00000"))</f>
        <v/>
      </c>
      <c r="B1169" s="9" t="n"/>
      <c r="C1169" s="9" t="n"/>
      <c r="D1169" s="9" t="n"/>
      <c r="E1169" s="9" t="n"/>
      <c r="F1169" s="9">
        <f>IF(E1169="","",DATEDIF(E1169,DATE(2026,12,31),"Y"))</f>
        <v/>
      </c>
      <c r="G1169" s="9" t="n"/>
      <c r="H1169" s="9" t="n"/>
      <c r="I1169" s="9" t="n"/>
      <c r="J1169" s="9" t="n"/>
      <c r="K1169" s="9" t="n"/>
      <c r="L1169" s="9" t="n"/>
      <c r="M1169" s="9" t="n"/>
      <c r="N1169" s="9" t="n"/>
      <c r="O1169" s="9" t="n"/>
      <c r="P1169" s="9" t="n"/>
      <c r="Q1169" s="9" t="n"/>
      <c r="R1169" s="9" t="n"/>
      <c r="S1169" s="9" t="n"/>
      <c r="T1169" s="9" t="n"/>
      <c r="U1169" s="9" t="n"/>
      <c r="V1169" s="9" t="n"/>
      <c r="W1169" s="9" t="n"/>
      <c r="X1169" s="9" t="n"/>
      <c r="Y1169" s="9" t="n"/>
      <c r="Z1169" s="9" t="n"/>
    </row>
    <row r="1170" ht="14.25" customHeight="1" s="37">
      <c r="A1170" s="9">
        <f>IF(C1170="","","UM"&amp;TEXT(ROW()-1,"00000"))</f>
        <v/>
      </c>
      <c r="B1170" s="9" t="n"/>
      <c r="C1170" s="9" t="n"/>
      <c r="D1170" s="9" t="n"/>
      <c r="E1170" s="9" t="n"/>
      <c r="F1170" s="9">
        <f>IF(E1170="","",DATEDIF(E1170,DATE(2026,12,31),"Y"))</f>
        <v/>
      </c>
      <c r="G1170" s="9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  <c r="R1170" s="9" t="n"/>
      <c r="S1170" s="9" t="n"/>
      <c r="T1170" s="9" t="n"/>
      <c r="U1170" s="9" t="n"/>
      <c r="V1170" s="9" t="n"/>
      <c r="W1170" s="9" t="n"/>
      <c r="X1170" s="9" t="n"/>
      <c r="Y1170" s="9" t="n"/>
      <c r="Z1170" s="9" t="n"/>
    </row>
    <row r="1171" ht="14.25" customHeight="1" s="37">
      <c r="A1171" s="9">
        <f>IF(C1171="","","UM"&amp;TEXT(ROW()-1,"00000"))</f>
        <v/>
      </c>
      <c r="B1171" s="9" t="n"/>
      <c r="C1171" s="9" t="n"/>
      <c r="D1171" s="9" t="n"/>
      <c r="E1171" s="9" t="n"/>
      <c r="F1171" s="9">
        <f>IF(E1171="","",DATEDIF(E1171,DATE(2026,12,31),"Y"))</f>
        <v/>
      </c>
      <c r="G1171" s="9" t="n"/>
      <c r="H1171" s="9" t="n"/>
      <c r="I1171" s="9" t="n"/>
      <c r="J1171" s="9" t="n"/>
      <c r="K1171" s="9" t="n"/>
      <c r="L1171" s="9" t="n"/>
      <c r="M1171" s="9" t="n"/>
      <c r="N1171" s="9" t="n"/>
      <c r="O1171" s="9" t="n"/>
      <c r="P1171" s="9" t="n"/>
      <c r="Q1171" s="9" t="n"/>
      <c r="R1171" s="9" t="n"/>
      <c r="S1171" s="9" t="n"/>
      <c r="T1171" s="9" t="n"/>
      <c r="U1171" s="9" t="n"/>
      <c r="V1171" s="9" t="n"/>
      <c r="W1171" s="9" t="n"/>
      <c r="X1171" s="9" t="n"/>
      <c r="Y1171" s="9" t="n"/>
      <c r="Z1171" s="9" t="n"/>
    </row>
    <row r="1172" ht="14.25" customHeight="1" s="37">
      <c r="A1172" s="9">
        <f>IF(C1172="","","UM"&amp;TEXT(ROW()-1,"00000"))</f>
        <v/>
      </c>
      <c r="B1172" s="9" t="n"/>
      <c r="C1172" s="9" t="n"/>
      <c r="D1172" s="9" t="n"/>
      <c r="E1172" s="9" t="n"/>
      <c r="F1172" s="9">
        <f>IF(E1172="","",DATEDIF(E1172,DATE(2026,12,31),"Y"))</f>
        <v/>
      </c>
      <c r="G1172" s="9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  <c r="R1172" s="9" t="n"/>
      <c r="S1172" s="9" t="n"/>
      <c r="T1172" s="9" t="n"/>
      <c r="U1172" s="9" t="n"/>
      <c r="V1172" s="9" t="n"/>
      <c r="W1172" s="9" t="n"/>
      <c r="X1172" s="9" t="n"/>
      <c r="Y1172" s="9" t="n"/>
      <c r="Z1172" s="9" t="n"/>
    </row>
    <row r="1173" ht="14.25" customHeight="1" s="37">
      <c r="A1173" s="9">
        <f>IF(C1173="","","UM"&amp;TEXT(ROW()-1,"00000"))</f>
        <v/>
      </c>
      <c r="B1173" s="9" t="n"/>
      <c r="C1173" s="9" t="n"/>
      <c r="D1173" s="9" t="n"/>
      <c r="E1173" s="9" t="n"/>
      <c r="F1173" s="9">
        <f>IF(E1173="","",DATEDIF(E1173,DATE(2026,12,31),"Y"))</f>
        <v/>
      </c>
      <c r="G1173" s="9" t="n"/>
      <c r="H1173" s="9" t="n"/>
      <c r="I1173" s="9" t="n"/>
      <c r="J1173" s="9" t="n"/>
      <c r="K1173" s="9" t="n"/>
      <c r="L1173" s="9" t="n"/>
      <c r="M1173" s="9" t="n"/>
      <c r="N1173" s="9" t="n"/>
      <c r="O1173" s="9" t="n"/>
      <c r="P1173" s="9" t="n"/>
      <c r="Q1173" s="9" t="n"/>
      <c r="R1173" s="9" t="n"/>
      <c r="S1173" s="9" t="n"/>
      <c r="T1173" s="9" t="n"/>
      <c r="U1173" s="9" t="n"/>
      <c r="V1173" s="9" t="n"/>
      <c r="W1173" s="9" t="n"/>
      <c r="X1173" s="9" t="n"/>
      <c r="Y1173" s="9" t="n"/>
      <c r="Z1173" s="9" t="n"/>
    </row>
    <row r="1174" ht="14.25" customHeight="1" s="37">
      <c r="A1174" s="9">
        <f>IF(C1174="","","UM"&amp;TEXT(ROW()-1,"00000"))</f>
        <v/>
      </c>
      <c r="B1174" s="9" t="n"/>
      <c r="C1174" s="9" t="n"/>
      <c r="D1174" s="9" t="n"/>
      <c r="E1174" s="9" t="n"/>
      <c r="F1174" s="9">
        <f>IF(E1174="","",DATEDIF(E1174,DATE(2026,12,31),"Y"))</f>
        <v/>
      </c>
      <c r="G1174" s="9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  <c r="R1174" s="9" t="n"/>
      <c r="S1174" s="9" t="n"/>
      <c r="T1174" s="9" t="n"/>
      <c r="U1174" s="9" t="n"/>
      <c r="V1174" s="9" t="n"/>
      <c r="W1174" s="9" t="n"/>
      <c r="X1174" s="9" t="n"/>
      <c r="Y1174" s="9" t="n"/>
      <c r="Z1174" s="9" t="n"/>
    </row>
    <row r="1175" ht="14.25" customHeight="1" s="37">
      <c r="A1175" s="9">
        <f>IF(C1175="","","UM"&amp;TEXT(ROW()-1,"00000"))</f>
        <v/>
      </c>
      <c r="B1175" s="9" t="n"/>
      <c r="C1175" s="9" t="n"/>
      <c r="D1175" s="9" t="n"/>
      <c r="E1175" s="9" t="n"/>
      <c r="F1175" s="9">
        <f>IF(E1175="","",DATEDIF(E1175,DATE(2026,12,31),"Y"))</f>
        <v/>
      </c>
      <c r="G1175" s="9" t="n"/>
      <c r="H1175" s="9" t="n"/>
      <c r="I1175" s="9" t="n"/>
      <c r="J1175" s="9" t="n"/>
      <c r="K1175" s="9" t="n"/>
      <c r="L1175" s="9" t="n"/>
      <c r="M1175" s="9" t="n"/>
      <c r="N1175" s="9" t="n"/>
      <c r="O1175" s="9" t="n"/>
      <c r="P1175" s="9" t="n"/>
      <c r="Q1175" s="9" t="n"/>
      <c r="R1175" s="9" t="n"/>
      <c r="S1175" s="9" t="n"/>
      <c r="T1175" s="9" t="n"/>
      <c r="U1175" s="9" t="n"/>
      <c r="V1175" s="9" t="n"/>
      <c r="W1175" s="9" t="n"/>
      <c r="X1175" s="9" t="n"/>
      <c r="Y1175" s="9" t="n"/>
      <c r="Z1175" s="9" t="n"/>
    </row>
    <row r="1176" ht="14.25" customHeight="1" s="37">
      <c r="A1176" s="9">
        <f>IF(C1176="","","UM"&amp;TEXT(ROW()-1,"00000"))</f>
        <v/>
      </c>
      <c r="B1176" s="9" t="n"/>
      <c r="C1176" s="9" t="n"/>
      <c r="D1176" s="9" t="n"/>
      <c r="E1176" s="9" t="n"/>
      <c r="F1176" s="9">
        <f>IF(E1176="","",DATEDIF(E1176,DATE(2026,12,31),"Y"))</f>
        <v/>
      </c>
      <c r="G1176" s="9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  <c r="R1176" s="9" t="n"/>
      <c r="S1176" s="9" t="n"/>
      <c r="T1176" s="9" t="n"/>
      <c r="U1176" s="9" t="n"/>
      <c r="V1176" s="9" t="n"/>
      <c r="W1176" s="9" t="n"/>
      <c r="X1176" s="9" t="n"/>
      <c r="Y1176" s="9" t="n"/>
      <c r="Z1176" s="9" t="n"/>
    </row>
    <row r="1177" ht="14.25" customHeight="1" s="37">
      <c r="A1177" s="9">
        <f>IF(C1177="","","UM"&amp;TEXT(ROW()-1,"00000"))</f>
        <v/>
      </c>
      <c r="B1177" s="9" t="n"/>
      <c r="C1177" s="9" t="n"/>
      <c r="D1177" s="9" t="n"/>
      <c r="E1177" s="9" t="n"/>
      <c r="F1177" s="9">
        <f>IF(E1177="","",DATEDIF(E1177,DATE(2026,12,31),"Y"))</f>
        <v/>
      </c>
      <c r="G1177" s="9" t="n"/>
      <c r="H1177" s="9" t="n"/>
      <c r="I1177" s="9" t="n"/>
      <c r="J1177" s="9" t="n"/>
      <c r="K1177" s="9" t="n"/>
      <c r="L1177" s="9" t="n"/>
      <c r="M1177" s="9" t="n"/>
      <c r="N1177" s="9" t="n"/>
      <c r="O1177" s="9" t="n"/>
      <c r="P1177" s="9" t="n"/>
      <c r="Q1177" s="9" t="n"/>
      <c r="R1177" s="9" t="n"/>
      <c r="S1177" s="9" t="n"/>
      <c r="T1177" s="9" t="n"/>
      <c r="U1177" s="9" t="n"/>
      <c r="V1177" s="9" t="n"/>
      <c r="W1177" s="9" t="n"/>
      <c r="X1177" s="9" t="n"/>
      <c r="Y1177" s="9" t="n"/>
      <c r="Z1177" s="9" t="n"/>
    </row>
    <row r="1178" ht="14.25" customHeight="1" s="37">
      <c r="A1178" s="9">
        <f>IF(C1178="","","UM"&amp;TEXT(ROW()-1,"00000"))</f>
        <v/>
      </c>
      <c r="B1178" s="9" t="n"/>
      <c r="C1178" s="9" t="n"/>
      <c r="D1178" s="9" t="n"/>
      <c r="E1178" s="9" t="n"/>
      <c r="F1178" s="9">
        <f>IF(E1178="","",DATEDIF(E1178,DATE(2026,12,31),"Y"))</f>
        <v/>
      </c>
      <c r="G1178" s="9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  <c r="R1178" s="9" t="n"/>
      <c r="S1178" s="9" t="n"/>
      <c r="T1178" s="9" t="n"/>
      <c r="U1178" s="9" t="n"/>
      <c r="V1178" s="9" t="n"/>
      <c r="W1178" s="9" t="n"/>
      <c r="X1178" s="9" t="n"/>
      <c r="Y1178" s="9" t="n"/>
      <c r="Z1178" s="9" t="n"/>
    </row>
    <row r="1179" ht="14.25" customHeight="1" s="37">
      <c r="A1179" s="9">
        <f>IF(C1179="","","UM"&amp;TEXT(ROW()-1,"00000"))</f>
        <v/>
      </c>
      <c r="B1179" s="9" t="n"/>
      <c r="C1179" s="9" t="n"/>
      <c r="D1179" s="9" t="n"/>
      <c r="E1179" s="9" t="n"/>
      <c r="F1179" s="9">
        <f>IF(E1179="","",DATEDIF(E1179,DATE(2026,12,31),"Y"))</f>
        <v/>
      </c>
      <c r="G1179" s="9" t="n"/>
      <c r="H1179" s="9" t="n"/>
      <c r="I1179" s="9" t="n"/>
      <c r="J1179" s="9" t="n"/>
      <c r="K1179" s="9" t="n"/>
      <c r="L1179" s="9" t="n"/>
      <c r="M1179" s="9" t="n"/>
      <c r="N1179" s="9" t="n"/>
      <c r="O1179" s="9" t="n"/>
      <c r="P1179" s="9" t="n"/>
      <c r="Q1179" s="9" t="n"/>
      <c r="R1179" s="9" t="n"/>
      <c r="S1179" s="9" t="n"/>
      <c r="T1179" s="9" t="n"/>
      <c r="U1179" s="9" t="n"/>
      <c r="V1179" s="9" t="n"/>
      <c r="W1179" s="9" t="n"/>
      <c r="X1179" s="9" t="n"/>
      <c r="Y1179" s="9" t="n"/>
      <c r="Z1179" s="9" t="n"/>
    </row>
    <row r="1180" ht="14.25" customHeight="1" s="37">
      <c r="A1180" s="9">
        <f>IF(C1180="","","UM"&amp;TEXT(ROW()-1,"00000"))</f>
        <v/>
      </c>
      <c r="B1180" s="9" t="n"/>
      <c r="C1180" s="9" t="n"/>
      <c r="D1180" s="9" t="n"/>
      <c r="E1180" s="9" t="n"/>
      <c r="F1180" s="9">
        <f>IF(E1180="","",DATEDIF(E1180,DATE(2026,12,31),"Y"))</f>
        <v/>
      </c>
      <c r="G1180" s="9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  <c r="R1180" s="9" t="n"/>
      <c r="S1180" s="9" t="n"/>
      <c r="T1180" s="9" t="n"/>
      <c r="U1180" s="9" t="n"/>
      <c r="V1180" s="9" t="n"/>
      <c r="W1180" s="9" t="n"/>
      <c r="X1180" s="9" t="n"/>
      <c r="Y1180" s="9" t="n"/>
      <c r="Z1180" s="9" t="n"/>
    </row>
    <row r="1181" ht="14.25" customHeight="1" s="37">
      <c r="A1181" s="9">
        <f>IF(C1181="","","UM"&amp;TEXT(ROW()-1,"00000"))</f>
        <v/>
      </c>
      <c r="B1181" s="9" t="n"/>
      <c r="C1181" s="9" t="n"/>
      <c r="D1181" s="9" t="n"/>
      <c r="E1181" s="9" t="n"/>
      <c r="F1181" s="9">
        <f>IF(E1181="","",DATEDIF(E1181,DATE(2026,12,31),"Y"))</f>
        <v/>
      </c>
      <c r="G1181" s="9" t="n"/>
      <c r="H1181" s="9" t="n"/>
      <c r="I1181" s="9" t="n"/>
      <c r="J1181" s="9" t="n"/>
      <c r="K1181" s="9" t="n"/>
      <c r="L1181" s="9" t="n"/>
      <c r="M1181" s="9" t="n"/>
      <c r="N1181" s="9" t="n"/>
      <c r="O1181" s="9" t="n"/>
      <c r="P1181" s="9" t="n"/>
      <c r="Q1181" s="9" t="n"/>
      <c r="R1181" s="9" t="n"/>
      <c r="S1181" s="9" t="n"/>
      <c r="T1181" s="9" t="n"/>
      <c r="U1181" s="9" t="n"/>
      <c r="V1181" s="9" t="n"/>
      <c r="W1181" s="9" t="n"/>
      <c r="X1181" s="9" t="n"/>
      <c r="Y1181" s="9" t="n"/>
      <c r="Z1181" s="9" t="n"/>
    </row>
    <row r="1182" ht="14.25" customHeight="1" s="37">
      <c r="A1182" s="9">
        <f>IF(C1182="","","UM"&amp;TEXT(ROW()-1,"00000"))</f>
        <v/>
      </c>
      <c r="B1182" s="9" t="n"/>
      <c r="C1182" s="9" t="n"/>
      <c r="D1182" s="9" t="n"/>
      <c r="E1182" s="9" t="n"/>
      <c r="F1182" s="9">
        <f>IF(E1182="","",DATEDIF(E1182,DATE(2026,12,31),"Y"))</f>
        <v/>
      </c>
      <c r="G1182" s="9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  <c r="R1182" s="9" t="n"/>
      <c r="S1182" s="9" t="n"/>
      <c r="T1182" s="9" t="n"/>
      <c r="U1182" s="9" t="n"/>
      <c r="V1182" s="9" t="n"/>
      <c r="W1182" s="9" t="n"/>
      <c r="X1182" s="9" t="n"/>
      <c r="Y1182" s="9" t="n"/>
      <c r="Z1182" s="9" t="n"/>
    </row>
    <row r="1183" ht="14.25" customHeight="1" s="37">
      <c r="A1183" s="9">
        <f>IF(C1183="","","UM"&amp;TEXT(ROW()-1,"00000"))</f>
        <v/>
      </c>
      <c r="B1183" s="9" t="n"/>
      <c r="C1183" s="9" t="n"/>
      <c r="D1183" s="9" t="n"/>
      <c r="E1183" s="9" t="n"/>
      <c r="F1183" s="9">
        <f>IF(E1183="","",DATEDIF(E1183,DATE(2026,12,31),"Y"))</f>
        <v/>
      </c>
      <c r="G1183" s="9" t="n"/>
      <c r="H1183" s="9" t="n"/>
      <c r="I1183" s="9" t="n"/>
      <c r="J1183" s="9" t="n"/>
      <c r="K1183" s="9" t="n"/>
      <c r="L1183" s="9" t="n"/>
      <c r="M1183" s="9" t="n"/>
      <c r="N1183" s="9" t="n"/>
      <c r="O1183" s="9" t="n"/>
      <c r="P1183" s="9" t="n"/>
      <c r="Q1183" s="9" t="n"/>
      <c r="R1183" s="9" t="n"/>
      <c r="S1183" s="9" t="n"/>
      <c r="T1183" s="9" t="n"/>
      <c r="U1183" s="9" t="n"/>
      <c r="V1183" s="9" t="n"/>
      <c r="W1183" s="9" t="n"/>
      <c r="X1183" s="9" t="n"/>
      <c r="Y1183" s="9" t="n"/>
      <c r="Z1183" s="9" t="n"/>
    </row>
    <row r="1184" ht="14.25" customHeight="1" s="37">
      <c r="A1184" s="9">
        <f>IF(C1184="","","UM"&amp;TEXT(ROW()-1,"00000"))</f>
        <v/>
      </c>
      <c r="B1184" s="9" t="n"/>
      <c r="C1184" s="9" t="n"/>
      <c r="D1184" s="9" t="n"/>
      <c r="E1184" s="9" t="n"/>
      <c r="F1184" s="9">
        <f>IF(E1184="","",DATEDIF(E1184,DATE(2026,12,31),"Y"))</f>
        <v/>
      </c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  <c r="R1184" s="9" t="n"/>
      <c r="S1184" s="9" t="n"/>
      <c r="T1184" s="9" t="n"/>
      <c r="U1184" s="9" t="n"/>
      <c r="V1184" s="9" t="n"/>
      <c r="W1184" s="9" t="n"/>
      <c r="X1184" s="9" t="n"/>
      <c r="Y1184" s="9" t="n"/>
      <c r="Z1184" s="9" t="n"/>
    </row>
    <row r="1185" ht="14.25" customHeight="1" s="37">
      <c r="A1185" s="9">
        <f>IF(C1185="","","UM"&amp;TEXT(ROW()-1,"00000"))</f>
        <v/>
      </c>
      <c r="B1185" s="9" t="n"/>
      <c r="C1185" s="9" t="n"/>
      <c r="D1185" s="9" t="n"/>
      <c r="E1185" s="9" t="n"/>
      <c r="F1185" s="9">
        <f>IF(E1185="","",DATEDIF(E1185,DATE(2026,12,31),"Y"))</f>
        <v/>
      </c>
      <c r="G1185" s="9" t="n"/>
      <c r="H1185" s="9" t="n"/>
      <c r="I1185" s="9" t="n"/>
      <c r="J1185" s="9" t="n"/>
      <c r="K1185" s="9" t="n"/>
      <c r="L1185" s="9" t="n"/>
      <c r="M1185" s="9" t="n"/>
      <c r="N1185" s="9" t="n"/>
      <c r="O1185" s="9" t="n"/>
      <c r="P1185" s="9" t="n"/>
      <c r="Q1185" s="9" t="n"/>
      <c r="R1185" s="9" t="n"/>
      <c r="S1185" s="9" t="n"/>
      <c r="T1185" s="9" t="n"/>
      <c r="U1185" s="9" t="n"/>
      <c r="V1185" s="9" t="n"/>
      <c r="W1185" s="9" t="n"/>
      <c r="X1185" s="9" t="n"/>
      <c r="Y1185" s="9" t="n"/>
      <c r="Z1185" s="9" t="n"/>
    </row>
    <row r="1186" ht="14.25" customHeight="1" s="37">
      <c r="A1186" s="9">
        <f>IF(C1186="","","UM"&amp;TEXT(ROW()-1,"00000"))</f>
        <v/>
      </c>
      <c r="B1186" s="9" t="n"/>
      <c r="C1186" s="9" t="n"/>
      <c r="D1186" s="9" t="n"/>
      <c r="E1186" s="9" t="n"/>
      <c r="F1186" s="9">
        <f>IF(E1186="","",DATEDIF(E1186,DATE(2026,12,31),"Y"))</f>
        <v/>
      </c>
      <c r="G1186" s="9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  <c r="R1186" s="9" t="n"/>
      <c r="S1186" s="9" t="n"/>
      <c r="T1186" s="9" t="n"/>
      <c r="U1186" s="9" t="n"/>
      <c r="V1186" s="9" t="n"/>
      <c r="W1186" s="9" t="n"/>
      <c r="X1186" s="9" t="n"/>
      <c r="Y1186" s="9" t="n"/>
      <c r="Z1186" s="9" t="n"/>
    </row>
    <row r="1187" ht="14.25" customHeight="1" s="37">
      <c r="A1187" s="9">
        <f>IF(C1187="","","UM"&amp;TEXT(ROW()-1,"00000"))</f>
        <v/>
      </c>
      <c r="B1187" s="9" t="n"/>
      <c r="C1187" s="9" t="n"/>
      <c r="D1187" s="9" t="n"/>
      <c r="E1187" s="9" t="n"/>
      <c r="F1187" s="9">
        <f>IF(E1187="","",DATEDIF(E1187,DATE(2026,12,31),"Y"))</f>
        <v/>
      </c>
      <c r="G1187" s="9" t="n"/>
      <c r="H1187" s="9" t="n"/>
      <c r="I1187" s="9" t="n"/>
      <c r="J1187" s="9" t="n"/>
      <c r="K1187" s="9" t="n"/>
      <c r="L1187" s="9" t="n"/>
      <c r="M1187" s="9" t="n"/>
      <c r="N1187" s="9" t="n"/>
      <c r="O1187" s="9" t="n"/>
      <c r="P1187" s="9" t="n"/>
      <c r="Q1187" s="9" t="n"/>
      <c r="R1187" s="9" t="n"/>
      <c r="S1187" s="9" t="n"/>
      <c r="T1187" s="9" t="n"/>
      <c r="U1187" s="9" t="n"/>
      <c r="V1187" s="9" t="n"/>
      <c r="W1187" s="9" t="n"/>
      <c r="X1187" s="9" t="n"/>
      <c r="Y1187" s="9" t="n"/>
      <c r="Z1187" s="9" t="n"/>
    </row>
    <row r="1188" ht="14.25" customHeight="1" s="37">
      <c r="A1188" s="9">
        <f>IF(C1188="","","UM"&amp;TEXT(ROW()-1,"00000"))</f>
        <v/>
      </c>
      <c r="B1188" s="9" t="n"/>
      <c r="C1188" s="9" t="n"/>
      <c r="D1188" s="9" t="n"/>
      <c r="E1188" s="9" t="n"/>
      <c r="F1188" s="9">
        <f>IF(E1188="","",DATEDIF(E1188,DATE(2026,12,31),"Y"))</f>
        <v/>
      </c>
      <c r="G1188" s="9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  <c r="R1188" s="9" t="n"/>
      <c r="S1188" s="9" t="n"/>
      <c r="T1188" s="9" t="n"/>
      <c r="U1188" s="9" t="n"/>
      <c r="V1188" s="9" t="n"/>
      <c r="W1188" s="9" t="n"/>
      <c r="X1188" s="9" t="n"/>
      <c r="Y1188" s="9" t="n"/>
      <c r="Z1188" s="9" t="n"/>
    </row>
    <row r="1189" ht="14.25" customHeight="1" s="37">
      <c r="A1189" s="9">
        <f>IF(C1189="","","UM"&amp;TEXT(ROW()-1,"00000"))</f>
        <v/>
      </c>
      <c r="B1189" s="9" t="n"/>
      <c r="C1189" s="9" t="n"/>
      <c r="D1189" s="9" t="n"/>
      <c r="E1189" s="9" t="n"/>
      <c r="F1189" s="9">
        <f>IF(E1189="","",DATEDIF(E1189,DATE(2026,12,31),"Y"))</f>
        <v/>
      </c>
      <c r="G1189" s="9" t="n"/>
      <c r="H1189" s="9" t="n"/>
      <c r="I1189" s="9" t="n"/>
      <c r="J1189" s="9" t="n"/>
      <c r="K1189" s="9" t="n"/>
      <c r="L1189" s="9" t="n"/>
      <c r="M1189" s="9" t="n"/>
      <c r="N1189" s="9" t="n"/>
      <c r="O1189" s="9" t="n"/>
      <c r="P1189" s="9" t="n"/>
      <c r="Q1189" s="9" t="n"/>
      <c r="R1189" s="9" t="n"/>
      <c r="S1189" s="9" t="n"/>
      <c r="T1189" s="9" t="n"/>
      <c r="U1189" s="9" t="n"/>
      <c r="V1189" s="9" t="n"/>
      <c r="W1189" s="9" t="n"/>
      <c r="X1189" s="9" t="n"/>
      <c r="Y1189" s="9" t="n"/>
      <c r="Z1189" s="9" t="n"/>
    </row>
    <row r="1190" ht="14.25" customHeight="1" s="37">
      <c r="A1190" s="9">
        <f>IF(C1190="","","UM"&amp;TEXT(ROW()-1,"00000"))</f>
        <v/>
      </c>
      <c r="B1190" s="9" t="n"/>
      <c r="C1190" s="9" t="n"/>
      <c r="D1190" s="9" t="n"/>
      <c r="E1190" s="9" t="n"/>
      <c r="F1190" s="9">
        <f>IF(E1190="","",DATEDIF(E1190,DATE(2026,12,31),"Y"))</f>
        <v/>
      </c>
      <c r="G1190" s="9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  <c r="R1190" s="9" t="n"/>
      <c r="S1190" s="9" t="n"/>
      <c r="T1190" s="9" t="n"/>
      <c r="U1190" s="9" t="n"/>
      <c r="V1190" s="9" t="n"/>
      <c r="W1190" s="9" t="n"/>
      <c r="X1190" s="9" t="n"/>
      <c r="Y1190" s="9" t="n"/>
      <c r="Z1190" s="9" t="n"/>
    </row>
    <row r="1191" ht="14.25" customHeight="1" s="37">
      <c r="A1191" s="9">
        <f>IF(C1191="","","UM"&amp;TEXT(ROW()-1,"00000"))</f>
        <v/>
      </c>
      <c r="B1191" s="9" t="n"/>
      <c r="C1191" s="9" t="n"/>
      <c r="D1191" s="9" t="n"/>
      <c r="E1191" s="9" t="n"/>
      <c r="F1191" s="9">
        <f>IF(E1191="","",DATEDIF(E1191,DATE(2026,12,31),"Y"))</f>
        <v/>
      </c>
      <c r="G1191" s="9" t="n"/>
      <c r="H1191" s="9" t="n"/>
      <c r="I1191" s="9" t="n"/>
      <c r="J1191" s="9" t="n"/>
      <c r="K1191" s="9" t="n"/>
      <c r="L1191" s="9" t="n"/>
      <c r="M1191" s="9" t="n"/>
      <c r="N1191" s="9" t="n"/>
      <c r="O1191" s="9" t="n"/>
      <c r="P1191" s="9" t="n"/>
      <c r="Q1191" s="9" t="n"/>
      <c r="R1191" s="9" t="n"/>
      <c r="S1191" s="9" t="n"/>
      <c r="T1191" s="9" t="n"/>
      <c r="U1191" s="9" t="n"/>
      <c r="V1191" s="9" t="n"/>
      <c r="W1191" s="9" t="n"/>
      <c r="X1191" s="9" t="n"/>
      <c r="Y1191" s="9" t="n"/>
      <c r="Z1191" s="9" t="n"/>
    </row>
    <row r="1192" ht="14.25" customHeight="1" s="37">
      <c r="A1192" s="9">
        <f>IF(C1192="","","UM"&amp;TEXT(ROW()-1,"00000"))</f>
        <v/>
      </c>
      <c r="B1192" s="9" t="n"/>
      <c r="C1192" s="9" t="n"/>
      <c r="D1192" s="9" t="n"/>
      <c r="E1192" s="9" t="n"/>
      <c r="F1192" s="9">
        <f>IF(E1192="","",DATEDIF(E1192,DATE(2026,12,31),"Y"))</f>
        <v/>
      </c>
      <c r="G1192" s="9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  <c r="R1192" s="9" t="n"/>
      <c r="S1192" s="9" t="n"/>
      <c r="T1192" s="9" t="n"/>
      <c r="U1192" s="9" t="n"/>
      <c r="V1192" s="9" t="n"/>
      <c r="W1192" s="9" t="n"/>
      <c r="X1192" s="9" t="n"/>
      <c r="Y1192" s="9" t="n"/>
      <c r="Z1192" s="9" t="n"/>
    </row>
    <row r="1193" ht="14.25" customHeight="1" s="37">
      <c r="A1193" s="9">
        <f>IF(C1193="","","UM"&amp;TEXT(ROW()-1,"00000"))</f>
        <v/>
      </c>
      <c r="B1193" s="9" t="n"/>
      <c r="C1193" s="9" t="n"/>
      <c r="D1193" s="9" t="n"/>
      <c r="E1193" s="9" t="n"/>
      <c r="F1193" s="9">
        <f>IF(E1193="","",DATEDIF(E1193,DATE(2026,12,31),"Y"))</f>
        <v/>
      </c>
      <c r="G1193" s="9" t="n"/>
      <c r="H1193" s="9" t="n"/>
      <c r="I1193" s="9" t="n"/>
      <c r="J1193" s="9" t="n"/>
      <c r="K1193" s="9" t="n"/>
      <c r="L1193" s="9" t="n"/>
      <c r="M1193" s="9" t="n"/>
      <c r="N1193" s="9" t="n"/>
      <c r="O1193" s="9" t="n"/>
      <c r="P1193" s="9" t="n"/>
      <c r="Q1193" s="9" t="n"/>
      <c r="R1193" s="9" t="n"/>
      <c r="S1193" s="9" t="n"/>
      <c r="T1193" s="9" t="n"/>
      <c r="U1193" s="9" t="n"/>
      <c r="V1193" s="9" t="n"/>
      <c r="W1193" s="9" t="n"/>
      <c r="X1193" s="9" t="n"/>
      <c r="Y1193" s="9" t="n"/>
      <c r="Z1193" s="9" t="n"/>
    </row>
    <row r="1194" ht="14.25" customHeight="1" s="37">
      <c r="A1194" s="9">
        <f>IF(C1194="","","UM"&amp;TEXT(ROW()-1,"00000"))</f>
        <v/>
      </c>
      <c r="B1194" s="9" t="n"/>
      <c r="C1194" s="9" t="n"/>
      <c r="D1194" s="9" t="n"/>
      <c r="E1194" s="9" t="n"/>
      <c r="F1194" s="9">
        <f>IF(E1194="","",DATEDIF(E1194,DATE(2026,12,31),"Y"))</f>
        <v/>
      </c>
      <c r="G1194" s="9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  <c r="R1194" s="9" t="n"/>
      <c r="S1194" s="9" t="n"/>
      <c r="T1194" s="9" t="n"/>
      <c r="U1194" s="9" t="n"/>
      <c r="V1194" s="9" t="n"/>
      <c r="W1194" s="9" t="n"/>
      <c r="X1194" s="9" t="n"/>
      <c r="Y1194" s="9" t="n"/>
      <c r="Z1194" s="9" t="n"/>
    </row>
    <row r="1195" ht="14.25" customHeight="1" s="37">
      <c r="A1195" s="9">
        <f>IF(C1195="","","UM"&amp;TEXT(ROW()-1,"00000"))</f>
        <v/>
      </c>
      <c r="B1195" s="9" t="n"/>
      <c r="C1195" s="9" t="n"/>
      <c r="D1195" s="9" t="n"/>
      <c r="E1195" s="9" t="n"/>
      <c r="F1195" s="9">
        <f>IF(E1195="","",DATEDIF(E1195,DATE(2026,12,31),"Y"))</f>
        <v/>
      </c>
      <c r="G1195" s="9" t="n"/>
      <c r="H1195" s="9" t="n"/>
      <c r="I1195" s="9" t="n"/>
      <c r="J1195" s="9" t="n"/>
      <c r="K1195" s="9" t="n"/>
      <c r="L1195" s="9" t="n"/>
      <c r="M1195" s="9" t="n"/>
      <c r="N1195" s="9" t="n"/>
      <c r="O1195" s="9" t="n"/>
      <c r="P1195" s="9" t="n"/>
      <c r="Q1195" s="9" t="n"/>
      <c r="R1195" s="9" t="n"/>
      <c r="S1195" s="9" t="n"/>
      <c r="T1195" s="9" t="n"/>
      <c r="U1195" s="9" t="n"/>
      <c r="V1195" s="9" t="n"/>
      <c r="W1195" s="9" t="n"/>
      <c r="X1195" s="9" t="n"/>
      <c r="Y1195" s="9" t="n"/>
      <c r="Z1195" s="9" t="n"/>
    </row>
    <row r="1196" ht="14.25" customHeight="1" s="37">
      <c r="A1196" s="9">
        <f>IF(C1196="","","UM"&amp;TEXT(ROW()-1,"00000"))</f>
        <v/>
      </c>
      <c r="B1196" s="9" t="n"/>
      <c r="C1196" s="9" t="n"/>
      <c r="D1196" s="9" t="n"/>
      <c r="E1196" s="9" t="n"/>
      <c r="F1196" s="9">
        <f>IF(E1196="","",DATEDIF(E1196,DATE(2026,12,31),"Y"))</f>
        <v/>
      </c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  <c r="R1196" s="9" t="n"/>
      <c r="S1196" s="9" t="n"/>
      <c r="T1196" s="9" t="n"/>
      <c r="U1196" s="9" t="n"/>
      <c r="V1196" s="9" t="n"/>
      <c r="W1196" s="9" t="n"/>
      <c r="X1196" s="9" t="n"/>
      <c r="Y1196" s="9" t="n"/>
      <c r="Z1196" s="9" t="n"/>
    </row>
    <row r="1197" ht="14.25" customHeight="1" s="37">
      <c r="A1197" s="9">
        <f>IF(C1197="","","UM"&amp;TEXT(ROW()-1,"00000"))</f>
        <v/>
      </c>
      <c r="B1197" s="9" t="n"/>
      <c r="C1197" s="9" t="n"/>
      <c r="D1197" s="9" t="n"/>
      <c r="E1197" s="9" t="n"/>
      <c r="F1197" s="9">
        <f>IF(E1197="","",DATEDIF(E1197,DATE(2026,12,31),"Y"))</f>
        <v/>
      </c>
      <c r="G1197" s="9" t="n"/>
      <c r="H1197" s="9" t="n"/>
      <c r="I1197" s="9" t="n"/>
      <c r="J1197" s="9" t="n"/>
      <c r="K1197" s="9" t="n"/>
      <c r="L1197" s="9" t="n"/>
      <c r="M1197" s="9" t="n"/>
      <c r="N1197" s="9" t="n"/>
      <c r="O1197" s="9" t="n"/>
      <c r="P1197" s="9" t="n"/>
      <c r="Q1197" s="9" t="n"/>
      <c r="R1197" s="9" t="n"/>
      <c r="S1197" s="9" t="n"/>
      <c r="T1197" s="9" t="n"/>
      <c r="U1197" s="9" t="n"/>
      <c r="V1197" s="9" t="n"/>
      <c r="W1197" s="9" t="n"/>
      <c r="X1197" s="9" t="n"/>
      <c r="Y1197" s="9" t="n"/>
      <c r="Z1197" s="9" t="n"/>
    </row>
    <row r="1198" ht="14.25" customHeight="1" s="37">
      <c r="A1198" s="9">
        <f>IF(C1198="","","UM"&amp;TEXT(ROW()-1,"00000"))</f>
        <v/>
      </c>
      <c r="B1198" s="9" t="n"/>
      <c r="C1198" s="9" t="n"/>
      <c r="D1198" s="9" t="n"/>
      <c r="E1198" s="9" t="n"/>
      <c r="F1198" s="9">
        <f>IF(E1198="","",DATEDIF(E1198,DATE(2026,12,31),"Y"))</f>
        <v/>
      </c>
      <c r="G1198" s="9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  <c r="R1198" s="9" t="n"/>
      <c r="S1198" s="9" t="n"/>
      <c r="T1198" s="9" t="n"/>
      <c r="U1198" s="9" t="n"/>
      <c r="V1198" s="9" t="n"/>
      <c r="W1198" s="9" t="n"/>
      <c r="X1198" s="9" t="n"/>
      <c r="Y1198" s="9" t="n"/>
      <c r="Z1198" s="9" t="n"/>
    </row>
    <row r="1199" ht="14.25" customHeight="1" s="37">
      <c r="A1199" s="9">
        <f>IF(C1199="","","UM"&amp;TEXT(ROW()-1,"00000"))</f>
        <v/>
      </c>
      <c r="B1199" s="9" t="n"/>
      <c r="C1199" s="9" t="n"/>
      <c r="D1199" s="9" t="n"/>
      <c r="E1199" s="9" t="n"/>
      <c r="F1199" s="9">
        <f>IF(E1199="","",DATEDIF(E1199,DATE(2026,12,31),"Y"))</f>
        <v/>
      </c>
      <c r="G1199" s="9" t="n"/>
      <c r="H1199" s="9" t="n"/>
      <c r="I1199" s="9" t="n"/>
      <c r="J1199" s="9" t="n"/>
      <c r="K1199" s="9" t="n"/>
      <c r="L1199" s="9" t="n"/>
      <c r="M1199" s="9" t="n"/>
      <c r="N1199" s="9" t="n"/>
      <c r="O1199" s="9" t="n"/>
      <c r="P1199" s="9" t="n"/>
      <c r="Q1199" s="9" t="n"/>
      <c r="R1199" s="9" t="n"/>
      <c r="S1199" s="9" t="n"/>
      <c r="T1199" s="9" t="n"/>
      <c r="U1199" s="9" t="n"/>
      <c r="V1199" s="9" t="n"/>
      <c r="W1199" s="9" t="n"/>
      <c r="X1199" s="9" t="n"/>
      <c r="Y1199" s="9" t="n"/>
      <c r="Z1199" s="9" t="n"/>
    </row>
    <row r="1200" ht="14.25" customHeight="1" s="37">
      <c r="A1200" s="9">
        <f>IF(C1200="","","UM"&amp;TEXT(ROW()-1,"00000"))</f>
        <v/>
      </c>
      <c r="B1200" s="9" t="n"/>
      <c r="C1200" s="9" t="n"/>
      <c r="D1200" s="9" t="n"/>
      <c r="E1200" s="9" t="n"/>
      <c r="F1200" s="9">
        <f>IF(E1200="","",DATEDIF(E1200,DATE(2026,12,31),"Y"))</f>
        <v/>
      </c>
      <c r="G1200" s="9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  <c r="R1200" s="9" t="n"/>
      <c r="S1200" s="9" t="n"/>
      <c r="T1200" s="9" t="n"/>
      <c r="U1200" s="9" t="n"/>
      <c r="V1200" s="9" t="n"/>
      <c r="W1200" s="9" t="n"/>
      <c r="X1200" s="9" t="n"/>
      <c r="Y1200" s="9" t="n"/>
      <c r="Z1200" s="9" t="n"/>
    </row>
    <row r="1201" ht="14.25" customHeight="1" s="37">
      <c r="A1201" s="9">
        <f>IF(C1201="","","UM"&amp;TEXT(ROW()-1,"00000"))</f>
        <v/>
      </c>
      <c r="B1201" s="9" t="n"/>
      <c r="C1201" s="9" t="n"/>
      <c r="D1201" s="9" t="n"/>
      <c r="E1201" s="9" t="n"/>
      <c r="F1201" s="9">
        <f>IF(E1201="","",DATEDIF(E1201,DATE(2026,12,31),"Y"))</f>
        <v/>
      </c>
      <c r="G1201" s="9" t="n"/>
      <c r="H1201" s="9" t="n"/>
      <c r="I1201" s="9" t="n"/>
      <c r="J1201" s="9" t="n"/>
      <c r="K1201" s="9" t="n"/>
      <c r="L1201" s="9" t="n"/>
      <c r="M1201" s="9" t="n"/>
      <c r="N1201" s="9" t="n"/>
      <c r="O1201" s="9" t="n"/>
      <c r="P1201" s="9" t="n"/>
      <c r="Q1201" s="9" t="n"/>
      <c r="R1201" s="9" t="n"/>
      <c r="S1201" s="9" t="n"/>
      <c r="T1201" s="9" t="n"/>
      <c r="U1201" s="9" t="n"/>
      <c r="V1201" s="9" t="n"/>
      <c r="W1201" s="9" t="n"/>
      <c r="X1201" s="9" t="n"/>
      <c r="Y1201" s="9" t="n"/>
      <c r="Z1201" s="9" t="n"/>
    </row>
    <row r="1202" ht="14.25" customHeight="1" s="37">
      <c r="A1202" s="9">
        <f>IF(C1202="","","UM"&amp;TEXT(ROW()-1,"00000"))</f>
        <v/>
      </c>
      <c r="B1202" s="9" t="n"/>
      <c r="C1202" s="9" t="n"/>
      <c r="D1202" s="9" t="n"/>
      <c r="E1202" s="9" t="n"/>
      <c r="F1202" s="9">
        <f>IF(E1202="","",DATEDIF(E1202,DATE(2026,12,31),"Y"))</f>
        <v/>
      </c>
      <c r="G1202" s="9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  <c r="R1202" s="9" t="n"/>
      <c r="S1202" s="9" t="n"/>
      <c r="T1202" s="9" t="n"/>
      <c r="U1202" s="9" t="n"/>
      <c r="V1202" s="9" t="n"/>
      <c r="W1202" s="9" t="n"/>
      <c r="X1202" s="9" t="n"/>
      <c r="Y1202" s="9" t="n"/>
      <c r="Z1202" s="9" t="n"/>
    </row>
    <row r="1203" ht="14.25" customHeight="1" s="37">
      <c r="A1203" s="9">
        <f>IF(C1203="","","UM"&amp;TEXT(ROW()-1,"00000"))</f>
        <v/>
      </c>
      <c r="B1203" s="9" t="n"/>
      <c r="C1203" s="9" t="n"/>
      <c r="D1203" s="9" t="n"/>
      <c r="E1203" s="9" t="n"/>
      <c r="F1203" s="9">
        <f>IF(E1203="","",DATEDIF(E1203,DATE(2026,12,31),"Y"))</f>
        <v/>
      </c>
      <c r="G1203" s="9" t="n"/>
      <c r="H1203" s="9" t="n"/>
      <c r="I1203" s="9" t="n"/>
      <c r="J1203" s="9" t="n"/>
      <c r="K1203" s="9" t="n"/>
      <c r="L1203" s="9" t="n"/>
      <c r="M1203" s="9" t="n"/>
      <c r="N1203" s="9" t="n"/>
      <c r="O1203" s="9" t="n"/>
      <c r="P1203" s="9" t="n"/>
      <c r="Q1203" s="9" t="n"/>
      <c r="R1203" s="9" t="n"/>
      <c r="S1203" s="9" t="n"/>
      <c r="T1203" s="9" t="n"/>
      <c r="U1203" s="9" t="n"/>
      <c r="V1203" s="9" t="n"/>
      <c r="W1203" s="9" t="n"/>
      <c r="X1203" s="9" t="n"/>
      <c r="Y1203" s="9" t="n"/>
      <c r="Z1203" s="9" t="n"/>
    </row>
    <row r="1204" ht="14.25" customHeight="1" s="37">
      <c r="A1204" s="9">
        <f>IF(C1204="","","UM"&amp;TEXT(ROW()-1,"00000"))</f>
        <v/>
      </c>
      <c r="B1204" s="9" t="n"/>
      <c r="C1204" s="9" t="n"/>
      <c r="D1204" s="9" t="n"/>
      <c r="E1204" s="9" t="n"/>
      <c r="F1204" s="9">
        <f>IF(E1204="","",DATEDIF(E1204,DATE(2026,12,31),"Y"))</f>
        <v/>
      </c>
      <c r="G1204" s="9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  <c r="R1204" s="9" t="n"/>
      <c r="S1204" s="9" t="n"/>
      <c r="T1204" s="9" t="n"/>
      <c r="U1204" s="9" t="n"/>
      <c r="V1204" s="9" t="n"/>
      <c r="W1204" s="9" t="n"/>
      <c r="X1204" s="9" t="n"/>
      <c r="Y1204" s="9" t="n"/>
      <c r="Z1204" s="9" t="n"/>
    </row>
    <row r="1205" ht="14.25" customHeight="1" s="37">
      <c r="A1205" s="9">
        <f>IF(C1205="","","UM"&amp;TEXT(ROW()-1,"00000"))</f>
        <v/>
      </c>
      <c r="B1205" s="9" t="n"/>
      <c r="C1205" s="9" t="n"/>
      <c r="D1205" s="9" t="n"/>
      <c r="E1205" s="9" t="n"/>
      <c r="F1205" s="9">
        <f>IF(E1205="","",DATEDIF(E1205,DATE(2026,12,31),"Y"))</f>
        <v/>
      </c>
      <c r="G1205" s="9" t="n"/>
      <c r="H1205" s="9" t="n"/>
      <c r="I1205" s="9" t="n"/>
      <c r="J1205" s="9" t="n"/>
      <c r="K1205" s="9" t="n"/>
      <c r="L1205" s="9" t="n"/>
      <c r="M1205" s="9" t="n"/>
      <c r="N1205" s="9" t="n"/>
      <c r="O1205" s="9" t="n"/>
      <c r="P1205" s="9" t="n"/>
      <c r="Q1205" s="9" t="n"/>
      <c r="R1205" s="9" t="n"/>
      <c r="S1205" s="9" t="n"/>
      <c r="T1205" s="9" t="n"/>
      <c r="U1205" s="9" t="n"/>
      <c r="V1205" s="9" t="n"/>
      <c r="W1205" s="9" t="n"/>
      <c r="X1205" s="9" t="n"/>
      <c r="Y1205" s="9" t="n"/>
      <c r="Z1205" s="9" t="n"/>
    </row>
    <row r="1206" ht="14.25" customHeight="1" s="37">
      <c r="A1206" s="9">
        <f>IF(C1206="","","UM"&amp;TEXT(ROW()-1,"00000"))</f>
        <v/>
      </c>
      <c r="B1206" s="9" t="n"/>
      <c r="C1206" s="9" t="n"/>
      <c r="D1206" s="9" t="n"/>
      <c r="E1206" s="9" t="n"/>
      <c r="F1206" s="9">
        <f>IF(E1206="","",DATEDIF(E1206,DATE(2026,12,31),"Y"))</f>
        <v/>
      </c>
      <c r="G1206" s="9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  <c r="R1206" s="9" t="n"/>
      <c r="S1206" s="9" t="n"/>
      <c r="T1206" s="9" t="n"/>
      <c r="U1206" s="9" t="n"/>
      <c r="V1206" s="9" t="n"/>
      <c r="W1206" s="9" t="n"/>
      <c r="X1206" s="9" t="n"/>
      <c r="Y1206" s="9" t="n"/>
      <c r="Z1206" s="9" t="n"/>
    </row>
    <row r="1207" ht="14.25" customHeight="1" s="37">
      <c r="A1207" s="9">
        <f>IF(C1207="","","UM"&amp;TEXT(ROW()-1,"00000"))</f>
        <v/>
      </c>
      <c r="B1207" s="9" t="n"/>
      <c r="C1207" s="9" t="n"/>
      <c r="D1207" s="9" t="n"/>
      <c r="E1207" s="9" t="n"/>
      <c r="F1207" s="9">
        <f>IF(E1207="","",DATEDIF(E1207,DATE(2026,12,31),"Y"))</f>
        <v/>
      </c>
      <c r="G1207" s="9" t="n"/>
      <c r="H1207" s="9" t="n"/>
      <c r="I1207" s="9" t="n"/>
      <c r="J1207" s="9" t="n"/>
      <c r="K1207" s="9" t="n"/>
      <c r="L1207" s="9" t="n"/>
      <c r="M1207" s="9" t="n"/>
      <c r="N1207" s="9" t="n"/>
      <c r="O1207" s="9" t="n"/>
      <c r="P1207" s="9" t="n"/>
      <c r="Q1207" s="9" t="n"/>
      <c r="R1207" s="9" t="n"/>
      <c r="S1207" s="9" t="n"/>
      <c r="T1207" s="9" t="n"/>
      <c r="U1207" s="9" t="n"/>
      <c r="V1207" s="9" t="n"/>
      <c r="W1207" s="9" t="n"/>
      <c r="X1207" s="9" t="n"/>
      <c r="Y1207" s="9" t="n"/>
      <c r="Z1207" s="9" t="n"/>
    </row>
    <row r="1208" ht="14.25" customHeight="1" s="37">
      <c r="A1208" s="9">
        <f>IF(C1208="","","UM"&amp;TEXT(ROW()-1,"00000"))</f>
        <v/>
      </c>
      <c r="B1208" s="9" t="n"/>
      <c r="C1208" s="9" t="n"/>
      <c r="D1208" s="9" t="n"/>
      <c r="E1208" s="9" t="n"/>
      <c r="F1208" s="9">
        <f>IF(E1208="","",DATEDIF(E1208,DATE(2026,12,31),"Y"))</f>
        <v/>
      </c>
      <c r="G1208" s="9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  <c r="R1208" s="9" t="n"/>
      <c r="S1208" s="9" t="n"/>
      <c r="T1208" s="9" t="n"/>
      <c r="U1208" s="9" t="n"/>
      <c r="V1208" s="9" t="n"/>
      <c r="W1208" s="9" t="n"/>
      <c r="X1208" s="9" t="n"/>
      <c r="Y1208" s="9" t="n"/>
      <c r="Z1208" s="9" t="n"/>
    </row>
    <row r="1209" ht="14.25" customHeight="1" s="37">
      <c r="A1209" s="9">
        <f>IF(C1209="","","UM"&amp;TEXT(ROW()-1,"00000"))</f>
        <v/>
      </c>
      <c r="B1209" s="9" t="n"/>
      <c r="C1209" s="9" t="n"/>
      <c r="D1209" s="9" t="n"/>
      <c r="E1209" s="9" t="n"/>
      <c r="F1209" s="9">
        <f>IF(E1209="","",DATEDIF(E1209,DATE(2026,12,31),"Y"))</f>
        <v/>
      </c>
      <c r="G1209" s="9" t="n"/>
      <c r="H1209" s="9" t="n"/>
      <c r="I1209" s="9" t="n"/>
      <c r="J1209" s="9" t="n"/>
      <c r="K1209" s="9" t="n"/>
      <c r="L1209" s="9" t="n"/>
      <c r="M1209" s="9" t="n"/>
      <c r="N1209" s="9" t="n"/>
      <c r="O1209" s="9" t="n"/>
      <c r="P1209" s="9" t="n"/>
      <c r="Q1209" s="9" t="n"/>
      <c r="R1209" s="9" t="n"/>
      <c r="S1209" s="9" t="n"/>
      <c r="T1209" s="9" t="n"/>
      <c r="U1209" s="9" t="n"/>
      <c r="V1209" s="9" t="n"/>
      <c r="W1209" s="9" t="n"/>
      <c r="X1209" s="9" t="n"/>
      <c r="Y1209" s="9" t="n"/>
      <c r="Z1209" s="9" t="n"/>
    </row>
    <row r="1210" ht="14.25" customHeight="1" s="37">
      <c r="A1210" s="9">
        <f>IF(C1210="","","UM"&amp;TEXT(ROW()-1,"00000"))</f>
        <v/>
      </c>
      <c r="B1210" s="9" t="n"/>
      <c r="C1210" s="9" t="n"/>
      <c r="D1210" s="9" t="n"/>
      <c r="E1210" s="9" t="n"/>
      <c r="F1210" s="9">
        <f>IF(E1210="","",DATEDIF(E1210,DATE(2026,12,31),"Y"))</f>
        <v/>
      </c>
      <c r="G1210" s="9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  <c r="R1210" s="9" t="n"/>
      <c r="S1210" s="9" t="n"/>
      <c r="T1210" s="9" t="n"/>
      <c r="U1210" s="9" t="n"/>
      <c r="V1210" s="9" t="n"/>
      <c r="W1210" s="9" t="n"/>
      <c r="X1210" s="9" t="n"/>
      <c r="Y1210" s="9" t="n"/>
      <c r="Z1210" s="9" t="n"/>
    </row>
    <row r="1211" ht="14.25" customHeight="1" s="37">
      <c r="A1211" s="9">
        <f>IF(C1211="","","UM"&amp;TEXT(ROW()-1,"00000"))</f>
        <v/>
      </c>
      <c r="B1211" s="9" t="n"/>
      <c r="C1211" s="9" t="n"/>
      <c r="D1211" s="9" t="n"/>
      <c r="E1211" s="9" t="n"/>
      <c r="F1211" s="9">
        <f>IF(E1211="","",DATEDIF(E1211,DATE(2026,12,31),"Y"))</f>
        <v/>
      </c>
      <c r="G1211" s="9" t="n"/>
      <c r="H1211" s="9" t="n"/>
      <c r="I1211" s="9" t="n"/>
      <c r="J1211" s="9" t="n"/>
      <c r="K1211" s="9" t="n"/>
      <c r="L1211" s="9" t="n"/>
      <c r="M1211" s="9" t="n"/>
      <c r="N1211" s="9" t="n"/>
      <c r="O1211" s="9" t="n"/>
      <c r="P1211" s="9" t="n"/>
      <c r="Q1211" s="9" t="n"/>
      <c r="R1211" s="9" t="n"/>
      <c r="S1211" s="9" t="n"/>
      <c r="T1211" s="9" t="n"/>
      <c r="U1211" s="9" t="n"/>
      <c r="V1211" s="9" t="n"/>
      <c r="W1211" s="9" t="n"/>
      <c r="X1211" s="9" t="n"/>
      <c r="Y1211" s="9" t="n"/>
      <c r="Z1211" s="9" t="n"/>
    </row>
    <row r="1212" ht="14.25" customHeight="1" s="37">
      <c r="A1212" s="9">
        <f>IF(C1212="","","UM"&amp;TEXT(ROW()-1,"00000"))</f>
        <v/>
      </c>
      <c r="B1212" s="9" t="n"/>
      <c r="C1212" s="9" t="n"/>
      <c r="D1212" s="9" t="n"/>
      <c r="E1212" s="9" t="n"/>
      <c r="F1212" s="9">
        <f>IF(E1212="","",DATEDIF(E1212,DATE(2026,12,31),"Y"))</f>
        <v/>
      </c>
      <c r="G1212" s="9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  <c r="R1212" s="9" t="n"/>
      <c r="S1212" s="9" t="n"/>
      <c r="T1212" s="9" t="n"/>
      <c r="U1212" s="9" t="n"/>
      <c r="V1212" s="9" t="n"/>
      <c r="W1212" s="9" t="n"/>
      <c r="X1212" s="9" t="n"/>
      <c r="Y1212" s="9" t="n"/>
      <c r="Z1212" s="9" t="n"/>
    </row>
    <row r="1213" ht="14.25" customHeight="1" s="37">
      <c r="A1213" s="9">
        <f>IF(C1213="","","UM"&amp;TEXT(ROW()-1,"00000"))</f>
        <v/>
      </c>
      <c r="B1213" s="9" t="n"/>
      <c r="C1213" s="9" t="n"/>
      <c r="D1213" s="9" t="n"/>
      <c r="E1213" s="9" t="n"/>
      <c r="F1213" s="9">
        <f>IF(E1213="","",DATEDIF(E1213,DATE(2026,12,31),"Y"))</f>
        <v/>
      </c>
      <c r="G1213" s="9" t="n"/>
      <c r="H1213" s="9" t="n"/>
      <c r="I1213" s="9" t="n"/>
      <c r="J1213" s="9" t="n"/>
      <c r="K1213" s="9" t="n"/>
      <c r="L1213" s="9" t="n"/>
      <c r="M1213" s="9" t="n"/>
      <c r="N1213" s="9" t="n"/>
      <c r="O1213" s="9" t="n"/>
      <c r="P1213" s="9" t="n"/>
      <c r="Q1213" s="9" t="n"/>
      <c r="R1213" s="9" t="n"/>
      <c r="S1213" s="9" t="n"/>
      <c r="T1213" s="9" t="n"/>
      <c r="U1213" s="9" t="n"/>
      <c r="V1213" s="9" t="n"/>
      <c r="W1213" s="9" t="n"/>
      <c r="X1213" s="9" t="n"/>
      <c r="Y1213" s="9" t="n"/>
      <c r="Z1213" s="9" t="n"/>
    </row>
    <row r="1214" ht="14.25" customHeight="1" s="37">
      <c r="A1214" s="9">
        <f>IF(C1214="","","UM"&amp;TEXT(ROW()-1,"00000"))</f>
        <v/>
      </c>
      <c r="B1214" s="9" t="n"/>
      <c r="C1214" s="9" t="n"/>
      <c r="D1214" s="9" t="n"/>
      <c r="E1214" s="9" t="n"/>
      <c r="F1214" s="9">
        <f>IF(E1214="","",DATEDIF(E1214,DATE(2026,12,31),"Y"))</f>
        <v/>
      </c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  <c r="R1214" s="9" t="n"/>
      <c r="S1214" s="9" t="n"/>
      <c r="T1214" s="9" t="n"/>
      <c r="U1214" s="9" t="n"/>
      <c r="V1214" s="9" t="n"/>
      <c r="W1214" s="9" t="n"/>
      <c r="X1214" s="9" t="n"/>
      <c r="Y1214" s="9" t="n"/>
      <c r="Z1214" s="9" t="n"/>
    </row>
    <row r="1215" ht="14.25" customHeight="1" s="37">
      <c r="A1215" s="9">
        <f>IF(C1215="","","UM"&amp;TEXT(ROW()-1,"00000"))</f>
        <v/>
      </c>
      <c r="B1215" s="9" t="n"/>
      <c r="C1215" s="9" t="n"/>
      <c r="D1215" s="9" t="n"/>
      <c r="E1215" s="9" t="n"/>
      <c r="F1215" s="9">
        <f>IF(E1215="","",DATEDIF(E1215,DATE(2026,12,31),"Y"))</f>
        <v/>
      </c>
      <c r="G1215" s="9" t="n"/>
      <c r="H1215" s="9" t="n"/>
      <c r="I1215" s="9" t="n"/>
      <c r="J1215" s="9" t="n"/>
      <c r="K1215" s="9" t="n"/>
      <c r="L1215" s="9" t="n"/>
      <c r="M1215" s="9" t="n"/>
      <c r="N1215" s="9" t="n"/>
      <c r="O1215" s="9" t="n"/>
      <c r="P1215" s="9" t="n"/>
      <c r="Q1215" s="9" t="n"/>
      <c r="R1215" s="9" t="n"/>
      <c r="S1215" s="9" t="n"/>
      <c r="T1215" s="9" t="n"/>
      <c r="U1215" s="9" t="n"/>
      <c r="V1215" s="9" t="n"/>
      <c r="W1215" s="9" t="n"/>
      <c r="X1215" s="9" t="n"/>
      <c r="Y1215" s="9" t="n"/>
      <c r="Z1215" s="9" t="n"/>
    </row>
    <row r="1216" ht="14.25" customHeight="1" s="37">
      <c r="A1216" s="9">
        <f>IF(C1216="","","UM"&amp;TEXT(ROW()-1,"00000"))</f>
        <v/>
      </c>
      <c r="B1216" s="9" t="n"/>
      <c r="C1216" s="9" t="n"/>
      <c r="D1216" s="9" t="n"/>
      <c r="E1216" s="9" t="n"/>
      <c r="F1216" s="9">
        <f>IF(E1216="","",DATEDIF(E1216,DATE(2026,12,31),"Y"))</f>
        <v/>
      </c>
      <c r="G1216" s="9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  <c r="R1216" s="9" t="n"/>
      <c r="S1216" s="9" t="n"/>
      <c r="T1216" s="9" t="n"/>
      <c r="U1216" s="9" t="n"/>
      <c r="V1216" s="9" t="n"/>
      <c r="W1216" s="9" t="n"/>
      <c r="X1216" s="9" t="n"/>
      <c r="Y1216" s="9" t="n"/>
      <c r="Z1216" s="9" t="n"/>
    </row>
    <row r="1217" ht="14.25" customHeight="1" s="37">
      <c r="A1217" s="9">
        <f>IF(C1217="","","UM"&amp;TEXT(ROW()-1,"00000"))</f>
        <v/>
      </c>
      <c r="B1217" s="9" t="n"/>
      <c r="C1217" s="9" t="n"/>
      <c r="D1217" s="9" t="n"/>
      <c r="E1217" s="9" t="n"/>
      <c r="F1217" s="9">
        <f>IF(E1217="","",DATEDIF(E1217,DATE(2026,12,31),"Y"))</f>
        <v/>
      </c>
      <c r="G1217" s="9" t="n"/>
      <c r="H1217" s="9" t="n"/>
      <c r="I1217" s="9" t="n"/>
      <c r="J1217" s="9" t="n"/>
      <c r="K1217" s="9" t="n"/>
      <c r="L1217" s="9" t="n"/>
      <c r="M1217" s="9" t="n"/>
      <c r="N1217" s="9" t="n"/>
      <c r="O1217" s="9" t="n"/>
      <c r="P1217" s="9" t="n"/>
      <c r="Q1217" s="9" t="n"/>
      <c r="R1217" s="9" t="n"/>
      <c r="S1217" s="9" t="n"/>
      <c r="T1217" s="9" t="n"/>
      <c r="U1217" s="9" t="n"/>
      <c r="V1217" s="9" t="n"/>
      <c r="W1217" s="9" t="n"/>
      <c r="X1217" s="9" t="n"/>
      <c r="Y1217" s="9" t="n"/>
      <c r="Z1217" s="9" t="n"/>
    </row>
    <row r="1218" ht="14.25" customHeight="1" s="37">
      <c r="A1218" s="9">
        <f>IF(C1218="","","UM"&amp;TEXT(ROW()-1,"00000"))</f>
        <v/>
      </c>
      <c r="B1218" s="9" t="n"/>
      <c r="C1218" s="9" t="n"/>
      <c r="D1218" s="9" t="n"/>
      <c r="E1218" s="9" t="n"/>
      <c r="F1218" s="9">
        <f>IF(E1218="","",DATEDIF(E1218,DATE(2026,12,31),"Y"))</f>
        <v/>
      </c>
      <c r="G1218" s="9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  <c r="R1218" s="9" t="n"/>
      <c r="S1218" s="9" t="n"/>
      <c r="T1218" s="9" t="n"/>
      <c r="U1218" s="9" t="n"/>
      <c r="V1218" s="9" t="n"/>
      <c r="W1218" s="9" t="n"/>
      <c r="X1218" s="9" t="n"/>
      <c r="Y1218" s="9" t="n"/>
      <c r="Z1218" s="9" t="n"/>
    </row>
    <row r="1219" ht="14.25" customHeight="1" s="37">
      <c r="A1219" s="9">
        <f>IF(C1219="","","UM"&amp;TEXT(ROW()-1,"00000"))</f>
        <v/>
      </c>
      <c r="B1219" s="9" t="n"/>
      <c r="C1219" s="9" t="n"/>
      <c r="D1219" s="9" t="n"/>
      <c r="E1219" s="9" t="n"/>
      <c r="F1219" s="9">
        <f>IF(E1219="","",DATEDIF(E1219,DATE(2026,12,31),"Y"))</f>
        <v/>
      </c>
      <c r="G1219" s="9" t="n"/>
      <c r="H1219" s="9" t="n"/>
      <c r="I1219" s="9" t="n"/>
      <c r="J1219" s="9" t="n"/>
      <c r="K1219" s="9" t="n"/>
      <c r="L1219" s="9" t="n"/>
      <c r="M1219" s="9" t="n"/>
      <c r="N1219" s="9" t="n"/>
      <c r="O1219" s="9" t="n"/>
      <c r="P1219" s="9" t="n"/>
      <c r="Q1219" s="9" t="n"/>
      <c r="R1219" s="9" t="n"/>
      <c r="S1219" s="9" t="n"/>
      <c r="T1219" s="9" t="n"/>
      <c r="U1219" s="9" t="n"/>
      <c r="V1219" s="9" t="n"/>
      <c r="W1219" s="9" t="n"/>
      <c r="X1219" s="9" t="n"/>
      <c r="Y1219" s="9" t="n"/>
      <c r="Z1219" s="9" t="n"/>
    </row>
    <row r="1220" ht="14.25" customHeight="1" s="37">
      <c r="A1220" s="9">
        <f>IF(C1220="","","UM"&amp;TEXT(ROW()-1,"00000"))</f>
        <v/>
      </c>
      <c r="B1220" s="9" t="n"/>
      <c r="C1220" s="9" t="n"/>
      <c r="D1220" s="9" t="n"/>
      <c r="E1220" s="9" t="n"/>
      <c r="F1220" s="9">
        <f>IF(E1220="","",DATEDIF(E1220,DATE(2026,12,31),"Y"))</f>
        <v/>
      </c>
      <c r="G1220" s="9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  <c r="R1220" s="9" t="n"/>
      <c r="S1220" s="9" t="n"/>
      <c r="T1220" s="9" t="n"/>
      <c r="U1220" s="9" t="n"/>
      <c r="V1220" s="9" t="n"/>
      <c r="W1220" s="9" t="n"/>
      <c r="X1220" s="9" t="n"/>
      <c r="Y1220" s="9" t="n"/>
      <c r="Z1220" s="9" t="n"/>
    </row>
    <row r="1221" ht="14.25" customHeight="1" s="37">
      <c r="A1221" s="9">
        <f>IF(C1221="","","UM"&amp;TEXT(ROW()-1,"00000"))</f>
        <v/>
      </c>
      <c r="B1221" s="9" t="n"/>
      <c r="C1221" s="9" t="n"/>
      <c r="D1221" s="9" t="n"/>
      <c r="E1221" s="9" t="n"/>
      <c r="F1221" s="9">
        <f>IF(E1221="","",DATEDIF(E1221,DATE(2026,12,31),"Y"))</f>
        <v/>
      </c>
      <c r="G1221" s="9" t="n"/>
      <c r="H1221" s="9" t="n"/>
      <c r="I1221" s="9" t="n"/>
      <c r="J1221" s="9" t="n"/>
      <c r="K1221" s="9" t="n"/>
      <c r="L1221" s="9" t="n"/>
      <c r="M1221" s="9" t="n"/>
      <c r="N1221" s="9" t="n"/>
      <c r="O1221" s="9" t="n"/>
      <c r="P1221" s="9" t="n"/>
      <c r="Q1221" s="9" t="n"/>
      <c r="R1221" s="9" t="n"/>
      <c r="S1221" s="9" t="n"/>
      <c r="T1221" s="9" t="n"/>
      <c r="U1221" s="9" t="n"/>
      <c r="V1221" s="9" t="n"/>
      <c r="W1221" s="9" t="n"/>
      <c r="X1221" s="9" t="n"/>
      <c r="Y1221" s="9" t="n"/>
      <c r="Z1221" s="9" t="n"/>
    </row>
    <row r="1222" ht="14.25" customHeight="1" s="37">
      <c r="A1222" s="9">
        <f>IF(C1222="","","UM"&amp;TEXT(ROW()-1,"00000"))</f>
        <v/>
      </c>
      <c r="B1222" s="9" t="n"/>
      <c r="C1222" s="9" t="n"/>
      <c r="D1222" s="9" t="n"/>
      <c r="E1222" s="9" t="n"/>
      <c r="F1222" s="9">
        <f>IF(E1222="","",DATEDIF(E1222,DATE(2026,12,31),"Y"))</f>
        <v/>
      </c>
      <c r="G1222" s="9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  <c r="R1222" s="9" t="n"/>
      <c r="S1222" s="9" t="n"/>
      <c r="T1222" s="9" t="n"/>
      <c r="U1222" s="9" t="n"/>
      <c r="V1222" s="9" t="n"/>
      <c r="W1222" s="9" t="n"/>
      <c r="X1222" s="9" t="n"/>
      <c r="Y1222" s="9" t="n"/>
      <c r="Z1222" s="9" t="n"/>
    </row>
    <row r="1223" ht="14.25" customHeight="1" s="37">
      <c r="A1223" s="9">
        <f>IF(C1223="","","UM"&amp;TEXT(ROW()-1,"00000"))</f>
        <v/>
      </c>
      <c r="B1223" s="9" t="n"/>
      <c r="C1223" s="9" t="n"/>
      <c r="D1223" s="9" t="n"/>
      <c r="E1223" s="9" t="n"/>
      <c r="F1223" s="9">
        <f>IF(E1223="","",DATEDIF(E1223,DATE(2026,12,31),"Y"))</f>
        <v/>
      </c>
      <c r="G1223" s="9" t="n"/>
      <c r="H1223" s="9" t="n"/>
      <c r="I1223" s="9" t="n"/>
      <c r="J1223" s="9" t="n"/>
      <c r="K1223" s="9" t="n"/>
      <c r="L1223" s="9" t="n"/>
      <c r="M1223" s="9" t="n"/>
      <c r="N1223" s="9" t="n"/>
      <c r="O1223" s="9" t="n"/>
      <c r="P1223" s="9" t="n"/>
      <c r="Q1223" s="9" t="n"/>
      <c r="R1223" s="9" t="n"/>
      <c r="S1223" s="9" t="n"/>
      <c r="T1223" s="9" t="n"/>
      <c r="U1223" s="9" t="n"/>
      <c r="V1223" s="9" t="n"/>
      <c r="W1223" s="9" t="n"/>
      <c r="X1223" s="9" t="n"/>
      <c r="Y1223" s="9" t="n"/>
      <c r="Z1223" s="9" t="n"/>
    </row>
    <row r="1224" ht="14.25" customHeight="1" s="37">
      <c r="A1224" s="9">
        <f>IF(C1224="","","UM"&amp;TEXT(ROW()-1,"00000"))</f>
        <v/>
      </c>
      <c r="B1224" s="9" t="n"/>
      <c r="C1224" s="9" t="n"/>
      <c r="D1224" s="9" t="n"/>
      <c r="E1224" s="9" t="n"/>
      <c r="F1224" s="9">
        <f>IF(E1224="","",DATEDIF(E1224,DATE(2026,12,31),"Y"))</f>
        <v/>
      </c>
      <c r="G1224" s="9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  <c r="R1224" s="9" t="n"/>
      <c r="S1224" s="9" t="n"/>
      <c r="T1224" s="9" t="n"/>
      <c r="U1224" s="9" t="n"/>
      <c r="V1224" s="9" t="n"/>
      <c r="W1224" s="9" t="n"/>
      <c r="X1224" s="9" t="n"/>
      <c r="Y1224" s="9" t="n"/>
      <c r="Z1224" s="9" t="n"/>
    </row>
    <row r="1225" ht="14.25" customHeight="1" s="37">
      <c r="A1225" s="9">
        <f>IF(C1225="","","UM"&amp;TEXT(ROW()-1,"00000"))</f>
        <v/>
      </c>
      <c r="B1225" s="9" t="n"/>
      <c r="C1225" s="9" t="n"/>
      <c r="D1225" s="9" t="n"/>
      <c r="E1225" s="9" t="n"/>
      <c r="F1225" s="9">
        <f>IF(E1225="","",DATEDIF(E1225,DATE(2026,12,31),"Y"))</f>
        <v/>
      </c>
      <c r="G1225" s="9" t="n"/>
      <c r="H1225" s="9" t="n"/>
      <c r="I1225" s="9" t="n"/>
      <c r="J1225" s="9" t="n"/>
      <c r="K1225" s="9" t="n"/>
      <c r="L1225" s="9" t="n"/>
      <c r="M1225" s="9" t="n"/>
      <c r="N1225" s="9" t="n"/>
      <c r="O1225" s="9" t="n"/>
      <c r="P1225" s="9" t="n"/>
      <c r="Q1225" s="9" t="n"/>
      <c r="R1225" s="9" t="n"/>
      <c r="S1225" s="9" t="n"/>
      <c r="T1225" s="9" t="n"/>
      <c r="U1225" s="9" t="n"/>
      <c r="V1225" s="9" t="n"/>
      <c r="W1225" s="9" t="n"/>
      <c r="X1225" s="9" t="n"/>
      <c r="Y1225" s="9" t="n"/>
      <c r="Z1225" s="9" t="n"/>
    </row>
    <row r="1226" ht="14.25" customHeight="1" s="37">
      <c r="A1226" s="9">
        <f>IF(C1226="","","UM"&amp;TEXT(ROW()-1,"00000"))</f>
        <v/>
      </c>
      <c r="B1226" s="9" t="n"/>
      <c r="C1226" s="9" t="n"/>
      <c r="D1226" s="9" t="n"/>
      <c r="E1226" s="9" t="n"/>
      <c r="F1226" s="9">
        <f>IF(E1226="","",DATEDIF(E1226,DATE(2026,12,31),"Y"))</f>
        <v/>
      </c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  <c r="R1226" s="9" t="n"/>
      <c r="S1226" s="9" t="n"/>
      <c r="T1226" s="9" t="n"/>
      <c r="U1226" s="9" t="n"/>
      <c r="V1226" s="9" t="n"/>
      <c r="W1226" s="9" t="n"/>
      <c r="X1226" s="9" t="n"/>
      <c r="Y1226" s="9" t="n"/>
      <c r="Z1226" s="9" t="n"/>
    </row>
    <row r="1227" ht="14.25" customHeight="1" s="37">
      <c r="A1227" s="9">
        <f>IF(C1227="","","UM"&amp;TEXT(ROW()-1,"00000"))</f>
        <v/>
      </c>
      <c r="B1227" s="9" t="n"/>
      <c r="C1227" s="9" t="n"/>
      <c r="D1227" s="9" t="n"/>
      <c r="E1227" s="9" t="n"/>
      <c r="F1227" s="9">
        <f>IF(E1227="","",DATEDIF(E1227,DATE(2026,12,31),"Y"))</f>
        <v/>
      </c>
      <c r="G1227" s="9" t="n"/>
      <c r="H1227" s="9" t="n"/>
      <c r="I1227" s="9" t="n"/>
      <c r="J1227" s="9" t="n"/>
      <c r="K1227" s="9" t="n"/>
      <c r="L1227" s="9" t="n"/>
      <c r="M1227" s="9" t="n"/>
      <c r="N1227" s="9" t="n"/>
      <c r="O1227" s="9" t="n"/>
      <c r="P1227" s="9" t="n"/>
      <c r="Q1227" s="9" t="n"/>
      <c r="R1227" s="9" t="n"/>
      <c r="S1227" s="9" t="n"/>
      <c r="T1227" s="9" t="n"/>
      <c r="U1227" s="9" t="n"/>
      <c r="V1227" s="9" t="n"/>
      <c r="W1227" s="9" t="n"/>
      <c r="X1227" s="9" t="n"/>
      <c r="Y1227" s="9" t="n"/>
      <c r="Z1227" s="9" t="n"/>
    </row>
    <row r="1228" ht="14.25" customHeight="1" s="37">
      <c r="A1228" s="9">
        <f>IF(C1228="","","UM"&amp;TEXT(ROW()-1,"00000"))</f>
        <v/>
      </c>
      <c r="B1228" s="9" t="n"/>
      <c r="C1228" s="9" t="n"/>
      <c r="D1228" s="9" t="n"/>
      <c r="E1228" s="9" t="n"/>
      <c r="F1228" s="9">
        <f>IF(E1228="","",DATEDIF(E1228,DATE(2026,12,31),"Y"))</f>
        <v/>
      </c>
      <c r="G1228" s="9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  <c r="R1228" s="9" t="n"/>
      <c r="S1228" s="9" t="n"/>
      <c r="T1228" s="9" t="n"/>
      <c r="U1228" s="9" t="n"/>
      <c r="V1228" s="9" t="n"/>
      <c r="W1228" s="9" t="n"/>
      <c r="X1228" s="9" t="n"/>
      <c r="Y1228" s="9" t="n"/>
      <c r="Z1228" s="9" t="n"/>
    </row>
    <row r="1229" ht="14.25" customHeight="1" s="37">
      <c r="A1229" s="9">
        <f>IF(C1229="","","UM"&amp;TEXT(ROW()-1,"00000"))</f>
        <v/>
      </c>
      <c r="B1229" s="9" t="n"/>
      <c r="C1229" s="9" t="n"/>
      <c r="D1229" s="9" t="n"/>
      <c r="E1229" s="9" t="n"/>
      <c r="F1229" s="9">
        <f>IF(E1229="","",DATEDIF(E1229,DATE(2026,12,31),"Y"))</f>
        <v/>
      </c>
      <c r="G1229" s="9" t="n"/>
      <c r="H1229" s="9" t="n"/>
      <c r="I1229" s="9" t="n"/>
      <c r="J1229" s="9" t="n"/>
      <c r="K1229" s="9" t="n"/>
      <c r="L1229" s="9" t="n"/>
      <c r="M1229" s="9" t="n"/>
      <c r="N1229" s="9" t="n"/>
      <c r="O1229" s="9" t="n"/>
      <c r="P1229" s="9" t="n"/>
      <c r="Q1229" s="9" t="n"/>
      <c r="R1229" s="9" t="n"/>
      <c r="S1229" s="9" t="n"/>
      <c r="T1229" s="9" t="n"/>
      <c r="U1229" s="9" t="n"/>
      <c r="V1229" s="9" t="n"/>
      <c r="W1229" s="9" t="n"/>
      <c r="X1229" s="9" t="n"/>
      <c r="Y1229" s="9" t="n"/>
      <c r="Z1229" s="9" t="n"/>
    </row>
    <row r="1230" ht="14.25" customHeight="1" s="37">
      <c r="A1230" s="9">
        <f>IF(C1230="","","UM"&amp;TEXT(ROW()-1,"00000"))</f>
        <v/>
      </c>
      <c r="B1230" s="9" t="n"/>
      <c r="C1230" s="9" t="n"/>
      <c r="D1230" s="9" t="n"/>
      <c r="E1230" s="9" t="n"/>
      <c r="F1230" s="9">
        <f>IF(E1230="","",DATEDIF(E1230,DATE(2026,12,31),"Y"))</f>
        <v/>
      </c>
      <c r="G1230" s="9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  <c r="R1230" s="9" t="n"/>
      <c r="S1230" s="9" t="n"/>
      <c r="T1230" s="9" t="n"/>
      <c r="U1230" s="9" t="n"/>
      <c r="V1230" s="9" t="n"/>
      <c r="W1230" s="9" t="n"/>
      <c r="X1230" s="9" t="n"/>
      <c r="Y1230" s="9" t="n"/>
      <c r="Z1230" s="9" t="n"/>
    </row>
    <row r="1231" ht="14.25" customHeight="1" s="37">
      <c r="A1231" s="9">
        <f>IF(C1231="","","UM"&amp;TEXT(ROW()-1,"00000"))</f>
        <v/>
      </c>
      <c r="B1231" s="9" t="n"/>
      <c r="C1231" s="9" t="n"/>
      <c r="D1231" s="9" t="n"/>
      <c r="E1231" s="9" t="n"/>
      <c r="F1231" s="9">
        <f>IF(E1231="","",DATEDIF(E1231,DATE(2026,12,31),"Y"))</f>
        <v/>
      </c>
      <c r="G1231" s="9" t="n"/>
      <c r="H1231" s="9" t="n"/>
      <c r="I1231" s="9" t="n"/>
      <c r="J1231" s="9" t="n"/>
      <c r="K1231" s="9" t="n"/>
      <c r="L1231" s="9" t="n"/>
      <c r="M1231" s="9" t="n"/>
      <c r="N1231" s="9" t="n"/>
      <c r="O1231" s="9" t="n"/>
      <c r="P1231" s="9" t="n"/>
      <c r="Q1231" s="9" t="n"/>
      <c r="R1231" s="9" t="n"/>
      <c r="S1231" s="9" t="n"/>
      <c r="T1231" s="9" t="n"/>
      <c r="U1231" s="9" t="n"/>
      <c r="V1231" s="9" t="n"/>
      <c r="W1231" s="9" t="n"/>
      <c r="X1231" s="9" t="n"/>
      <c r="Y1231" s="9" t="n"/>
      <c r="Z1231" s="9" t="n"/>
    </row>
    <row r="1232" ht="14.25" customHeight="1" s="37">
      <c r="A1232" s="9">
        <f>IF(C1232="","","UM"&amp;TEXT(ROW()-1,"00000"))</f>
        <v/>
      </c>
      <c r="B1232" s="9" t="n"/>
      <c r="C1232" s="9" t="n"/>
      <c r="D1232" s="9" t="n"/>
      <c r="E1232" s="9" t="n"/>
      <c r="F1232" s="9">
        <f>IF(E1232="","",DATEDIF(E1232,DATE(2026,12,31),"Y"))</f>
        <v/>
      </c>
      <c r="G1232" s="9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  <c r="R1232" s="9" t="n"/>
      <c r="S1232" s="9" t="n"/>
      <c r="T1232" s="9" t="n"/>
      <c r="U1232" s="9" t="n"/>
      <c r="V1232" s="9" t="n"/>
      <c r="W1232" s="9" t="n"/>
      <c r="X1232" s="9" t="n"/>
      <c r="Y1232" s="9" t="n"/>
      <c r="Z1232" s="9" t="n"/>
    </row>
    <row r="1233" ht="14.25" customHeight="1" s="37">
      <c r="A1233" s="9">
        <f>IF(C1233="","","UM"&amp;TEXT(ROW()-1,"00000"))</f>
        <v/>
      </c>
      <c r="B1233" s="9" t="n"/>
      <c r="C1233" s="9" t="n"/>
      <c r="D1233" s="9" t="n"/>
      <c r="E1233" s="9" t="n"/>
      <c r="F1233" s="9">
        <f>IF(E1233="","",DATEDIF(E1233,DATE(2026,12,31),"Y"))</f>
        <v/>
      </c>
      <c r="G1233" s="9" t="n"/>
      <c r="H1233" s="9" t="n"/>
      <c r="I1233" s="9" t="n"/>
      <c r="J1233" s="9" t="n"/>
      <c r="K1233" s="9" t="n"/>
      <c r="L1233" s="9" t="n"/>
      <c r="M1233" s="9" t="n"/>
      <c r="N1233" s="9" t="n"/>
      <c r="O1233" s="9" t="n"/>
      <c r="P1233" s="9" t="n"/>
      <c r="Q1233" s="9" t="n"/>
      <c r="R1233" s="9" t="n"/>
      <c r="S1233" s="9" t="n"/>
      <c r="T1233" s="9" t="n"/>
      <c r="U1233" s="9" t="n"/>
      <c r="V1233" s="9" t="n"/>
      <c r="W1233" s="9" t="n"/>
      <c r="X1233" s="9" t="n"/>
      <c r="Y1233" s="9" t="n"/>
      <c r="Z1233" s="9" t="n"/>
    </row>
    <row r="1234" ht="14.25" customHeight="1" s="37">
      <c r="A1234" s="9">
        <f>IF(C1234="","","UM"&amp;TEXT(ROW()-1,"00000"))</f>
        <v/>
      </c>
      <c r="B1234" s="9" t="n"/>
      <c r="C1234" s="9" t="n"/>
      <c r="D1234" s="9" t="n"/>
      <c r="E1234" s="9" t="n"/>
      <c r="F1234" s="9">
        <f>IF(E1234="","",DATEDIF(E1234,DATE(2026,12,31),"Y"))</f>
        <v/>
      </c>
      <c r="G1234" s="9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  <c r="R1234" s="9" t="n"/>
      <c r="S1234" s="9" t="n"/>
      <c r="T1234" s="9" t="n"/>
      <c r="U1234" s="9" t="n"/>
      <c r="V1234" s="9" t="n"/>
      <c r="W1234" s="9" t="n"/>
      <c r="X1234" s="9" t="n"/>
      <c r="Y1234" s="9" t="n"/>
      <c r="Z1234" s="9" t="n"/>
    </row>
    <row r="1235" ht="14.25" customHeight="1" s="37">
      <c r="A1235" s="9">
        <f>IF(C1235="","","UM"&amp;TEXT(ROW()-1,"00000"))</f>
        <v/>
      </c>
      <c r="B1235" s="9" t="n"/>
      <c r="C1235" s="9" t="n"/>
      <c r="D1235" s="9" t="n"/>
      <c r="E1235" s="9" t="n"/>
      <c r="F1235" s="9">
        <f>IF(E1235="","",DATEDIF(E1235,DATE(2026,12,31),"Y"))</f>
        <v/>
      </c>
      <c r="G1235" s="9" t="n"/>
      <c r="H1235" s="9" t="n"/>
      <c r="I1235" s="9" t="n"/>
      <c r="J1235" s="9" t="n"/>
      <c r="K1235" s="9" t="n"/>
      <c r="L1235" s="9" t="n"/>
      <c r="M1235" s="9" t="n"/>
      <c r="N1235" s="9" t="n"/>
      <c r="O1235" s="9" t="n"/>
      <c r="P1235" s="9" t="n"/>
      <c r="Q1235" s="9" t="n"/>
      <c r="R1235" s="9" t="n"/>
      <c r="S1235" s="9" t="n"/>
      <c r="T1235" s="9" t="n"/>
      <c r="U1235" s="9" t="n"/>
      <c r="V1235" s="9" t="n"/>
      <c r="W1235" s="9" t="n"/>
      <c r="X1235" s="9" t="n"/>
      <c r="Y1235" s="9" t="n"/>
      <c r="Z1235" s="9" t="n"/>
    </row>
    <row r="1236" ht="14.25" customHeight="1" s="37">
      <c r="A1236" s="9">
        <f>IF(C1236="","","UM"&amp;TEXT(ROW()-1,"00000"))</f>
        <v/>
      </c>
      <c r="B1236" s="9" t="n"/>
      <c r="C1236" s="9" t="n"/>
      <c r="D1236" s="9" t="n"/>
      <c r="E1236" s="9" t="n"/>
      <c r="F1236" s="9">
        <f>IF(E1236="","",DATEDIF(E1236,DATE(2026,12,31),"Y"))</f>
        <v/>
      </c>
      <c r="G1236" s="9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  <c r="R1236" s="9" t="n"/>
      <c r="S1236" s="9" t="n"/>
      <c r="T1236" s="9" t="n"/>
      <c r="U1236" s="9" t="n"/>
      <c r="V1236" s="9" t="n"/>
      <c r="W1236" s="9" t="n"/>
      <c r="X1236" s="9" t="n"/>
      <c r="Y1236" s="9" t="n"/>
      <c r="Z1236" s="9" t="n"/>
    </row>
    <row r="1237" ht="14.25" customHeight="1" s="37">
      <c r="A1237" s="9">
        <f>IF(C1237="","","UM"&amp;TEXT(ROW()-1,"00000"))</f>
        <v/>
      </c>
      <c r="B1237" s="9" t="n"/>
      <c r="C1237" s="9" t="n"/>
      <c r="D1237" s="9" t="n"/>
      <c r="E1237" s="9" t="n"/>
      <c r="F1237" s="9">
        <f>IF(E1237="","",DATEDIF(E1237,DATE(2026,12,31),"Y"))</f>
        <v/>
      </c>
      <c r="G1237" s="9" t="n"/>
      <c r="H1237" s="9" t="n"/>
      <c r="I1237" s="9" t="n"/>
      <c r="J1237" s="9" t="n"/>
      <c r="K1237" s="9" t="n"/>
      <c r="L1237" s="9" t="n"/>
      <c r="M1237" s="9" t="n"/>
      <c r="N1237" s="9" t="n"/>
      <c r="O1237" s="9" t="n"/>
      <c r="P1237" s="9" t="n"/>
      <c r="Q1237" s="9" t="n"/>
      <c r="R1237" s="9" t="n"/>
      <c r="S1237" s="9" t="n"/>
      <c r="T1237" s="9" t="n"/>
      <c r="U1237" s="9" t="n"/>
      <c r="V1237" s="9" t="n"/>
      <c r="W1237" s="9" t="n"/>
      <c r="X1237" s="9" t="n"/>
      <c r="Y1237" s="9" t="n"/>
      <c r="Z1237" s="9" t="n"/>
    </row>
    <row r="1238" ht="14.25" customHeight="1" s="37">
      <c r="A1238" s="9">
        <f>IF(C1238="","","UM"&amp;TEXT(ROW()-1,"00000"))</f>
        <v/>
      </c>
      <c r="B1238" s="9" t="n"/>
      <c r="C1238" s="9" t="n"/>
      <c r="D1238" s="9" t="n"/>
      <c r="E1238" s="9" t="n"/>
      <c r="F1238" s="9">
        <f>IF(E1238="","",DATEDIF(E1238,DATE(2026,12,31),"Y"))</f>
        <v/>
      </c>
      <c r="G1238" s="9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  <c r="R1238" s="9" t="n"/>
      <c r="S1238" s="9" t="n"/>
      <c r="T1238" s="9" t="n"/>
      <c r="U1238" s="9" t="n"/>
      <c r="V1238" s="9" t="n"/>
      <c r="W1238" s="9" t="n"/>
      <c r="X1238" s="9" t="n"/>
      <c r="Y1238" s="9" t="n"/>
      <c r="Z1238" s="9" t="n"/>
    </row>
    <row r="1239" ht="14.25" customHeight="1" s="37">
      <c r="A1239" s="9">
        <f>IF(C1239="","","UM"&amp;TEXT(ROW()-1,"00000"))</f>
        <v/>
      </c>
      <c r="B1239" s="9" t="n"/>
      <c r="C1239" s="9" t="n"/>
      <c r="D1239" s="9" t="n"/>
      <c r="E1239" s="9" t="n"/>
      <c r="F1239" s="9">
        <f>IF(E1239="","",DATEDIF(E1239,DATE(2026,12,31),"Y"))</f>
        <v/>
      </c>
      <c r="G1239" s="9" t="n"/>
      <c r="H1239" s="9" t="n"/>
      <c r="I1239" s="9" t="n"/>
      <c r="J1239" s="9" t="n"/>
      <c r="K1239" s="9" t="n"/>
      <c r="L1239" s="9" t="n"/>
      <c r="M1239" s="9" t="n"/>
      <c r="N1239" s="9" t="n"/>
      <c r="O1239" s="9" t="n"/>
      <c r="P1239" s="9" t="n"/>
      <c r="Q1239" s="9" t="n"/>
      <c r="R1239" s="9" t="n"/>
      <c r="S1239" s="9" t="n"/>
      <c r="T1239" s="9" t="n"/>
      <c r="U1239" s="9" t="n"/>
      <c r="V1239" s="9" t="n"/>
      <c r="W1239" s="9" t="n"/>
      <c r="X1239" s="9" t="n"/>
      <c r="Y1239" s="9" t="n"/>
      <c r="Z1239" s="9" t="n"/>
    </row>
    <row r="1240" ht="14.25" customHeight="1" s="37">
      <c r="A1240" s="9">
        <f>IF(C1240="","","UM"&amp;TEXT(ROW()-1,"00000"))</f>
        <v/>
      </c>
      <c r="B1240" s="9" t="n"/>
      <c r="C1240" s="9" t="n"/>
      <c r="D1240" s="9" t="n"/>
      <c r="E1240" s="9" t="n"/>
      <c r="F1240" s="9">
        <f>IF(E1240="","",DATEDIF(E1240,DATE(2026,12,31),"Y"))</f>
        <v/>
      </c>
      <c r="G1240" s="9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  <c r="R1240" s="9" t="n"/>
      <c r="S1240" s="9" t="n"/>
      <c r="T1240" s="9" t="n"/>
      <c r="U1240" s="9" t="n"/>
      <c r="V1240" s="9" t="n"/>
      <c r="W1240" s="9" t="n"/>
      <c r="X1240" s="9" t="n"/>
      <c r="Y1240" s="9" t="n"/>
      <c r="Z1240" s="9" t="n"/>
    </row>
    <row r="1241" ht="14.25" customHeight="1" s="37">
      <c r="A1241" s="9">
        <f>IF(C1241="","","UM"&amp;TEXT(ROW()-1,"00000"))</f>
        <v/>
      </c>
      <c r="B1241" s="9" t="n"/>
      <c r="C1241" s="9" t="n"/>
      <c r="D1241" s="9" t="n"/>
      <c r="E1241" s="9" t="n"/>
      <c r="F1241" s="9">
        <f>IF(E1241="","",DATEDIF(E1241,DATE(2026,12,31),"Y"))</f>
        <v/>
      </c>
      <c r="G1241" s="9" t="n"/>
      <c r="H1241" s="9" t="n"/>
      <c r="I1241" s="9" t="n"/>
      <c r="J1241" s="9" t="n"/>
      <c r="K1241" s="9" t="n"/>
      <c r="L1241" s="9" t="n"/>
      <c r="M1241" s="9" t="n"/>
      <c r="N1241" s="9" t="n"/>
      <c r="O1241" s="9" t="n"/>
      <c r="P1241" s="9" t="n"/>
      <c r="Q1241" s="9" t="n"/>
      <c r="R1241" s="9" t="n"/>
      <c r="S1241" s="9" t="n"/>
      <c r="T1241" s="9" t="n"/>
      <c r="U1241" s="9" t="n"/>
      <c r="V1241" s="9" t="n"/>
      <c r="W1241" s="9" t="n"/>
      <c r="X1241" s="9" t="n"/>
      <c r="Y1241" s="9" t="n"/>
      <c r="Z1241" s="9" t="n"/>
    </row>
    <row r="1242" ht="14.25" customHeight="1" s="37">
      <c r="A1242" s="9">
        <f>IF(C1242="","","UM"&amp;TEXT(ROW()-1,"00000"))</f>
        <v/>
      </c>
      <c r="B1242" s="9" t="n"/>
      <c r="C1242" s="9" t="n"/>
      <c r="D1242" s="9" t="n"/>
      <c r="E1242" s="9" t="n"/>
      <c r="F1242" s="9">
        <f>IF(E1242="","",DATEDIF(E1242,DATE(2026,12,31),"Y"))</f>
        <v/>
      </c>
      <c r="G1242" s="9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  <c r="R1242" s="9" t="n"/>
      <c r="S1242" s="9" t="n"/>
      <c r="T1242" s="9" t="n"/>
      <c r="U1242" s="9" t="n"/>
      <c r="V1242" s="9" t="n"/>
      <c r="W1242" s="9" t="n"/>
      <c r="X1242" s="9" t="n"/>
      <c r="Y1242" s="9" t="n"/>
      <c r="Z1242" s="9" t="n"/>
    </row>
    <row r="1243" ht="14.25" customHeight="1" s="37">
      <c r="A1243" s="9">
        <f>IF(C1243="","","UM"&amp;TEXT(ROW()-1,"00000"))</f>
        <v/>
      </c>
      <c r="B1243" s="9" t="n"/>
      <c r="C1243" s="9" t="n"/>
      <c r="D1243" s="9" t="n"/>
      <c r="E1243" s="9" t="n"/>
      <c r="F1243" s="9">
        <f>IF(E1243="","",DATEDIF(E1243,DATE(2026,12,31),"Y"))</f>
        <v/>
      </c>
      <c r="G1243" s="9" t="n"/>
      <c r="H1243" s="9" t="n"/>
      <c r="I1243" s="9" t="n"/>
      <c r="J1243" s="9" t="n"/>
      <c r="K1243" s="9" t="n"/>
      <c r="L1243" s="9" t="n"/>
      <c r="M1243" s="9" t="n"/>
      <c r="N1243" s="9" t="n"/>
      <c r="O1243" s="9" t="n"/>
      <c r="P1243" s="9" t="n"/>
      <c r="Q1243" s="9" t="n"/>
      <c r="R1243" s="9" t="n"/>
      <c r="S1243" s="9" t="n"/>
      <c r="T1243" s="9" t="n"/>
      <c r="U1243" s="9" t="n"/>
      <c r="V1243" s="9" t="n"/>
      <c r="W1243" s="9" t="n"/>
      <c r="X1243" s="9" t="n"/>
      <c r="Y1243" s="9" t="n"/>
      <c r="Z1243" s="9" t="n"/>
    </row>
    <row r="1244" ht="14.25" customHeight="1" s="37">
      <c r="A1244" s="9">
        <f>IF(C1244="","","UM"&amp;TEXT(ROW()-1,"00000"))</f>
        <v/>
      </c>
      <c r="B1244" s="9" t="n"/>
      <c r="C1244" s="9" t="n"/>
      <c r="D1244" s="9" t="n"/>
      <c r="E1244" s="9" t="n"/>
      <c r="F1244" s="9">
        <f>IF(E1244="","",DATEDIF(E1244,DATE(2026,12,31),"Y"))</f>
        <v/>
      </c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  <c r="R1244" s="9" t="n"/>
      <c r="S1244" s="9" t="n"/>
      <c r="T1244" s="9" t="n"/>
      <c r="U1244" s="9" t="n"/>
      <c r="V1244" s="9" t="n"/>
      <c r="W1244" s="9" t="n"/>
      <c r="X1244" s="9" t="n"/>
      <c r="Y1244" s="9" t="n"/>
      <c r="Z1244" s="9" t="n"/>
    </row>
    <row r="1245" ht="14.25" customHeight="1" s="37">
      <c r="A1245" s="9">
        <f>IF(C1245="","","UM"&amp;TEXT(ROW()-1,"00000"))</f>
        <v/>
      </c>
      <c r="B1245" s="9" t="n"/>
      <c r="C1245" s="9" t="n"/>
      <c r="D1245" s="9" t="n"/>
      <c r="E1245" s="9" t="n"/>
      <c r="F1245" s="9">
        <f>IF(E1245="","",DATEDIF(E1245,DATE(2026,12,31),"Y"))</f>
        <v/>
      </c>
      <c r="G1245" s="9" t="n"/>
      <c r="H1245" s="9" t="n"/>
      <c r="I1245" s="9" t="n"/>
      <c r="J1245" s="9" t="n"/>
      <c r="K1245" s="9" t="n"/>
      <c r="L1245" s="9" t="n"/>
      <c r="M1245" s="9" t="n"/>
      <c r="N1245" s="9" t="n"/>
      <c r="O1245" s="9" t="n"/>
      <c r="P1245" s="9" t="n"/>
      <c r="Q1245" s="9" t="n"/>
      <c r="R1245" s="9" t="n"/>
      <c r="S1245" s="9" t="n"/>
      <c r="T1245" s="9" t="n"/>
      <c r="U1245" s="9" t="n"/>
      <c r="V1245" s="9" t="n"/>
      <c r="W1245" s="9" t="n"/>
      <c r="X1245" s="9" t="n"/>
      <c r="Y1245" s="9" t="n"/>
      <c r="Z1245" s="9" t="n"/>
    </row>
    <row r="1246" ht="14.25" customHeight="1" s="37">
      <c r="A1246" s="9">
        <f>IF(C1246="","","UM"&amp;TEXT(ROW()-1,"00000"))</f>
        <v/>
      </c>
      <c r="B1246" s="9" t="n"/>
      <c r="C1246" s="9" t="n"/>
      <c r="D1246" s="9" t="n"/>
      <c r="E1246" s="9" t="n"/>
      <c r="F1246" s="9">
        <f>IF(E1246="","",DATEDIF(E1246,DATE(2026,12,31),"Y"))</f>
        <v/>
      </c>
      <c r="G1246" s="9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  <c r="R1246" s="9" t="n"/>
      <c r="S1246" s="9" t="n"/>
      <c r="T1246" s="9" t="n"/>
      <c r="U1246" s="9" t="n"/>
      <c r="V1246" s="9" t="n"/>
      <c r="W1246" s="9" t="n"/>
      <c r="X1246" s="9" t="n"/>
      <c r="Y1246" s="9" t="n"/>
      <c r="Z1246" s="9" t="n"/>
    </row>
    <row r="1247" ht="14.25" customHeight="1" s="37">
      <c r="A1247" s="9">
        <f>IF(C1247="","","UM"&amp;TEXT(ROW()-1,"00000"))</f>
        <v/>
      </c>
      <c r="B1247" s="9" t="n"/>
      <c r="C1247" s="9" t="n"/>
      <c r="D1247" s="9" t="n"/>
      <c r="E1247" s="9" t="n"/>
      <c r="F1247" s="9">
        <f>IF(E1247="","",DATEDIF(E1247,DATE(2026,12,31),"Y"))</f>
        <v/>
      </c>
      <c r="G1247" s="9" t="n"/>
      <c r="H1247" s="9" t="n"/>
      <c r="I1247" s="9" t="n"/>
      <c r="J1247" s="9" t="n"/>
      <c r="K1247" s="9" t="n"/>
      <c r="L1247" s="9" t="n"/>
      <c r="M1247" s="9" t="n"/>
      <c r="N1247" s="9" t="n"/>
      <c r="O1247" s="9" t="n"/>
      <c r="P1247" s="9" t="n"/>
      <c r="Q1247" s="9" t="n"/>
      <c r="R1247" s="9" t="n"/>
      <c r="S1247" s="9" t="n"/>
      <c r="T1247" s="9" t="n"/>
      <c r="U1247" s="9" t="n"/>
      <c r="V1247" s="9" t="n"/>
      <c r="W1247" s="9" t="n"/>
      <c r="X1247" s="9" t="n"/>
      <c r="Y1247" s="9" t="n"/>
      <c r="Z1247" s="9" t="n"/>
    </row>
    <row r="1248" ht="14.25" customHeight="1" s="37">
      <c r="A1248" s="9">
        <f>IF(C1248="","","UM"&amp;TEXT(ROW()-1,"00000"))</f>
        <v/>
      </c>
      <c r="B1248" s="9" t="n"/>
      <c r="C1248" s="9" t="n"/>
      <c r="D1248" s="9" t="n"/>
      <c r="E1248" s="9" t="n"/>
      <c r="F1248" s="9">
        <f>IF(E1248="","",DATEDIF(E1248,DATE(2026,12,31),"Y"))</f>
        <v/>
      </c>
      <c r="G1248" s="9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  <c r="R1248" s="9" t="n"/>
      <c r="S1248" s="9" t="n"/>
      <c r="T1248" s="9" t="n"/>
      <c r="U1248" s="9" t="n"/>
      <c r="V1248" s="9" t="n"/>
      <c r="W1248" s="9" t="n"/>
      <c r="X1248" s="9" t="n"/>
      <c r="Y1248" s="9" t="n"/>
      <c r="Z1248" s="9" t="n"/>
    </row>
    <row r="1249" ht="14.25" customHeight="1" s="37">
      <c r="A1249" s="9">
        <f>IF(C1249="","","UM"&amp;TEXT(ROW()-1,"00000"))</f>
        <v/>
      </c>
      <c r="B1249" s="9" t="n"/>
      <c r="C1249" s="9" t="n"/>
      <c r="D1249" s="9" t="n"/>
      <c r="E1249" s="9" t="n"/>
      <c r="F1249" s="9">
        <f>IF(E1249="","",DATEDIF(E1249,DATE(2026,12,31),"Y"))</f>
        <v/>
      </c>
      <c r="G1249" s="9" t="n"/>
      <c r="H1249" s="9" t="n"/>
      <c r="I1249" s="9" t="n"/>
      <c r="J1249" s="9" t="n"/>
      <c r="K1249" s="9" t="n"/>
      <c r="L1249" s="9" t="n"/>
      <c r="M1249" s="9" t="n"/>
      <c r="N1249" s="9" t="n"/>
      <c r="O1249" s="9" t="n"/>
      <c r="P1249" s="9" t="n"/>
      <c r="Q1249" s="9" t="n"/>
      <c r="R1249" s="9" t="n"/>
      <c r="S1249" s="9" t="n"/>
      <c r="T1249" s="9" t="n"/>
      <c r="U1249" s="9" t="n"/>
      <c r="V1249" s="9" t="n"/>
      <c r="W1249" s="9" t="n"/>
      <c r="X1249" s="9" t="n"/>
      <c r="Y1249" s="9" t="n"/>
      <c r="Z1249" s="9" t="n"/>
    </row>
    <row r="1250" ht="14.25" customHeight="1" s="37">
      <c r="A1250" s="9">
        <f>IF(C1250="","","UM"&amp;TEXT(ROW()-1,"00000"))</f>
        <v/>
      </c>
      <c r="B1250" s="9" t="n"/>
      <c r="C1250" s="9" t="n"/>
      <c r="D1250" s="9" t="n"/>
      <c r="E1250" s="9" t="n"/>
      <c r="F1250" s="9">
        <f>IF(E1250="","",DATEDIF(E1250,DATE(2026,12,31),"Y"))</f>
        <v/>
      </c>
      <c r="G1250" s="9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  <c r="R1250" s="9" t="n"/>
      <c r="S1250" s="9" t="n"/>
      <c r="T1250" s="9" t="n"/>
      <c r="U1250" s="9" t="n"/>
      <c r="V1250" s="9" t="n"/>
      <c r="W1250" s="9" t="n"/>
      <c r="X1250" s="9" t="n"/>
      <c r="Y1250" s="9" t="n"/>
      <c r="Z1250" s="9" t="n"/>
    </row>
    <row r="1251" ht="14.25" customHeight="1" s="37">
      <c r="A1251" s="9">
        <f>IF(C1251="","","UM"&amp;TEXT(ROW()-1,"00000"))</f>
        <v/>
      </c>
      <c r="B1251" s="9" t="n"/>
      <c r="C1251" s="9" t="n"/>
      <c r="D1251" s="9" t="n"/>
      <c r="E1251" s="9" t="n"/>
      <c r="F1251" s="9">
        <f>IF(E1251="","",DATEDIF(E1251,DATE(2026,12,31),"Y"))</f>
        <v/>
      </c>
      <c r="G1251" s="9" t="n"/>
      <c r="H1251" s="9" t="n"/>
      <c r="I1251" s="9" t="n"/>
      <c r="J1251" s="9" t="n"/>
      <c r="K1251" s="9" t="n"/>
      <c r="L1251" s="9" t="n"/>
      <c r="M1251" s="9" t="n"/>
      <c r="N1251" s="9" t="n"/>
      <c r="O1251" s="9" t="n"/>
      <c r="P1251" s="9" t="n"/>
      <c r="Q1251" s="9" t="n"/>
      <c r="R1251" s="9" t="n"/>
      <c r="S1251" s="9" t="n"/>
      <c r="T1251" s="9" t="n"/>
      <c r="U1251" s="9" t="n"/>
      <c r="V1251" s="9" t="n"/>
      <c r="W1251" s="9" t="n"/>
      <c r="X1251" s="9" t="n"/>
      <c r="Y1251" s="9" t="n"/>
      <c r="Z1251" s="9" t="n"/>
    </row>
    <row r="1252" ht="14.25" customHeight="1" s="37">
      <c r="A1252" s="9">
        <f>IF(C1252="","","UM"&amp;TEXT(ROW()-1,"00000"))</f>
        <v/>
      </c>
      <c r="B1252" s="9" t="n"/>
      <c r="C1252" s="9" t="n"/>
      <c r="D1252" s="9" t="n"/>
      <c r="E1252" s="9" t="n"/>
      <c r="F1252" s="9">
        <f>IF(E1252="","",DATEDIF(E1252,DATE(2026,12,31),"Y"))</f>
        <v/>
      </c>
      <c r="G1252" s="9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  <c r="R1252" s="9" t="n"/>
      <c r="S1252" s="9" t="n"/>
      <c r="T1252" s="9" t="n"/>
      <c r="U1252" s="9" t="n"/>
      <c r="V1252" s="9" t="n"/>
      <c r="W1252" s="9" t="n"/>
      <c r="X1252" s="9" t="n"/>
      <c r="Y1252" s="9" t="n"/>
      <c r="Z1252" s="9" t="n"/>
    </row>
    <row r="1253" ht="14.25" customHeight="1" s="37">
      <c r="A1253" s="9">
        <f>IF(C1253="","","UM"&amp;TEXT(ROW()-1,"00000"))</f>
        <v/>
      </c>
      <c r="B1253" s="9" t="n"/>
      <c r="C1253" s="9" t="n"/>
      <c r="D1253" s="9" t="n"/>
      <c r="E1253" s="9" t="n"/>
      <c r="F1253" s="9">
        <f>IF(E1253="","",DATEDIF(E1253,DATE(2026,12,31),"Y"))</f>
        <v/>
      </c>
      <c r="G1253" s="9" t="n"/>
      <c r="H1253" s="9" t="n"/>
      <c r="I1253" s="9" t="n"/>
      <c r="J1253" s="9" t="n"/>
      <c r="K1253" s="9" t="n"/>
      <c r="L1253" s="9" t="n"/>
      <c r="M1253" s="9" t="n"/>
      <c r="N1253" s="9" t="n"/>
      <c r="O1253" s="9" t="n"/>
      <c r="P1253" s="9" t="n"/>
      <c r="Q1253" s="9" t="n"/>
      <c r="R1253" s="9" t="n"/>
      <c r="S1253" s="9" t="n"/>
      <c r="T1253" s="9" t="n"/>
      <c r="U1253" s="9" t="n"/>
      <c r="V1253" s="9" t="n"/>
      <c r="W1253" s="9" t="n"/>
      <c r="X1253" s="9" t="n"/>
      <c r="Y1253" s="9" t="n"/>
      <c r="Z1253" s="9" t="n"/>
    </row>
    <row r="1254" ht="14.25" customHeight="1" s="37">
      <c r="A1254" s="9">
        <f>IF(C1254="","","UM"&amp;TEXT(ROW()-1,"00000"))</f>
        <v/>
      </c>
      <c r="B1254" s="9" t="n"/>
      <c r="C1254" s="9" t="n"/>
      <c r="D1254" s="9" t="n"/>
      <c r="E1254" s="9" t="n"/>
      <c r="F1254" s="9">
        <f>IF(E1254="","",DATEDIF(E1254,DATE(2026,12,31),"Y"))</f>
        <v/>
      </c>
      <c r="G1254" s="9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  <c r="R1254" s="9" t="n"/>
      <c r="S1254" s="9" t="n"/>
      <c r="T1254" s="9" t="n"/>
      <c r="U1254" s="9" t="n"/>
      <c r="V1254" s="9" t="n"/>
      <c r="W1254" s="9" t="n"/>
      <c r="X1254" s="9" t="n"/>
      <c r="Y1254" s="9" t="n"/>
      <c r="Z1254" s="9" t="n"/>
    </row>
    <row r="1255" ht="14.25" customHeight="1" s="37">
      <c r="A1255" s="9">
        <f>IF(C1255="","","UM"&amp;TEXT(ROW()-1,"00000"))</f>
        <v/>
      </c>
      <c r="B1255" s="9" t="n"/>
      <c r="C1255" s="9" t="n"/>
      <c r="D1255" s="9" t="n"/>
      <c r="E1255" s="9" t="n"/>
      <c r="F1255" s="9">
        <f>IF(E1255="","",DATEDIF(E1255,DATE(2026,12,31),"Y"))</f>
        <v/>
      </c>
      <c r="G1255" s="9" t="n"/>
      <c r="H1255" s="9" t="n"/>
      <c r="I1255" s="9" t="n"/>
      <c r="J1255" s="9" t="n"/>
      <c r="K1255" s="9" t="n"/>
      <c r="L1255" s="9" t="n"/>
      <c r="M1255" s="9" t="n"/>
      <c r="N1255" s="9" t="n"/>
      <c r="O1255" s="9" t="n"/>
      <c r="P1255" s="9" t="n"/>
      <c r="Q1255" s="9" t="n"/>
      <c r="R1255" s="9" t="n"/>
      <c r="S1255" s="9" t="n"/>
      <c r="T1255" s="9" t="n"/>
      <c r="U1255" s="9" t="n"/>
      <c r="V1255" s="9" t="n"/>
      <c r="W1255" s="9" t="n"/>
      <c r="X1255" s="9" t="n"/>
      <c r="Y1255" s="9" t="n"/>
      <c r="Z1255" s="9" t="n"/>
    </row>
    <row r="1256" ht="14.25" customHeight="1" s="37">
      <c r="A1256" s="9">
        <f>IF(C1256="","","UM"&amp;TEXT(ROW()-1,"00000"))</f>
        <v/>
      </c>
      <c r="B1256" s="9" t="n"/>
      <c r="C1256" s="9" t="n"/>
      <c r="D1256" s="9" t="n"/>
      <c r="E1256" s="9" t="n"/>
      <c r="F1256" s="9">
        <f>IF(E1256="","",DATEDIF(E1256,DATE(2026,12,31),"Y"))</f>
        <v/>
      </c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  <c r="R1256" s="9" t="n"/>
      <c r="S1256" s="9" t="n"/>
      <c r="T1256" s="9" t="n"/>
      <c r="U1256" s="9" t="n"/>
      <c r="V1256" s="9" t="n"/>
      <c r="W1256" s="9" t="n"/>
      <c r="X1256" s="9" t="n"/>
      <c r="Y1256" s="9" t="n"/>
      <c r="Z1256" s="9" t="n"/>
    </row>
    <row r="1257" ht="14.25" customHeight="1" s="37">
      <c r="A1257" s="9">
        <f>IF(C1257="","","UM"&amp;TEXT(ROW()-1,"00000"))</f>
        <v/>
      </c>
      <c r="B1257" s="9" t="n"/>
      <c r="C1257" s="9" t="n"/>
      <c r="D1257" s="9" t="n"/>
      <c r="E1257" s="9" t="n"/>
      <c r="F1257" s="9">
        <f>IF(E1257="","",DATEDIF(E1257,DATE(2026,12,31),"Y"))</f>
        <v/>
      </c>
      <c r="G1257" s="9" t="n"/>
      <c r="H1257" s="9" t="n"/>
      <c r="I1257" s="9" t="n"/>
      <c r="J1257" s="9" t="n"/>
      <c r="K1257" s="9" t="n"/>
      <c r="L1257" s="9" t="n"/>
      <c r="M1257" s="9" t="n"/>
      <c r="N1257" s="9" t="n"/>
      <c r="O1257" s="9" t="n"/>
      <c r="P1257" s="9" t="n"/>
      <c r="Q1257" s="9" t="n"/>
      <c r="R1257" s="9" t="n"/>
      <c r="S1257" s="9" t="n"/>
      <c r="T1257" s="9" t="n"/>
      <c r="U1257" s="9" t="n"/>
      <c r="V1257" s="9" t="n"/>
      <c r="W1257" s="9" t="n"/>
      <c r="X1257" s="9" t="n"/>
      <c r="Y1257" s="9" t="n"/>
      <c r="Z1257" s="9" t="n"/>
    </row>
    <row r="1258" ht="14.25" customHeight="1" s="37">
      <c r="A1258" s="9">
        <f>IF(C1258="","","UM"&amp;TEXT(ROW()-1,"00000"))</f>
        <v/>
      </c>
      <c r="B1258" s="9" t="n"/>
      <c r="C1258" s="9" t="n"/>
      <c r="D1258" s="9" t="n"/>
      <c r="E1258" s="9" t="n"/>
      <c r="F1258" s="9">
        <f>IF(E1258="","",DATEDIF(E1258,DATE(2026,12,31),"Y"))</f>
        <v/>
      </c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  <c r="R1258" s="9" t="n"/>
      <c r="S1258" s="9" t="n"/>
      <c r="T1258" s="9" t="n"/>
      <c r="U1258" s="9" t="n"/>
      <c r="V1258" s="9" t="n"/>
      <c r="W1258" s="9" t="n"/>
      <c r="X1258" s="9" t="n"/>
      <c r="Y1258" s="9" t="n"/>
      <c r="Z1258" s="9" t="n"/>
    </row>
    <row r="1259" ht="14.25" customHeight="1" s="37">
      <c r="A1259" s="9">
        <f>IF(C1259="","","UM"&amp;TEXT(ROW()-1,"00000"))</f>
        <v/>
      </c>
      <c r="B1259" s="9" t="n"/>
      <c r="C1259" s="9" t="n"/>
      <c r="D1259" s="9" t="n"/>
      <c r="E1259" s="9" t="n"/>
      <c r="F1259" s="9">
        <f>IF(E1259="","",DATEDIF(E1259,DATE(2026,12,31),"Y"))</f>
        <v/>
      </c>
      <c r="G1259" s="9" t="n"/>
      <c r="H1259" s="9" t="n"/>
      <c r="I1259" s="9" t="n"/>
      <c r="J1259" s="9" t="n"/>
      <c r="K1259" s="9" t="n"/>
      <c r="L1259" s="9" t="n"/>
      <c r="M1259" s="9" t="n"/>
      <c r="N1259" s="9" t="n"/>
      <c r="O1259" s="9" t="n"/>
      <c r="P1259" s="9" t="n"/>
      <c r="Q1259" s="9" t="n"/>
      <c r="R1259" s="9" t="n"/>
      <c r="S1259" s="9" t="n"/>
      <c r="T1259" s="9" t="n"/>
      <c r="U1259" s="9" t="n"/>
      <c r="V1259" s="9" t="n"/>
      <c r="W1259" s="9" t="n"/>
      <c r="X1259" s="9" t="n"/>
      <c r="Y1259" s="9" t="n"/>
      <c r="Z1259" s="9" t="n"/>
    </row>
    <row r="1260" ht="14.25" customHeight="1" s="37">
      <c r="A1260" s="9">
        <f>IF(C1260="","","UM"&amp;TEXT(ROW()-1,"00000"))</f>
        <v/>
      </c>
      <c r="B1260" s="9" t="n"/>
      <c r="C1260" s="9" t="n"/>
      <c r="D1260" s="9" t="n"/>
      <c r="E1260" s="9" t="n"/>
      <c r="F1260" s="9">
        <f>IF(E1260="","",DATEDIF(E1260,DATE(2026,12,31),"Y"))</f>
        <v/>
      </c>
      <c r="G1260" s="9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  <c r="R1260" s="9" t="n"/>
      <c r="S1260" s="9" t="n"/>
      <c r="T1260" s="9" t="n"/>
      <c r="U1260" s="9" t="n"/>
      <c r="V1260" s="9" t="n"/>
      <c r="W1260" s="9" t="n"/>
      <c r="X1260" s="9" t="n"/>
      <c r="Y1260" s="9" t="n"/>
      <c r="Z1260" s="9" t="n"/>
    </row>
    <row r="1261" ht="14.25" customHeight="1" s="37">
      <c r="A1261" s="9">
        <f>IF(C1261="","","UM"&amp;TEXT(ROW()-1,"00000"))</f>
        <v/>
      </c>
      <c r="B1261" s="9" t="n"/>
      <c r="C1261" s="9" t="n"/>
      <c r="D1261" s="9" t="n"/>
      <c r="E1261" s="9" t="n"/>
      <c r="F1261" s="9">
        <f>IF(E1261="","",DATEDIF(E1261,DATE(2026,12,31),"Y"))</f>
        <v/>
      </c>
      <c r="G1261" s="9" t="n"/>
      <c r="H1261" s="9" t="n"/>
      <c r="I1261" s="9" t="n"/>
      <c r="J1261" s="9" t="n"/>
      <c r="K1261" s="9" t="n"/>
      <c r="L1261" s="9" t="n"/>
      <c r="M1261" s="9" t="n"/>
      <c r="N1261" s="9" t="n"/>
      <c r="O1261" s="9" t="n"/>
      <c r="P1261" s="9" t="n"/>
      <c r="Q1261" s="9" t="n"/>
      <c r="R1261" s="9" t="n"/>
      <c r="S1261" s="9" t="n"/>
      <c r="T1261" s="9" t="n"/>
      <c r="U1261" s="9" t="n"/>
      <c r="V1261" s="9" t="n"/>
      <c r="W1261" s="9" t="n"/>
      <c r="X1261" s="9" t="n"/>
      <c r="Y1261" s="9" t="n"/>
      <c r="Z1261" s="9" t="n"/>
    </row>
    <row r="1262" ht="14.25" customHeight="1" s="37">
      <c r="A1262" s="9">
        <f>IF(C1262="","","UM"&amp;TEXT(ROW()-1,"00000"))</f>
        <v/>
      </c>
      <c r="B1262" s="9" t="n"/>
      <c r="C1262" s="9" t="n"/>
      <c r="D1262" s="9" t="n"/>
      <c r="E1262" s="9" t="n"/>
      <c r="F1262" s="9">
        <f>IF(E1262="","",DATEDIF(E1262,DATE(2026,12,31),"Y"))</f>
        <v/>
      </c>
      <c r="G1262" s="9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  <c r="R1262" s="9" t="n"/>
      <c r="S1262" s="9" t="n"/>
      <c r="T1262" s="9" t="n"/>
      <c r="U1262" s="9" t="n"/>
      <c r="V1262" s="9" t="n"/>
      <c r="W1262" s="9" t="n"/>
      <c r="X1262" s="9" t="n"/>
      <c r="Y1262" s="9" t="n"/>
      <c r="Z1262" s="9" t="n"/>
    </row>
    <row r="1263" ht="14.25" customHeight="1" s="37">
      <c r="A1263" s="9">
        <f>IF(C1263="","","UM"&amp;TEXT(ROW()-1,"00000"))</f>
        <v/>
      </c>
      <c r="B1263" s="9" t="n"/>
      <c r="C1263" s="9" t="n"/>
      <c r="D1263" s="9" t="n"/>
      <c r="E1263" s="9" t="n"/>
      <c r="F1263" s="9">
        <f>IF(E1263="","",DATEDIF(E1263,DATE(2026,12,31),"Y"))</f>
        <v/>
      </c>
      <c r="G1263" s="9" t="n"/>
      <c r="H1263" s="9" t="n"/>
      <c r="I1263" s="9" t="n"/>
      <c r="J1263" s="9" t="n"/>
      <c r="K1263" s="9" t="n"/>
      <c r="L1263" s="9" t="n"/>
      <c r="M1263" s="9" t="n"/>
      <c r="N1263" s="9" t="n"/>
      <c r="O1263" s="9" t="n"/>
      <c r="P1263" s="9" t="n"/>
      <c r="Q1263" s="9" t="n"/>
      <c r="R1263" s="9" t="n"/>
      <c r="S1263" s="9" t="n"/>
      <c r="T1263" s="9" t="n"/>
      <c r="U1263" s="9" t="n"/>
      <c r="V1263" s="9" t="n"/>
      <c r="W1263" s="9" t="n"/>
      <c r="X1263" s="9" t="n"/>
      <c r="Y1263" s="9" t="n"/>
      <c r="Z1263" s="9" t="n"/>
    </row>
    <row r="1264" ht="14.25" customHeight="1" s="37">
      <c r="A1264" s="9">
        <f>IF(C1264="","","UM"&amp;TEXT(ROW()-1,"00000"))</f>
        <v/>
      </c>
      <c r="B1264" s="9" t="n"/>
      <c r="C1264" s="9" t="n"/>
      <c r="D1264" s="9" t="n"/>
      <c r="E1264" s="9" t="n"/>
      <c r="F1264" s="9">
        <f>IF(E1264="","",DATEDIF(E1264,DATE(2026,12,31),"Y"))</f>
        <v/>
      </c>
      <c r="G1264" s="9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  <c r="R1264" s="9" t="n"/>
      <c r="S1264" s="9" t="n"/>
      <c r="T1264" s="9" t="n"/>
      <c r="U1264" s="9" t="n"/>
      <c r="V1264" s="9" t="n"/>
      <c r="W1264" s="9" t="n"/>
      <c r="X1264" s="9" t="n"/>
      <c r="Y1264" s="9" t="n"/>
      <c r="Z1264" s="9" t="n"/>
    </row>
    <row r="1265" ht="14.25" customHeight="1" s="37">
      <c r="A1265" s="9">
        <f>IF(C1265="","","UM"&amp;TEXT(ROW()-1,"00000"))</f>
        <v/>
      </c>
      <c r="B1265" s="9" t="n"/>
      <c r="C1265" s="9" t="n"/>
      <c r="D1265" s="9" t="n"/>
      <c r="E1265" s="9" t="n"/>
      <c r="F1265" s="9">
        <f>IF(E1265="","",DATEDIF(E1265,DATE(2026,12,31),"Y"))</f>
        <v/>
      </c>
      <c r="G1265" s="9" t="n"/>
      <c r="H1265" s="9" t="n"/>
      <c r="I1265" s="9" t="n"/>
      <c r="J1265" s="9" t="n"/>
      <c r="K1265" s="9" t="n"/>
      <c r="L1265" s="9" t="n"/>
      <c r="M1265" s="9" t="n"/>
      <c r="N1265" s="9" t="n"/>
      <c r="O1265" s="9" t="n"/>
      <c r="P1265" s="9" t="n"/>
      <c r="Q1265" s="9" t="n"/>
      <c r="R1265" s="9" t="n"/>
      <c r="S1265" s="9" t="n"/>
      <c r="T1265" s="9" t="n"/>
      <c r="U1265" s="9" t="n"/>
      <c r="V1265" s="9" t="n"/>
      <c r="W1265" s="9" t="n"/>
      <c r="X1265" s="9" t="n"/>
      <c r="Y1265" s="9" t="n"/>
      <c r="Z1265" s="9" t="n"/>
    </row>
    <row r="1266" ht="14.25" customHeight="1" s="37">
      <c r="A1266" s="9">
        <f>IF(C1266="","","UM"&amp;TEXT(ROW()-1,"00000"))</f>
        <v/>
      </c>
      <c r="B1266" s="9" t="n"/>
      <c r="C1266" s="9" t="n"/>
      <c r="D1266" s="9" t="n"/>
      <c r="E1266" s="9" t="n"/>
      <c r="F1266" s="9">
        <f>IF(E1266="","",DATEDIF(E1266,DATE(2026,12,31),"Y"))</f>
        <v/>
      </c>
      <c r="G1266" s="9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  <c r="R1266" s="9" t="n"/>
      <c r="S1266" s="9" t="n"/>
      <c r="T1266" s="9" t="n"/>
      <c r="U1266" s="9" t="n"/>
      <c r="V1266" s="9" t="n"/>
      <c r="W1266" s="9" t="n"/>
      <c r="X1266" s="9" t="n"/>
      <c r="Y1266" s="9" t="n"/>
      <c r="Z1266" s="9" t="n"/>
    </row>
    <row r="1267" ht="14.25" customHeight="1" s="37">
      <c r="A1267" s="9">
        <f>IF(C1267="","","UM"&amp;TEXT(ROW()-1,"00000"))</f>
        <v/>
      </c>
      <c r="B1267" s="9" t="n"/>
      <c r="C1267" s="9" t="n"/>
      <c r="D1267" s="9" t="n"/>
      <c r="E1267" s="9" t="n"/>
      <c r="F1267" s="9">
        <f>IF(E1267="","",DATEDIF(E1267,DATE(2026,12,31),"Y"))</f>
        <v/>
      </c>
      <c r="G1267" s="9" t="n"/>
      <c r="H1267" s="9" t="n"/>
      <c r="I1267" s="9" t="n"/>
      <c r="J1267" s="9" t="n"/>
      <c r="K1267" s="9" t="n"/>
      <c r="L1267" s="9" t="n"/>
      <c r="M1267" s="9" t="n"/>
      <c r="N1267" s="9" t="n"/>
      <c r="O1267" s="9" t="n"/>
      <c r="P1267" s="9" t="n"/>
      <c r="Q1267" s="9" t="n"/>
      <c r="R1267" s="9" t="n"/>
      <c r="S1267" s="9" t="n"/>
      <c r="T1267" s="9" t="n"/>
      <c r="U1267" s="9" t="n"/>
      <c r="V1267" s="9" t="n"/>
      <c r="W1267" s="9" t="n"/>
      <c r="X1267" s="9" t="n"/>
      <c r="Y1267" s="9" t="n"/>
      <c r="Z1267" s="9" t="n"/>
    </row>
    <row r="1268" ht="14.25" customHeight="1" s="37">
      <c r="A1268" s="9">
        <f>IF(C1268="","","UM"&amp;TEXT(ROW()-1,"00000"))</f>
        <v/>
      </c>
      <c r="B1268" s="9" t="n"/>
      <c r="C1268" s="9" t="n"/>
      <c r="D1268" s="9" t="n"/>
      <c r="E1268" s="9" t="n"/>
      <c r="F1268" s="9">
        <f>IF(E1268="","",DATEDIF(E1268,DATE(2026,12,31),"Y"))</f>
        <v/>
      </c>
      <c r="G1268" s="9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  <c r="R1268" s="9" t="n"/>
      <c r="S1268" s="9" t="n"/>
      <c r="T1268" s="9" t="n"/>
      <c r="U1268" s="9" t="n"/>
      <c r="V1268" s="9" t="n"/>
      <c r="W1268" s="9" t="n"/>
      <c r="X1268" s="9" t="n"/>
      <c r="Y1268" s="9" t="n"/>
      <c r="Z1268" s="9" t="n"/>
    </row>
    <row r="1269" ht="14.25" customHeight="1" s="37">
      <c r="A1269" s="9">
        <f>IF(C1269="","","UM"&amp;TEXT(ROW()-1,"00000"))</f>
        <v/>
      </c>
      <c r="B1269" s="9" t="n"/>
      <c r="C1269" s="9" t="n"/>
      <c r="D1269" s="9" t="n"/>
      <c r="E1269" s="9" t="n"/>
      <c r="F1269" s="9">
        <f>IF(E1269="","",DATEDIF(E1269,DATE(2026,12,31),"Y"))</f>
        <v/>
      </c>
      <c r="G1269" s="9" t="n"/>
      <c r="H1269" s="9" t="n"/>
      <c r="I1269" s="9" t="n"/>
      <c r="J1269" s="9" t="n"/>
      <c r="K1269" s="9" t="n"/>
      <c r="L1269" s="9" t="n"/>
      <c r="M1269" s="9" t="n"/>
      <c r="N1269" s="9" t="n"/>
      <c r="O1269" s="9" t="n"/>
      <c r="P1269" s="9" t="n"/>
      <c r="Q1269" s="9" t="n"/>
      <c r="R1269" s="9" t="n"/>
      <c r="S1269" s="9" t="n"/>
      <c r="T1269" s="9" t="n"/>
      <c r="U1269" s="9" t="n"/>
      <c r="V1269" s="9" t="n"/>
      <c r="W1269" s="9" t="n"/>
      <c r="X1269" s="9" t="n"/>
      <c r="Y1269" s="9" t="n"/>
      <c r="Z1269" s="9" t="n"/>
    </row>
    <row r="1270" ht="14.25" customHeight="1" s="37">
      <c r="A1270" s="9">
        <f>IF(C1270="","","UM"&amp;TEXT(ROW()-1,"00000"))</f>
        <v/>
      </c>
      <c r="B1270" s="9" t="n"/>
      <c r="C1270" s="9" t="n"/>
      <c r="D1270" s="9" t="n"/>
      <c r="E1270" s="9" t="n"/>
      <c r="F1270" s="9">
        <f>IF(E1270="","",DATEDIF(E1270,DATE(2026,12,31),"Y"))</f>
        <v/>
      </c>
      <c r="G1270" s="9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  <c r="R1270" s="9" t="n"/>
      <c r="S1270" s="9" t="n"/>
      <c r="T1270" s="9" t="n"/>
      <c r="U1270" s="9" t="n"/>
      <c r="V1270" s="9" t="n"/>
      <c r="W1270" s="9" t="n"/>
      <c r="X1270" s="9" t="n"/>
      <c r="Y1270" s="9" t="n"/>
      <c r="Z1270" s="9" t="n"/>
    </row>
    <row r="1271" ht="14.25" customHeight="1" s="37">
      <c r="A1271" s="9">
        <f>IF(C1271="","","UM"&amp;TEXT(ROW()-1,"00000"))</f>
        <v/>
      </c>
      <c r="B1271" s="9" t="n"/>
      <c r="C1271" s="9" t="n"/>
      <c r="D1271" s="9" t="n"/>
      <c r="E1271" s="9" t="n"/>
      <c r="F1271" s="9">
        <f>IF(E1271="","",DATEDIF(E1271,DATE(2026,12,31),"Y"))</f>
        <v/>
      </c>
      <c r="G1271" s="9" t="n"/>
      <c r="H1271" s="9" t="n"/>
      <c r="I1271" s="9" t="n"/>
      <c r="J1271" s="9" t="n"/>
      <c r="K1271" s="9" t="n"/>
      <c r="L1271" s="9" t="n"/>
      <c r="M1271" s="9" t="n"/>
      <c r="N1271" s="9" t="n"/>
      <c r="O1271" s="9" t="n"/>
      <c r="P1271" s="9" t="n"/>
      <c r="Q1271" s="9" t="n"/>
      <c r="R1271" s="9" t="n"/>
      <c r="S1271" s="9" t="n"/>
      <c r="T1271" s="9" t="n"/>
      <c r="U1271" s="9" t="n"/>
      <c r="V1271" s="9" t="n"/>
      <c r="W1271" s="9" t="n"/>
      <c r="X1271" s="9" t="n"/>
      <c r="Y1271" s="9" t="n"/>
      <c r="Z1271" s="9" t="n"/>
    </row>
    <row r="1272" ht="14.25" customHeight="1" s="37">
      <c r="A1272" s="9">
        <f>IF(C1272="","","UM"&amp;TEXT(ROW()-1,"00000"))</f>
        <v/>
      </c>
      <c r="B1272" s="9" t="n"/>
      <c r="C1272" s="9" t="n"/>
      <c r="D1272" s="9" t="n"/>
      <c r="E1272" s="9" t="n"/>
      <c r="F1272" s="9">
        <f>IF(E1272="","",DATEDIF(E1272,DATE(2026,12,31),"Y"))</f>
        <v/>
      </c>
      <c r="G1272" s="9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  <c r="R1272" s="9" t="n"/>
      <c r="S1272" s="9" t="n"/>
      <c r="T1272" s="9" t="n"/>
      <c r="U1272" s="9" t="n"/>
      <c r="V1272" s="9" t="n"/>
      <c r="W1272" s="9" t="n"/>
      <c r="X1272" s="9" t="n"/>
      <c r="Y1272" s="9" t="n"/>
      <c r="Z1272" s="9" t="n"/>
    </row>
    <row r="1273" ht="14.25" customHeight="1" s="37">
      <c r="A1273" s="9">
        <f>IF(C1273="","","UM"&amp;TEXT(ROW()-1,"00000"))</f>
        <v/>
      </c>
      <c r="B1273" s="9" t="n"/>
      <c r="C1273" s="9" t="n"/>
      <c r="D1273" s="9" t="n"/>
      <c r="E1273" s="9" t="n"/>
      <c r="F1273" s="9">
        <f>IF(E1273="","",DATEDIF(E1273,DATE(2026,12,31),"Y"))</f>
        <v/>
      </c>
      <c r="G1273" s="9" t="n"/>
      <c r="H1273" s="9" t="n"/>
      <c r="I1273" s="9" t="n"/>
      <c r="J1273" s="9" t="n"/>
      <c r="K1273" s="9" t="n"/>
      <c r="L1273" s="9" t="n"/>
      <c r="M1273" s="9" t="n"/>
      <c r="N1273" s="9" t="n"/>
      <c r="O1273" s="9" t="n"/>
      <c r="P1273" s="9" t="n"/>
      <c r="Q1273" s="9" t="n"/>
      <c r="R1273" s="9" t="n"/>
      <c r="S1273" s="9" t="n"/>
      <c r="T1273" s="9" t="n"/>
      <c r="U1273" s="9" t="n"/>
      <c r="V1273" s="9" t="n"/>
      <c r="W1273" s="9" t="n"/>
      <c r="X1273" s="9" t="n"/>
      <c r="Y1273" s="9" t="n"/>
      <c r="Z1273" s="9" t="n"/>
    </row>
    <row r="1274" ht="14.25" customHeight="1" s="37">
      <c r="A1274" s="9">
        <f>IF(C1274="","","UM"&amp;TEXT(ROW()-1,"00000"))</f>
        <v/>
      </c>
      <c r="B1274" s="9" t="n"/>
      <c r="C1274" s="9" t="n"/>
      <c r="D1274" s="9" t="n"/>
      <c r="E1274" s="9" t="n"/>
      <c r="F1274" s="9">
        <f>IF(E1274="","",DATEDIF(E1274,DATE(2026,12,31),"Y"))</f>
        <v/>
      </c>
      <c r="G1274" s="9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  <c r="R1274" s="9" t="n"/>
      <c r="S1274" s="9" t="n"/>
      <c r="T1274" s="9" t="n"/>
      <c r="U1274" s="9" t="n"/>
      <c r="V1274" s="9" t="n"/>
      <c r="W1274" s="9" t="n"/>
      <c r="X1274" s="9" t="n"/>
      <c r="Y1274" s="9" t="n"/>
      <c r="Z1274" s="9" t="n"/>
    </row>
    <row r="1275" ht="14.25" customHeight="1" s="37">
      <c r="A1275" s="9">
        <f>IF(C1275="","","UM"&amp;TEXT(ROW()-1,"00000"))</f>
        <v/>
      </c>
      <c r="B1275" s="9" t="n"/>
      <c r="C1275" s="9" t="n"/>
      <c r="D1275" s="9" t="n"/>
      <c r="E1275" s="9" t="n"/>
      <c r="F1275" s="9">
        <f>IF(E1275="","",DATEDIF(E1275,DATE(2026,12,31),"Y"))</f>
        <v/>
      </c>
      <c r="G1275" s="9" t="n"/>
      <c r="H1275" s="9" t="n"/>
      <c r="I1275" s="9" t="n"/>
      <c r="J1275" s="9" t="n"/>
      <c r="K1275" s="9" t="n"/>
      <c r="L1275" s="9" t="n"/>
      <c r="M1275" s="9" t="n"/>
      <c r="N1275" s="9" t="n"/>
      <c r="O1275" s="9" t="n"/>
      <c r="P1275" s="9" t="n"/>
      <c r="Q1275" s="9" t="n"/>
      <c r="R1275" s="9" t="n"/>
      <c r="S1275" s="9" t="n"/>
      <c r="T1275" s="9" t="n"/>
      <c r="U1275" s="9" t="n"/>
      <c r="V1275" s="9" t="n"/>
      <c r="W1275" s="9" t="n"/>
      <c r="X1275" s="9" t="n"/>
      <c r="Y1275" s="9" t="n"/>
      <c r="Z1275" s="9" t="n"/>
    </row>
    <row r="1276" ht="14.25" customHeight="1" s="37">
      <c r="A1276" s="9">
        <f>IF(C1276="","","UM"&amp;TEXT(ROW()-1,"00000"))</f>
        <v/>
      </c>
      <c r="B1276" s="9" t="n"/>
      <c r="C1276" s="9" t="n"/>
      <c r="D1276" s="9" t="n"/>
      <c r="E1276" s="9" t="n"/>
      <c r="F1276" s="9">
        <f>IF(E1276="","",DATEDIF(E1276,DATE(2026,12,31),"Y"))</f>
        <v/>
      </c>
      <c r="G1276" s="9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  <c r="R1276" s="9" t="n"/>
      <c r="S1276" s="9" t="n"/>
      <c r="T1276" s="9" t="n"/>
      <c r="U1276" s="9" t="n"/>
      <c r="V1276" s="9" t="n"/>
      <c r="W1276" s="9" t="n"/>
      <c r="X1276" s="9" t="n"/>
      <c r="Y1276" s="9" t="n"/>
      <c r="Z1276" s="9" t="n"/>
    </row>
    <row r="1277" ht="14.25" customHeight="1" s="37">
      <c r="A1277" s="9">
        <f>IF(C1277="","","UM"&amp;TEXT(ROW()-1,"00000"))</f>
        <v/>
      </c>
      <c r="B1277" s="9" t="n"/>
      <c r="C1277" s="9" t="n"/>
      <c r="D1277" s="9" t="n"/>
      <c r="E1277" s="9" t="n"/>
      <c r="F1277" s="9">
        <f>IF(E1277="","",DATEDIF(E1277,DATE(2026,12,31),"Y"))</f>
        <v/>
      </c>
      <c r="G1277" s="9" t="n"/>
      <c r="H1277" s="9" t="n"/>
      <c r="I1277" s="9" t="n"/>
      <c r="J1277" s="9" t="n"/>
      <c r="K1277" s="9" t="n"/>
      <c r="L1277" s="9" t="n"/>
      <c r="M1277" s="9" t="n"/>
      <c r="N1277" s="9" t="n"/>
      <c r="O1277" s="9" t="n"/>
      <c r="P1277" s="9" t="n"/>
      <c r="Q1277" s="9" t="n"/>
      <c r="R1277" s="9" t="n"/>
      <c r="S1277" s="9" t="n"/>
      <c r="T1277" s="9" t="n"/>
      <c r="U1277" s="9" t="n"/>
      <c r="V1277" s="9" t="n"/>
      <c r="W1277" s="9" t="n"/>
      <c r="X1277" s="9" t="n"/>
      <c r="Y1277" s="9" t="n"/>
      <c r="Z1277" s="9" t="n"/>
    </row>
    <row r="1278" ht="14.25" customHeight="1" s="37">
      <c r="A1278" s="9">
        <f>IF(C1278="","","UM"&amp;TEXT(ROW()-1,"00000"))</f>
        <v/>
      </c>
      <c r="B1278" s="9" t="n"/>
      <c r="C1278" s="9" t="n"/>
      <c r="D1278" s="9" t="n"/>
      <c r="E1278" s="9" t="n"/>
      <c r="F1278" s="9">
        <f>IF(E1278="","",DATEDIF(E1278,DATE(2026,12,31),"Y"))</f>
        <v/>
      </c>
      <c r="G1278" s="9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  <c r="R1278" s="9" t="n"/>
      <c r="S1278" s="9" t="n"/>
      <c r="T1278" s="9" t="n"/>
      <c r="U1278" s="9" t="n"/>
      <c r="V1278" s="9" t="n"/>
      <c r="W1278" s="9" t="n"/>
      <c r="X1278" s="9" t="n"/>
      <c r="Y1278" s="9" t="n"/>
      <c r="Z1278" s="9" t="n"/>
    </row>
    <row r="1279" ht="14.25" customHeight="1" s="37">
      <c r="A1279" s="9">
        <f>IF(C1279="","","UM"&amp;TEXT(ROW()-1,"00000"))</f>
        <v/>
      </c>
      <c r="B1279" s="9" t="n"/>
      <c r="C1279" s="9" t="n"/>
      <c r="D1279" s="9" t="n"/>
      <c r="E1279" s="9" t="n"/>
      <c r="F1279" s="9">
        <f>IF(E1279="","",DATEDIF(E1279,DATE(2026,12,31),"Y"))</f>
        <v/>
      </c>
      <c r="G1279" s="9" t="n"/>
      <c r="H1279" s="9" t="n"/>
      <c r="I1279" s="9" t="n"/>
      <c r="J1279" s="9" t="n"/>
      <c r="K1279" s="9" t="n"/>
      <c r="L1279" s="9" t="n"/>
      <c r="M1279" s="9" t="n"/>
      <c r="N1279" s="9" t="n"/>
      <c r="O1279" s="9" t="n"/>
      <c r="P1279" s="9" t="n"/>
      <c r="Q1279" s="9" t="n"/>
      <c r="R1279" s="9" t="n"/>
      <c r="S1279" s="9" t="n"/>
      <c r="T1279" s="9" t="n"/>
      <c r="U1279" s="9" t="n"/>
      <c r="V1279" s="9" t="n"/>
      <c r="W1279" s="9" t="n"/>
      <c r="X1279" s="9" t="n"/>
      <c r="Y1279" s="9" t="n"/>
      <c r="Z1279" s="9" t="n"/>
    </row>
    <row r="1280" ht="14.25" customHeight="1" s="37">
      <c r="A1280" s="9">
        <f>IF(C1280="","","UM"&amp;TEXT(ROW()-1,"00000"))</f>
        <v/>
      </c>
      <c r="B1280" s="9" t="n"/>
      <c r="C1280" s="9" t="n"/>
      <c r="D1280" s="9" t="n"/>
      <c r="E1280" s="9" t="n"/>
      <c r="F1280" s="9">
        <f>IF(E1280="","",DATEDIF(E1280,DATE(2026,12,31),"Y"))</f>
        <v/>
      </c>
      <c r="G1280" s="9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  <c r="R1280" s="9" t="n"/>
      <c r="S1280" s="9" t="n"/>
      <c r="T1280" s="9" t="n"/>
      <c r="U1280" s="9" t="n"/>
      <c r="V1280" s="9" t="n"/>
      <c r="W1280" s="9" t="n"/>
      <c r="X1280" s="9" t="n"/>
      <c r="Y1280" s="9" t="n"/>
      <c r="Z1280" s="9" t="n"/>
    </row>
    <row r="1281" ht="14.25" customHeight="1" s="37">
      <c r="A1281" s="9">
        <f>IF(C1281="","","UM"&amp;TEXT(ROW()-1,"00000"))</f>
        <v/>
      </c>
      <c r="B1281" s="9" t="n"/>
      <c r="C1281" s="9" t="n"/>
      <c r="D1281" s="9" t="n"/>
      <c r="E1281" s="9" t="n"/>
      <c r="F1281" s="9">
        <f>IF(E1281="","",DATEDIF(E1281,DATE(2026,12,31),"Y"))</f>
        <v/>
      </c>
      <c r="G1281" s="9" t="n"/>
      <c r="H1281" s="9" t="n"/>
      <c r="I1281" s="9" t="n"/>
      <c r="J1281" s="9" t="n"/>
      <c r="K1281" s="9" t="n"/>
      <c r="L1281" s="9" t="n"/>
      <c r="M1281" s="9" t="n"/>
      <c r="N1281" s="9" t="n"/>
      <c r="O1281" s="9" t="n"/>
      <c r="P1281" s="9" t="n"/>
      <c r="Q1281" s="9" t="n"/>
      <c r="R1281" s="9" t="n"/>
      <c r="S1281" s="9" t="n"/>
      <c r="T1281" s="9" t="n"/>
      <c r="U1281" s="9" t="n"/>
      <c r="V1281" s="9" t="n"/>
      <c r="W1281" s="9" t="n"/>
      <c r="X1281" s="9" t="n"/>
      <c r="Y1281" s="9" t="n"/>
      <c r="Z1281" s="9" t="n"/>
    </row>
    <row r="1282" ht="14.25" customHeight="1" s="37">
      <c r="A1282" s="9">
        <f>IF(C1282="","","UM"&amp;TEXT(ROW()-1,"00000"))</f>
        <v/>
      </c>
      <c r="B1282" s="9" t="n"/>
      <c r="C1282" s="9" t="n"/>
      <c r="D1282" s="9" t="n"/>
      <c r="E1282" s="9" t="n"/>
      <c r="F1282" s="9">
        <f>IF(E1282="","",DATEDIF(E1282,DATE(2026,12,31),"Y"))</f>
        <v/>
      </c>
      <c r="G1282" s="9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  <c r="R1282" s="9" t="n"/>
      <c r="S1282" s="9" t="n"/>
      <c r="T1282" s="9" t="n"/>
      <c r="U1282" s="9" t="n"/>
      <c r="V1282" s="9" t="n"/>
      <c r="W1282" s="9" t="n"/>
      <c r="X1282" s="9" t="n"/>
      <c r="Y1282" s="9" t="n"/>
      <c r="Z1282" s="9" t="n"/>
    </row>
    <row r="1283" ht="14.25" customHeight="1" s="37">
      <c r="A1283" s="9">
        <f>IF(C1283="","","UM"&amp;TEXT(ROW()-1,"00000"))</f>
        <v/>
      </c>
      <c r="B1283" s="9" t="n"/>
      <c r="C1283" s="9" t="n"/>
      <c r="D1283" s="9" t="n"/>
      <c r="E1283" s="9" t="n"/>
      <c r="F1283" s="9">
        <f>IF(E1283="","",DATEDIF(E1283,DATE(2026,12,31),"Y"))</f>
        <v/>
      </c>
      <c r="G1283" s="9" t="n"/>
      <c r="H1283" s="9" t="n"/>
      <c r="I1283" s="9" t="n"/>
      <c r="J1283" s="9" t="n"/>
      <c r="K1283" s="9" t="n"/>
      <c r="L1283" s="9" t="n"/>
      <c r="M1283" s="9" t="n"/>
      <c r="N1283" s="9" t="n"/>
      <c r="O1283" s="9" t="n"/>
      <c r="P1283" s="9" t="n"/>
      <c r="Q1283" s="9" t="n"/>
      <c r="R1283" s="9" t="n"/>
      <c r="S1283" s="9" t="n"/>
      <c r="T1283" s="9" t="n"/>
      <c r="U1283" s="9" t="n"/>
      <c r="V1283" s="9" t="n"/>
      <c r="W1283" s="9" t="n"/>
      <c r="X1283" s="9" t="n"/>
      <c r="Y1283" s="9" t="n"/>
      <c r="Z1283" s="9" t="n"/>
    </row>
    <row r="1284" ht="14.25" customHeight="1" s="37">
      <c r="A1284" s="9">
        <f>IF(C1284="","","UM"&amp;TEXT(ROW()-1,"00000"))</f>
        <v/>
      </c>
      <c r="B1284" s="9" t="n"/>
      <c r="C1284" s="9" t="n"/>
      <c r="D1284" s="9" t="n"/>
      <c r="E1284" s="9" t="n"/>
      <c r="F1284" s="9">
        <f>IF(E1284="","",DATEDIF(E1284,DATE(2026,12,31),"Y"))</f>
        <v/>
      </c>
      <c r="G1284" s="9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  <c r="R1284" s="9" t="n"/>
      <c r="S1284" s="9" t="n"/>
      <c r="T1284" s="9" t="n"/>
      <c r="U1284" s="9" t="n"/>
      <c r="V1284" s="9" t="n"/>
      <c r="W1284" s="9" t="n"/>
      <c r="X1284" s="9" t="n"/>
      <c r="Y1284" s="9" t="n"/>
      <c r="Z1284" s="9" t="n"/>
    </row>
    <row r="1285" ht="14.25" customHeight="1" s="37">
      <c r="A1285" s="9">
        <f>IF(C1285="","","UM"&amp;TEXT(ROW()-1,"00000"))</f>
        <v/>
      </c>
      <c r="B1285" s="9" t="n"/>
      <c r="C1285" s="9" t="n"/>
      <c r="D1285" s="9" t="n"/>
      <c r="E1285" s="9" t="n"/>
      <c r="F1285" s="9">
        <f>IF(E1285="","",DATEDIF(E1285,DATE(2026,12,31),"Y"))</f>
        <v/>
      </c>
      <c r="G1285" s="9" t="n"/>
      <c r="H1285" s="9" t="n"/>
      <c r="I1285" s="9" t="n"/>
      <c r="J1285" s="9" t="n"/>
      <c r="K1285" s="9" t="n"/>
      <c r="L1285" s="9" t="n"/>
      <c r="M1285" s="9" t="n"/>
      <c r="N1285" s="9" t="n"/>
      <c r="O1285" s="9" t="n"/>
      <c r="P1285" s="9" t="n"/>
      <c r="Q1285" s="9" t="n"/>
      <c r="R1285" s="9" t="n"/>
      <c r="S1285" s="9" t="n"/>
      <c r="T1285" s="9" t="n"/>
      <c r="U1285" s="9" t="n"/>
      <c r="V1285" s="9" t="n"/>
      <c r="W1285" s="9" t="n"/>
      <c r="X1285" s="9" t="n"/>
      <c r="Y1285" s="9" t="n"/>
      <c r="Z1285" s="9" t="n"/>
    </row>
    <row r="1286" ht="14.25" customHeight="1" s="37">
      <c r="A1286" s="9">
        <f>IF(C1286="","","UM"&amp;TEXT(ROW()-1,"00000"))</f>
        <v/>
      </c>
      <c r="B1286" s="9" t="n"/>
      <c r="C1286" s="9" t="n"/>
      <c r="D1286" s="9" t="n"/>
      <c r="E1286" s="9" t="n"/>
      <c r="F1286" s="9">
        <f>IF(E1286="","",DATEDIF(E1286,DATE(2026,12,31),"Y"))</f>
        <v/>
      </c>
      <c r="G1286" s="9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  <c r="R1286" s="9" t="n"/>
      <c r="S1286" s="9" t="n"/>
      <c r="T1286" s="9" t="n"/>
      <c r="U1286" s="9" t="n"/>
      <c r="V1286" s="9" t="n"/>
      <c r="W1286" s="9" t="n"/>
      <c r="X1286" s="9" t="n"/>
      <c r="Y1286" s="9" t="n"/>
      <c r="Z1286" s="9" t="n"/>
    </row>
    <row r="1287" ht="14.25" customHeight="1" s="37">
      <c r="A1287" s="9">
        <f>IF(C1287="","","UM"&amp;TEXT(ROW()-1,"00000"))</f>
        <v/>
      </c>
      <c r="B1287" s="9" t="n"/>
      <c r="C1287" s="9" t="n"/>
      <c r="D1287" s="9" t="n"/>
      <c r="E1287" s="9" t="n"/>
      <c r="F1287" s="9">
        <f>IF(E1287="","",DATEDIF(E1287,DATE(2026,12,31),"Y"))</f>
        <v/>
      </c>
      <c r="G1287" s="9" t="n"/>
      <c r="H1287" s="9" t="n"/>
      <c r="I1287" s="9" t="n"/>
      <c r="J1287" s="9" t="n"/>
      <c r="K1287" s="9" t="n"/>
      <c r="L1287" s="9" t="n"/>
      <c r="M1287" s="9" t="n"/>
      <c r="N1287" s="9" t="n"/>
      <c r="O1287" s="9" t="n"/>
      <c r="P1287" s="9" t="n"/>
      <c r="Q1287" s="9" t="n"/>
      <c r="R1287" s="9" t="n"/>
      <c r="S1287" s="9" t="n"/>
      <c r="T1287" s="9" t="n"/>
      <c r="U1287" s="9" t="n"/>
      <c r="V1287" s="9" t="n"/>
      <c r="W1287" s="9" t="n"/>
      <c r="X1287" s="9" t="n"/>
      <c r="Y1287" s="9" t="n"/>
      <c r="Z1287" s="9" t="n"/>
    </row>
    <row r="1288" ht="14.25" customHeight="1" s="37">
      <c r="A1288" s="9">
        <f>IF(C1288="","","UM"&amp;TEXT(ROW()-1,"00000"))</f>
        <v/>
      </c>
      <c r="B1288" s="9" t="n"/>
      <c r="C1288" s="9" t="n"/>
      <c r="D1288" s="9" t="n"/>
      <c r="E1288" s="9" t="n"/>
      <c r="F1288" s="9">
        <f>IF(E1288="","",DATEDIF(E1288,DATE(2026,12,31),"Y"))</f>
        <v/>
      </c>
      <c r="G1288" s="9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  <c r="R1288" s="9" t="n"/>
      <c r="S1288" s="9" t="n"/>
      <c r="T1288" s="9" t="n"/>
      <c r="U1288" s="9" t="n"/>
      <c r="V1288" s="9" t="n"/>
      <c r="W1288" s="9" t="n"/>
      <c r="X1288" s="9" t="n"/>
      <c r="Y1288" s="9" t="n"/>
      <c r="Z1288" s="9" t="n"/>
    </row>
    <row r="1289" ht="14.25" customHeight="1" s="37">
      <c r="A1289" s="9">
        <f>IF(C1289="","","UM"&amp;TEXT(ROW()-1,"00000"))</f>
        <v/>
      </c>
      <c r="B1289" s="9" t="n"/>
      <c r="C1289" s="9" t="n"/>
      <c r="D1289" s="9" t="n"/>
      <c r="E1289" s="9" t="n"/>
      <c r="F1289" s="9">
        <f>IF(E1289="","",DATEDIF(E1289,DATE(2026,12,31),"Y"))</f>
        <v/>
      </c>
      <c r="G1289" s="9" t="n"/>
      <c r="H1289" s="9" t="n"/>
      <c r="I1289" s="9" t="n"/>
      <c r="J1289" s="9" t="n"/>
      <c r="K1289" s="9" t="n"/>
      <c r="L1289" s="9" t="n"/>
      <c r="M1289" s="9" t="n"/>
      <c r="N1289" s="9" t="n"/>
      <c r="O1289" s="9" t="n"/>
      <c r="P1289" s="9" t="n"/>
      <c r="Q1289" s="9" t="n"/>
      <c r="R1289" s="9" t="n"/>
      <c r="S1289" s="9" t="n"/>
      <c r="T1289" s="9" t="n"/>
      <c r="U1289" s="9" t="n"/>
      <c r="V1289" s="9" t="n"/>
      <c r="W1289" s="9" t="n"/>
      <c r="X1289" s="9" t="n"/>
      <c r="Y1289" s="9" t="n"/>
      <c r="Z1289" s="9" t="n"/>
    </row>
    <row r="1290" ht="14.25" customHeight="1" s="37">
      <c r="A1290" s="9">
        <f>IF(C1290="","","UM"&amp;TEXT(ROW()-1,"00000"))</f>
        <v/>
      </c>
      <c r="B1290" s="9" t="n"/>
      <c r="C1290" s="9" t="n"/>
      <c r="D1290" s="9" t="n"/>
      <c r="E1290" s="9" t="n"/>
      <c r="F1290" s="9">
        <f>IF(E1290="","",DATEDIF(E1290,DATE(2026,12,31),"Y"))</f>
        <v/>
      </c>
      <c r="G1290" s="9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  <c r="R1290" s="9" t="n"/>
      <c r="S1290" s="9" t="n"/>
      <c r="T1290" s="9" t="n"/>
      <c r="U1290" s="9" t="n"/>
      <c r="V1290" s="9" t="n"/>
      <c r="W1290" s="9" t="n"/>
      <c r="X1290" s="9" t="n"/>
      <c r="Y1290" s="9" t="n"/>
      <c r="Z1290" s="9" t="n"/>
    </row>
    <row r="1291" ht="14.25" customHeight="1" s="37">
      <c r="A1291" s="9">
        <f>IF(C1291="","","UM"&amp;TEXT(ROW()-1,"00000"))</f>
        <v/>
      </c>
      <c r="B1291" s="9" t="n"/>
      <c r="C1291" s="9" t="n"/>
      <c r="D1291" s="9" t="n"/>
      <c r="E1291" s="9" t="n"/>
      <c r="F1291" s="9">
        <f>IF(E1291="","",DATEDIF(E1291,DATE(2026,12,31),"Y"))</f>
        <v/>
      </c>
      <c r="G1291" s="9" t="n"/>
      <c r="H1291" s="9" t="n"/>
      <c r="I1291" s="9" t="n"/>
      <c r="J1291" s="9" t="n"/>
      <c r="K1291" s="9" t="n"/>
      <c r="L1291" s="9" t="n"/>
      <c r="M1291" s="9" t="n"/>
      <c r="N1291" s="9" t="n"/>
      <c r="O1291" s="9" t="n"/>
      <c r="P1291" s="9" t="n"/>
      <c r="Q1291" s="9" t="n"/>
      <c r="R1291" s="9" t="n"/>
      <c r="S1291" s="9" t="n"/>
      <c r="T1291" s="9" t="n"/>
      <c r="U1291" s="9" t="n"/>
      <c r="V1291" s="9" t="n"/>
      <c r="W1291" s="9" t="n"/>
      <c r="X1291" s="9" t="n"/>
      <c r="Y1291" s="9" t="n"/>
      <c r="Z1291" s="9" t="n"/>
    </row>
    <row r="1292" ht="14.25" customHeight="1" s="37">
      <c r="A1292" s="9">
        <f>IF(C1292="","","UM"&amp;TEXT(ROW()-1,"00000"))</f>
        <v/>
      </c>
      <c r="B1292" s="9" t="n"/>
      <c r="C1292" s="9" t="n"/>
      <c r="D1292" s="9" t="n"/>
      <c r="E1292" s="9" t="n"/>
      <c r="F1292" s="9">
        <f>IF(E1292="","",DATEDIF(E1292,DATE(2026,12,31),"Y"))</f>
        <v/>
      </c>
      <c r="G1292" s="9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  <c r="R1292" s="9" t="n"/>
      <c r="S1292" s="9" t="n"/>
      <c r="T1292" s="9" t="n"/>
      <c r="U1292" s="9" t="n"/>
      <c r="V1292" s="9" t="n"/>
      <c r="W1292" s="9" t="n"/>
      <c r="X1292" s="9" t="n"/>
      <c r="Y1292" s="9" t="n"/>
      <c r="Z1292" s="9" t="n"/>
    </row>
    <row r="1293" ht="14.25" customHeight="1" s="37">
      <c r="A1293" s="9">
        <f>IF(C1293="","","UM"&amp;TEXT(ROW()-1,"00000"))</f>
        <v/>
      </c>
      <c r="B1293" s="9" t="n"/>
      <c r="C1293" s="9" t="n"/>
      <c r="D1293" s="9" t="n"/>
      <c r="E1293" s="9" t="n"/>
      <c r="F1293" s="9">
        <f>IF(E1293="","",DATEDIF(E1293,DATE(2026,12,31),"Y"))</f>
        <v/>
      </c>
      <c r="G1293" s="9" t="n"/>
      <c r="H1293" s="9" t="n"/>
      <c r="I1293" s="9" t="n"/>
      <c r="J1293" s="9" t="n"/>
      <c r="K1293" s="9" t="n"/>
      <c r="L1293" s="9" t="n"/>
      <c r="M1293" s="9" t="n"/>
      <c r="N1293" s="9" t="n"/>
      <c r="O1293" s="9" t="n"/>
      <c r="P1293" s="9" t="n"/>
      <c r="Q1293" s="9" t="n"/>
      <c r="R1293" s="9" t="n"/>
      <c r="S1293" s="9" t="n"/>
      <c r="T1293" s="9" t="n"/>
      <c r="U1293" s="9" t="n"/>
      <c r="V1293" s="9" t="n"/>
      <c r="W1293" s="9" t="n"/>
      <c r="X1293" s="9" t="n"/>
      <c r="Y1293" s="9" t="n"/>
      <c r="Z1293" s="9" t="n"/>
    </row>
    <row r="1294" ht="14.25" customHeight="1" s="37">
      <c r="A1294" s="9">
        <f>IF(C1294="","","UM"&amp;TEXT(ROW()-1,"00000"))</f>
        <v/>
      </c>
      <c r="B1294" s="9" t="n"/>
      <c r="C1294" s="9" t="n"/>
      <c r="D1294" s="9" t="n"/>
      <c r="E1294" s="9" t="n"/>
      <c r="F1294" s="9">
        <f>IF(E1294="","",DATEDIF(E1294,DATE(2026,12,31),"Y"))</f>
        <v/>
      </c>
      <c r="G1294" s="9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  <c r="R1294" s="9" t="n"/>
      <c r="S1294" s="9" t="n"/>
      <c r="T1294" s="9" t="n"/>
      <c r="U1294" s="9" t="n"/>
      <c r="V1294" s="9" t="n"/>
      <c r="W1294" s="9" t="n"/>
      <c r="X1294" s="9" t="n"/>
      <c r="Y1294" s="9" t="n"/>
      <c r="Z1294" s="9" t="n"/>
    </row>
    <row r="1295" ht="14.25" customHeight="1" s="37">
      <c r="A1295" s="9">
        <f>IF(C1295="","","UM"&amp;TEXT(ROW()-1,"00000"))</f>
        <v/>
      </c>
      <c r="B1295" s="9" t="n"/>
      <c r="C1295" s="9" t="n"/>
      <c r="D1295" s="9" t="n"/>
      <c r="E1295" s="9" t="n"/>
      <c r="F1295" s="9">
        <f>IF(E1295="","",DATEDIF(E1295,DATE(2026,12,31),"Y"))</f>
        <v/>
      </c>
      <c r="G1295" s="9" t="n"/>
      <c r="H1295" s="9" t="n"/>
      <c r="I1295" s="9" t="n"/>
      <c r="J1295" s="9" t="n"/>
      <c r="K1295" s="9" t="n"/>
      <c r="L1295" s="9" t="n"/>
      <c r="M1295" s="9" t="n"/>
      <c r="N1295" s="9" t="n"/>
      <c r="O1295" s="9" t="n"/>
      <c r="P1295" s="9" t="n"/>
      <c r="Q1295" s="9" t="n"/>
      <c r="R1295" s="9" t="n"/>
      <c r="S1295" s="9" t="n"/>
      <c r="T1295" s="9" t="n"/>
      <c r="U1295" s="9" t="n"/>
      <c r="V1295" s="9" t="n"/>
      <c r="W1295" s="9" t="n"/>
      <c r="X1295" s="9" t="n"/>
      <c r="Y1295" s="9" t="n"/>
      <c r="Z1295" s="9" t="n"/>
    </row>
    <row r="1296" ht="14.25" customHeight="1" s="37">
      <c r="A1296" s="9">
        <f>IF(C1296="","","UM"&amp;TEXT(ROW()-1,"00000"))</f>
        <v/>
      </c>
      <c r="B1296" s="9" t="n"/>
      <c r="C1296" s="9" t="n"/>
      <c r="D1296" s="9" t="n"/>
      <c r="E1296" s="9" t="n"/>
      <c r="F1296" s="9">
        <f>IF(E1296="","",DATEDIF(E1296,DATE(2026,12,31),"Y"))</f>
        <v/>
      </c>
      <c r="G1296" s="9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  <c r="R1296" s="9" t="n"/>
      <c r="S1296" s="9" t="n"/>
      <c r="T1296" s="9" t="n"/>
      <c r="U1296" s="9" t="n"/>
      <c r="V1296" s="9" t="n"/>
      <c r="W1296" s="9" t="n"/>
      <c r="X1296" s="9" t="n"/>
      <c r="Y1296" s="9" t="n"/>
      <c r="Z1296" s="9" t="n"/>
    </row>
    <row r="1297" ht="14.25" customHeight="1" s="37">
      <c r="A1297" s="9">
        <f>IF(C1297="","","UM"&amp;TEXT(ROW()-1,"00000"))</f>
        <v/>
      </c>
      <c r="B1297" s="9" t="n"/>
      <c r="C1297" s="9" t="n"/>
      <c r="D1297" s="9" t="n"/>
      <c r="E1297" s="9" t="n"/>
      <c r="F1297" s="9">
        <f>IF(E1297="","",DATEDIF(E1297,DATE(2026,12,31),"Y"))</f>
        <v/>
      </c>
      <c r="G1297" s="9" t="n"/>
      <c r="H1297" s="9" t="n"/>
      <c r="I1297" s="9" t="n"/>
      <c r="J1297" s="9" t="n"/>
      <c r="K1297" s="9" t="n"/>
      <c r="L1297" s="9" t="n"/>
      <c r="M1297" s="9" t="n"/>
      <c r="N1297" s="9" t="n"/>
      <c r="O1297" s="9" t="n"/>
      <c r="P1297" s="9" t="n"/>
      <c r="Q1297" s="9" t="n"/>
      <c r="R1297" s="9" t="n"/>
      <c r="S1297" s="9" t="n"/>
      <c r="T1297" s="9" t="n"/>
      <c r="U1297" s="9" t="n"/>
      <c r="V1297" s="9" t="n"/>
      <c r="W1297" s="9" t="n"/>
      <c r="X1297" s="9" t="n"/>
      <c r="Y1297" s="9" t="n"/>
      <c r="Z1297" s="9" t="n"/>
    </row>
    <row r="1298" ht="14.25" customHeight="1" s="37">
      <c r="A1298" s="9">
        <f>IF(C1298="","","UM"&amp;TEXT(ROW()-1,"00000"))</f>
        <v/>
      </c>
      <c r="B1298" s="9" t="n"/>
      <c r="C1298" s="9" t="n"/>
      <c r="D1298" s="9" t="n"/>
      <c r="E1298" s="9" t="n"/>
      <c r="F1298" s="9">
        <f>IF(E1298="","",DATEDIF(E1298,DATE(2026,12,31),"Y"))</f>
        <v/>
      </c>
      <c r="G1298" s="9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  <c r="R1298" s="9" t="n"/>
      <c r="S1298" s="9" t="n"/>
      <c r="T1298" s="9" t="n"/>
      <c r="U1298" s="9" t="n"/>
      <c r="V1298" s="9" t="n"/>
      <c r="W1298" s="9" t="n"/>
      <c r="X1298" s="9" t="n"/>
      <c r="Y1298" s="9" t="n"/>
      <c r="Z1298" s="9" t="n"/>
    </row>
    <row r="1299" ht="14.25" customHeight="1" s="37">
      <c r="A1299" s="9">
        <f>IF(C1299="","","UM"&amp;TEXT(ROW()-1,"00000"))</f>
        <v/>
      </c>
      <c r="B1299" s="9" t="n"/>
      <c r="C1299" s="9" t="n"/>
      <c r="D1299" s="9" t="n"/>
      <c r="E1299" s="9" t="n"/>
      <c r="F1299" s="9">
        <f>IF(E1299="","",DATEDIF(E1299,DATE(2026,12,31),"Y"))</f>
        <v/>
      </c>
      <c r="G1299" s="9" t="n"/>
      <c r="H1299" s="9" t="n"/>
      <c r="I1299" s="9" t="n"/>
      <c r="J1299" s="9" t="n"/>
      <c r="K1299" s="9" t="n"/>
      <c r="L1299" s="9" t="n"/>
      <c r="M1299" s="9" t="n"/>
      <c r="N1299" s="9" t="n"/>
      <c r="O1299" s="9" t="n"/>
      <c r="P1299" s="9" t="n"/>
      <c r="Q1299" s="9" t="n"/>
      <c r="R1299" s="9" t="n"/>
      <c r="S1299" s="9" t="n"/>
      <c r="T1299" s="9" t="n"/>
      <c r="U1299" s="9" t="n"/>
      <c r="V1299" s="9" t="n"/>
      <c r="W1299" s="9" t="n"/>
      <c r="X1299" s="9" t="n"/>
      <c r="Y1299" s="9" t="n"/>
      <c r="Z1299" s="9" t="n"/>
    </row>
    <row r="1300" ht="14.25" customHeight="1" s="37">
      <c r="A1300" s="9">
        <f>IF(C1300="","","UM"&amp;TEXT(ROW()-1,"00000"))</f>
        <v/>
      </c>
      <c r="B1300" s="9" t="n"/>
      <c r="C1300" s="9" t="n"/>
      <c r="D1300" s="9" t="n"/>
      <c r="E1300" s="9" t="n"/>
      <c r="F1300" s="9">
        <f>IF(E1300="","",DATEDIF(E1300,DATE(2026,12,31),"Y"))</f>
        <v/>
      </c>
      <c r="G1300" s="9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  <c r="R1300" s="9" t="n"/>
      <c r="S1300" s="9" t="n"/>
      <c r="T1300" s="9" t="n"/>
      <c r="U1300" s="9" t="n"/>
      <c r="V1300" s="9" t="n"/>
      <c r="W1300" s="9" t="n"/>
      <c r="X1300" s="9" t="n"/>
      <c r="Y1300" s="9" t="n"/>
      <c r="Z1300" s="9" t="n"/>
    </row>
    <row r="1301" ht="14.25" customHeight="1" s="37">
      <c r="A1301" s="9">
        <f>IF(C1301="","","UM"&amp;TEXT(ROW()-1,"00000"))</f>
        <v/>
      </c>
      <c r="B1301" s="9" t="n"/>
      <c r="C1301" s="9" t="n"/>
      <c r="D1301" s="9" t="n"/>
      <c r="E1301" s="9" t="n"/>
      <c r="F1301" s="9">
        <f>IF(E1301="","",DATEDIF(E1301,DATE(2026,12,31),"Y"))</f>
        <v/>
      </c>
      <c r="G1301" s="9" t="n"/>
      <c r="H1301" s="9" t="n"/>
      <c r="I1301" s="9" t="n"/>
      <c r="J1301" s="9" t="n"/>
      <c r="K1301" s="9" t="n"/>
      <c r="L1301" s="9" t="n"/>
      <c r="M1301" s="9" t="n"/>
      <c r="N1301" s="9" t="n"/>
      <c r="O1301" s="9" t="n"/>
      <c r="P1301" s="9" t="n"/>
      <c r="Q1301" s="9" t="n"/>
      <c r="R1301" s="9" t="n"/>
      <c r="S1301" s="9" t="n"/>
      <c r="T1301" s="9" t="n"/>
      <c r="U1301" s="9" t="n"/>
      <c r="V1301" s="9" t="n"/>
      <c r="W1301" s="9" t="n"/>
      <c r="X1301" s="9" t="n"/>
      <c r="Y1301" s="9" t="n"/>
      <c r="Z1301" s="9" t="n"/>
    </row>
    <row r="1302" ht="14.25" customHeight="1" s="37">
      <c r="A1302" s="9">
        <f>IF(C1302="","","UM"&amp;TEXT(ROW()-1,"00000"))</f>
        <v/>
      </c>
      <c r="B1302" s="9" t="n"/>
      <c r="C1302" s="9" t="n"/>
      <c r="D1302" s="9" t="n"/>
      <c r="E1302" s="9" t="n"/>
      <c r="F1302" s="9">
        <f>IF(E1302="","",DATEDIF(E1302,DATE(2026,12,31),"Y"))</f>
        <v/>
      </c>
      <c r="G1302" s="9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  <c r="R1302" s="9" t="n"/>
      <c r="S1302" s="9" t="n"/>
      <c r="T1302" s="9" t="n"/>
      <c r="U1302" s="9" t="n"/>
      <c r="V1302" s="9" t="n"/>
      <c r="W1302" s="9" t="n"/>
      <c r="X1302" s="9" t="n"/>
      <c r="Y1302" s="9" t="n"/>
      <c r="Z1302" s="9" t="n"/>
    </row>
    <row r="1303" ht="14.25" customHeight="1" s="37">
      <c r="A1303" s="9">
        <f>IF(C1303="","","UM"&amp;TEXT(ROW()-1,"00000"))</f>
        <v/>
      </c>
      <c r="B1303" s="9" t="n"/>
      <c r="C1303" s="9" t="n"/>
      <c r="D1303" s="9" t="n"/>
      <c r="E1303" s="9" t="n"/>
      <c r="F1303" s="9">
        <f>IF(E1303="","",DATEDIF(E1303,DATE(2026,12,31),"Y"))</f>
        <v/>
      </c>
      <c r="G1303" s="9" t="n"/>
      <c r="H1303" s="9" t="n"/>
      <c r="I1303" s="9" t="n"/>
      <c r="J1303" s="9" t="n"/>
      <c r="K1303" s="9" t="n"/>
      <c r="L1303" s="9" t="n"/>
      <c r="M1303" s="9" t="n"/>
      <c r="N1303" s="9" t="n"/>
      <c r="O1303" s="9" t="n"/>
      <c r="P1303" s="9" t="n"/>
      <c r="Q1303" s="9" t="n"/>
      <c r="R1303" s="9" t="n"/>
      <c r="S1303" s="9" t="n"/>
      <c r="T1303" s="9" t="n"/>
      <c r="U1303" s="9" t="n"/>
      <c r="V1303" s="9" t="n"/>
      <c r="W1303" s="9" t="n"/>
      <c r="X1303" s="9" t="n"/>
      <c r="Y1303" s="9" t="n"/>
      <c r="Z1303" s="9" t="n"/>
    </row>
    <row r="1304" ht="14.25" customHeight="1" s="37">
      <c r="A1304" s="9">
        <f>IF(C1304="","","UM"&amp;TEXT(ROW()-1,"00000"))</f>
        <v/>
      </c>
      <c r="B1304" s="9" t="n"/>
      <c r="C1304" s="9" t="n"/>
      <c r="D1304" s="9" t="n"/>
      <c r="E1304" s="9" t="n"/>
      <c r="F1304" s="9">
        <f>IF(E1304="","",DATEDIF(E1304,DATE(2026,12,31),"Y"))</f>
        <v/>
      </c>
      <c r="G1304" s="9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  <c r="R1304" s="9" t="n"/>
      <c r="S1304" s="9" t="n"/>
      <c r="T1304" s="9" t="n"/>
      <c r="U1304" s="9" t="n"/>
      <c r="V1304" s="9" t="n"/>
      <c r="W1304" s="9" t="n"/>
      <c r="X1304" s="9" t="n"/>
      <c r="Y1304" s="9" t="n"/>
      <c r="Z1304" s="9" t="n"/>
    </row>
    <row r="1305" ht="14.25" customHeight="1" s="37">
      <c r="A1305" s="9">
        <f>IF(C1305="","","UM"&amp;TEXT(ROW()-1,"00000"))</f>
        <v/>
      </c>
      <c r="B1305" s="9" t="n"/>
      <c r="C1305" s="9" t="n"/>
      <c r="D1305" s="9" t="n"/>
      <c r="E1305" s="9" t="n"/>
      <c r="F1305" s="9">
        <f>IF(E1305="","",DATEDIF(E1305,DATE(2026,12,31),"Y"))</f>
        <v/>
      </c>
      <c r="G1305" s="9" t="n"/>
      <c r="H1305" s="9" t="n"/>
      <c r="I1305" s="9" t="n"/>
      <c r="J1305" s="9" t="n"/>
      <c r="K1305" s="9" t="n"/>
      <c r="L1305" s="9" t="n"/>
      <c r="M1305" s="9" t="n"/>
      <c r="N1305" s="9" t="n"/>
      <c r="O1305" s="9" t="n"/>
      <c r="P1305" s="9" t="n"/>
      <c r="Q1305" s="9" t="n"/>
      <c r="R1305" s="9" t="n"/>
      <c r="S1305" s="9" t="n"/>
      <c r="T1305" s="9" t="n"/>
      <c r="U1305" s="9" t="n"/>
      <c r="V1305" s="9" t="n"/>
      <c r="W1305" s="9" t="n"/>
      <c r="X1305" s="9" t="n"/>
      <c r="Y1305" s="9" t="n"/>
      <c r="Z1305" s="9" t="n"/>
    </row>
    <row r="1306" ht="14.25" customHeight="1" s="37">
      <c r="A1306" s="9">
        <f>IF(C1306="","","UM"&amp;TEXT(ROW()-1,"00000"))</f>
        <v/>
      </c>
      <c r="B1306" s="9" t="n"/>
      <c r="C1306" s="9" t="n"/>
      <c r="D1306" s="9" t="n"/>
      <c r="E1306" s="9" t="n"/>
      <c r="F1306" s="9">
        <f>IF(E1306="","",DATEDIF(E1306,DATE(2026,12,31),"Y"))</f>
        <v/>
      </c>
      <c r="G1306" s="9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  <c r="R1306" s="9" t="n"/>
      <c r="S1306" s="9" t="n"/>
      <c r="T1306" s="9" t="n"/>
      <c r="U1306" s="9" t="n"/>
      <c r="V1306" s="9" t="n"/>
      <c r="W1306" s="9" t="n"/>
      <c r="X1306" s="9" t="n"/>
      <c r="Y1306" s="9" t="n"/>
      <c r="Z1306" s="9" t="n"/>
    </row>
    <row r="1307" ht="14.25" customHeight="1" s="37">
      <c r="A1307" s="9">
        <f>IF(C1307="","","UM"&amp;TEXT(ROW()-1,"00000"))</f>
        <v/>
      </c>
      <c r="B1307" s="9" t="n"/>
      <c r="C1307" s="9" t="n"/>
      <c r="D1307" s="9" t="n"/>
      <c r="E1307" s="9" t="n"/>
      <c r="F1307" s="9">
        <f>IF(E1307="","",DATEDIF(E1307,DATE(2026,12,31),"Y"))</f>
        <v/>
      </c>
      <c r="G1307" s="9" t="n"/>
      <c r="H1307" s="9" t="n"/>
      <c r="I1307" s="9" t="n"/>
      <c r="J1307" s="9" t="n"/>
      <c r="K1307" s="9" t="n"/>
      <c r="L1307" s="9" t="n"/>
      <c r="M1307" s="9" t="n"/>
      <c r="N1307" s="9" t="n"/>
      <c r="O1307" s="9" t="n"/>
      <c r="P1307" s="9" t="n"/>
      <c r="Q1307" s="9" t="n"/>
      <c r="R1307" s="9" t="n"/>
      <c r="S1307" s="9" t="n"/>
      <c r="T1307" s="9" t="n"/>
      <c r="U1307" s="9" t="n"/>
      <c r="V1307" s="9" t="n"/>
      <c r="W1307" s="9" t="n"/>
      <c r="X1307" s="9" t="n"/>
      <c r="Y1307" s="9" t="n"/>
      <c r="Z1307" s="9" t="n"/>
    </row>
    <row r="1308" ht="14.25" customHeight="1" s="37">
      <c r="A1308" s="9">
        <f>IF(C1308="","","UM"&amp;TEXT(ROW()-1,"00000"))</f>
        <v/>
      </c>
      <c r="B1308" s="9" t="n"/>
      <c r="C1308" s="9" t="n"/>
      <c r="D1308" s="9" t="n"/>
      <c r="E1308" s="9" t="n"/>
      <c r="F1308" s="9">
        <f>IF(E1308="","",DATEDIF(E1308,DATE(2026,12,31),"Y"))</f>
        <v/>
      </c>
      <c r="G1308" s="9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  <c r="R1308" s="9" t="n"/>
      <c r="S1308" s="9" t="n"/>
      <c r="T1308" s="9" t="n"/>
      <c r="U1308" s="9" t="n"/>
      <c r="V1308" s="9" t="n"/>
      <c r="W1308" s="9" t="n"/>
      <c r="X1308" s="9" t="n"/>
      <c r="Y1308" s="9" t="n"/>
      <c r="Z1308" s="9" t="n"/>
    </row>
    <row r="1309" ht="14.25" customHeight="1" s="37">
      <c r="A1309" s="9">
        <f>IF(C1309="","","UM"&amp;TEXT(ROW()-1,"00000"))</f>
        <v/>
      </c>
      <c r="B1309" s="9" t="n"/>
      <c r="C1309" s="9" t="n"/>
      <c r="D1309" s="9" t="n"/>
      <c r="E1309" s="9" t="n"/>
      <c r="F1309" s="9">
        <f>IF(E1309="","",DATEDIF(E1309,DATE(2026,12,31),"Y"))</f>
        <v/>
      </c>
      <c r="G1309" s="9" t="n"/>
      <c r="H1309" s="9" t="n"/>
      <c r="I1309" s="9" t="n"/>
      <c r="J1309" s="9" t="n"/>
      <c r="K1309" s="9" t="n"/>
      <c r="L1309" s="9" t="n"/>
      <c r="M1309" s="9" t="n"/>
      <c r="N1309" s="9" t="n"/>
      <c r="O1309" s="9" t="n"/>
      <c r="P1309" s="9" t="n"/>
      <c r="Q1309" s="9" t="n"/>
      <c r="R1309" s="9" t="n"/>
      <c r="S1309" s="9" t="n"/>
      <c r="T1309" s="9" t="n"/>
      <c r="U1309" s="9" t="n"/>
      <c r="V1309" s="9" t="n"/>
      <c r="W1309" s="9" t="n"/>
      <c r="X1309" s="9" t="n"/>
      <c r="Y1309" s="9" t="n"/>
      <c r="Z1309" s="9" t="n"/>
    </row>
    <row r="1310" ht="14.25" customHeight="1" s="37">
      <c r="A1310" s="9">
        <f>IF(C1310="","","UM"&amp;TEXT(ROW()-1,"00000"))</f>
        <v/>
      </c>
      <c r="B1310" s="9" t="n"/>
      <c r="C1310" s="9" t="n"/>
      <c r="D1310" s="9" t="n"/>
      <c r="E1310" s="9" t="n"/>
      <c r="F1310" s="9">
        <f>IF(E1310="","",DATEDIF(E1310,DATE(2026,12,31),"Y"))</f>
        <v/>
      </c>
      <c r="G1310" s="9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  <c r="R1310" s="9" t="n"/>
      <c r="S1310" s="9" t="n"/>
      <c r="T1310" s="9" t="n"/>
      <c r="U1310" s="9" t="n"/>
      <c r="V1310" s="9" t="n"/>
      <c r="W1310" s="9" t="n"/>
      <c r="X1310" s="9" t="n"/>
      <c r="Y1310" s="9" t="n"/>
      <c r="Z1310" s="9" t="n"/>
    </row>
    <row r="1311" ht="14.25" customHeight="1" s="37">
      <c r="A1311" s="9">
        <f>IF(C1311="","","UM"&amp;TEXT(ROW()-1,"00000"))</f>
        <v/>
      </c>
      <c r="B1311" s="9" t="n"/>
      <c r="C1311" s="9" t="n"/>
      <c r="D1311" s="9" t="n"/>
      <c r="E1311" s="9" t="n"/>
      <c r="F1311" s="9">
        <f>IF(E1311="","",DATEDIF(E1311,DATE(2026,12,31),"Y"))</f>
        <v/>
      </c>
      <c r="G1311" s="9" t="n"/>
      <c r="H1311" s="9" t="n"/>
      <c r="I1311" s="9" t="n"/>
      <c r="J1311" s="9" t="n"/>
      <c r="K1311" s="9" t="n"/>
      <c r="L1311" s="9" t="n"/>
      <c r="M1311" s="9" t="n"/>
      <c r="N1311" s="9" t="n"/>
      <c r="O1311" s="9" t="n"/>
      <c r="P1311" s="9" t="n"/>
      <c r="Q1311" s="9" t="n"/>
      <c r="R1311" s="9" t="n"/>
      <c r="S1311" s="9" t="n"/>
      <c r="T1311" s="9" t="n"/>
      <c r="U1311" s="9" t="n"/>
      <c r="V1311" s="9" t="n"/>
      <c r="W1311" s="9" t="n"/>
      <c r="X1311" s="9" t="n"/>
      <c r="Y1311" s="9" t="n"/>
      <c r="Z1311" s="9" t="n"/>
    </row>
    <row r="1312" ht="14.25" customHeight="1" s="37">
      <c r="A1312" s="9">
        <f>IF(C1312="","","UM"&amp;TEXT(ROW()-1,"00000"))</f>
        <v/>
      </c>
      <c r="B1312" s="9" t="n"/>
      <c r="C1312" s="9" t="n"/>
      <c r="D1312" s="9" t="n"/>
      <c r="E1312" s="9" t="n"/>
      <c r="F1312" s="9">
        <f>IF(E1312="","",DATEDIF(E1312,DATE(2026,12,31),"Y"))</f>
        <v/>
      </c>
      <c r="G1312" s="9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  <c r="R1312" s="9" t="n"/>
      <c r="S1312" s="9" t="n"/>
      <c r="T1312" s="9" t="n"/>
      <c r="U1312" s="9" t="n"/>
      <c r="V1312" s="9" t="n"/>
      <c r="W1312" s="9" t="n"/>
      <c r="X1312" s="9" t="n"/>
      <c r="Y1312" s="9" t="n"/>
      <c r="Z1312" s="9" t="n"/>
    </row>
    <row r="1313" ht="14.25" customHeight="1" s="37">
      <c r="A1313" s="9">
        <f>IF(C1313="","","UM"&amp;TEXT(ROW()-1,"00000"))</f>
        <v/>
      </c>
      <c r="B1313" s="9" t="n"/>
      <c r="C1313" s="9" t="n"/>
      <c r="D1313" s="9" t="n"/>
      <c r="E1313" s="9" t="n"/>
      <c r="F1313" s="9">
        <f>IF(E1313="","",DATEDIF(E1313,DATE(2026,12,31),"Y"))</f>
        <v/>
      </c>
      <c r="G1313" s="9" t="n"/>
      <c r="H1313" s="9" t="n"/>
      <c r="I1313" s="9" t="n"/>
      <c r="J1313" s="9" t="n"/>
      <c r="K1313" s="9" t="n"/>
      <c r="L1313" s="9" t="n"/>
      <c r="M1313" s="9" t="n"/>
      <c r="N1313" s="9" t="n"/>
      <c r="O1313" s="9" t="n"/>
      <c r="P1313" s="9" t="n"/>
      <c r="Q1313" s="9" t="n"/>
      <c r="R1313" s="9" t="n"/>
      <c r="S1313" s="9" t="n"/>
      <c r="T1313" s="9" t="n"/>
      <c r="U1313" s="9" t="n"/>
      <c r="V1313" s="9" t="n"/>
      <c r="W1313" s="9" t="n"/>
      <c r="X1313" s="9" t="n"/>
      <c r="Y1313" s="9" t="n"/>
      <c r="Z1313" s="9" t="n"/>
    </row>
    <row r="1314" ht="14.25" customHeight="1" s="37">
      <c r="A1314" s="9">
        <f>IF(C1314="","","UM"&amp;TEXT(ROW()-1,"00000"))</f>
        <v/>
      </c>
      <c r="B1314" s="9" t="n"/>
      <c r="C1314" s="9" t="n"/>
      <c r="D1314" s="9" t="n"/>
      <c r="E1314" s="9" t="n"/>
      <c r="F1314" s="9">
        <f>IF(E1314="","",DATEDIF(E1314,DATE(2026,12,31),"Y"))</f>
        <v/>
      </c>
      <c r="G1314" s="9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  <c r="R1314" s="9" t="n"/>
      <c r="S1314" s="9" t="n"/>
      <c r="T1314" s="9" t="n"/>
      <c r="U1314" s="9" t="n"/>
      <c r="V1314" s="9" t="n"/>
      <c r="W1314" s="9" t="n"/>
      <c r="X1314" s="9" t="n"/>
      <c r="Y1314" s="9" t="n"/>
      <c r="Z1314" s="9" t="n"/>
    </row>
    <row r="1315" ht="14.25" customHeight="1" s="37">
      <c r="A1315" s="9">
        <f>IF(C1315="","","UM"&amp;TEXT(ROW()-1,"00000"))</f>
        <v/>
      </c>
      <c r="B1315" s="9" t="n"/>
      <c r="C1315" s="9" t="n"/>
      <c r="D1315" s="9" t="n"/>
      <c r="E1315" s="9" t="n"/>
      <c r="F1315" s="9">
        <f>IF(E1315="","",DATEDIF(E1315,DATE(2026,12,31),"Y"))</f>
        <v/>
      </c>
      <c r="G1315" s="9" t="n"/>
      <c r="H1315" s="9" t="n"/>
      <c r="I1315" s="9" t="n"/>
      <c r="J1315" s="9" t="n"/>
      <c r="K1315" s="9" t="n"/>
      <c r="L1315" s="9" t="n"/>
      <c r="M1315" s="9" t="n"/>
      <c r="N1315" s="9" t="n"/>
      <c r="O1315" s="9" t="n"/>
      <c r="P1315" s="9" t="n"/>
      <c r="Q1315" s="9" t="n"/>
      <c r="R1315" s="9" t="n"/>
      <c r="S1315" s="9" t="n"/>
      <c r="T1315" s="9" t="n"/>
      <c r="U1315" s="9" t="n"/>
      <c r="V1315" s="9" t="n"/>
      <c r="W1315" s="9" t="n"/>
      <c r="X1315" s="9" t="n"/>
      <c r="Y1315" s="9" t="n"/>
      <c r="Z1315" s="9" t="n"/>
    </row>
    <row r="1316" ht="14.25" customHeight="1" s="37">
      <c r="A1316" s="9">
        <f>IF(C1316="","","UM"&amp;TEXT(ROW()-1,"00000"))</f>
        <v/>
      </c>
      <c r="B1316" s="9" t="n"/>
      <c r="C1316" s="9" t="n"/>
      <c r="D1316" s="9" t="n"/>
      <c r="E1316" s="9" t="n"/>
      <c r="F1316" s="9">
        <f>IF(E1316="","",DATEDIF(E1316,DATE(2026,12,31),"Y"))</f>
        <v/>
      </c>
      <c r="G1316" s="9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  <c r="R1316" s="9" t="n"/>
      <c r="S1316" s="9" t="n"/>
      <c r="T1316" s="9" t="n"/>
      <c r="U1316" s="9" t="n"/>
      <c r="V1316" s="9" t="n"/>
      <c r="W1316" s="9" t="n"/>
      <c r="X1316" s="9" t="n"/>
      <c r="Y1316" s="9" t="n"/>
      <c r="Z1316" s="9" t="n"/>
    </row>
    <row r="1317" ht="14.25" customHeight="1" s="37">
      <c r="A1317" s="9">
        <f>IF(C1317="","","UM"&amp;TEXT(ROW()-1,"00000"))</f>
        <v/>
      </c>
      <c r="B1317" s="9" t="n"/>
      <c r="C1317" s="9" t="n"/>
      <c r="D1317" s="9" t="n"/>
      <c r="E1317" s="9" t="n"/>
      <c r="F1317" s="9">
        <f>IF(E1317="","",DATEDIF(E1317,DATE(2026,12,31),"Y"))</f>
        <v/>
      </c>
      <c r="G1317" s="9" t="n"/>
      <c r="H1317" s="9" t="n"/>
      <c r="I1317" s="9" t="n"/>
      <c r="J1317" s="9" t="n"/>
      <c r="K1317" s="9" t="n"/>
      <c r="L1317" s="9" t="n"/>
      <c r="M1317" s="9" t="n"/>
      <c r="N1317" s="9" t="n"/>
      <c r="O1317" s="9" t="n"/>
      <c r="P1317" s="9" t="n"/>
      <c r="Q1317" s="9" t="n"/>
      <c r="R1317" s="9" t="n"/>
      <c r="S1317" s="9" t="n"/>
      <c r="T1317" s="9" t="n"/>
      <c r="U1317" s="9" t="n"/>
      <c r="V1317" s="9" t="n"/>
      <c r="W1317" s="9" t="n"/>
      <c r="X1317" s="9" t="n"/>
      <c r="Y1317" s="9" t="n"/>
      <c r="Z1317" s="9" t="n"/>
    </row>
    <row r="1318" ht="14.25" customHeight="1" s="37">
      <c r="A1318" s="9">
        <f>IF(C1318="","","UM"&amp;TEXT(ROW()-1,"00000"))</f>
        <v/>
      </c>
      <c r="B1318" s="9" t="n"/>
      <c r="C1318" s="9" t="n"/>
      <c r="D1318" s="9" t="n"/>
      <c r="E1318" s="9" t="n"/>
      <c r="F1318" s="9">
        <f>IF(E1318="","",DATEDIF(E1318,DATE(2026,12,31),"Y"))</f>
        <v/>
      </c>
      <c r="G1318" s="9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  <c r="R1318" s="9" t="n"/>
      <c r="S1318" s="9" t="n"/>
      <c r="T1318" s="9" t="n"/>
      <c r="U1318" s="9" t="n"/>
      <c r="V1318" s="9" t="n"/>
      <c r="W1318" s="9" t="n"/>
      <c r="X1318" s="9" t="n"/>
      <c r="Y1318" s="9" t="n"/>
      <c r="Z1318" s="9" t="n"/>
    </row>
    <row r="1319" ht="14.25" customHeight="1" s="37">
      <c r="A1319" s="9">
        <f>IF(C1319="","","UM"&amp;TEXT(ROW()-1,"00000"))</f>
        <v/>
      </c>
      <c r="B1319" s="9" t="n"/>
      <c r="C1319" s="9" t="n"/>
      <c r="D1319" s="9" t="n"/>
      <c r="E1319" s="9" t="n"/>
      <c r="F1319" s="9">
        <f>IF(E1319="","",DATEDIF(E1319,DATE(2026,12,31),"Y"))</f>
        <v/>
      </c>
      <c r="G1319" s="9" t="n"/>
      <c r="H1319" s="9" t="n"/>
      <c r="I1319" s="9" t="n"/>
      <c r="J1319" s="9" t="n"/>
      <c r="K1319" s="9" t="n"/>
      <c r="L1319" s="9" t="n"/>
      <c r="M1319" s="9" t="n"/>
      <c r="N1319" s="9" t="n"/>
      <c r="O1319" s="9" t="n"/>
      <c r="P1319" s="9" t="n"/>
      <c r="Q1319" s="9" t="n"/>
      <c r="R1319" s="9" t="n"/>
      <c r="S1319" s="9" t="n"/>
      <c r="T1319" s="9" t="n"/>
      <c r="U1319" s="9" t="n"/>
      <c r="V1319" s="9" t="n"/>
      <c r="W1319" s="9" t="n"/>
      <c r="X1319" s="9" t="n"/>
      <c r="Y1319" s="9" t="n"/>
      <c r="Z1319" s="9" t="n"/>
    </row>
    <row r="1320" ht="14.25" customHeight="1" s="37">
      <c r="A1320" s="9">
        <f>IF(C1320="","","UM"&amp;TEXT(ROW()-1,"00000"))</f>
        <v/>
      </c>
      <c r="B1320" s="9" t="n"/>
      <c r="C1320" s="9" t="n"/>
      <c r="D1320" s="9" t="n"/>
      <c r="E1320" s="9" t="n"/>
      <c r="F1320" s="9">
        <f>IF(E1320="","",DATEDIF(E1320,DATE(2026,12,31),"Y"))</f>
        <v/>
      </c>
      <c r="G1320" s="9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  <c r="R1320" s="9" t="n"/>
      <c r="S1320" s="9" t="n"/>
      <c r="T1320" s="9" t="n"/>
      <c r="U1320" s="9" t="n"/>
      <c r="V1320" s="9" t="n"/>
      <c r="W1320" s="9" t="n"/>
      <c r="X1320" s="9" t="n"/>
      <c r="Y1320" s="9" t="n"/>
      <c r="Z1320" s="9" t="n"/>
    </row>
    <row r="1321" ht="14.25" customHeight="1" s="37">
      <c r="A1321" s="9">
        <f>IF(C1321="","","UM"&amp;TEXT(ROW()-1,"00000"))</f>
        <v/>
      </c>
      <c r="B1321" s="9" t="n"/>
      <c r="C1321" s="9" t="n"/>
      <c r="D1321" s="9" t="n"/>
      <c r="E1321" s="9" t="n"/>
      <c r="F1321" s="9">
        <f>IF(E1321="","",DATEDIF(E1321,DATE(2026,12,31),"Y"))</f>
        <v/>
      </c>
      <c r="G1321" s="9" t="n"/>
      <c r="H1321" s="9" t="n"/>
      <c r="I1321" s="9" t="n"/>
      <c r="J1321" s="9" t="n"/>
      <c r="K1321" s="9" t="n"/>
      <c r="L1321" s="9" t="n"/>
      <c r="M1321" s="9" t="n"/>
      <c r="N1321" s="9" t="n"/>
      <c r="O1321" s="9" t="n"/>
      <c r="P1321" s="9" t="n"/>
      <c r="Q1321" s="9" t="n"/>
      <c r="R1321" s="9" t="n"/>
      <c r="S1321" s="9" t="n"/>
      <c r="T1321" s="9" t="n"/>
      <c r="U1321" s="9" t="n"/>
      <c r="V1321" s="9" t="n"/>
      <c r="W1321" s="9" t="n"/>
      <c r="X1321" s="9" t="n"/>
      <c r="Y1321" s="9" t="n"/>
      <c r="Z1321" s="9" t="n"/>
    </row>
    <row r="1322" ht="14.25" customHeight="1" s="37">
      <c r="A1322" s="9">
        <f>IF(C1322="","","UM"&amp;TEXT(ROW()-1,"00000"))</f>
        <v/>
      </c>
      <c r="B1322" s="9" t="n"/>
      <c r="C1322" s="9" t="n"/>
      <c r="D1322" s="9" t="n"/>
      <c r="E1322" s="9" t="n"/>
      <c r="F1322" s="9">
        <f>IF(E1322="","",DATEDIF(E1322,DATE(2026,12,31),"Y"))</f>
        <v/>
      </c>
      <c r="G1322" s="9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  <c r="R1322" s="9" t="n"/>
      <c r="S1322" s="9" t="n"/>
      <c r="T1322" s="9" t="n"/>
      <c r="U1322" s="9" t="n"/>
      <c r="V1322" s="9" t="n"/>
      <c r="W1322" s="9" t="n"/>
      <c r="X1322" s="9" t="n"/>
      <c r="Y1322" s="9" t="n"/>
      <c r="Z1322" s="9" t="n"/>
    </row>
    <row r="1323" ht="14.25" customHeight="1" s="37">
      <c r="A1323" s="9">
        <f>IF(C1323="","","UM"&amp;TEXT(ROW()-1,"00000"))</f>
        <v/>
      </c>
      <c r="B1323" s="9" t="n"/>
      <c r="C1323" s="9" t="n"/>
      <c r="D1323" s="9" t="n"/>
      <c r="E1323" s="9" t="n"/>
      <c r="F1323" s="9">
        <f>IF(E1323="","",DATEDIF(E1323,DATE(2026,12,31),"Y"))</f>
        <v/>
      </c>
      <c r="G1323" s="9" t="n"/>
      <c r="H1323" s="9" t="n"/>
      <c r="I1323" s="9" t="n"/>
      <c r="J1323" s="9" t="n"/>
      <c r="K1323" s="9" t="n"/>
      <c r="L1323" s="9" t="n"/>
      <c r="M1323" s="9" t="n"/>
      <c r="N1323" s="9" t="n"/>
      <c r="O1323" s="9" t="n"/>
      <c r="P1323" s="9" t="n"/>
      <c r="Q1323" s="9" t="n"/>
      <c r="R1323" s="9" t="n"/>
      <c r="S1323" s="9" t="n"/>
      <c r="T1323" s="9" t="n"/>
      <c r="U1323" s="9" t="n"/>
      <c r="V1323" s="9" t="n"/>
      <c r="W1323" s="9" t="n"/>
      <c r="X1323" s="9" t="n"/>
      <c r="Y1323" s="9" t="n"/>
      <c r="Z1323" s="9" t="n"/>
    </row>
    <row r="1324" ht="14.25" customHeight="1" s="37">
      <c r="A1324" s="9">
        <f>IF(C1324="","","UM"&amp;TEXT(ROW()-1,"00000"))</f>
        <v/>
      </c>
      <c r="B1324" s="9" t="n"/>
      <c r="C1324" s="9" t="n"/>
      <c r="D1324" s="9" t="n"/>
      <c r="E1324" s="9" t="n"/>
      <c r="F1324" s="9">
        <f>IF(E1324="","",DATEDIF(E1324,DATE(2026,12,31),"Y"))</f>
        <v/>
      </c>
      <c r="G1324" s="9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  <c r="R1324" s="9" t="n"/>
      <c r="S1324" s="9" t="n"/>
      <c r="T1324" s="9" t="n"/>
      <c r="U1324" s="9" t="n"/>
      <c r="V1324" s="9" t="n"/>
      <c r="W1324" s="9" t="n"/>
      <c r="X1324" s="9" t="n"/>
      <c r="Y1324" s="9" t="n"/>
      <c r="Z1324" s="9" t="n"/>
    </row>
    <row r="1325" ht="14.25" customHeight="1" s="37">
      <c r="A1325" s="9">
        <f>IF(C1325="","","UM"&amp;TEXT(ROW()-1,"00000"))</f>
        <v/>
      </c>
      <c r="B1325" s="9" t="n"/>
      <c r="C1325" s="9" t="n"/>
      <c r="D1325" s="9" t="n"/>
      <c r="E1325" s="9" t="n"/>
      <c r="F1325" s="9">
        <f>IF(E1325="","",DATEDIF(E1325,DATE(2026,12,31),"Y"))</f>
        <v/>
      </c>
      <c r="G1325" s="9" t="n"/>
      <c r="H1325" s="9" t="n"/>
      <c r="I1325" s="9" t="n"/>
      <c r="J1325" s="9" t="n"/>
      <c r="K1325" s="9" t="n"/>
      <c r="L1325" s="9" t="n"/>
      <c r="M1325" s="9" t="n"/>
      <c r="N1325" s="9" t="n"/>
      <c r="O1325" s="9" t="n"/>
      <c r="P1325" s="9" t="n"/>
      <c r="Q1325" s="9" t="n"/>
      <c r="R1325" s="9" t="n"/>
      <c r="S1325" s="9" t="n"/>
      <c r="T1325" s="9" t="n"/>
      <c r="U1325" s="9" t="n"/>
      <c r="V1325" s="9" t="n"/>
      <c r="W1325" s="9" t="n"/>
      <c r="X1325" s="9" t="n"/>
      <c r="Y1325" s="9" t="n"/>
      <c r="Z1325" s="9" t="n"/>
    </row>
    <row r="1326" ht="14.25" customHeight="1" s="37">
      <c r="A1326" s="9">
        <f>IF(C1326="","","UM"&amp;TEXT(ROW()-1,"00000"))</f>
        <v/>
      </c>
      <c r="B1326" s="9" t="n"/>
      <c r="C1326" s="9" t="n"/>
      <c r="D1326" s="9" t="n"/>
      <c r="E1326" s="9" t="n"/>
      <c r="F1326" s="9">
        <f>IF(E1326="","",DATEDIF(E1326,DATE(2026,12,31),"Y"))</f>
        <v/>
      </c>
      <c r="G1326" s="9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  <c r="R1326" s="9" t="n"/>
      <c r="S1326" s="9" t="n"/>
      <c r="T1326" s="9" t="n"/>
      <c r="U1326" s="9" t="n"/>
      <c r="V1326" s="9" t="n"/>
      <c r="W1326" s="9" t="n"/>
      <c r="X1326" s="9" t="n"/>
      <c r="Y1326" s="9" t="n"/>
      <c r="Z1326" s="9" t="n"/>
    </row>
    <row r="1327" ht="14.25" customHeight="1" s="37">
      <c r="A1327" s="9">
        <f>IF(C1327="","","UM"&amp;TEXT(ROW()-1,"00000"))</f>
        <v/>
      </c>
      <c r="B1327" s="9" t="n"/>
      <c r="C1327" s="9" t="n"/>
      <c r="D1327" s="9" t="n"/>
      <c r="E1327" s="9" t="n"/>
      <c r="F1327" s="9">
        <f>IF(E1327="","",DATEDIF(E1327,DATE(2026,12,31),"Y"))</f>
        <v/>
      </c>
      <c r="G1327" s="9" t="n"/>
      <c r="H1327" s="9" t="n"/>
      <c r="I1327" s="9" t="n"/>
      <c r="J1327" s="9" t="n"/>
      <c r="K1327" s="9" t="n"/>
      <c r="L1327" s="9" t="n"/>
      <c r="M1327" s="9" t="n"/>
      <c r="N1327" s="9" t="n"/>
      <c r="O1327" s="9" t="n"/>
      <c r="P1327" s="9" t="n"/>
      <c r="Q1327" s="9" t="n"/>
      <c r="R1327" s="9" t="n"/>
      <c r="S1327" s="9" t="n"/>
      <c r="T1327" s="9" t="n"/>
      <c r="U1327" s="9" t="n"/>
      <c r="V1327" s="9" t="n"/>
      <c r="W1327" s="9" t="n"/>
      <c r="X1327" s="9" t="n"/>
      <c r="Y1327" s="9" t="n"/>
      <c r="Z1327" s="9" t="n"/>
    </row>
    <row r="1328" ht="14.25" customHeight="1" s="37">
      <c r="A1328" s="9">
        <f>IF(C1328="","","UM"&amp;TEXT(ROW()-1,"00000"))</f>
        <v/>
      </c>
      <c r="B1328" s="9" t="n"/>
      <c r="C1328" s="9" t="n"/>
      <c r="D1328" s="9" t="n"/>
      <c r="E1328" s="9" t="n"/>
      <c r="F1328" s="9">
        <f>IF(E1328="","",DATEDIF(E1328,DATE(2026,12,31),"Y"))</f>
        <v/>
      </c>
      <c r="G1328" s="9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  <c r="R1328" s="9" t="n"/>
      <c r="S1328" s="9" t="n"/>
      <c r="T1328" s="9" t="n"/>
      <c r="U1328" s="9" t="n"/>
      <c r="V1328" s="9" t="n"/>
      <c r="W1328" s="9" t="n"/>
      <c r="X1328" s="9" t="n"/>
      <c r="Y1328" s="9" t="n"/>
      <c r="Z1328" s="9" t="n"/>
    </row>
    <row r="1329" ht="14.25" customHeight="1" s="37">
      <c r="A1329" s="9">
        <f>IF(C1329="","","UM"&amp;TEXT(ROW()-1,"00000"))</f>
        <v/>
      </c>
      <c r="B1329" s="9" t="n"/>
      <c r="C1329" s="9" t="n"/>
      <c r="D1329" s="9" t="n"/>
      <c r="E1329" s="9" t="n"/>
      <c r="F1329" s="9">
        <f>IF(E1329="","",DATEDIF(E1329,DATE(2026,12,31),"Y"))</f>
        <v/>
      </c>
      <c r="G1329" s="9" t="n"/>
      <c r="H1329" s="9" t="n"/>
      <c r="I1329" s="9" t="n"/>
      <c r="J1329" s="9" t="n"/>
      <c r="K1329" s="9" t="n"/>
      <c r="L1329" s="9" t="n"/>
      <c r="M1329" s="9" t="n"/>
      <c r="N1329" s="9" t="n"/>
      <c r="O1329" s="9" t="n"/>
      <c r="P1329" s="9" t="n"/>
      <c r="Q1329" s="9" t="n"/>
      <c r="R1329" s="9" t="n"/>
      <c r="S1329" s="9" t="n"/>
      <c r="T1329" s="9" t="n"/>
      <c r="U1329" s="9" t="n"/>
      <c r="V1329" s="9" t="n"/>
      <c r="W1329" s="9" t="n"/>
      <c r="X1329" s="9" t="n"/>
      <c r="Y1329" s="9" t="n"/>
      <c r="Z1329" s="9" t="n"/>
    </row>
    <row r="1330" ht="14.25" customHeight="1" s="37">
      <c r="A1330" s="9">
        <f>IF(C1330="","","UM"&amp;TEXT(ROW()-1,"00000"))</f>
        <v/>
      </c>
      <c r="B1330" s="9" t="n"/>
      <c r="C1330" s="9" t="n"/>
      <c r="D1330" s="9" t="n"/>
      <c r="E1330" s="9" t="n"/>
      <c r="F1330" s="9">
        <f>IF(E1330="","",DATEDIF(E1330,DATE(2026,12,31),"Y"))</f>
        <v/>
      </c>
      <c r="G1330" s="9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  <c r="R1330" s="9" t="n"/>
      <c r="S1330" s="9" t="n"/>
      <c r="T1330" s="9" t="n"/>
      <c r="U1330" s="9" t="n"/>
      <c r="V1330" s="9" t="n"/>
      <c r="W1330" s="9" t="n"/>
      <c r="X1330" s="9" t="n"/>
      <c r="Y1330" s="9" t="n"/>
      <c r="Z1330" s="9" t="n"/>
    </row>
    <row r="1331" ht="14.25" customHeight="1" s="37">
      <c r="A1331" s="9">
        <f>IF(C1331="","","UM"&amp;TEXT(ROW()-1,"00000"))</f>
        <v/>
      </c>
      <c r="B1331" s="9" t="n"/>
      <c r="C1331" s="9" t="n"/>
      <c r="D1331" s="9" t="n"/>
      <c r="E1331" s="9" t="n"/>
      <c r="F1331" s="9">
        <f>IF(E1331="","",DATEDIF(E1331,DATE(2026,12,31),"Y"))</f>
        <v/>
      </c>
      <c r="G1331" s="9" t="n"/>
      <c r="H1331" s="9" t="n"/>
      <c r="I1331" s="9" t="n"/>
      <c r="J1331" s="9" t="n"/>
      <c r="K1331" s="9" t="n"/>
      <c r="L1331" s="9" t="n"/>
      <c r="M1331" s="9" t="n"/>
      <c r="N1331" s="9" t="n"/>
      <c r="O1331" s="9" t="n"/>
      <c r="P1331" s="9" t="n"/>
      <c r="Q1331" s="9" t="n"/>
      <c r="R1331" s="9" t="n"/>
      <c r="S1331" s="9" t="n"/>
      <c r="T1331" s="9" t="n"/>
      <c r="U1331" s="9" t="n"/>
      <c r="V1331" s="9" t="n"/>
      <c r="W1331" s="9" t="n"/>
      <c r="X1331" s="9" t="n"/>
      <c r="Y1331" s="9" t="n"/>
      <c r="Z1331" s="9" t="n"/>
    </row>
    <row r="1332" ht="14.25" customHeight="1" s="37">
      <c r="A1332" s="9">
        <f>IF(C1332="","","UM"&amp;TEXT(ROW()-1,"00000"))</f>
        <v/>
      </c>
      <c r="B1332" s="9" t="n"/>
      <c r="C1332" s="9" t="n"/>
      <c r="D1332" s="9" t="n"/>
      <c r="E1332" s="9" t="n"/>
      <c r="F1332" s="9">
        <f>IF(E1332="","",DATEDIF(E1332,DATE(2026,12,31),"Y"))</f>
        <v/>
      </c>
      <c r="G1332" s="9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  <c r="R1332" s="9" t="n"/>
      <c r="S1332" s="9" t="n"/>
      <c r="T1332" s="9" t="n"/>
      <c r="U1332" s="9" t="n"/>
      <c r="V1332" s="9" t="n"/>
      <c r="W1332" s="9" t="n"/>
      <c r="X1332" s="9" t="n"/>
      <c r="Y1332" s="9" t="n"/>
      <c r="Z1332" s="9" t="n"/>
    </row>
    <row r="1333" ht="14.25" customHeight="1" s="37">
      <c r="A1333" s="9">
        <f>IF(C1333="","","UM"&amp;TEXT(ROW()-1,"00000"))</f>
        <v/>
      </c>
      <c r="B1333" s="9" t="n"/>
      <c r="C1333" s="9" t="n"/>
      <c r="D1333" s="9" t="n"/>
      <c r="E1333" s="9" t="n"/>
      <c r="F1333" s="9">
        <f>IF(E1333="","",DATEDIF(E1333,DATE(2026,12,31),"Y"))</f>
        <v/>
      </c>
      <c r="G1333" s="9" t="n"/>
      <c r="H1333" s="9" t="n"/>
      <c r="I1333" s="9" t="n"/>
      <c r="J1333" s="9" t="n"/>
      <c r="K1333" s="9" t="n"/>
      <c r="L1333" s="9" t="n"/>
      <c r="M1333" s="9" t="n"/>
      <c r="N1333" s="9" t="n"/>
      <c r="O1333" s="9" t="n"/>
      <c r="P1333" s="9" t="n"/>
      <c r="Q1333" s="9" t="n"/>
      <c r="R1333" s="9" t="n"/>
      <c r="S1333" s="9" t="n"/>
      <c r="T1333" s="9" t="n"/>
      <c r="U1333" s="9" t="n"/>
      <c r="V1333" s="9" t="n"/>
      <c r="W1333" s="9" t="n"/>
      <c r="X1333" s="9" t="n"/>
      <c r="Y1333" s="9" t="n"/>
      <c r="Z1333" s="9" t="n"/>
    </row>
    <row r="1334" ht="14.25" customHeight="1" s="37">
      <c r="A1334" s="9">
        <f>IF(C1334="","","UM"&amp;TEXT(ROW()-1,"00000"))</f>
        <v/>
      </c>
      <c r="B1334" s="9" t="n"/>
      <c r="C1334" s="9" t="n"/>
      <c r="D1334" s="9" t="n"/>
      <c r="E1334" s="9" t="n"/>
      <c r="F1334" s="9">
        <f>IF(E1334="","",DATEDIF(E1334,DATE(2026,12,31),"Y"))</f>
        <v/>
      </c>
      <c r="G1334" s="9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  <c r="R1334" s="9" t="n"/>
      <c r="S1334" s="9" t="n"/>
      <c r="T1334" s="9" t="n"/>
      <c r="U1334" s="9" t="n"/>
      <c r="V1334" s="9" t="n"/>
      <c r="W1334" s="9" t="n"/>
      <c r="X1334" s="9" t="n"/>
      <c r="Y1334" s="9" t="n"/>
      <c r="Z1334" s="9" t="n"/>
    </row>
    <row r="1335" ht="14.25" customHeight="1" s="37">
      <c r="A1335" s="9">
        <f>IF(C1335="","","UM"&amp;TEXT(ROW()-1,"00000"))</f>
        <v/>
      </c>
      <c r="B1335" s="9" t="n"/>
      <c r="C1335" s="9" t="n"/>
      <c r="D1335" s="9" t="n"/>
      <c r="E1335" s="9" t="n"/>
      <c r="F1335" s="9">
        <f>IF(E1335="","",DATEDIF(E1335,DATE(2026,12,31),"Y"))</f>
        <v/>
      </c>
      <c r="G1335" s="9" t="n"/>
      <c r="H1335" s="9" t="n"/>
      <c r="I1335" s="9" t="n"/>
      <c r="J1335" s="9" t="n"/>
      <c r="K1335" s="9" t="n"/>
      <c r="L1335" s="9" t="n"/>
      <c r="M1335" s="9" t="n"/>
      <c r="N1335" s="9" t="n"/>
      <c r="O1335" s="9" t="n"/>
      <c r="P1335" s="9" t="n"/>
      <c r="Q1335" s="9" t="n"/>
      <c r="R1335" s="9" t="n"/>
      <c r="S1335" s="9" t="n"/>
      <c r="T1335" s="9" t="n"/>
      <c r="U1335" s="9" t="n"/>
      <c r="V1335" s="9" t="n"/>
      <c r="W1335" s="9" t="n"/>
      <c r="X1335" s="9" t="n"/>
      <c r="Y1335" s="9" t="n"/>
      <c r="Z1335" s="9" t="n"/>
    </row>
    <row r="1336" ht="14.25" customHeight="1" s="37">
      <c r="A1336" s="9">
        <f>IF(C1336="","","UM"&amp;TEXT(ROW()-1,"00000"))</f>
        <v/>
      </c>
      <c r="B1336" s="9" t="n"/>
      <c r="C1336" s="9" t="n"/>
      <c r="D1336" s="9" t="n"/>
      <c r="E1336" s="9" t="n"/>
      <c r="F1336" s="9">
        <f>IF(E1336="","",DATEDIF(E1336,DATE(2026,12,31),"Y"))</f>
        <v/>
      </c>
      <c r="G1336" s="9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  <c r="R1336" s="9" t="n"/>
      <c r="S1336" s="9" t="n"/>
      <c r="T1336" s="9" t="n"/>
      <c r="U1336" s="9" t="n"/>
      <c r="V1336" s="9" t="n"/>
      <c r="W1336" s="9" t="n"/>
      <c r="X1336" s="9" t="n"/>
      <c r="Y1336" s="9" t="n"/>
      <c r="Z1336" s="9" t="n"/>
    </row>
    <row r="1337" ht="14.25" customHeight="1" s="37">
      <c r="A1337" s="9">
        <f>IF(C1337="","","UM"&amp;TEXT(ROW()-1,"00000"))</f>
        <v/>
      </c>
      <c r="B1337" s="9" t="n"/>
      <c r="C1337" s="9" t="n"/>
      <c r="D1337" s="9" t="n"/>
      <c r="E1337" s="9" t="n"/>
      <c r="F1337" s="9">
        <f>IF(E1337="","",DATEDIF(E1337,DATE(2026,12,31),"Y"))</f>
        <v/>
      </c>
      <c r="G1337" s="9" t="n"/>
      <c r="H1337" s="9" t="n"/>
      <c r="I1337" s="9" t="n"/>
      <c r="J1337" s="9" t="n"/>
      <c r="K1337" s="9" t="n"/>
      <c r="L1337" s="9" t="n"/>
      <c r="M1337" s="9" t="n"/>
      <c r="N1337" s="9" t="n"/>
      <c r="O1337" s="9" t="n"/>
      <c r="P1337" s="9" t="n"/>
      <c r="Q1337" s="9" t="n"/>
      <c r="R1337" s="9" t="n"/>
      <c r="S1337" s="9" t="n"/>
      <c r="T1337" s="9" t="n"/>
      <c r="U1337" s="9" t="n"/>
      <c r="V1337" s="9" t="n"/>
      <c r="W1337" s="9" t="n"/>
      <c r="X1337" s="9" t="n"/>
      <c r="Y1337" s="9" t="n"/>
      <c r="Z1337" s="9" t="n"/>
    </row>
    <row r="1338" ht="14.25" customHeight="1" s="37">
      <c r="A1338" s="9">
        <f>IF(C1338="","","UM"&amp;TEXT(ROW()-1,"00000"))</f>
        <v/>
      </c>
      <c r="B1338" s="9" t="n"/>
      <c r="C1338" s="9" t="n"/>
      <c r="D1338" s="9" t="n"/>
      <c r="E1338" s="9" t="n"/>
      <c r="F1338" s="9">
        <f>IF(E1338="","",DATEDIF(E1338,DATE(2026,12,31),"Y"))</f>
        <v/>
      </c>
      <c r="G1338" s="9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  <c r="R1338" s="9" t="n"/>
      <c r="S1338" s="9" t="n"/>
      <c r="T1338" s="9" t="n"/>
      <c r="U1338" s="9" t="n"/>
      <c r="V1338" s="9" t="n"/>
      <c r="W1338" s="9" t="n"/>
      <c r="X1338" s="9" t="n"/>
      <c r="Y1338" s="9" t="n"/>
      <c r="Z1338" s="9" t="n"/>
    </row>
    <row r="1339" ht="14.25" customHeight="1" s="37">
      <c r="A1339" s="9">
        <f>IF(C1339="","","UM"&amp;TEXT(ROW()-1,"00000"))</f>
        <v/>
      </c>
      <c r="B1339" s="9" t="n"/>
      <c r="C1339" s="9" t="n"/>
      <c r="D1339" s="9" t="n"/>
      <c r="E1339" s="9" t="n"/>
      <c r="F1339" s="9">
        <f>IF(E1339="","",DATEDIF(E1339,DATE(2026,12,31),"Y"))</f>
        <v/>
      </c>
      <c r="G1339" s="9" t="n"/>
      <c r="H1339" s="9" t="n"/>
      <c r="I1339" s="9" t="n"/>
      <c r="J1339" s="9" t="n"/>
      <c r="K1339" s="9" t="n"/>
      <c r="L1339" s="9" t="n"/>
      <c r="M1339" s="9" t="n"/>
      <c r="N1339" s="9" t="n"/>
      <c r="O1339" s="9" t="n"/>
      <c r="P1339" s="9" t="n"/>
      <c r="Q1339" s="9" t="n"/>
      <c r="R1339" s="9" t="n"/>
      <c r="S1339" s="9" t="n"/>
      <c r="T1339" s="9" t="n"/>
      <c r="U1339" s="9" t="n"/>
      <c r="V1339" s="9" t="n"/>
      <c r="W1339" s="9" t="n"/>
      <c r="X1339" s="9" t="n"/>
      <c r="Y1339" s="9" t="n"/>
      <c r="Z1339" s="9" t="n"/>
    </row>
    <row r="1340" ht="14.25" customHeight="1" s="37">
      <c r="A1340" s="9">
        <f>IF(C1340="","","UM"&amp;TEXT(ROW()-1,"00000"))</f>
        <v/>
      </c>
      <c r="B1340" s="9" t="n"/>
      <c r="C1340" s="9" t="n"/>
      <c r="D1340" s="9" t="n"/>
      <c r="E1340" s="9" t="n"/>
      <c r="F1340" s="9">
        <f>IF(E1340="","",DATEDIF(E1340,DATE(2026,12,31),"Y"))</f>
        <v/>
      </c>
      <c r="G1340" s="9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  <c r="R1340" s="9" t="n"/>
      <c r="S1340" s="9" t="n"/>
      <c r="T1340" s="9" t="n"/>
      <c r="U1340" s="9" t="n"/>
      <c r="V1340" s="9" t="n"/>
      <c r="W1340" s="9" t="n"/>
      <c r="X1340" s="9" t="n"/>
      <c r="Y1340" s="9" t="n"/>
      <c r="Z1340" s="9" t="n"/>
    </row>
    <row r="1341" ht="14.25" customHeight="1" s="37">
      <c r="A1341" s="9">
        <f>IF(C1341="","","UM"&amp;TEXT(ROW()-1,"00000"))</f>
        <v/>
      </c>
      <c r="B1341" s="9" t="n"/>
      <c r="C1341" s="9" t="n"/>
      <c r="D1341" s="9" t="n"/>
      <c r="E1341" s="9" t="n"/>
      <c r="F1341" s="9">
        <f>IF(E1341="","",DATEDIF(E1341,DATE(2026,12,31),"Y"))</f>
        <v/>
      </c>
      <c r="G1341" s="9" t="n"/>
      <c r="H1341" s="9" t="n"/>
      <c r="I1341" s="9" t="n"/>
      <c r="J1341" s="9" t="n"/>
      <c r="K1341" s="9" t="n"/>
      <c r="L1341" s="9" t="n"/>
      <c r="M1341" s="9" t="n"/>
      <c r="N1341" s="9" t="n"/>
      <c r="O1341" s="9" t="n"/>
      <c r="P1341" s="9" t="n"/>
      <c r="Q1341" s="9" t="n"/>
      <c r="R1341" s="9" t="n"/>
      <c r="S1341" s="9" t="n"/>
      <c r="T1341" s="9" t="n"/>
      <c r="U1341" s="9" t="n"/>
      <c r="V1341" s="9" t="n"/>
      <c r="W1341" s="9" t="n"/>
      <c r="X1341" s="9" t="n"/>
      <c r="Y1341" s="9" t="n"/>
      <c r="Z1341" s="9" t="n"/>
    </row>
    <row r="1342" ht="14.25" customHeight="1" s="37">
      <c r="A1342" s="9">
        <f>IF(C1342="","","UM"&amp;TEXT(ROW()-1,"00000"))</f>
        <v/>
      </c>
      <c r="B1342" s="9" t="n"/>
      <c r="C1342" s="9" t="n"/>
      <c r="D1342" s="9" t="n"/>
      <c r="E1342" s="9" t="n"/>
      <c r="F1342" s="9">
        <f>IF(E1342="","",DATEDIF(E1342,DATE(2026,12,31),"Y"))</f>
        <v/>
      </c>
      <c r="G1342" s="9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  <c r="R1342" s="9" t="n"/>
      <c r="S1342" s="9" t="n"/>
      <c r="T1342" s="9" t="n"/>
      <c r="U1342" s="9" t="n"/>
      <c r="V1342" s="9" t="n"/>
      <c r="W1342" s="9" t="n"/>
      <c r="X1342" s="9" t="n"/>
      <c r="Y1342" s="9" t="n"/>
      <c r="Z1342" s="9" t="n"/>
    </row>
    <row r="1343" ht="14.25" customHeight="1" s="37">
      <c r="A1343" s="9">
        <f>IF(C1343="","","UM"&amp;TEXT(ROW()-1,"00000"))</f>
        <v/>
      </c>
      <c r="B1343" s="9" t="n"/>
      <c r="C1343" s="9" t="n"/>
      <c r="D1343" s="9" t="n"/>
      <c r="E1343" s="9" t="n"/>
      <c r="F1343" s="9">
        <f>IF(E1343="","",DATEDIF(E1343,DATE(2026,12,31),"Y"))</f>
        <v/>
      </c>
      <c r="G1343" s="9" t="n"/>
      <c r="H1343" s="9" t="n"/>
      <c r="I1343" s="9" t="n"/>
      <c r="J1343" s="9" t="n"/>
      <c r="K1343" s="9" t="n"/>
      <c r="L1343" s="9" t="n"/>
      <c r="M1343" s="9" t="n"/>
      <c r="N1343" s="9" t="n"/>
      <c r="O1343" s="9" t="n"/>
      <c r="P1343" s="9" t="n"/>
      <c r="Q1343" s="9" t="n"/>
      <c r="R1343" s="9" t="n"/>
      <c r="S1343" s="9" t="n"/>
      <c r="T1343" s="9" t="n"/>
      <c r="U1343" s="9" t="n"/>
      <c r="V1343" s="9" t="n"/>
      <c r="W1343" s="9" t="n"/>
      <c r="X1343" s="9" t="n"/>
      <c r="Y1343" s="9" t="n"/>
      <c r="Z1343" s="9" t="n"/>
    </row>
    <row r="1344" ht="14.25" customHeight="1" s="37">
      <c r="A1344" s="9">
        <f>IF(C1344="","","UM"&amp;TEXT(ROW()-1,"00000"))</f>
        <v/>
      </c>
      <c r="B1344" s="9" t="n"/>
      <c r="C1344" s="9" t="n"/>
      <c r="D1344" s="9" t="n"/>
      <c r="E1344" s="9" t="n"/>
      <c r="F1344" s="9">
        <f>IF(E1344="","",DATEDIF(E1344,DATE(2026,12,31),"Y"))</f>
        <v/>
      </c>
      <c r="G1344" s="9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  <c r="R1344" s="9" t="n"/>
      <c r="S1344" s="9" t="n"/>
      <c r="T1344" s="9" t="n"/>
      <c r="U1344" s="9" t="n"/>
      <c r="V1344" s="9" t="n"/>
      <c r="W1344" s="9" t="n"/>
      <c r="X1344" s="9" t="n"/>
      <c r="Y1344" s="9" t="n"/>
      <c r="Z1344" s="9" t="n"/>
    </row>
    <row r="1345" ht="14.25" customHeight="1" s="37">
      <c r="A1345" s="9">
        <f>IF(C1345="","","UM"&amp;TEXT(ROW()-1,"00000"))</f>
        <v/>
      </c>
      <c r="B1345" s="9" t="n"/>
      <c r="C1345" s="9" t="n"/>
      <c r="D1345" s="9" t="n"/>
      <c r="E1345" s="9" t="n"/>
      <c r="F1345" s="9">
        <f>IF(E1345="","",DATEDIF(E1345,DATE(2026,12,31),"Y"))</f>
        <v/>
      </c>
      <c r="G1345" s="9" t="n"/>
      <c r="H1345" s="9" t="n"/>
      <c r="I1345" s="9" t="n"/>
      <c r="J1345" s="9" t="n"/>
      <c r="K1345" s="9" t="n"/>
      <c r="L1345" s="9" t="n"/>
      <c r="M1345" s="9" t="n"/>
      <c r="N1345" s="9" t="n"/>
      <c r="O1345" s="9" t="n"/>
      <c r="P1345" s="9" t="n"/>
      <c r="Q1345" s="9" t="n"/>
      <c r="R1345" s="9" t="n"/>
      <c r="S1345" s="9" t="n"/>
      <c r="T1345" s="9" t="n"/>
      <c r="U1345" s="9" t="n"/>
      <c r="V1345" s="9" t="n"/>
      <c r="W1345" s="9" t="n"/>
      <c r="X1345" s="9" t="n"/>
      <c r="Y1345" s="9" t="n"/>
      <c r="Z1345" s="9" t="n"/>
    </row>
    <row r="1346" ht="14.25" customHeight="1" s="37">
      <c r="A1346" s="9">
        <f>IF(C1346="","","UM"&amp;TEXT(ROW()-1,"00000"))</f>
        <v/>
      </c>
      <c r="B1346" s="9" t="n"/>
      <c r="C1346" s="9" t="n"/>
      <c r="D1346" s="9" t="n"/>
      <c r="E1346" s="9" t="n"/>
      <c r="F1346" s="9">
        <f>IF(E1346="","",DATEDIF(E1346,DATE(2026,12,31),"Y"))</f>
        <v/>
      </c>
      <c r="G1346" s="9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  <c r="R1346" s="9" t="n"/>
      <c r="S1346" s="9" t="n"/>
      <c r="T1346" s="9" t="n"/>
      <c r="U1346" s="9" t="n"/>
      <c r="V1346" s="9" t="n"/>
      <c r="W1346" s="9" t="n"/>
      <c r="X1346" s="9" t="n"/>
      <c r="Y1346" s="9" t="n"/>
      <c r="Z1346" s="9" t="n"/>
    </row>
    <row r="1347" ht="14.25" customHeight="1" s="37">
      <c r="A1347" s="9">
        <f>IF(C1347="","","UM"&amp;TEXT(ROW()-1,"00000"))</f>
        <v/>
      </c>
      <c r="B1347" s="9" t="n"/>
      <c r="C1347" s="9" t="n"/>
      <c r="D1347" s="9" t="n"/>
      <c r="E1347" s="9" t="n"/>
      <c r="F1347" s="9">
        <f>IF(E1347="","",DATEDIF(E1347,DATE(2026,12,31),"Y"))</f>
        <v/>
      </c>
      <c r="G1347" s="9" t="n"/>
      <c r="H1347" s="9" t="n"/>
      <c r="I1347" s="9" t="n"/>
      <c r="J1347" s="9" t="n"/>
      <c r="K1347" s="9" t="n"/>
      <c r="L1347" s="9" t="n"/>
      <c r="M1347" s="9" t="n"/>
      <c r="N1347" s="9" t="n"/>
      <c r="O1347" s="9" t="n"/>
      <c r="P1347" s="9" t="n"/>
      <c r="Q1347" s="9" t="n"/>
      <c r="R1347" s="9" t="n"/>
      <c r="S1347" s="9" t="n"/>
      <c r="T1347" s="9" t="n"/>
      <c r="U1347" s="9" t="n"/>
      <c r="V1347" s="9" t="n"/>
      <c r="W1347" s="9" t="n"/>
      <c r="X1347" s="9" t="n"/>
      <c r="Y1347" s="9" t="n"/>
      <c r="Z1347" s="9" t="n"/>
    </row>
    <row r="1348" ht="14.25" customHeight="1" s="37">
      <c r="A1348" s="9">
        <f>IF(C1348="","","UM"&amp;TEXT(ROW()-1,"00000"))</f>
        <v/>
      </c>
      <c r="B1348" s="9" t="n"/>
      <c r="C1348" s="9" t="n"/>
      <c r="D1348" s="9" t="n"/>
      <c r="E1348" s="9" t="n"/>
      <c r="F1348" s="9">
        <f>IF(E1348="","",DATEDIF(E1348,DATE(2026,12,31),"Y"))</f>
        <v/>
      </c>
      <c r="G1348" s="9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  <c r="R1348" s="9" t="n"/>
      <c r="S1348" s="9" t="n"/>
      <c r="T1348" s="9" t="n"/>
      <c r="U1348" s="9" t="n"/>
      <c r="V1348" s="9" t="n"/>
      <c r="W1348" s="9" t="n"/>
      <c r="X1348" s="9" t="n"/>
      <c r="Y1348" s="9" t="n"/>
      <c r="Z1348" s="9" t="n"/>
    </row>
    <row r="1349" ht="14.25" customHeight="1" s="37">
      <c r="A1349" s="9">
        <f>IF(C1349="","","UM"&amp;TEXT(ROW()-1,"00000"))</f>
        <v/>
      </c>
      <c r="B1349" s="9" t="n"/>
      <c r="C1349" s="9" t="n"/>
      <c r="D1349" s="9" t="n"/>
      <c r="E1349" s="9" t="n"/>
      <c r="F1349" s="9">
        <f>IF(E1349="","",DATEDIF(E1349,DATE(2026,12,31),"Y"))</f>
        <v/>
      </c>
      <c r="G1349" s="9" t="n"/>
      <c r="H1349" s="9" t="n"/>
      <c r="I1349" s="9" t="n"/>
      <c r="J1349" s="9" t="n"/>
      <c r="K1349" s="9" t="n"/>
      <c r="L1349" s="9" t="n"/>
      <c r="M1349" s="9" t="n"/>
      <c r="N1349" s="9" t="n"/>
      <c r="O1349" s="9" t="n"/>
      <c r="P1349" s="9" t="n"/>
      <c r="Q1349" s="9" t="n"/>
      <c r="R1349" s="9" t="n"/>
      <c r="S1349" s="9" t="n"/>
      <c r="T1349" s="9" t="n"/>
      <c r="U1349" s="9" t="n"/>
      <c r="V1349" s="9" t="n"/>
      <c r="W1349" s="9" t="n"/>
      <c r="X1349" s="9" t="n"/>
      <c r="Y1349" s="9" t="n"/>
      <c r="Z1349" s="9" t="n"/>
    </row>
    <row r="1350" ht="14.25" customHeight="1" s="37">
      <c r="A1350" s="9">
        <f>IF(C1350="","","UM"&amp;TEXT(ROW()-1,"00000"))</f>
        <v/>
      </c>
      <c r="B1350" s="9" t="n"/>
      <c r="C1350" s="9" t="n"/>
      <c r="D1350" s="9" t="n"/>
      <c r="E1350" s="9" t="n"/>
      <c r="F1350" s="9">
        <f>IF(E1350="","",DATEDIF(E1350,DATE(2026,12,31),"Y"))</f>
        <v/>
      </c>
      <c r="G1350" s="9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  <c r="R1350" s="9" t="n"/>
      <c r="S1350" s="9" t="n"/>
      <c r="T1350" s="9" t="n"/>
      <c r="U1350" s="9" t="n"/>
      <c r="V1350" s="9" t="n"/>
      <c r="W1350" s="9" t="n"/>
      <c r="X1350" s="9" t="n"/>
      <c r="Y1350" s="9" t="n"/>
      <c r="Z1350" s="9" t="n"/>
    </row>
    <row r="1351" ht="14.25" customHeight="1" s="37">
      <c r="A1351" s="9">
        <f>IF(C1351="","","UM"&amp;TEXT(ROW()-1,"00000"))</f>
        <v/>
      </c>
      <c r="B1351" s="9" t="n"/>
      <c r="C1351" s="9" t="n"/>
      <c r="D1351" s="9" t="n"/>
      <c r="E1351" s="9" t="n"/>
      <c r="F1351" s="9">
        <f>IF(E1351="","",DATEDIF(E1351,DATE(2026,12,31),"Y"))</f>
        <v/>
      </c>
      <c r="G1351" s="9" t="n"/>
      <c r="H1351" s="9" t="n"/>
      <c r="I1351" s="9" t="n"/>
      <c r="J1351" s="9" t="n"/>
      <c r="K1351" s="9" t="n"/>
      <c r="L1351" s="9" t="n"/>
      <c r="M1351" s="9" t="n"/>
      <c r="N1351" s="9" t="n"/>
      <c r="O1351" s="9" t="n"/>
      <c r="P1351" s="9" t="n"/>
      <c r="Q1351" s="9" t="n"/>
      <c r="R1351" s="9" t="n"/>
      <c r="S1351" s="9" t="n"/>
      <c r="T1351" s="9" t="n"/>
      <c r="U1351" s="9" t="n"/>
      <c r="V1351" s="9" t="n"/>
      <c r="W1351" s="9" t="n"/>
      <c r="X1351" s="9" t="n"/>
      <c r="Y1351" s="9" t="n"/>
      <c r="Z1351" s="9" t="n"/>
    </row>
    <row r="1352" ht="14.25" customHeight="1" s="37">
      <c r="A1352" s="9">
        <f>IF(C1352="","","UM"&amp;TEXT(ROW()-1,"00000"))</f>
        <v/>
      </c>
      <c r="B1352" s="9" t="n"/>
      <c r="C1352" s="9" t="n"/>
      <c r="D1352" s="9" t="n"/>
      <c r="E1352" s="9" t="n"/>
      <c r="F1352" s="9">
        <f>IF(E1352="","",DATEDIF(E1352,DATE(2026,12,31),"Y"))</f>
        <v/>
      </c>
      <c r="G1352" s="9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  <c r="R1352" s="9" t="n"/>
      <c r="S1352" s="9" t="n"/>
      <c r="T1352" s="9" t="n"/>
      <c r="U1352" s="9" t="n"/>
      <c r="V1352" s="9" t="n"/>
      <c r="W1352" s="9" t="n"/>
      <c r="X1352" s="9" t="n"/>
      <c r="Y1352" s="9" t="n"/>
      <c r="Z1352" s="9" t="n"/>
    </row>
    <row r="1353" ht="14.25" customHeight="1" s="37">
      <c r="A1353" s="9">
        <f>IF(C1353="","","UM"&amp;TEXT(ROW()-1,"00000"))</f>
        <v/>
      </c>
      <c r="B1353" s="9" t="n"/>
      <c r="C1353" s="9" t="n"/>
      <c r="D1353" s="9" t="n"/>
      <c r="E1353" s="9" t="n"/>
      <c r="F1353" s="9">
        <f>IF(E1353="","",DATEDIF(E1353,DATE(2026,12,31),"Y"))</f>
        <v/>
      </c>
      <c r="G1353" s="9" t="n"/>
      <c r="H1353" s="9" t="n"/>
      <c r="I1353" s="9" t="n"/>
      <c r="J1353" s="9" t="n"/>
      <c r="K1353" s="9" t="n"/>
      <c r="L1353" s="9" t="n"/>
      <c r="M1353" s="9" t="n"/>
      <c r="N1353" s="9" t="n"/>
      <c r="O1353" s="9" t="n"/>
      <c r="P1353" s="9" t="n"/>
      <c r="Q1353" s="9" t="n"/>
      <c r="R1353" s="9" t="n"/>
      <c r="S1353" s="9" t="n"/>
      <c r="T1353" s="9" t="n"/>
      <c r="U1353" s="9" t="n"/>
      <c r="V1353" s="9" t="n"/>
      <c r="W1353" s="9" t="n"/>
      <c r="X1353" s="9" t="n"/>
      <c r="Y1353" s="9" t="n"/>
      <c r="Z1353" s="9" t="n"/>
    </row>
    <row r="1354" ht="14.25" customHeight="1" s="37">
      <c r="A1354" s="9">
        <f>IF(C1354="","","UM"&amp;TEXT(ROW()-1,"00000"))</f>
        <v/>
      </c>
      <c r="B1354" s="9" t="n"/>
      <c r="C1354" s="9" t="n"/>
      <c r="D1354" s="9" t="n"/>
      <c r="E1354" s="9" t="n"/>
      <c r="F1354" s="9">
        <f>IF(E1354="","",DATEDIF(E1354,DATE(2026,12,31),"Y"))</f>
        <v/>
      </c>
      <c r="G1354" s="9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  <c r="R1354" s="9" t="n"/>
      <c r="S1354" s="9" t="n"/>
      <c r="T1354" s="9" t="n"/>
      <c r="U1354" s="9" t="n"/>
      <c r="V1354" s="9" t="n"/>
      <c r="W1354" s="9" t="n"/>
      <c r="X1354" s="9" t="n"/>
      <c r="Y1354" s="9" t="n"/>
      <c r="Z1354" s="9" t="n"/>
    </row>
    <row r="1355" ht="14.25" customHeight="1" s="37">
      <c r="A1355" s="9">
        <f>IF(C1355="","","UM"&amp;TEXT(ROW()-1,"00000"))</f>
        <v/>
      </c>
      <c r="B1355" s="9" t="n"/>
      <c r="C1355" s="9" t="n"/>
      <c r="D1355" s="9" t="n"/>
      <c r="E1355" s="9" t="n"/>
      <c r="F1355" s="9">
        <f>IF(E1355="","",DATEDIF(E1355,DATE(2026,12,31),"Y"))</f>
        <v/>
      </c>
      <c r="G1355" s="9" t="n"/>
      <c r="H1355" s="9" t="n"/>
      <c r="I1355" s="9" t="n"/>
      <c r="J1355" s="9" t="n"/>
      <c r="K1355" s="9" t="n"/>
      <c r="L1355" s="9" t="n"/>
      <c r="M1355" s="9" t="n"/>
      <c r="N1355" s="9" t="n"/>
      <c r="O1355" s="9" t="n"/>
      <c r="P1355" s="9" t="n"/>
      <c r="Q1355" s="9" t="n"/>
      <c r="R1355" s="9" t="n"/>
      <c r="S1355" s="9" t="n"/>
      <c r="T1355" s="9" t="n"/>
      <c r="U1355" s="9" t="n"/>
      <c r="V1355" s="9" t="n"/>
      <c r="W1355" s="9" t="n"/>
      <c r="X1355" s="9" t="n"/>
      <c r="Y1355" s="9" t="n"/>
      <c r="Z1355" s="9" t="n"/>
    </row>
    <row r="1356" ht="14.25" customHeight="1" s="37">
      <c r="A1356" s="9">
        <f>IF(C1356="","","UM"&amp;TEXT(ROW()-1,"00000"))</f>
        <v/>
      </c>
      <c r="B1356" s="9" t="n"/>
      <c r="C1356" s="9" t="n"/>
      <c r="D1356" s="9" t="n"/>
      <c r="E1356" s="9" t="n"/>
      <c r="F1356" s="9">
        <f>IF(E1356="","",DATEDIF(E1356,DATE(2026,12,31),"Y"))</f>
        <v/>
      </c>
      <c r="G1356" s="9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  <c r="R1356" s="9" t="n"/>
      <c r="S1356" s="9" t="n"/>
      <c r="T1356" s="9" t="n"/>
      <c r="U1356" s="9" t="n"/>
      <c r="V1356" s="9" t="n"/>
      <c r="W1356" s="9" t="n"/>
      <c r="X1356" s="9" t="n"/>
      <c r="Y1356" s="9" t="n"/>
      <c r="Z1356" s="9" t="n"/>
    </row>
    <row r="1357" ht="14.25" customHeight="1" s="37">
      <c r="A1357" s="9">
        <f>IF(C1357="","","UM"&amp;TEXT(ROW()-1,"00000"))</f>
        <v/>
      </c>
      <c r="B1357" s="9" t="n"/>
      <c r="C1357" s="9" t="n"/>
      <c r="D1357" s="9" t="n"/>
      <c r="E1357" s="9" t="n"/>
      <c r="F1357" s="9">
        <f>IF(E1357="","",DATEDIF(E1357,DATE(2026,12,31),"Y"))</f>
        <v/>
      </c>
      <c r="G1357" s="9" t="n"/>
      <c r="H1357" s="9" t="n"/>
      <c r="I1357" s="9" t="n"/>
      <c r="J1357" s="9" t="n"/>
      <c r="K1357" s="9" t="n"/>
      <c r="L1357" s="9" t="n"/>
      <c r="M1357" s="9" t="n"/>
      <c r="N1357" s="9" t="n"/>
      <c r="O1357" s="9" t="n"/>
      <c r="P1357" s="9" t="n"/>
      <c r="Q1357" s="9" t="n"/>
      <c r="R1357" s="9" t="n"/>
      <c r="S1357" s="9" t="n"/>
      <c r="T1357" s="9" t="n"/>
      <c r="U1357" s="9" t="n"/>
      <c r="V1357" s="9" t="n"/>
      <c r="W1357" s="9" t="n"/>
      <c r="X1357" s="9" t="n"/>
      <c r="Y1357" s="9" t="n"/>
      <c r="Z1357" s="9" t="n"/>
    </row>
    <row r="1358" ht="14.25" customHeight="1" s="37">
      <c r="A1358" s="9">
        <f>IF(C1358="","","UM"&amp;TEXT(ROW()-1,"00000"))</f>
        <v/>
      </c>
      <c r="B1358" s="9" t="n"/>
      <c r="C1358" s="9" t="n"/>
      <c r="D1358" s="9" t="n"/>
      <c r="E1358" s="9" t="n"/>
      <c r="F1358" s="9">
        <f>IF(E1358="","",DATEDIF(E1358,DATE(2026,12,31),"Y"))</f>
        <v/>
      </c>
      <c r="G1358" s="9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  <c r="R1358" s="9" t="n"/>
      <c r="S1358" s="9" t="n"/>
      <c r="T1358" s="9" t="n"/>
      <c r="U1358" s="9" t="n"/>
      <c r="V1358" s="9" t="n"/>
      <c r="W1358" s="9" t="n"/>
      <c r="X1358" s="9" t="n"/>
      <c r="Y1358" s="9" t="n"/>
      <c r="Z1358" s="9" t="n"/>
    </row>
    <row r="1359" ht="14.25" customHeight="1" s="37">
      <c r="A1359" s="9">
        <f>IF(C1359="","","UM"&amp;TEXT(ROW()-1,"00000"))</f>
        <v/>
      </c>
      <c r="B1359" s="9" t="n"/>
      <c r="C1359" s="9" t="n"/>
      <c r="D1359" s="9" t="n"/>
      <c r="E1359" s="9" t="n"/>
      <c r="F1359" s="9">
        <f>IF(E1359="","",DATEDIF(E1359,DATE(2026,12,31),"Y"))</f>
        <v/>
      </c>
      <c r="G1359" s="9" t="n"/>
      <c r="H1359" s="9" t="n"/>
      <c r="I1359" s="9" t="n"/>
      <c r="J1359" s="9" t="n"/>
      <c r="K1359" s="9" t="n"/>
      <c r="L1359" s="9" t="n"/>
      <c r="M1359" s="9" t="n"/>
      <c r="N1359" s="9" t="n"/>
      <c r="O1359" s="9" t="n"/>
      <c r="P1359" s="9" t="n"/>
      <c r="Q1359" s="9" t="n"/>
      <c r="R1359" s="9" t="n"/>
      <c r="S1359" s="9" t="n"/>
      <c r="T1359" s="9" t="n"/>
      <c r="U1359" s="9" t="n"/>
      <c r="V1359" s="9" t="n"/>
      <c r="W1359" s="9" t="n"/>
      <c r="X1359" s="9" t="n"/>
      <c r="Y1359" s="9" t="n"/>
      <c r="Z1359" s="9" t="n"/>
    </row>
    <row r="1360" ht="14.25" customHeight="1" s="37">
      <c r="A1360" s="9">
        <f>IF(C1360="","","UM"&amp;TEXT(ROW()-1,"00000"))</f>
        <v/>
      </c>
      <c r="B1360" s="9" t="n"/>
      <c r="C1360" s="9" t="n"/>
      <c r="D1360" s="9" t="n"/>
      <c r="E1360" s="9" t="n"/>
      <c r="F1360" s="9">
        <f>IF(E1360="","",DATEDIF(E1360,DATE(2026,12,31),"Y"))</f>
        <v/>
      </c>
      <c r="G1360" s="9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  <c r="R1360" s="9" t="n"/>
      <c r="S1360" s="9" t="n"/>
      <c r="T1360" s="9" t="n"/>
      <c r="U1360" s="9" t="n"/>
      <c r="V1360" s="9" t="n"/>
      <c r="W1360" s="9" t="n"/>
      <c r="X1360" s="9" t="n"/>
      <c r="Y1360" s="9" t="n"/>
      <c r="Z1360" s="9" t="n"/>
    </row>
    <row r="1361" ht="14.25" customHeight="1" s="37">
      <c r="A1361" s="9">
        <f>IF(C1361="","","UM"&amp;TEXT(ROW()-1,"00000"))</f>
        <v/>
      </c>
      <c r="B1361" s="9" t="n"/>
      <c r="C1361" s="9" t="n"/>
      <c r="D1361" s="9" t="n"/>
      <c r="E1361" s="9" t="n"/>
      <c r="F1361" s="9">
        <f>IF(E1361="","",DATEDIF(E1361,DATE(2026,12,31),"Y"))</f>
        <v/>
      </c>
      <c r="G1361" s="9" t="n"/>
      <c r="H1361" s="9" t="n"/>
      <c r="I1361" s="9" t="n"/>
      <c r="J1361" s="9" t="n"/>
      <c r="K1361" s="9" t="n"/>
      <c r="L1361" s="9" t="n"/>
      <c r="M1361" s="9" t="n"/>
      <c r="N1361" s="9" t="n"/>
      <c r="O1361" s="9" t="n"/>
      <c r="P1361" s="9" t="n"/>
      <c r="Q1361" s="9" t="n"/>
      <c r="R1361" s="9" t="n"/>
      <c r="S1361" s="9" t="n"/>
      <c r="T1361" s="9" t="n"/>
      <c r="U1361" s="9" t="n"/>
      <c r="V1361" s="9" t="n"/>
      <c r="W1361" s="9" t="n"/>
      <c r="X1361" s="9" t="n"/>
      <c r="Y1361" s="9" t="n"/>
      <c r="Z1361" s="9" t="n"/>
    </row>
    <row r="1362" ht="14.25" customHeight="1" s="37">
      <c r="A1362" s="9">
        <f>IF(C1362="","","UM"&amp;TEXT(ROW()-1,"00000"))</f>
        <v/>
      </c>
      <c r="B1362" s="9" t="n"/>
      <c r="C1362" s="9" t="n"/>
      <c r="D1362" s="9" t="n"/>
      <c r="E1362" s="9" t="n"/>
      <c r="F1362" s="9">
        <f>IF(E1362="","",DATEDIF(E1362,DATE(2026,12,31),"Y"))</f>
        <v/>
      </c>
      <c r="G1362" s="9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  <c r="R1362" s="9" t="n"/>
      <c r="S1362" s="9" t="n"/>
      <c r="T1362" s="9" t="n"/>
      <c r="U1362" s="9" t="n"/>
      <c r="V1362" s="9" t="n"/>
      <c r="W1362" s="9" t="n"/>
      <c r="X1362" s="9" t="n"/>
      <c r="Y1362" s="9" t="n"/>
      <c r="Z1362" s="9" t="n"/>
    </row>
    <row r="1363" ht="14.25" customHeight="1" s="37">
      <c r="A1363" s="9">
        <f>IF(C1363="","","UM"&amp;TEXT(ROW()-1,"00000"))</f>
        <v/>
      </c>
      <c r="B1363" s="9" t="n"/>
      <c r="C1363" s="9" t="n"/>
      <c r="D1363" s="9" t="n"/>
      <c r="E1363" s="9" t="n"/>
      <c r="F1363" s="9">
        <f>IF(E1363="","",DATEDIF(E1363,DATE(2026,12,31),"Y"))</f>
        <v/>
      </c>
      <c r="G1363" s="9" t="n"/>
      <c r="H1363" s="9" t="n"/>
      <c r="I1363" s="9" t="n"/>
      <c r="J1363" s="9" t="n"/>
      <c r="K1363" s="9" t="n"/>
      <c r="L1363" s="9" t="n"/>
      <c r="M1363" s="9" t="n"/>
      <c r="N1363" s="9" t="n"/>
      <c r="O1363" s="9" t="n"/>
      <c r="P1363" s="9" t="n"/>
      <c r="Q1363" s="9" t="n"/>
      <c r="R1363" s="9" t="n"/>
      <c r="S1363" s="9" t="n"/>
      <c r="T1363" s="9" t="n"/>
      <c r="U1363" s="9" t="n"/>
      <c r="V1363" s="9" t="n"/>
      <c r="W1363" s="9" t="n"/>
      <c r="X1363" s="9" t="n"/>
      <c r="Y1363" s="9" t="n"/>
      <c r="Z1363" s="9" t="n"/>
    </row>
    <row r="1364" ht="14.25" customHeight="1" s="37">
      <c r="A1364" s="9">
        <f>IF(C1364="","","UM"&amp;TEXT(ROW()-1,"00000"))</f>
        <v/>
      </c>
      <c r="B1364" s="9" t="n"/>
      <c r="C1364" s="9" t="n"/>
      <c r="D1364" s="9" t="n"/>
      <c r="E1364" s="9" t="n"/>
      <c r="F1364" s="9">
        <f>IF(E1364="","",DATEDIF(E1364,DATE(2026,12,31),"Y"))</f>
        <v/>
      </c>
      <c r="G1364" s="9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  <c r="R1364" s="9" t="n"/>
      <c r="S1364" s="9" t="n"/>
      <c r="T1364" s="9" t="n"/>
      <c r="U1364" s="9" t="n"/>
      <c r="V1364" s="9" t="n"/>
      <c r="W1364" s="9" t="n"/>
      <c r="X1364" s="9" t="n"/>
      <c r="Y1364" s="9" t="n"/>
      <c r="Z1364" s="9" t="n"/>
    </row>
    <row r="1365" ht="14.25" customHeight="1" s="37">
      <c r="A1365" s="9">
        <f>IF(C1365="","","UM"&amp;TEXT(ROW()-1,"00000"))</f>
        <v/>
      </c>
      <c r="B1365" s="9" t="n"/>
      <c r="C1365" s="9" t="n"/>
      <c r="D1365" s="9" t="n"/>
      <c r="E1365" s="9" t="n"/>
      <c r="F1365" s="9">
        <f>IF(E1365="","",DATEDIF(E1365,DATE(2026,12,31),"Y"))</f>
        <v/>
      </c>
      <c r="G1365" s="9" t="n"/>
      <c r="H1365" s="9" t="n"/>
      <c r="I1365" s="9" t="n"/>
      <c r="J1365" s="9" t="n"/>
      <c r="K1365" s="9" t="n"/>
      <c r="L1365" s="9" t="n"/>
      <c r="M1365" s="9" t="n"/>
      <c r="N1365" s="9" t="n"/>
      <c r="O1365" s="9" t="n"/>
      <c r="P1365" s="9" t="n"/>
      <c r="Q1365" s="9" t="n"/>
      <c r="R1365" s="9" t="n"/>
      <c r="S1365" s="9" t="n"/>
      <c r="T1365" s="9" t="n"/>
      <c r="U1365" s="9" t="n"/>
      <c r="V1365" s="9" t="n"/>
      <c r="W1365" s="9" t="n"/>
      <c r="X1365" s="9" t="n"/>
      <c r="Y1365" s="9" t="n"/>
      <c r="Z1365" s="9" t="n"/>
    </row>
    <row r="1366" ht="14.25" customHeight="1" s="37">
      <c r="A1366" s="9">
        <f>IF(C1366="","","UM"&amp;TEXT(ROW()-1,"00000"))</f>
        <v/>
      </c>
      <c r="B1366" s="9" t="n"/>
      <c r="C1366" s="9" t="n"/>
      <c r="D1366" s="9" t="n"/>
      <c r="E1366" s="9" t="n"/>
      <c r="F1366" s="9">
        <f>IF(E1366="","",DATEDIF(E1366,DATE(2026,12,31),"Y"))</f>
        <v/>
      </c>
      <c r="G1366" s="9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  <c r="R1366" s="9" t="n"/>
      <c r="S1366" s="9" t="n"/>
      <c r="T1366" s="9" t="n"/>
      <c r="U1366" s="9" t="n"/>
      <c r="V1366" s="9" t="n"/>
      <c r="W1366" s="9" t="n"/>
      <c r="X1366" s="9" t="n"/>
      <c r="Y1366" s="9" t="n"/>
      <c r="Z1366" s="9" t="n"/>
    </row>
    <row r="1367" ht="14.25" customHeight="1" s="37">
      <c r="A1367" s="9">
        <f>IF(C1367="","","UM"&amp;TEXT(ROW()-1,"00000"))</f>
        <v/>
      </c>
      <c r="B1367" s="9" t="n"/>
      <c r="C1367" s="9" t="n"/>
      <c r="D1367" s="9" t="n"/>
      <c r="E1367" s="9" t="n"/>
      <c r="F1367" s="9">
        <f>IF(E1367="","",DATEDIF(E1367,DATE(2026,12,31),"Y"))</f>
        <v/>
      </c>
      <c r="G1367" s="9" t="n"/>
      <c r="H1367" s="9" t="n"/>
      <c r="I1367" s="9" t="n"/>
      <c r="J1367" s="9" t="n"/>
      <c r="K1367" s="9" t="n"/>
      <c r="L1367" s="9" t="n"/>
      <c r="M1367" s="9" t="n"/>
      <c r="N1367" s="9" t="n"/>
      <c r="O1367" s="9" t="n"/>
      <c r="P1367" s="9" t="n"/>
      <c r="Q1367" s="9" t="n"/>
      <c r="R1367" s="9" t="n"/>
      <c r="S1367" s="9" t="n"/>
      <c r="T1367" s="9" t="n"/>
      <c r="U1367" s="9" t="n"/>
      <c r="V1367" s="9" t="n"/>
      <c r="W1367" s="9" t="n"/>
      <c r="X1367" s="9" t="n"/>
      <c r="Y1367" s="9" t="n"/>
      <c r="Z1367" s="9" t="n"/>
    </row>
    <row r="1368" ht="14.25" customHeight="1" s="37">
      <c r="A1368" s="9">
        <f>IF(C1368="","","UM"&amp;TEXT(ROW()-1,"00000"))</f>
        <v/>
      </c>
      <c r="B1368" s="9" t="n"/>
      <c r="C1368" s="9" t="n"/>
      <c r="D1368" s="9" t="n"/>
      <c r="E1368" s="9" t="n"/>
      <c r="F1368" s="9">
        <f>IF(E1368="","",DATEDIF(E1368,DATE(2026,12,31),"Y"))</f>
        <v/>
      </c>
      <c r="G1368" s="9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  <c r="R1368" s="9" t="n"/>
      <c r="S1368" s="9" t="n"/>
      <c r="T1368" s="9" t="n"/>
      <c r="U1368" s="9" t="n"/>
      <c r="V1368" s="9" t="n"/>
      <c r="W1368" s="9" t="n"/>
      <c r="X1368" s="9" t="n"/>
      <c r="Y1368" s="9" t="n"/>
      <c r="Z1368" s="9" t="n"/>
    </row>
    <row r="1369" ht="14.25" customHeight="1" s="37">
      <c r="A1369" s="9">
        <f>IF(C1369="","","UM"&amp;TEXT(ROW()-1,"00000"))</f>
        <v/>
      </c>
      <c r="B1369" s="9" t="n"/>
      <c r="C1369" s="9" t="n"/>
      <c r="D1369" s="9" t="n"/>
      <c r="E1369" s="9" t="n"/>
      <c r="F1369" s="9">
        <f>IF(E1369="","",DATEDIF(E1369,DATE(2026,12,31),"Y"))</f>
        <v/>
      </c>
      <c r="G1369" s="9" t="n"/>
      <c r="H1369" s="9" t="n"/>
      <c r="I1369" s="9" t="n"/>
      <c r="J1369" s="9" t="n"/>
      <c r="K1369" s="9" t="n"/>
      <c r="L1369" s="9" t="n"/>
      <c r="M1369" s="9" t="n"/>
      <c r="N1369" s="9" t="n"/>
      <c r="O1369" s="9" t="n"/>
      <c r="P1369" s="9" t="n"/>
      <c r="Q1369" s="9" t="n"/>
      <c r="R1369" s="9" t="n"/>
      <c r="S1369" s="9" t="n"/>
      <c r="T1369" s="9" t="n"/>
      <c r="U1369" s="9" t="n"/>
      <c r="V1369" s="9" t="n"/>
      <c r="W1369" s="9" t="n"/>
      <c r="X1369" s="9" t="n"/>
      <c r="Y1369" s="9" t="n"/>
      <c r="Z1369" s="9" t="n"/>
    </row>
    <row r="1370" ht="14.25" customHeight="1" s="37">
      <c r="A1370" s="9">
        <f>IF(C1370="","","UM"&amp;TEXT(ROW()-1,"00000"))</f>
        <v/>
      </c>
      <c r="B1370" s="9" t="n"/>
      <c r="C1370" s="9" t="n"/>
      <c r="D1370" s="9" t="n"/>
      <c r="E1370" s="9" t="n"/>
      <c r="F1370" s="9">
        <f>IF(E1370="","",DATEDIF(E1370,DATE(2026,12,31),"Y"))</f>
        <v/>
      </c>
      <c r="G1370" s="9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  <c r="R1370" s="9" t="n"/>
      <c r="S1370" s="9" t="n"/>
      <c r="T1370" s="9" t="n"/>
      <c r="U1370" s="9" t="n"/>
      <c r="V1370" s="9" t="n"/>
      <c r="W1370" s="9" t="n"/>
      <c r="X1370" s="9" t="n"/>
      <c r="Y1370" s="9" t="n"/>
      <c r="Z1370" s="9" t="n"/>
    </row>
    <row r="1371" ht="14.25" customHeight="1" s="37">
      <c r="A1371" s="9">
        <f>IF(C1371="","","UM"&amp;TEXT(ROW()-1,"00000"))</f>
        <v/>
      </c>
      <c r="B1371" s="9" t="n"/>
      <c r="C1371" s="9" t="n"/>
      <c r="D1371" s="9" t="n"/>
      <c r="E1371" s="9" t="n"/>
      <c r="F1371" s="9">
        <f>IF(E1371="","",DATEDIF(E1371,DATE(2026,12,31),"Y"))</f>
        <v/>
      </c>
      <c r="G1371" s="9" t="n"/>
      <c r="H1371" s="9" t="n"/>
      <c r="I1371" s="9" t="n"/>
      <c r="J1371" s="9" t="n"/>
      <c r="K1371" s="9" t="n"/>
      <c r="L1371" s="9" t="n"/>
      <c r="M1371" s="9" t="n"/>
      <c r="N1371" s="9" t="n"/>
      <c r="O1371" s="9" t="n"/>
      <c r="P1371" s="9" t="n"/>
      <c r="Q1371" s="9" t="n"/>
      <c r="R1371" s="9" t="n"/>
      <c r="S1371" s="9" t="n"/>
      <c r="T1371" s="9" t="n"/>
      <c r="U1371" s="9" t="n"/>
      <c r="V1371" s="9" t="n"/>
      <c r="W1371" s="9" t="n"/>
      <c r="X1371" s="9" t="n"/>
      <c r="Y1371" s="9" t="n"/>
      <c r="Z1371" s="9" t="n"/>
    </row>
    <row r="1372" ht="14.25" customHeight="1" s="37">
      <c r="A1372" s="9">
        <f>IF(C1372="","","UM"&amp;TEXT(ROW()-1,"00000"))</f>
        <v/>
      </c>
      <c r="B1372" s="9" t="n"/>
      <c r="C1372" s="9" t="n"/>
      <c r="D1372" s="9" t="n"/>
      <c r="E1372" s="9" t="n"/>
      <c r="F1372" s="9">
        <f>IF(E1372="","",DATEDIF(E1372,DATE(2026,12,31),"Y"))</f>
        <v/>
      </c>
      <c r="G1372" s="9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  <c r="R1372" s="9" t="n"/>
      <c r="S1372" s="9" t="n"/>
      <c r="T1372" s="9" t="n"/>
      <c r="U1372" s="9" t="n"/>
      <c r="V1372" s="9" t="n"/>
      <c r="W1372" s="9" t="n"/>
      <c r="X1372" s="9" t="n"/>
      <c r="Y1372" s="9" t="n"/>
      <c r="Z1372" s="9" t="n"/>
    </row>
    <row r="1373" ht="14.25" customHeight="1" s="37">
      <c r="A1373" s="9">
        <f>IF(C1373="","","UM"&amp;TEXT(ROW()-1,"00000"))</f>
        <v/>
      </c>
      <c r="B1373" s="9" t="n"/>
      <c r="C1373" s="9" t="n"/>
      <c r="D1373" s="9" t="n"/>
      <c r="E1373" s="9" t="n"/>
      <c r="F1373" s="9">
        <f>IF(E1373="","",DATEDIF(E1373,DATE(2026,12,31),"Y"))</f>
        <v/>
      </c>
      <c r="G1373" s="9" t="n"/>
      <c r="H1373" s="9" t="n"/>
      <c r="I1373" s="9" t="n"/>
      <c r="J1373" s="9" t="n"/>
      <c r="K1373" s="9" t="n"/>
      <c r="L1373" s="9" t="n"/>
      <c r="M1373" s="9" t="n"/>
      <c r="N1373" s="9" t="n"/>
      <c r="O1373" s="9" t="n"/>
      <c r="P1373" s="9" t="n"/>
      <c r="Q1373" s="9" t="n"/>
      <c r="R1373" s="9" t="n"/>
      <c r="S1373" s="9" t="n"/>
      <c r="T1373" s="9" t="n"/>
      <c r="U1373" s="9" t="n"/>
      <c r="V1373" s="9" t="n"/>
      <c r="W1373" s="9" t="n"/>
      <c r="X1373" s="9" t="n"/>
      <c r="Y1373" s="9" t="n"/>
      <c r="Z1373" s="9" t="n"/>
    </row>
    <row r="1374" ht="14.25" customHeight="1" s="37">
      <c r="A1374" s="9">
        <f>IF(C1374="","","UM"&amp;TEXT(ROW()-1,"00000"))</f>
        <v/>
      </c>
      <c r="B1374" s="9" t="n"/>
      <c r="C1374" s="9" t="n"/>
      <c r="D1374" s="9" t="n"/>
      <c r="E1374" s="9" t="n"/>
      <c r="F1374" s="9">
        <f>IF(E1374="","",DATEDIF(E1374,DATE(2026,12,31),"Y"))</f>
        <v/>
      </c>
      <c r="G1374" s="9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  <c r="R1374" s="9" t="n"/>
      <c r="S1374" s="9" t="n"/>
      <c r="T1374" s="9" t="n"/>
      <c r="U1374" s="9" t="n"/>
      <c r="V1374" s="9" t="n"/>
      <c r="W1374" s="9" t="n"/>
      <c r="X1374" s="9" t="n"/>
      <c r="Y1374" s="9" t="n"/>
      <c r="Z1374" s="9" t="n"/>
    </row>
    <row r="1375" ht="14.25" customHeight="1" s="37">
      <c r="A1375" s="9">
        <f>IF(C1375="","","UM"&amp;TEXT(ROW()-1,"00000"))</f>
        <v/>
      </c>
      <c r="B1375" s="9" t="n"/>
      <c r="C1375" s="9" t="n"/>
      <c r="D1375" s="9" t="n"/>
      <c r="E1375" s="9" t="n"/>
      <c r="F1375" s="9">
        <f>IF(E1375="","",DATEDIF(E1375,DATE(2026,12,31),"Y"))</f>
        <v/>
      </c>
      <c r="G1375" s="9" t="n"/>
      <c r="H1375" s="9" t="n"/>
      <c r="I1375" s="9" t="n"/>
      <c r="J1375" s="9" t="n"/>
      <c r="K1375" s="9" t="n"/>
      <c r="L1375" s="9" t="n"/>
      <c r="M1375" s="9" t="n"/>
      <c r="N1375" s="9" t="n"/>
      <c r="O1375" s="9" t="n"/>
      <c r="P1375" s="9" t="n"/>
      <c r="Q1375" s="9" t="n"/>
      <c r="R1375" s="9" t="n"/>
      <c r="S1375" s="9" t="n"/>
      <c r="T1375" s="9" t="n"/>
      <c r="U1375" s="9" t="n"/>
      <c r="V1375" s="9" t="n"/>
      <c r="W1375" s="9" t="n"/>
      <c r="X1375" s="9" t="n"/>
      <c r="Y1375" s="9" t="n"/>
      <c r="Z1375" s="9" t="n"/>
    </row>
    <row r="1376" ht="14.25" customHeight="1" s="37">
      <c r="A1376" s="9">
        <f>IF(C1376="","","UM"&amp;TEXT(ROW()-1,"00000"))</f>
        <v/>
      </c>
      <c r="B1376" s="9" t="n"/>
      <c r="C1376" s="9" t="n"/>
      <c r="D1376" s="9" t="n"/>
      <c r="E1376" s="9" t="n"/>
      <c r="F1376" s="9">
        <f>IF(E1376="","",DATEDIF(E1376,DATE(2026,12,31),"Y"))</f>
        <v/>
      </c>
      <c r="G1376" s="9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  <c r="R1376" s="9" t="n"/>
      <c r="S1376" s="9" t="n"/>
      <c r="T1376" s="9" t="n"/>
      <c r="U1376" s="9" t="n"/>
      <c r="V1376" s="9" t="n"/>
      <c r="W1376" s="9" t="n"/>
      <c r="X1376" s="9" t="n"/>
      <c r="Y1376" s="9" t="n"/>
      <c r="Z1376" s="9" t="n"/>
    </row>
    <row r="1377" ht="14.25" customHeight="1" s="37">
      <c r="A1377" s="9">
        <f>IF(C1377="","","UM"&amp;TEXT(ROW()-1,"00000"))</f>
        <v/>
      </c>
      <c r="B1377" s="9" t="n"/>
      <c r="C1377" s="9" t="n"/>
      <c r="D1377" s="9" t="n"/>
      <c r="E1377" s="9" t="n"/>
      <c r="F1377" s="9">
        <f>IF(E1377="","",DATEDIF(E1377,DATE(2026,12,31),"Y"))</f>
        <v/>
      </c>
      <c r="G1377" s="9" t="n"/>
      <c r="H1377" s="9" t="n"/>
      <c r="I1377" s="9" t="n"/>
      <c r="J1377" s="9" t="n"/>
      <c r="K1377" s="9" t="n"/>
      <c r="L1377" s="9" t="n"/>
      <c r="M1377" s="9" t="n"/>
      <c r="N1377" s="9" t="n"/>
      <c r="O1377" s="9" t="n"/>
      <c r="P1377" s="9" t="n"/>
      <c r="Q1377" s="9" t="n"/>
      <c r="R1377" s="9" t="n"/>
      <c r="S1377" s="9" t="n"/>
      <c r="T1377" s="9" t="n"/>
      <c r="U1377" s="9" t="n"/>
      <c r="V1377" s="9" t="n"/>
      <c r="W1377" s="9" t="n"/>
      <c r="X1377" s="9" t="n"/>
      <c r="Y1377" s="9" t="n"/>
      <c r="Z1377" s="9" t="n"/>
    </row>
    <row r="1378" ht="14.25" customHeight="1" s="37">
      <c r="A1378" s="9">
        <f>IF(C1378="","","UM"&amp;TEXT(ROW()-1,"00000"))</f>
        <v/>
      </c>
      <c r="B1378" s="9" t="n"/>
      <c r="C1378" s="9" t="n"/>
      <c r="D1378" s="9" t="n"/>
      <c r="E1378" s="9" t="n"/>
      <c r="F1378" s="9">
        <f>IF(E1378="","",DATEDIF(E1378,DATE(2026,12,31),"Y"))</f>
        <v/>
      </c>
      <c r="G1378" s="9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  <c r="R1378" s="9" t="n"/>
      <c r="S1378" s="9" t="n"/>
      <c r="T1378" s="9" t="n"/>
      <c r="U1378" s="9" t="n"/>
      <c r="V1378" s="9" t="n"/>
      <c r="W1378" s="9" t="n"/>
      <c r="X1378" s="9" t="n"/>
      <c r="Y1378" s="9" t="n"/>
      <c r="Z1378" s="9" t="n"/>
    </row>
    <row r="1379" ht="14.25" customHeight="1" s="37">
      <c r="A1379" s="9">
        <f>IF(C1379="","","UM"&amp;TEXT(ROW()-1,"00000"))</f>
        <v/>
      </c>
      <c r="B1379" s="9" t="n"/>
      <c r="C1379" s="9" t="n"/>
      <c r="D1379" s="9" t="n"/>
      <c r="E1379" s="9" t="n"/>
      <c r="F1379" s="9">
        <f>IF(E1379="","",DATEDIF(E1379,DATE(2026,12,31),"Y"))</f>
        <v/>
      </c>
      <c r="G1379" s="9" t="n"/>
      <c r="H1379" s="9" t="n"/>
      <c r="I1379" s="9" t="n"/>
      <c r="J1379" s="9" t="n"/>
      <c r="K1379" s="9" t="n"/>
      <c r="L1379" s="9" t="n"/>
      <c r="M1379" s="9" t="n"/>
      <c r="N1379" s="9" t="n"/>
      <c r="O1379" s="9" t="n"/>
      <c r="P1379" s="9" t="n"/>
      <c r="Q1379" s="9" t="n"/>
      <c r="R1379" s="9" t="n"/>
      <c r="S1379" s="9" t="n"/>
      <c r="T1379" s="9" t="n"/>
      <c r="U1379" s="9" t="n"/>
      <c r="V1379" s="9" t="n"/>
      <c r="W1379" s="9" t="n"/>
      <c r="X1379" s="9" t="n"/>
      <c r="Y1379" s="9" t="n"/>
      <c r="Z1379" s="9" t="n"/>
    </row>
    <row r="1380" ht="14.25" customHeight="1" s="37">
      <c r="A1380" s="9">
        <f>IF(C1380="","","UM"&amp;TEXT(ROW()-1,"00000"))</f>
        <v/>
      </c>
      <c r="B1380" s="9" t="n"/>
      <c r="C1380" s="9" t="n"/>
      <c r="D1380" s="9" t="n"/>
      <c r="E1380" s="9" t="n"/>
      <c r="F1380" s="9">
        <f>IF(E1380="","",DATEDIF(E1380,DATE(2026,12,31),"Y"))</f>
        <v/>
      </c>
      <c r="G1380" s="9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  <c r="R1380" s="9" t="n"/>
      <c r="S1380" s="9" t="n"/>
      <c r="T1380" s="9" t="n"/>
      <c r="U1380" s="9" t="n"/>
      <c r="V1380" s="9" t="n"/>
      <c r="W1380" s="9" t="n"/>
      <c r="X1380" s="9" t="n"/>
      <c r="Y1380" s="9" t="n"/>
      <c r="Z1380" s="9" t="n"/>
    </row>
    <row r="1381" ht="14.25" customHeight="1" s="37">
      <c r="A1381" s="9">
        <f>IF(C1381="","","UM"&amp;TEXT(ROW()-1,"00000"))</f>
        <v/>
      </c>
      <c r="B1381" s="9" t="n"/>
      <c r="C1381" s="9" t="n"/>
      <c r="D1381" s="9" t="n"/>
      <c r="E1381" s="9" t="n"/>
      <c r="F1381" s="9">
        <f>IF(E1381="","",DATEDIF(E1381,DATE(2026,12,31),"Y"))</f>
        <v/>
      </c>
      <c r="G1381" s="9" t="n"/>
      <c r="H1381" s="9" t="n"/>
      <c r="I1381" s="9" t="n"/>
      <c r="J1381" s="9" t="n"/>
      <c r="K1381" s="9" t="n"/>
      <c r="L1381" s="9" t="n"/>
      <c r="M1381" s="9" t="n"/>
      <c r="N1381" s="9" t="n"/>
      <c r="O1381" s="9" t="n"/>
      <c r="P1381" s="9" t="n"/>
      <c r="Q1381" s="9" t="n"/>
      <c r="R1381" s="9" t="n"/>
      <c r="S1381" s="9" t="n"/>
      <c r="T1381" s="9" t="n"/>
      <c r="U1381" s="9" t="n"/>
      <c r="V1381" s="9" t="n"/>
      <c r="W1381" s="9" t="n"/>
      <c r="X1381" s="9" t="n"/>
      <c r="Y1381" s="9" t="n"/>
      <c r="Z1381" s="9" t="n"/>
    </row>
    <row r="1382" ht="14.25" customHeight="1" s="37">
      <c r="A1382" s="9">
        <f>IF(C1382="","","UM"&amp;TEXT(ROW()-1,"00000"))</f>
        <v/>
      </c>
      <c r="B1382" s="9" t="n"/>
      <c r="C1382" s="9" t="n"/>
      <c r="D1382" s="9" t="n"/>
      <c r="E1382" s="9" t="n"/>
      <c r="F1382" s="9">
        <f>IF(E1382="","",DATEDIF(E1382,DATE(2026,12,31),"Y"))</f>
        <v/>
      </c>
      <c r="G1382" s="9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  <c r="R1382" s="9" t="n"/>
      <c r="S1382" s="9" t="n"/>
      <c r="T1382" s="9" t="n"/>
      <c r="U1382" s="9" t="n"/>
      <c r="V1382" s="9" t="n"/>
      <c r="W1382" s="9" t="n"/>
      <c r="X1382" s="9" t="n"/>
      <c r="Y1382" s="9" t="n"/>
      <c r="Z1382" s="9" t="n"/>
    </row>
    <row r="1383" ht="14.25" customHeight="1" s="37">
      <c r="A1383" s="9">
        <f>IF(C1383="","","UM"&amp;TEXT(ROW()-1,"00000"))</f>
        <v/>
      </c>
      <c r="B1383" s="9" t="n"/>
      <c r="C1383" s="9" t="n"/>
      <c r="D1383" s="9" t="n"/>
      <c r="E1383" s="9" t="n"/>
      <c r="F1383" s="9">
        <f>IF(E1383="","",DATEDIF(E1383,DATE(2026,12,31),"Y"))</f>
        <v/>
      </c>
      <c r="G1383" s="9" t="n"/>
      <c r="H1383" s="9" t="n"/>
      <c r="I1383" s="9" t="n"/>
      <c r="J1383" s="9" t="n"/>
      <c r="K1383" s="9" t="n"/>
      <c r="L1383" s="9" t="n"/>
      <c r="M1383" s="9" t="n"/>
      <c r="N1383" s="9" t="n"/>
      <c r="O1383" s="9" t="n"/>
      <c r="P1383" s="9" t="n"/>
      <c r="Q1383" s="9" t="n"/>
      <c r="R1383" s="9" t="n"/>
      <c r="S1383" s="9" t="n"/>
      <c r="T1383" s="9" t="n"/>
      <c r="U1383" s="9" t="n"/>
      <c r="V1383" s="9" t="n"/>
      <c r="W1383" s="9" t="n"/>
      <c r="X1383" s="9" t="n"/>
      <c r="Y1383" s="9" t="n"/>
      <c r="Z1383" s="9" t="n"/>
    </row>
    <row r="1384" ht="14.25" customHeight="1" s="37">
      <c r="A1384" s="9">
        <f>IF(C1384="","","UM"&amp;TEXT(ROW()-1,"00000"))</f>
        <v/>
      </c>
      <c r="B1384" s="9" t="n"/>
      <c r="C1384" s="9" t="n"/>
      <c r="D1384" s="9" t="n"/>
      <c r="E1384" s="9" t="n"/>
      <c r="F1384" s="9">
        <f>IF(E1384="","",DATEDIF(E1384,DATE(2026,12,31),"Y"))</f>
        <v/>
      </c>
      <c r="G1384" s="9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  <c r="R1384" s="9" t="n"/>
      <c r="S1384" s="9" t="n"/>
      <c r="T1384" s="9" t="n"/>
      <c r="U1384" s="9" t="n"/>
      <c r="V1384" s="9" t="n"/>
      <c r="W1384" s="9" t="n"/>
      <c r="X1384" s="9" t="n"/>
      <c r="Y1384" s="9" t="n"/>
      <c r="Z1384" s="9" t="n"/>
    </row>
    <row r="1385" ht="14.25" customHeight="1" s="37">
      <c r="A1385" s="9">
        <f>IF(C1385="","","UM"&amp;TEXT(ROW()-1,"00000"))</f>
        <v/>
      </c>
      <c r="B1385" s="9" t="n"/>
      <c r="C1385" s="9" t="n"/>
      <c r="D1385" s="9" t="n"/>
      <c r="E1385" s="9" t="n"/>
      <c r="F1385" s="9">
        <f>IF(E1385="","",DATEDIF(E1385,DATE(2026,12,31),"Y"))</f>
        <v/>
      </c>
      <c r="G1385" s="9" t="n"/>
      <c r="H1385" s="9" t="n"/>
      <c r="I1385" s="9" t="n"/>
      <c r="J1385" s="9" t="n"/>
      <c r="K1385" s="9" t="n"/>
      <c r="L1385" s="9" t="n"/>
      <c r="M1385" s="9" t="n"/>
      <c r="N1385" s="9" t="n"/>
      <c r="O1385" s="9" t="n"/>
      <c r="P1385" s="9" t="n"/>
      <c r="Q1385" s="9" t="n"/>
      <c r="R1385" s="9" t="n"/>
      <c r="S1385" s="9" t="n"/>
      <c r="T1385" s="9" t="n"/>
      <c r="U1385" s="9" t="n"/>
      <c r="V1385" s="9" t="n"/>
      <c r="W1385" s="9" t="n"/>
      <c r="X1385" s="9" t="n"/>
      <c r="Y1385" s="9" t="n"/>
      <c r="Z1385" s="9" t="n"/>
    </row>
    <row r="1386" ht="14.25" customHeight="1" s="37">
      <c r="A1386" s="9">
        <f>IF(C1386="","","UM"&amp;TEXT(ROW()-1,"00000"))</f>
        <v/>
      </c>
      <c r="B1386" s="9" t="n"/>
      <c r="C1386" s="9" t="n"/>
      <c r="D1386" s="9" t="n"/>
      <c r="E1386" s="9" t="n"/>
      <c r="F1386" s="9">
        <f>IF(E1386="","",DATEDIF(E1386,DATE(2026,12,31),"Y"))</f>
        <v/>
      </c>
      <c r="G1386" s="9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  <c r="R1386" s="9" t="n"/>
      <c r="S1386" s="9" t="n"/>
      <c r="T1386" s="9" t="n"/>
      <c r="U1386" s="9" t="n"/>
      <c r="V1386" s="9" t="n"/>
      <c r="W1386" s="9" t="n"/>
      <c r="X1386" s="9" t="n"/>
      <c r="Y1386" s="9" t="n"/>
      <c r="Z1386" s="9" t="n"/>
    </row>
    <row r="1387" ht="14.25" customHeight="1" s="37">
      <c r="A1387" s="9">
        <f>IF(C1387="","","UM"&amp;TEXT(ROW()-1,"00000"))</f>
        <v/>
      </c>
      <c r="B1387" s="9" t="n"/>
      <c r="C1387" s="9" t="n"/>
      <c r="D1387" s="9" t="n"/>
      <c r="E1387" s="9" t="n"/>
      <c r="F1387" s="9">
        <f>IF(E1387="","",DATEDIF(E1387,DATE(2026,12,31),"Y"))</f>
        <v/>
      </c>
      <c r="G1387" s="9" t="n"/>
      <c r="H1387" s="9" t="n"/>
      <c r="I1387" s="9" t="n"/>
      <c r="J1387" s="9" t="n"/>
      <c r="K1387" s="9" t="n"/>
      <c r="L1387" s="9" t="n"/>
      <c r="M1387" s="9" t="n"/>
      <c r="N1387" s="9" t="n"/>
      <c r="O1387" s="9" t="n"/>
      <c r="P1387" s="9" t="n"/>
      <c r="Q1387" s="9" t="n"/>
      <c r="R1387" s="9" t="n"/>
      <c r="S1387" s="9" t="n"/>
      <c r="T1387" s="9" t="n"/>
      <c r="U1387" s="9" t="n"/>
      <c r="V1387" s="9" t="n"/>
      <c r="W1387" s="9" t="n"/>
      <c r="X1387" s="9" t="n"/>
      <c r="Y1387" s="9" t="n"/>
      <c r="Z1387" s="9" t="n"/>
    </row>
    <row r="1388" ht="14.25" customHeight="1" s="37">
      <c r="A1388" s="9">
        <f>IF(C1388="","","UM"&amp;TEXT(ROW()-1,"00000"))</f>
        <v/>
      </c>
      <c r="B1388" s="9" t="n"/>
      <c r="C1388" s="9" t="n"/>
      <c r="D1388" s="9" t="n"/>
      <c r="E1388" s="9" t="n"/>
      <c r="F1388" s="9">
        <f>IF(E1388="","",DATEDIF(E1388,DATE(2026,12,31),"Y"))</f>
        <v/>
      </c>
      <c r="G1388" s="9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  <c r="R1388" s="9" t="n"/>
      <c r="S1388" s="9" t="n"/>
      <c r="T1388" s="9" t="n"/>
      <c r="U1388" s="9" t="n"/>
      <c r="V1388" s="9" t="n"/>
      <c r="W1388" s="9" t="n"/>
      <c r="X1388" s="9" t="n"/>
      <c r="Y1388" s="9" t="n"/>
      <c r="Z1388" s="9" t="n"/>
    </row>
    <row r="1389" ht="14.25" customHeight="1" s="37">
      <c r="A1389" s="9">
        <f>IF(C1389="","","UM"&amp;TEXT(ROW()-1,"00000"))</f>
        <v/>
      </c>
      <c r="B1389" s="9" t="n"/>
      <c r="C1389" s="9" t="n"/>
      <c r="D1389" s="9" t="n"/>
      <c r="E1389" s="9" t="n"/>
      <c r="F1389" s="9">
        <f>IF(E1389="","",DATEDIF(E1389,DATE(2026,12,31),"Y"))</f>
        <v/>
      </c>
      <c r="G1389" s="9" t="n"/>
      <c r="H1389" s="9" t="n"/>
      <c r="I1389" s="9" t="n"/>
      <c r="J1389" s="9" t="n"/>
      <c r="K1389" s="9" t="n"/>
      <c r="L1389" s="9" t="n"/>
      <c r="M1389" s="9" t="n"/>
      <c r="N1389" s="9" t="n"/>
      <c r="O1389" s="9" t="n"/>
      <c r="P1389" s="9" t="n"/>
      <c r="Q1389" s="9" t="n"/>
      <c r="R1389" s="9" t="n"/>
      <c r="S1389" s="9" t="n"/>
      <c r="T1389" s="9" t="n"/>
      <c r="U1389" s="9" t="n"/>
      <c r="V1389" s="9" t="n"/>
      <c r="W1389" s="9" t="n"/>
      <c r="X1389" s="9" t="n"/>
      <c r="Y1389" s="9" t="n"/>
      <c r="Z1389" s="9" t="n"/>
    </row>
    <row r="1390" ht="14.25" customHeight="1" s="37">
      <c r="A1390" s="9">
        <f>IF(C1390="","","UM"&amp;TEXT(ROW()-1,"00000"))</f>
        <v/>
      </c>
      <c r="B1390" s="9" t="n"/>
      <c r="C1390" s="9" t="n"/>
      <c r="D1390" s="9" t="n"/>
      <c r="E1390" s="9" t="n"/>
      <c r="F1390" s="9">
        <f>IF(E1390="","",DATEDIF(E1390,DATE(2026,12,31),"Y"))</f>
        <v/>
      </c>
      <c r="G1390" s="9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  <c r="R1390" s="9" t="n"/>
      <c r="S1390" s="9" t="n"/>
      <c r="T1390" s="9" t="n"/>
      <c r="U1390" s="9" t="n"/>
      <c r="V1390" s="9" t="n"/>
      <c r="W1390" s="9" t="n"/>
      <c r="X1390" s="9" t="n"/>
      <c r="Y1390" s="9" t="n"/>
      <c r="Z1390" s="9" t="n"/>
    </row>
    <row r="1391" ht="14.25" customHeight="1" s="37">
      <c r="A1391" s="9">
        <f>IF(C1391="","","UM"&amp;TEXT(ROW()-1,"00000"))</f>
        <v/>
      </c>
      <c r="B1391" s="9" t="n"/>
      <c r="C1391" s="9" t="n"/>
      <c r="D1391" s="9" t="n"/>
      <c r="E1391" s="9" t="n"/>
      <c r="F1391" s="9">
        <f>IF(E1391="","",DATEDIF(E1391,DATE(2026,12,31),"Y"))</f>
        <v/>
      </c>
      <c r="G1391" s="9" t="n"/>
      <c r="H1391" s="9" t="n"/>
      <c r="I1391" s="9" t="n"/>
      <c r="J1391" s="9" t="n"/>
      <c r="K1391" s="9" t="n"/>
      <c r="L1391" s="9" t="n"/>
      <c r="M1391" s="9" t="n"/>
      <c r="N1391" s="9" t="n"/>
      <c r="O1391" s="9" t="n"/>
      <c r="P1391" s="9" t="n"/>
      <c r="Q1391" s="9" t="n"/>
      <c r="R1391" s="9" t="n"/>
      <c r="S1391" s="9" t="n"/>
      <c r="T1391" s="9" t="n"/>
      <c r="U1391" s="9" t="n"/>
      <c r="V1391" s="9" t="n"/>
      <c r="W1391" s="9" t="n"/>
      <c r="X1391" s="9" t="n"/>
      <c r="Y1391" s="9" t="n"/>
      <c r="Z1391" s="9" t="n"/>
    </row>
    <row r="1392" ht="14.25" customHeight="1" s="37">
      <c r="A1392" s="9">
        <f>IF(C1392="","","UM"&amp;TEXT(ROW()-1,"00000"))</f>
        <v/>
      </c>
      <c r="B1392" s="9" t="n"/>
      <c r="C1392" s="9" t="n"/>
      <c r="D1392" s="9" t="n"/>
      <c r="E1392" s="9" t="n"/>
      <c r="F1392" s="9">
        <f>IF(E1392="","",DATEDIF(E1392,DATE(2026,12,31),"Y"))</f>
        <v/>
      </c>
      <c r="G1392" s="9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  <c r="R1392" s="9" t="n"/>
      <c r="S1392" s="9" t="n"/>
      <c r="T1392" s="9" t="n"/>
      <c r="U1392" s="9" t="n"/>
      <c r="V1392" s="9" t="n"/>
      <c r="W1392" s="9" t="n"/>
      <c r="X1392" s="9" t="n"/>
      <c r="Y1392" s="9" t="n"/>
      <c r="Z1392" s="9" t="n"/>
    </row>
    <row r="1393" ht="14.25" customHeight="1" s="37">
      <c r="A1393" s="9">
        <f>IF(C1393="","","UM"&amp;TEXT(ROW()-1,"00000"))</f>
        <v/>
      </c>
      <c r="B1393" s="9" t="n"/>
      <c r="C1393" s="9" t="n"/>
      <c r="D1393" s="9" t="n"/>
      <c r="E1393" s="9" t="n"/>
      <c r="F1393" s="9">
        <f>IF(E1393="","",DATEDIF(E1393,DATE(2026,12,31),"Y"))</f>
        <v/>
      </c>
      <c r="G1393" s="9" t="n"/>
      <c r="H1393" s="9" t="n"/>
      <c r="I1393" s="9" t="n"/>
      <c r="J1393" s="9" t="n"/>
      <c r="K1393" s="9" t="n"/>
      <c r="L1393" s="9" t="n"/>
      <c r="M1393" s="9" t="n"/>
      <c r="N1393" s="9" t="n"/>
      <c r="O1393" s="9" t="n"/>
      <c r="P1393" s="9" t="n"/>
      <c r="Q1393" s="9" t="n"/>
      <c r="R1393" s="9" t="n"/>
      <c r="S1393" s="9" t="n"/>
      <c r="T1393" s="9" t="n"/>
      <c r="U1393" s="9" t="n"/>
      <c r="V1393" s="9" t="n"/>
      <c r="W1393" s="9" t="n"/>
      <c r="X1393" s="9" t="n"/>
      <c r="Y1393" s="9" t="n"/>
      <c r="Z1393" s="9" t="n"/>
    </row>
    <row r="1394" ht="14.25" customHeight="1" s="37">
      <c r="A1394" s="9">
        <f>IF(C1394="","","UM"&amp;TEXT(ROW()-1,"00000"))</f>
        <v/>
      </c>
      <c r="B1394" s="9" t="n"/>
      <c r="C1394" s="9" t="n"/>
      <c r="D1394" s="9" t="n"/>
      <c r="E1394" s="9" t="n"/>
      <c r="F1394" s="9">
        <f>IF(E1394="","",DATEDIF(E1394,DATE(2026,12,31),"Y"))</f>
        <v/>
      </c>
      <c r="G1394" s="9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  <c r="R1394" s="9" t="n"/>
      <c r="S1394" s="9" t="n"/>
      <c r="T1394" s="9" t="n"/>
      <c r="U1394" s="9" t="n"/>
      <c r="V1394" s="9" t="n"/>
      <c r="W1394" s="9" t="n"/>
      <c r="X1394" s="9" t="n"/>
      <c r="Y1394" s="9" t="n"/>
      <c r="Z1394" s="9" t="n"/>
    </row>
    <row r="1395" ht="14.25" customHeight="1" s="37">
      <c r="A1395" s="9">
        <f>IF(C1395="","","UM"&amp;TEXT(ROW()-1,"00000"))</f>
        <v/>
      </c>
      <c r="B1395" s="9" t="n"/>
      <c r="C1395" s="9" t="n"/>
      <c r="D1395" s="9" t="n"/>
      <c r="E1395" s="9" t="n"/>
      <c r="F1395" s="9">
        <f>IF(E1395="","",DATEDIF(E1395,DATE(2026,12,31),"Y"))</f>
        <v/>
      </c>
      <c r="G1395" s="9" t="n"/>
      <c r="H1395" s="9" t="n"/>
      <c r="I1395" s="9" t="n"/>
      <c r="J1395" s="9" t="n"/>
      <c r="K1395" s="9" t="n"/>
      <c r="L1395" s="9" t="n"/>
      <c r="M1395" s="9" t="n"/>
      <c r="N1395" s="9" t="n"/>
      <c r="O1395" s="9" t="n"/>
      <c r="P1395" s="9" t="n"/>
      <c r="Q1395" s="9" t="n"/>
      <c r="R1395" s="9" t="n"/>
      <c r="S1395" s="9" t="n"/>
      <c r="T1395" s="9" t="n"/>
      <c r="U1395" s="9" t="n"/>
      <c r="V1395" s="9" t="n"/>
      <c r="W1395" s="9" t="n"/>
      <c r="X1395" s="9" t="n"/>
      <c r="Y1395" s="9" t="n"/>
      <c r="Z1395" s="9" t="n"/>
    </row>
    <row r="1396" ht="14.25" customHeight="1" s="37">
      <c r="A1396" s="9">
        <f>IF(C1396="","","UM"&amp;TEXT(ROW()-1,"00000"))</f>
        <v/>
      </c>
      <c r="B1396" s="9" t="n"/>
      <c r="C1396" s="9" t="n"/>
      <c r="D1396" s="9" t="n"/>
      <c r="E1396" s="9" t="n"/>
      <c r="F1396" s="9">
        <f>IF(E1396="","",DATEDIF(E1396,DATE(2026,12,31),"Y"))</f>
        <v/>
      </c>
      <c r="G1396" s="9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  <c r="R1396" s="9" t="n"/>
      <c r="S1396" s="9" t="n"/>
      <c r="T1396" s="9" t="n"/>
      <c r="U1396" s="9" t="n"/>
      <c r="V1396" s="9" t="n"/>
      <c r="W1396" s="9" t="n"/>
      <c r="X1396" s="9" t="n"/>
      <c r="Y1396" s="9" t="n"/>
      <c r="Z1396" s="9" t="n"/>
    </row>
    <row r="1397" ht="14.25" customHeight="1" s="37">
      <c r="A1397" s="9">
        <f>IF(C1397="","","UM"&amp;TEXT(ROW()-1,"00000"))</f>
        <v/>
      </c>
      <c r="B1397" s="9" t="n"/>
      <c r="C1397" s="9" t="n"/>
      <c r="D1397" s="9" t="n"/>
      <c r="E1397" s="9" t="n"/>
      <c r="F1397" s="9">
        <f>IF(E1397="","",DATEDIF(E1397,DATE(2026,12,31),"Y"))</f>
        <v/>
      </c>
      <c r="G1397" s="9" t="n"/>
      <c r="H1397" s="9" t="n"/>
      <c r="I1397" s="9" t="n"/>
      <c r="J1397" s="9" t="n"/>
      <c r="K1397" s="9" t="n"/>
      <c r="L1397" s="9" t="n"/>
      <c r="M1397" s="9" t="n"/>
      <c r="N1397" s="9" t="n"/>
      <c r="O1397" s="9" t="n"/>
      <c r="P1397" s="9" t="n"/>
      <c r="Q1397" s="9" t="n"/>
      <c r="R1397" s="9" t="n"/>
      <c r="S1397" s="9" t="n"/>
      <c r="T1397" s="9" t="n"/>
      <c r="U1397" s="9" t="n"/>
      <c r="V1397" s="9" t="n"/>
      <c r="W1397" s="9" t="n"/>
      <c r="X1397" s="9" t="n"/>
      <c r="Y1397" s="9" t="n"/>
      <c r="Z1397" s="9" t="n"/>
    </row>
    <row r="1398" ht="14.25" customHeight="1" s="37">
      <c r="A1398" s="9">
        <f>IF(C1398="","","UM"&amp;TEXT(ROW()-1,"00000"))</f>
        <v/>
      </c>
      <c r="B1398" s="9" t="n"/>
      <c r="C1398" s="9" t="n"/>
      <c r="D1398" s="9" t="n"/>
      <c r="E1398" s="9" t="n"/>
      <c r="F1398" s="9">
        <f>IF(E1398="","",DATEDIF(E1398,DATE(2026,12,31),"Y"))</f>
        <v/>
      </c>
      <c r="G1398" s="9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  <c r="R1398" s="9" t="n"/>
      <c r="S1398" s="9" t="n"/>
      <c r="T1398" s="9" t="n"/>
      <c r="U1398" s="9" t="n"/>
      <c r="V1398" s="9" t="n"/>
      <c r="W1398" s="9" t="n"/>
      <c r="X1398" s="9" t="n"/>
      <c r="Y1398" s="9" t="n"/>
      <c r="Z1398" s="9" t="n"/>
    </row>
    <row r="1399" ht="14.25" customHeight="1" s="37">
      <c r="A1399" s="9">
        <f>IF(C1399="","","UM"&amp;TEXT(ROW()-1,"00000"))</f>
        <v/>
      </c>
      <c r="B1399" s="9" t="n"/>
      <c r="C1399" s="9" t="n"/>
      <c r="D1399" s="9" t="n"/>
      <c r="E1399" s="9" t="n"/>
      <c r="F1399" s="9">
        <f>IF(E1399="","",DATEDIF(E1399,DATE(2026,12,31),"Y"))</f>
        <v/>
      </c>
      <c r="G1399" s="9" t="n"/>
      <c r="H1399" s="9" t="n"/>
      <c r="I1399" s="9" t="n"/>
      <c r="J1399" s="9" t="n"/>
      <c r="K1399" s="9" t="n"/>
      <c r="L1399" s="9" t="n"/>
      <c r="M1399" s="9" t="n"/>
      <c r="N1399" s="9" t="n"/>
      <c r="O1399" s="9" t="n"/>
      <c r="P1399" s="9" t="n"/>
      <c r="Q1399" s="9" t="n"/>
      <c r="R1399" s="9" t="n"/>
      <c r="S1399" s="9" t="n"/>
      <c r="T1399" s="9" t="n"/>
      <c r="U1399" s="9" t="n"/>
      <c r="V1399" s="9" t="n"/>
      <c r="W1399" s="9" t="n"/>
      <c r="X1399" s="9" t="n"/>
      <c r="Y1399" s="9" t="n"/>
      <c r="Z1399" s="9" t="n"/>
    </row>
    <row r="1400" ht="14.25" customHeight="1" s="37">
      <c r="A1400" s="9">
        <f>IF(C1400="","","UM"&amp;TEXT(ROW()-1,"00000"))</f>
        <v/>
      </c>
      <c r="B1400" s="9" t="n"/>
      <c r="C1400" s="9" t="n"/>
      <c r="D1400" s="9" t="n"/>
      <c r="E1400" s="9" t="n"/>
      <c r="F1400" s="9">
        <f>IF(E1400="","",DATEDIF(E1400,DATE(2026,12,31),"Y"))</f>
        <v/>
      </c>
      <c r="G1400" s="9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  <c r="R1400" s="9" t="n"/>
      <c r="S1400" s="9" t="n"/>
      <c r="T1400" s="9" t="n"/>
      <c r="U1400" s="9" t="n"/>
      <c r="V1400" s="9" t="n"/>
      <c r="W1400" s="9" t="n"/>
      <c r="X1400" s="9" t="n"/>
      <c r="Y1400" s="9" t="n"/>
      <c r="Z1400" s="9" t="n"/>
    </row>
    <row r="1401" ht="14.25" customHeight="1" s="37">
      <c r="A1401" s="9">
        <f>IF(C1401="","","UM"&amp;TEXT(ROW()-1,"00000"))</f>
        <v/>
      </c>
      <c r="B1401" s="9" t="n"/>
      <c r="C1401" s="9" t="n"/>
      <c r="D1401" s="9" t="n"/>
      <c r="E1401" s="9" t="n"/>
      <c r="F1401" s="9">
        <f>IF(E1401="","",DATEDIF(E1401,DATE(2026,12,31),"Y"))</f>
        <v/>
      </c>
      <c r="G1401" s="9" t="n"/>
      <c r="H1401" s="9" t="n"/>
      <c r="I1401" s="9" t="n"/>
      <c r="J1401" s="9" t="n"/>
      <c r="K1401" s="9" t="n"/>
      <c r="L1401" s="9" t="n"/>
      <c r="M1401" s="9" t="n"/>
      <c r="N1401" s="9" t="n"/>
      <c r="O1401" s="9" t="n"/>
      <c r="P1401" s="9" t="n"/>
      <c r="Q1401" s="9" t="n"/>
      <c r="R1401" s="9" t="n"/>
      <c r="S1401" s="9" t="n"/>
      <c r="T1401" s="9" t="n"/>
      <c r="U1401" s="9" t="n"/>
      <c r="V1401" s="9" t="n"/>
      <c r="W1401" s="9" t="n"/>
      <c r="X1401" s="9" t="n"/>
      <c r="Y1401" s="9" t="n"/>
      <c r="Z1401" s="9" t="n"/>
    </row>
    <row r="1402" ht="14.25" customHeight="1" s="37">
      <c r="A1402" s="9">
        <f>IF(C1402="","","UM"&amp;TEXT(ROW()-1,"00000"))</f>
        <v/>
      </c>
      <c r="B1402" s="9" t="n"/>
      <c r="C1402" s="9" t="n"/>
      <c r="D1402" s="9" t="n"/>
      <c r="E1402" s="9" t="n"/>
      <c r="F1402" s="9">
        <f>IF(E1402="","",DATEDIF(E1402,DATE(2026,12,31),"Y"))</f>
        <v/>
      </c>
      <c r="G1402" s="9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  <c r="R1402" s="9" t="n"/>
      <c r="S1402" s="9" t="n"/>
      <c r="T1402" s="9" t="n"/>
      <c r="U1402" s="9" t="n"/>
      <c r="V1402" s="9" t="n"/>
      <c r="W1402" s="9" t="n"/>
      <c r="X1402" s="9" t="n"/>
      <c r="Y1402" s="9" t="n"/>
      <c r="Z1402" s="9" t="n"/>
    </row>
    <row r="1403" ht="14.25" customHeight="1" s="37">
      <c r="A1403" s="9">
        <f>IF(C1403="","","UM"&amp;TEXT(ROW()-1,"00000"))</f>
        <v/>
      </c>
      <c r="B1403" s="9" t="n"/>
      <c r="C1403" s="9" t="n"/>
      <c r="D1403" s="9" t="n"/>
      <c r="E1403" s="9" t="n"/>
      <c r="F1403" s="9">
        <f>IF(E1403="","",DATEDIF(E1403,DATE(2026,12,31),"Y"))</f>
        <v/>
      </c>
      <c r="G1403" s="9" t="n"/>
      <c r="H1403" s="9" t="n"/>
      <c r="I1403" s="9" t="n"/>
      <c r="J1403" s="9" t="n"/>
      <c r="K1403" s="9" t="n"/>
      <c r="L1403" s="9" t="n"/>
      <c r="M1403" s="9" t="n"/>
      <c r="N1403" s="9" t="n"/>
      <c r="O1403" s="9" t="n"/>
      <c r="P1403" s="9" t="n"/>
      <c r="Q1403" s="9" t="n"/>
      <c r="R1403" s="9" t="n"/>
      <c r="S1403" s="9" t="n"/>
      <c r="T1403" s="9" t="n"/>
      <c r="U1403" s="9" t="n"/>
      <c r="V1403" s="9" t="n"/>
      <c r="W1403" s="9" t="n"/>
      <c r="X1403" s="9" t="n"/>
      <c r="Y1403" s="9" t="n"/>
      <c r="Z1403" s="9" t="n"/>
    </row>
    <row r="1404" ht="14.25" customHeight="1" s="37">
      <c r="A1404" s="9">
        <f>IF(C1404="","","UM"&amp;TEXT(ROW()-1,"00000"))</f>
        <v/>
      </c>
      <c r="B1404" s="9" t="n"/>
      <c r="C1404" s="9" t="n"/>
      <c r="D1404" s="9" t="n"/>
      <c r="E1404" s="9" t="n"/>
      <c r="F1404" s="9">
        <f>IF(E1404="","",DATEDIF(E1404,DATE(2026,12,31),"Y"))</f>
        <v/>
      </c>
      <c r="G1404" s="9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  <c r="R1404" s="9" t="n"/>
      <c r="S1404" s="9" t="n"/>
      <c r="T1404" s="9" t="n"/>
      <c r="U1404" s="9" t="n"/>
      <c r="V1404" s="9" t="n"/>
      <c r="W1404" s="9" t="n"/>
      <c r="X1404" s="9" t="n"/>
      <c r="Y1404" s="9" t="n"/>
      <c r="Z1404" s="9" t="n"/>
    </row>
    <row r="1405" ht="14.25" customHeight="1" s="37">
      <c r="A1405" s="9">
        <f>IF(C1405="","","UM"&amp;TEXT(ROW()-1,"00000"))</f>
        <v/>
      </c>
      <c r="B1405" s="9" t="n"/>
      <c r="C1405" s="9" t="n"/>
      <c r="D1405" s="9" t="n"/>
      <c r="E1405" s="9" t="n"/>
      <c r="F1405" s="9">
        <f>IF(E1405="","",DATEDIF(E1405,DATE(2026,12,31),"Y"))</f>
        <v/>
      </c>
      <c r="G1405" s="9" t="n"/>
      <c r="H1405" s="9" t="n"/>
      <c r="I1405" s="9" t="n"/>
      <c r="J1405" s="9" t="n"/>
      <c r="K1405" s="9" t="n"/>
      <c r="L1405" s="9" t="n"/>
      <c r="M1405" s="9" t="n"/>
      <c r="N1405" s="9" t="n"/>
      <c r="O1405" s="9" t="n"/>
      <c r="P1405" s="9" t="n"/>
      <c r="Q1405" s="9" t="n"/>
      <c r="R1405" s="9" t="n"/>
      <c r="S1405" s="9" t="n"/>
      <c r="T1405" s="9" t="n"/>
      <c r="U1405" s="9" t="n"/>
      <c r="V1405" s="9" t="n"/>
      <c r="W1405" s="9" t="n"/>
      <c r="X1405" s="9" t="n"/>
      <c r="Y1405" s="9" t="n"/>
      <c r="Z1405" s="9" t="n"/>
    </row>
    <row r="1406" ht="14.25" customHeight="1" s="37">
      <c r="A1406" s="9">
        <f>IF(C1406="","","UM"&amp;TEXT(ROW()-1,"00000"))</f>
        <v/>
      </c>
      <c r="B1406" s="9" t="n"/>
      <c r="C1406" s="9" t="n"/>
      <c r="D1406" s="9" t="n"/>
      <c r="E1406" s="9" t="n"/>
      <c r="F1406" s="9">
        <f>IF(E1406="","",DATEDIF(E1406,DATE(2026,12,31),"Y"))</f>
        <v/>
      </c>
      <c r="G1406" s="9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  <c r="R1406" s="9" t="n"/>
      <c r="S1406" s="9" t="n"/>
      <c r="T1406" s="9" t="n"/>
      <c r="U1406" s="9" t="n"/>
      <c r="V1406" s="9" t="n"/>
      <c r="W1406" s="9" t="n"/>
      <c r="X1406" s="9" t="n"/>
      <c r="Y1406" s="9" t="n"/>
      <c r="Z1406" s="9" t="n"/>
    </row>
    <row r="1407" ht="14.25" customHeight="1" s="37">
      <c r="A1407" s="9">
        <f>IF(C1407="","","UM"&amp;TEXT(ROW()-1,"00000"))</f>
        <v/>
      </c>
      <c r="B1407" s="9" t="n"/>
      <c r="C1407" s="9" t="n"/>
      <c r="D1407" s="9" t="n"/>
      <c r="E1407" s="9" t="n"/>
      <c r="F1407" s="9">
        <f>IF(E1407="","",DATEDIF(E1407,DATE(2026,12,31),"Y"))</f>
        <v/>
      </c>
      <c r="G1407" s="9" t="n"/>
      <c r="H1407" s="9" t="n"/>
      <c r="I1407" s="9" t="n"/>
      <c r="J1407" s="9" t="n"/>
      <c r="K1407" s="9" t="n"/>
      <c r="L1407" s="9" t="n"/>
      <c r="M1407" s="9" t="n"/>
      <c r="N1407" s="9" t="n"/>
      <c r="O1407" s="9" t="n"/>
      <c r="P1407" s="9" t="n"/>
      <c r="Q1407" s="9" t="n"/>
      <c r="R1407" s="9" t="n"/>
      <c r="S1407" s="9" t="n"/>
      <c r="T1407" s="9" t="n"/>
      <c r="U1407" s="9" t="n"/>
      <c r="V1407" s="9" t="n"/>
      <c r="W1407" s="9" t="n"/>
      <c r="X1407" s="9" t="n"/>
      <c r="Y1407" s="9" t="n"/>
      <c r="Z1407" s="9" t="n"/>
    </row>
    <row r="1408" ht="14.25" customHeight="1" s="37">
      <c r="A1408" s="9">
        <f>IF(C1408="","","UM"&amp;TEXT(ROW()-1,"00000"))</f>
        <v/>
      </c>
      <c r="B1408" s="9" t="n"/>
      <c r="C1408" s="9" t="n"/>
      <c r="D1408" s="9" t="n"/>
      <c r="E1408" s="9" t="n"/>
      <c r="F1408" s="9">
        <f>IF(E1408="","",DATEDIF(E1408,DATE(2026,12,31),"Y"))</f>
        <v/>
      </c>
      <c r="G1408" s="9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  <c r="R1408" s="9" t="n"/>
      <c r="S1408" s="9" t="n"/>
      <c r="T1408" s="9" t="n"/>
      <c r="U1408" s="9" t="n"/>
      <c r="V1408" s="9" t="n"/>
      <c r="W1408" s="9" t="n"/>
      <c r="X1408" s="9" t="n"/>
      <c r="Y1408" s="9" t="n"/>
      <c r="Z1408" s="9" t="n"/>
    </row>
    <row r="1409" ht="14.25" customHeight="1" s="37">
      <c r="A1409" s="9">
        <f>IF(C1409="","","UM"&amp;TEXT(ROW()-1,"00000"))</f>
        <v/>
      </c>
      <c r="B1409" s="9" t="n"/>
      <c r="C1409" s="9" t="n"/>
      <c r="D1409" s="9" t="n"/>
      <c r="E1409" s="9" t="n"/>
      <c r="F1409" s="9">
        <f>IF(E1409="","",DATEDIF(E1409,DATE(2026,12,31),"Y"))</f>
        <v/>
      </c>
      <c r="G1409" s="9" t="n"/>
      <c r="H1409" s="9" t="n"/>
      <c r="I1409" s="9" t="n"/>
      <c r="J1409" s="9" t="n"/>
      <c r="K1409" s="9" t="n"/>
      <c r="L1409" s="9" t="n"/>
      <c r="M1409" s="9" t="n"/>
      <c r="N1409" s="9" t="n"/>
      <c r="O1409" s="9" t="n"/>
      <c r="P1409" s="9" t="n"/>
      <c r="Q1409" s="9" t="n"/>
      <c r="R1409" s="9" t="n"/>
      <c r="S1409" s="9" t="n"/>
      <c r="T1409" s="9" t="n"/>
      <c r="U1409" s="9" t="n"/>
      <c r="V1409" s="9" t="n"/>
      <c r="W1409" s="9" t="n"/>
      <c r="X1409" s="9" t="n"/>
      <c r="Y1409" s="9" t="n"/>
      <c r="Z1409" s="9" t="n"/>
    </row>
    <row r="1410" ht="14.25" customHeight="1" s="37">
      <c r="A1410" s="9">
        <f>IF(C1410="","","UM"&amp;TEXT(ROW()-1,"00000"))</f>
        <v/>
      </c>
      <c r="B1410" s="9" t="n"/>
      <c r="C1410" s="9" t="n"/>
      <c r="D1410" s="9" t="n"/>
      <c r="E1410" s="9" t="n"/>
      <c r="F1410" s="9">
        <f>IF(E1410="","",DATEDIF(E1410,DATE(2026,12,31),"Y"))</f>
        <v/>
      </c>
      <c r="G1410" s="9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  <c r="R1410" s="9" t="n"/>
      <c r="S1410" s="9" t="n"/>
      <c r="T1410" s="9" t="n"/>
      <c r="U1410" s="9" t="n"/>
      <c r="V1410" s="9" t="n"/>
      <c r="W1410" s="9" t="n"/>
      <c r="X1410" s="9" t="n"/>
      <c r="Y1410" s="9" t="n"/>
      <c r="Z1410" s="9" t="n"/>
    </row>
    <row r="1411" ht="14.25" customHeight="1" s="37">
      <c r="A1411" s="9">
        <f>IF(C1411="","","UM"&amp;TEXT(ROW()-1,"00000"))</f>
        <v/>
      </c>
      <c r="B1411" s="9" t="n"/>
      <c r="C1411" s="9" t="n"/>
      <c r="D1411" s="9" t="n"/>
      <c r="E1411" s="9" t="n"/>
      <c r="F1411" s="9">
        <f>IF(E1411="","",DATEDIF(E1411,DATE(2026,12,31),"Y"))</f>
        <v/>
      </c>
      <c r="G1411" s="9" t="n"/>
      <c r="H1411" s="9" t="n"/>
      <c r="I1411" s="9" t="n"/>
      <c r="J1411" s="9" t="n"/>
      <c r="K1411" s="9" t="n"/>
      <c r="L1411" s="9" t="n"/>
      <c r="M1411" s="9" t="n"/>
      <c r="N1411" s="9" t="n"/>
      <c r="O1411" s="9" t="n"/>
      <c r="P1411" s="9" t="n"/>
      <c r="Q1411" s="9" t="n"/>
      <c r="R1411" s="9" t="n"/>
      <c r="S1411" s="9" t="n"/>
      <c r="T1411" s="9" t="n"/>
      <c r="U1411" s="9" t="n"/>
      <c r="V1411" s="9" t="n"/>
      <c r="W1411" s="9" t="n"/>
      <c r="X1411" s="9" t="n"/>
      <c r="Y1411" s="9" t="n"/>
      <c r="Z1411" s="9" t="n"/>
    </row>
    <row r="1412" ht="14.25" customHeight="1" s="37">
      <c r="A1412" s="9">
        <f>IF(C1412="","","UM"&amp;TEXT(ROW()-1,"00000"))</f>
        <v/>
      </c>
      <c r="B1412" s="9" t="n"/>
      <c r="C1412" s="9" t="n"/>
      <c r="D1412" s="9" t="n"/>
      <c r="E1412" s="9" t="n"/>
      <c r="F1412" s="9">
        <f>IF(E1412="","",DATEDIF(E1412,DATE(2026,12,31),"Y"))</f>
        <v/>
      </c>
      <c r="G1412" s="9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  <c r="R1412" s="9" t="n"/>
      <c r="S1412" s="9" t="n"/>
      <c r="T1412" s="9" t="n"/>
      <c r="U1412" s="9" t="n"/>
      <c r="V1412" s="9" t="n"/>
      <c r="W1412" s="9" t="n"/>
      <c r="X1412" s="9" t="n"/>
      <c r="Y1412" s="9" t="n"/>
      <c r="Z1412" s="9" t="n"/>
    </row>
    <row r="1413" ht="14.25" customHeight="1" s="37">
      <c r="A1413" s="9">
        <f>IF(C1413="","","UM"&amp;TEXT(ROW()-1,"00000"))</f>
        <v/>
      </c>
      <c r="B1413" s="9" t="n"/>
      <c r="C1413" s="9" t="n"/>
      <c r="D1413" s="9" t="n"/>
      <c r="E1413" s="9" t="n"/>
      <c r="F1413" s="9">
        <f>IF(E1413="","",DATEDIF(E1413,DATE(2026,12,31),"Y"))</f>
        <v/>
      </c>
      <c r="G1413" s="9" t="n"/>
      <c r="H1413" s="9" t="n"/>
      <c r="I1413" s="9" t="n"/>
      <c r="J1413" s="9" t="n"/>
      <c r="K1413" s="9" t="n"/>
      <c r="L1413" s="9" t="n"/>
      <c r="M1413" s="9" t="n"/>
      <c r="N1413" s="9" t="n"/>
      <c r="O1413" s="9" t="n"/>
      <c r="P1413" s="9" t="n"/>
      <c r="Q1413" s="9" t="n"/>
      <c r="R1413" s="9" t="n"/>
      <c r="S1413" s="9" t="n"/>
      <c r="T1413" s="9" t="n"/>
      <c r="U1413" s="9" t="n"/>
      <c r="V1413" s="9" t="n"/>
      <c r="W1413" s="9" t="n"/>
      <c r="X1413" s="9" t="n"/>
      <c r="Y1413" s="9" t="n"/>
      <c r="Z1413" s="9" t="n"/>
    </row>
    <row r="1414" ht="14.25" customHeight="1" s="37">
      <c r="A1414" s="9">
        <f>IF(C1414="","","UM"&amp;TEXT(ROW()-1,"00000"))</f>
        <v/>
      </c>
      <c r="B1414" s="9" t="n"/>
      <c r="C1414" s="9" t="n"/>
      <c r="D1414" s="9" t="n"/>
      <c r="E1414" s="9" t="n"/>
      <c r="F1414" s="9">
        <f>IF(E1414="","",DATEDIF(E1414,DATE(2026,12,31),"Y"))</f>
        <v/>
      </c>
      <c r="G1414" s="9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  <c r="R1414" s="9" t="n"/>
      <c r="S1414" s="9" t="n"/>
      <c r="T1414" s="9" t="n"/>
      <c r="U1414" s="9" t="n"/>
      <c r="V1414" s="9" t="n"/>
      <c r="W1414" s="9" t="n"/>
      <c r="X1414" s="9" t="n"/>
      <c r="Y1414" s="9" t="n"/>
      <c r="Z1414" s="9" t="n"/>
    </row>
    <row r="1415" ht="14.25" customHeight="1" s="37">
      <c r="A1415" s="9">
        <f>IF(C1415="","","UM"&amp;TEXT(ROW()-1,"00000"))</f>
        <v/>
      </c>
      <c r="B1415" s="9" t="n"/>
      <c r="C1415" s="9" t="n"/>
      <c r="D1415" s="9" t="n"/>
      <c r="E1415" s="9" t="n"/>
      <c r="F1415" s="9">
        <f>IF(E1415="","",DATEDIF(E1415,DATE(2026,12,31),"Y"))</f>
        <v/>
      </c>
      <c r="G1415" s="9" t="n"/>
      <c r="H1415" s="9" t="n"/>
      <c r="I1415" s="9" t="n"/>
      <c r="J1415" s="9" t="n"/>
      <c r="K1415" s="9" t="n"/>
      <c r="L1415" s="9" t="n"/>
      <c r="M1415" s="9" t="n"/>
      <c r="N1415" s="9" t="n"/>
      <c r="O1415" s="9" t="n"/>
      <c r="P1415" s="9" t="n"/>
      <c r="Q1415" s="9" t="n"/>
      <c r="R1415" s="9" t="n"/>
      <c r="S1415" s="9" t="n"/>
      <c r="T1415" s="9" t="n"/>
      <c r="U1415" s="9" t="n"/>
      <c r="V1415" s="9" t="n"/>
      <c r="W1415" s="9" t="n"/>
      <c r="X1415" s="9" t="n"/>
      <c r="Y1415" s="9" t="n"/>
      <c r="Z1415" s="9" t="n"/>
    </row>
    <row r="1416" ht="14.25" customHeight="1" s="37">
      <c r="A1416" s="9">
        <f>IF(C1416="","","UM"&amp;TEXT(ROW()-1,"00000"))</f>
        <v/>
      </c>
      <c r="B1416" s="9" t="n"/>
      <c r="C1416" s="9" t="n"/>
      <c r="D1416" s="9" t="n"/>
      <c r="E1416" s="9" t="n"/>
      <c r="F1416" s="9">
        <f>IF(E1416="","",DATEDIF(E1416,DATE(2026,12,31),"Y"))</f>
        <v/>
      </c>
      <c r="G1416" s="9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  <c r="R1416" s="9" t="n"/>
      <c r="S1416" s="9" t="n"/>
      <c r="T1416" s="9" t="n"/>
      <c r="U1416" s="9" t="n"/>
      <c r="V1416" s="9" t="n"/>
      <c r="W1416" s="9" t="n"/>
      <c r="X1416" s="9" t="n"/>
      <c r="Y1416" s="9" t="n"/>
      <c r="Z1416" s="9" t="n"/>
    </row>
    <row r="1417" ht="14.25" customHeight="1" s="37">
      <c r="A1417" s="9">
        <f>IF(C1417="","","UM"&amp;TEXT(ROW()-1,"00000"))</f>
        <v/>
      </c>
      <c r="B1417" s="9" t="n"/>
      <c r="C1417" s="9" t="n"/>
      <c r="D1417" s="9" t="n"/>
      <c r="E1417" s="9" t="n"/>
      <c r="F1417" s="9">
        <f>IF(E1417="","",DATEDIF(E1417,DATE(2026,12,31),"Y"))</f>
        <v/>
      </c>
      <c r="G1417" s="9" t="n"/>
      <c r="H1417" s="9" t="n"/>
      <c r="I1417" s="9" t="n"/>
      <c r="J1417" s="9" t="n"/>
      <c r="K1417" s="9" t="n"/>
      <c r="L1417" s="9" t="n"/>
      <c r="M1417" s="9" t="n"/>
      <c r="N1417" s="9" t="n"/>
      <c r="O1417" s="9" t="n"/>
      <c r="P1417" s="9" t="n"/>
      <c r="Q1417" s="9" t="n"/>
      <c r="R1417" s="9" t="n"/>
      <c r="S1417" s="9" t="n"/>
      <c r="T1417" s="9" t="n"/>
      <c r="U1417" s="9" t="n"/>
      <c r="V1417" s="9" t="n"/>
      <c r="W1417" s="9" t="n"/>
      <c r="X1417" s="9" t="n"/>
      <c r="Y1417" s="9" t="n"/>
      <c r="Z1417" s="9" t="n"/>
    </row>
    <row r="1418" ht="14.25" customHeight="1" s="37">
      <c r="A1418" s="9">
        <f>IF(C1418="","","UM"&amp;TEXT(ROW()-1,"00000"))</f>
        <v/>
      </c>
      <c r="B1418" s="9" t="n"/>
      <c r="C1418" s="9" t="n"/>
      <c r="D1418" s="9" t="n"/>
      <c r="E1418" s="9" t="n"/>
      <c r="F1418" s="9">
        <f>IF(E1418="","",DATEDIF(E1418,DATE(2026,12,31),"Y"))</f>
        <v/>
      </c>
      <c r="G1418" s="9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  <c r="R1418" s="9" t="n"/>
      <c r="S1418" s="9" t="n"/>
      <c r="T1418" s="9" t="n"/>
      <c r="U1418" s="9" t="n"/>
      <c r="V1418" s="9" t="n"/>
      <c r="W1418" s="9" t="n"/>
      <c r="X1418" s="9" t="n"/>
      <c r="Y1418" s="9" t="n"/>
      <c r="Z1418" s="9" t="n"/>
    </row>
    <row r="1419" ht="14.25" customHeight="1" s="37">
      <c r="A1419" s="9">
        <f>IF(C1419="","","UM"&amp;TEXT(ROW()-1,"00000"))</f>
        <v/>
      </c>
      <c r="B1419" s="9" t="n"/>
      <c r="C1419" s="9" t="n"/>
      <c r="D1419" s="9" t="n"/>
      <c r="E1419" s="9" t="n"/>
      <c r="F1419" s="9">
        <f>IF(E1419="","",DATEDIF(E1419,DATE(2026,12,31),"Y"))</f>
        <v/>
      </c>
      <c r="G1419" s="9" t="n"/>
      <c r="H1419" s="9" t="n"/>
      <c r="I1419" s="9" t="n"/>
      <c r="J1419" s="9" t="n"/>
      <c r="K1419" s="9" t="n"/>
      <c r="L1419" s="9" t="n"/>
      <c r="M1419" s="9" t="n"/>
      <c r="N1419" s="9" t="n"/>
      <c r="O1419" s="9" t="n"/>
      <c r="P1419" s="9" t="n"/>
      <c r="Q1419" s="9" t="n"/>
      <c r="R1419" s="9" t="n"/>
      <c r="S1419" s="9" t="n"/>
      <c r="T1419" s="9" t="n"/>
      <c r="U1419" s="9" t="n"/>
      <c r="V1419" s="9" t="n"/>
      <c r="W1419" s="9" t="n"/>
      <c r="X1419" s="9" t="n"/>
      <c r="Y1419" s="9" t="n"/>
      <c r="Z1419" s="9" t="n"/>
    </row>
    <row r="1420" ht="14.25" customHeight="1" s="37">
      <c r="A1420" s="9">
        <f>IF(C1420="","","UM"&amp;TEXT(ROW()-1,"00000"))</f>
        <v/>
      </c>
      <c r="B1420" s="9" t="n"/>
      <c r="C1420" s="9" t="n"/>
      <c r="D1420" s="9" t="n"/>
      <c r="E1420" s="9" t="n"/>
      <c r="F1420" s="9">
        <f>IF(E1420="","",DATEDIF(E1420,DATE(2026,12,31),"Y"))</f>
        <v/>
      </c>
      <c r="G1420" s="9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  <c r="R1420" s="9" t="n"/>
      <c r="S1420" s="9" t="n"/>
      <c r="T1420" s="9" t="n"/>
      <c r="U1420" s="9" t="n"/>
      <c r="V1420" s="9" t="n"/>
      <c r="W1420" s="9" t="n"/>
      <c r="X1420" s="9" t="n"/>
      <c r="Y1420" s="9" t="n"/>
      <c r="Z1420" s="9" t="n"/>
    </row>
    <row r="1421" ht="14.25" customHeight="1" s="37">
      <c r="A1421" s="9">
        <f>IF(C1421="","","UM"&amp;TEXT(ROW()-1,"00000"))</f>
        <v/>
      </c>
      <c r="B1421" s="9" t="n"/>
      <c r="C1421" s="9" t="n"/>
      <c r="D1421" s="9" t="n"/>
      <c r="E1421" s="9" t="n"/>
      <c r="F1421" s="9">
        <f>IF(E1421="","",DATEDIF(E1421,DATE(2026,12,31),"Y"))</f>
        <v/>
      </c>
      <c r="G1421" s="9" t="n"/>
      <c r="H1421" s="9" t="n"/>
      <c r="I1421" s="9" t="n"/>
      <c r="J1421" s="9" t="n"/>
      <c r="K1421" s="9" t="n"/>
      <c r="L1421" s="9" t="n"/>
      <c r="M1421" s="9" t="n"/>
      <c r="N1421" s="9" t="n"/>
      <c r="O1421" s="9" t="n"/>
      <c r="P1421" s="9" t="n"/>
      <c r="Q1421" s="9" t="n"/>
      <c r="R1421" s="9" t="n"/>
      <c r="S1421" s="9" t="n"/>
      <c r="T1421" s="9" t="n"/>
      <c r="U1421" s="9" t="n"/>
      <c r="V1421" s="9" t="n"/>
      <c r="W1421" s="9" t="n"/>
      <c r="X1421" s="9" t="n"/>
      <c r="Y1421" s="9" t="n"/>
      <c r="Z1421" s="9" t="n"/>
    </row>
    <row r="1422" ht="14.25" customHeight="1" s="37">
      <c r="A1422" s="9">
        <f>IF(C1422="","","UM"&amp;TEXT(ROW()-1,"00000"))</f>
        <v/>
      </c>
      <c r="B1422" s="9" t="n"/>
      <c r="C1422" s="9" t="n"/>
      <c r="D1422" s="9" t="n"/>
      <c r="E1422" s="9" t="n"/>
      <c r="F1422" s="9">
        <f>IF(E1422="","",DATEDIF(E1422,DATE(2026,12,31),"Y"))</f>
        <v/>
      </c>
      <c r="G1422" s="9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  <c r="R1422" s="9" t="n"/>
      <c r="S1422" s="9" t="n"/>
      <c r="T1422" s="9" t="n"/>
      <c r="U1422" s="9" t="n"/>
      <c r="V1422" s="9" t="n"/>
      <c r="W1422" s="9" t="n"/>
      <c r="X1422" s="9" t="n"/>
      <c r="Y1422" s="9" t="n"/>
      <c r="Z1422" s="9" t="n"/>
    </row>
    <row r="1423" ht="14.25" customHeight="1" s="37">
      <c r="A1423" s="9">
        <f>IF(C1423="","","UM"&amp;TEXT(ROW()-1,"00000"))</f>
        <v/>
      </c>
      <c r="B1423" s="9" t="n"/>
      <c r="C1423" s="9" t="n"/>
      <c r="D1423" s="9" t="n"/>
      <c r="E1423" s="9" t="n"/>
      <c r="F1423" s="9">
        <f>IF(E1423="","",DATEDIF(E1423,DATE(2026,12,31),"Y"))</f>
        <v/>
      </c>
      <c r="G1423" s="9" t="n"/>
      <c r="H1423" s="9" t="n"/>
      <c r="I1423" s="9" t="n"/>
      <c r="J1423" s="9" t="n"/>
      <c r="K1423" s="9" t="n"/>
      <c r="L1423" s="9" t="n"/>
      <c r="M1423" s="9" t="n"/>
      <c r="N1423" s="9" t="n"/>
      <c r="O1423" s="9" t="n"/>
      <c r="P1423" s="9" t="n"/>
      <c r="Q1423" s="9" t="n"/>
      <c r="R1423" s="9" t="n"/>
      <c r="S1423" s="9" t="n"/>
      <c r="T1423" s="9" t="n"/>
      <c r="U1423" s="9" t="n"/>
      <c r="V1423" s="9" t="n"/>
      <c r="W1423" s="9" t="n"/>
      <c r="X1423" s="9" t="n"/>
      <c r="Y1423" s="9" t="n"/>
      <c r="Z1423" s="9" t="n"/>
    </row>
    <row r="1424" ht="14.25" customHeight="1" s="37">
      <c r="A1424" s="9">
        <f>IF(C1424="","","UM"&amp;TEXT(ROW()-1,"00000"))</f>
        <v/>
      </c>
      <c r="B1424" s="9" t="n"/>
      <c r="C1424" s="9" t="n"/>
      <c r="D1424" s="9" t="n"/>
      <c r="E1424" s="9" t="n"/>
      <c r="F1424" s="9">
        <f>IF(E1424="","",DATEDIF(E1424,DATE(2026,12,31),"Y"))</f>
        <v/>
      </c>
      <c r="G1424" s="9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  <c r="R1424" s="9" t="n"/>
      <c r="S1424" s="9" t="n"/>
      <c r="T1424" s="9" t="n"/>
      <c r="U1424" s="9" t="n"/>
      <c r="V1424" s="9" t="n"/>
      <c r="W1424" s="9" t="n"/>
      <c r="X1424" s="9" t="n"/>
      <c r="Y1424" s="9" t="n"/>
      <c r="Z1424" s="9" t="n"/>
    </row>
    <row r="1425" ht="14.25" customHeight="1" s="37">
      <c r="A1425" s="9">
        <f>IF(C1425="","","UM"&amp;TEXT(ROW()-1,"00000"))</f>
        <v/>
      </c>
      <c r="B1425" s="9" t="n"/>
      <c r="C1425" s="9" t="n"/>
      <c r="D1425" s="9" t="n"/>
      <c r="E1425" s="9" t="n"/>
      <c r="F1425" s="9">
        <f>IF(E1425="","",DATEDIF(E1425,DATE(2026,12,31),"Y"))</f>
        <v/>
      </c>
      <c r="G1425" s="9" t="n"/>
      <c r="H1425" s="9" t="n"/>
      <c r="I1425" s="9" t="n"/>
      <c r="J1425" s="9" t="n"/>
      <c r="K1425" s="9" t="n"/>
      <c r="L1425" s="9" t="n"/>
      <c r="M1425" s="9" t="n"/>
      <c r="N1425" s="9" t="n"/>
      <c r="O1425" s="9" t="n"/>
      <c r="P1425" s="9" t="n"/>
      <c r="Q1425" s="9" t="n"/>
      <c r="R1425" s="9" t="n"/>
      <c r="S1425" s="9" t="n"/>
      <c r="T1425" s="9" t="n"/>
      <c r="U1425" s="9" t="n"/>
      <c r="V1425" s="9" t="n"/>
      <c r="W1425" s="9" t="n"/>
      <c r="X1425" s="9" t="n"/>
      <c r="Y1425" s="9" t="n"/>
      <c r="Z1425" s="9" t="n"/>
    </row>
    <row r="1426" ht="14.25" customHeight="1" s="37">
      <c r="A1426" s="9">
        <f>IF(C1426="","","UM"&amp;TEXT(ROW()-1,"00000"))</f>
        <v/>
      </c>
      <c r="B1426" s="9" t="n"/>
      <c r="C1426" s="9" t="n"/>
      <c r="D1426" s="9" t="n"/>
      <c r="E1426" s="9" t="n"/>
      <c r="F1426" s="9">
        <f>IF(E1426="","",DATEDIF(E1426,DATE(2026,12,31),"Y"))</f>
        <v/>
      </c>
      <c r="G1426" s="9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  <c r="R1426" s="9" t="n"/>
      <c r="S1426" s="9" t="n"/>
      <c r="T1426" s="9" t="n"/>
      <c r="U1426" s="9" t="n"/>
      <c r="V1426" s="9" t="n"/>
      <c r="W1426" s="9" t="n"/>
      <c r="X1426" s="9" t="n"/>
      <c r="Y1426" s="9" t="n"/>
      <c r="Z1426" s="9" t="n"/>
    </row>
    <row r="1427" ht="14.25" customHeight="1" s="37">
      <c r="A1427" s="9">
        <f>IF(C1427="","","UM"&amp;TEXT(ROW()-1,"00000"))</f>
        <v/>
      </c>
      <c r="B1427" s="9" t="n"/>
      <c r="C1427" s="9" t="n"/>
      <c r="D1427" s="9" t="n"/>
      <c r="E1427" s="9" t="n"/>
      <c r="F1427" s="9">
        <f>IF(E1427="","",DATEDIF(E1427,DATE(2026,12,31),"Y"))</f>
        <v/>
      </c>
      <c r="G1427" s="9" t="n"/>
      <c r="H1427" s="9" t="n"/>
      <c r="I1427" s="9" t="n"/>
      <c r="J1427" s="9" t="n"/>
      <c r="K1427" s="9" t="n"/>
      <c r="L1427" s="9" t="n"/>
      <c r="M1427" s="9" t="n"/>
      <c r="N1427" s="9" t="n"/>
      <c r="O1427" s="9" t="n"/>
      <c r="P1427" s="9" t="n"/>
      <c r="Q1427" s="9" t="n"/>
      <c r="R1427" s="9" t="n"/>
      <c r="S1427" s="9" t="n"/>
      <c r="T1427" s="9" t="n"/>
      <c r="U1427" s="9" t="n"/>
      <c r="V1427" s="9" t="n"/>
      <c r="W1427" s="9" t="n"/>
      <c r="X1427" s="9" t="n"/>
      <c r="Y1427" s="9" t="n"/>
      <c r="Z1427" s="9" t="n"/>
    </row>
    <row r="1428" ht="14.25" customHeight="1" s="37">
      <c r="A1428" s="9">
        <f>IF(C1428="","","UM"&amp;TEXT(ROW()-1,"00000"))</f>
        <v/>
      </c>
      <c r="B1428" s="9" t="n"/>
      <c r="C1428" s="9" t="n"/>
      <c r="D1428" s="9" t="n"/>
      <c r="E1428" s="9" t="n"/>
      <c r="F1428" s="9">
        <f>IF(E1428="","",DATEDIF(E1428,DATE(2026,12,31),"Y"))</f>
        <v/>
      </c>
      <c r="G1428" s="9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  <c r="R1428" s="9" t="n"/>
      <c r="S1428" s="9" t="n"/>
      <c r="T1428" s="9" t="n"/>
      <c r="U1428" s="9" t="n"/>
      <c r="V1428" s="9" t="n"/>
      <c r="W1428" s="9" t="n"/>
      <c r="X1428" s="9" t="n"/>
      <c r="Y1428" s="9" t="n"/>
      <c r="Z1428" s="9" t="n"/>
    </row>
    <row r="1429" ht="14.25" customHeight="1" s="37">
      <c r="A1429" s="9">
        <f>IF(C1429="","","UM"&amp;TEXT(ROW()-1,"00000"))</f>
        <v/>
      </c>
      <c r="B1429" s="9" t="n"/>
      <c r="C1429" s="9" t="n"/>
      <c r="D1429" s="9" t="n"/>
      <c r="E1429" s="9" t="n"/>
      <c r="F1429" s="9">
        <f>IF(E1429="","",DATEDIF(E1429,DATE(2026,12,31),"Y"))</f>
        <v/>
      </c>
      <c r="G1429" s="9" t="n"/>
      <c r="H1429" s="9" t="n"/>
      <c r="I1429" s="9" t="n"/>
      <c r="J1429" s="9" t="n"/>
      <c r="K1429" s="9" t="n"/>
      <c r="L1429" s="9" t="n"/>
      <c r="M1429" s="9" t="n"/>
      <c r="N1429" s="9" t="n"/>
      <c r="O1429" s="9" t="n"/>
      <c r="P1429" s="9" t="n"/>
      <c r="Q1429" s="9" t="n"/>
      <c r="R1429" s="9" t="n"/>
      <c r="S1429" s="9" t="n"/>
      <c r="T1429" s="9" t="n"/>
      <c r="U1429" s="9" t="n"/>
      <c r="V1429" s="9" t="n"/>
      <c r="W1429" s="9" t="n"/>
      <c r="X1429" s="9" t="n"/>
      <c r="Y1429" s="9" t="n"/>
      <c r="Z1429" s="9" t="n"/>
    </row>
    <row r="1430" ht="14.25" customHeight="1" s="37">
      <c r="A1430" s="9">
        <f>IF(C1430="","","UM"&amp;TEXT(ROW()-1,"00000"))</f>
        <v/>
      </c>
      <c r="B1430" s="9" t="n"/>
      <c r="C1430" s="9" t="n"/>
      <c r="D1430" s="9" t="n"/>
      <c r="E1430" s="9" t="n"/>
      <c r="F1430" s="9">
        <f>IF(E1430="","",DATEDIF(E1430,DATE(2026,12,31),"Y"))</f>
        <v/>
      </c>
      <c r="G1430" s="9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  <c r="R1430" s="9" t="n"/>
      <c r="S1430" s="9" t="n"/>
      <c r="T1430" s="9" t="n"/>
      <c r="U1430" s="9" t="n"/>
      <c r="V1430" s="9" t="n"/>
      <c r="W1430" s="9" t="n"/>
      <c r="X1430" s="9" t="n"/>
      <c r="Y1430" s="9" t="n"/>
      <c r="Z1430" s="9" t="n"/>
    </row>
    <row r="1431" ht="14.25" customHeight="1" s="37">
      <c r="A1431" s="9">
        <f>IF(C1431="","","UM"&amp;TEXT(ROW()-1,"00000"))</f>
        <v/>
      </c>
      <c r="B1431" s="9" t="n"/>
      <c r="C1431" s="9" t="n"/>
      <c r="D1431" s="9" t="n"/>
      <c r="E1431" s="9" t="n"/>
      <c r="F1431" s="9">
        <f>IF(E1431="","",DATEDIF(E1431,DATE(2026,12,31),"Y"))</f>
        <v/>
      </c>
      <c r="G1431" s="9" t="n"/>
      <c r="H1431" s="9" t="n"/>
      <c r="I1431" s="9" t="n"/>
      <c r="J1431" s="9" t="n"/>
      <c r="K1431" s="9" t="n"/>
      <c r="L1431" s="9" t="n"/>
      <c r="M1431" s="9" t="n"/>
      <c r="N1431" s="9" t="n"/>
      <c r="O1431" s="9" t="n"/>
      <c r="P1431" s="9" t="n"/>
      <c r="Q1431" s="9" t="n"/>
      <c r="R1431" s="9" t="n"/>
      <c r="S1431" s="9" t="n"/>
      <c r="T1431" s="9" t="n"/>
      <c r="U1431" s="9" t="n"/>
      <c r="V1431" s="9" t="n"/>
      <c r="W1431" s="9" t="n"/>
      <c r="X1431" s="9" t="n"/>
      <c r="Y1431" s="9" t="n"/>
      <c r="Z1431" s="9" t="n"/>
    </row>
    <row r="1432" ht="14.25" customHeight="1" s="37">
      <c r="A1432" s="9">
        <f>IF(C1432="","","UM"&amp;TEXT(ROW()-1,"00000"))</f>
        <v/>
      </c>
      <c r="B1432" s="9" t="n"/>
      <c r="C1432" s="9" t="n"/>
      <c r="D1432" s="9" t="n"/>
      <c r="E1432" s="9" t="n"/>
      <c r="F1432" s="9">
        <f>IF(E1432="","",DATEDIF(E1432,DATE(2026,12,31),"Y"))</f>
        <v/>
      </c>
      <c r="G1432" s="9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  <c r="R1432" s="9" t="n"/>
      <c r="S1432" s="9" t="n"/>
      <c r="T1432" s="9" t="n"/>
      <c r="U1432" s="9" t="n"/>
      <c r="V1432" s="9" t="n"/>
      <c r="W1432" s="9" t="n"/>
      <c r="X1432" s="9" t="n"/>
      <c r="Y1432" s="9" t="n"/>
      <c r="Z1432" s="9" t="n"/>
    </row>
    <row r="1433" ht="14.25" customHeight="1" s="37">
      <c r="A1433" s="9">
        <f>IF(C1433="","","UM"&amp;TEXT(ROW()-1,"00000"))</f>
        <v/>
      </c>
      <c r="B1433" s="9" t="n"/>
      <c r="C1433" s="9" t="n"/>
      <c r="D1433" s="9" t="n"/>
      <c r="E1433" s="9" t="n"/>
      <c r="F1433" s="9">
        <f>IF(E1433="","",DATEDIF(E1433,DATE(2026,12,31),"Y"))</f>
        <v/>
      </c>
      <c r="G1433" s="9" t="n"/>
      <c r="H1433" s="9" t="n"/>
      <c r="I1433" s="9" t="n"/>
      <c r="J1433" s="9" t="n"/>
      <c r="K1433" s="9" t="n"/>
      <c r="L1433" s="9" t="n"/>
      <c r="M1433" s="9" t="n"/>
      <c r="N1433" s="9" t="n"/>
      <c r="O1433" s="9" t="n"/>
      <c r="P1433" s="9" t="n"/>
      <c r="Q1433" s="9" t="n"/>
      <c r="R1433" s="9" t="n"/>
      <c r="S1433" s="9" t="n"/>
      <c r="T1433" s="9" t="n"/>
      <c r="U1433" s="9" t="n"/>
      <c r="V1433" s="9" t="n"/>
      <c r="W1433" s="9" t="n"/>
      <c r="X1433" s="9" t="n"/>
      <c r="Y1433" s="9" t="n"/>
      <c r="Z1433" s="9" t="n"/>
    </row>
    <row r="1434" ht="14.25" customHeight="1" s="37">
      <c r="A1434" s="9">
        <f>IF(C1434="","","UM"&amp;TEXT(ROW()-1,"00000"))</f>
        <v/>
      </c>
      <c r="B1434" s="9" t="n"/>
      <c r="C1434" s="9" t="n"/>
      <c r="D1434" s="9" t="n"/>
      <c r="E1434" s="9" t="n"/>
      <c r="F1434" s="9">
        <f>IF(E1434="","",DATEDIF(E1434,DATE(2026,12,31),"Y"))</f>
        <v/>
      </c>
      <c r="G1434" s="9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  <c r="R1434" s="9" t="n"/>
      <c r="S1434" s="9" t="n"/>
      <c r="T1434" s="9" t="n"/>
      <c r="U1434" s="9" t="n"/>
      <c r="V1434" s="9" t="n"/>
      <c r="W1434" s="9" t="n"/>
      <c r="X1434" s="9" t="n"/>
      <c r="Y1434" s="9" t="n"/>
      <c r="Z1434" s="9" t="n"/>
    </row>
    <row r="1435" ht="14.25" customHeight="1" s="37">
      <c r="A1435" s="9">
        <f>IF(C1435="","","UM"&amp;TEXT(ROW()-1,"00000"))</f>
        <v/>
      </c>
      <c r="B1435" s="9" t="n"/>
      <c r="C1435" s="9" t="n"/>
      <c r="D1435" s="9" t="n"/>
      <c r="E1435" s="9" t="n"/>
      <c r="F1435" s="9">
        <f>IF(E1435="","",DATEDIF(E1435,DATE(2026,12,31),"Y"))</f>
        <v/>
      </c>
      <c r="G1435" s="9" t="n"/>
      <c r="H1435" s="9" t="n"/>
      <c r="I1435" s="9" t="n"/>
      <c r="J1435" s="9" t="n"/>
      <c r="K1435" s="9" t="n"/>
      <c r="L1435" s="9" t="n"/>
      <c r="M1435" s="9" t="n"/>
      <c r="N1435" s="9" t="n"/>
      <c r="O1435" s="9" t="n"/>
      <c r="P1435" s="9" t="n"/>
      <c r="Q1435" s="9" t="n"/>
      <c r="R1435" s="9" t="n"/>
      <c r="S1435" s="9" t="n"/>
      <c r="T1435" s="9" t="n"/>
      <c r="U1435" s="9" t="n"/>
      <c r="V1435" s="9" t="n"/>
      <c r="W1435" s="9" t="n"/>
      <c r="X1435" s="9" t="n"/>
      <c r="Y1435" s="9" t="n"/>
      <c r="Z1435" s="9" t="n"/>
    </row>
    <row r="1436" ht="14.25" customHeight="1" s="37">
      <c r="A1436" s="9">
        <f>IF(C1436="","","UM"&amp;TEXT(ROW()-1,"00000"))</f>
        <v/>
      </c>
      <c r="B1436" s="9" t="n"/>
      <c r="C1436" s="9" t="n"/>
      <c r="D1436" s="9" t="n"/>
      <c r="E1436" s="9" t="n"/>
      <c r="F1436" s="9">
        <f>IF(E1436="","",DATEDIF(E1436,DATE(2026,12,31),"Y"))</f>
        <v/>
      </c>
      <c r="G1436" s="9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  <c r="R1436" s="9" t="n"/>
      <c r="S1436" s="9" t="n"/>
      <c r="T1436" s="9" t="n"/>
      <c r="U1436" s="9" t="n"/>
      <c r="V1436" s="9" t="n"/>
      <c r="W1436" s="9" t="n"/>
      <c r="X1436" s="9" t="n"/>
      <c r="Y1436" s="9" t="n"/>
      <c r="Z1436" s="9" t="n"/>
    </row>
    <row r="1437" ht="14.25" customHeight="1" s="37">
      <c r="A1437" s="9">
        <f>IF(C1437="","","UM"&amp;TEXT(ROW()-1,"00000"))</f>
        <v/>
      </c>
      <c r="B1437" s="9" t="n"/>
      <c r="C1437" s="9" t="n"/>
      <c r="D1437" s="9" t="n"/>
      <c r="E1437" s="9" t="n"/>
      <c r="F1437" s="9">
        <f>IF(E1437="","",DATEDIF(E1437,DATE(2026,12,31),"Y"))</f>
        <v/>
      </c>
      <c r="G1437" s="9" t="n"/>
      <c r="H1437" s="9" t="n"/>
      <c r="I1437" s="9" t="n"/>
      <c r="J1437" s="9" t="n"/>
      <c r="K1437" s="9" t="n"/>
      <c r="L1437" s="9" t="n"/>
      <c r="M1437" s="9" t="n"/>
      <c r="N1437" s="9" t="n"/>
      <c r="O1437" s="9" t="n"/>
      <c r="P1437" s="9" t="n"/>
      <c r="Q1437" s="9" t="n"/>
      <c r="R1437" s="9" t="n"/>
      <c r="S1437" s="9" t="n"/>
      <c r="T1437" s="9" t="n"/>
      <c r="U1437" s="9" t="n"/>
      <c r="V1437" s="9" t="n"/>
      <c r="W1437" s="9" t="n"/>
      <c r="X1437" s="9" t="n"/>
      <c r="Y1437" s="9" t="n"/>
      <c r="Z1437" s="9" t="n"/>
    </row>
    <row r="1438" ht="14.25" customHeight="1" s="37">
      <c r="A1438" s="9">
        <f>IF(C1438="","","UM"&amp;TEXT(ROW()-1,"00000"))</f>
        <v/>
      </c>
      <c r="B1438" s="9" t="n"/>
      <c r="C1438" s="9" t="n"/>
      <c r="D1438" s="9" t="n"/>
      <c r="E1438" s="9" t="n"/>
      <c r="F1438" s="9">
        <f>IF(E1438="","",DATEDIF(E1438,DATE(2026,12,31),"Y"))</f>
        <v/>
      </c>
      <c r="G1438" s="9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  <c r="R1438" s="9" t="n"/>
      <c r="S1438" s="9" t="n"/>
      <c r="T1438" s="9" t="n"/>
      <c r="U1438" s="9" t="n"/>
      <c r="V1438" s="9" t="n"/>
      <c r="W1438" s="9" t="n"/>
      <c r="X1438" s="9" t="n"/>
      <c r="Y1438" s="9" t="n"/>
      <c r="Z1438" s="9" t="n"/>
    </row>
    <row r="1439" ht="14.25" customHeight="1" s="37">
      <c r="A1439" s="9">
        <f>IF(C1439="","","UM"&amp;TEXT(ROW()-1,"00000"))</f>
        <v/>
      </c>
      <c r="B1439" s="9" t="n"/>
      <c r="C1439" s="9" t="n"/>
      <c r="D1439" s="9" t="n"/>
      <c r="E1439" s="9" t="n"/>
      <c r="F1439" s="9">
        <f>IF(E1439="","",DATEDIF(E1439,DATE(2026,12,31),"Y"))</f>
        <v/>
      </c>
      <c r="G1439" s="9" t="n"/>
      <c r="H1439" s="9" t="n"/>
      <c r="I1439" s="9" t="n"/>
      <c r="J1439" s="9" t="n"/>
      <c r="K1439" s="9" t="n"/>
      <c r="L1439" s="9" t="n"/>
      <c r="M1439" s="9" t="n"/>
      <c r="N1439" s="9" t="n"/>
      <c r="O1439" s="9" t="n"/>
      <c r="P1439" s="9" t="n"/>
      <c r="Q1439" s="9" t="n"/>
      <c r="R1439" s="9" t="n"/>
      <c r="S1439" s="9" t="n"/>
      <c r="T1439" s="9" t="n"/>
      <c r="U1439" s="9" t="n"/>
      <c r="V1439" s="9" t="n"/>
      <c r="W1439" s="9" t="n"/>
      <c r="X1439" s="9" t="n"/>
      <c r="Y1439" s="9" t="n"/>
      <c r="Z1439" s="9" t="n"/>
    </row>
    <row r="1440" ht="14.25" customHeight="1" s="37">
      <c r="A1440" s="9">
        <f>IF(C1440="","","UM"&amp;TEXT(ROW()-1,"00000"))</f>
        <v/>
      </c>
      <c r="B1440" s="9" t="n"/>
      <c r="C1440" s="9" t="n"/>
      <c r="D1440" s="9" t="n"/>
      <c r="E1440" s="9" t="n"/>
      <c r="F1440" s="9">
        <f>IF(E1440="","",DATEDIF(E1440,DATE(2026,12,31),"Y"))</f>
        <v/>
      </c>
      <c r="G1440" s="9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  <c r="R1440" s="9" t="n"/>
      <c r="S1440" s="9" t="n"/>
      <c r="T1440" s="9" t="n"/>
      <c r="U1440" s="9" t="n"/>
      <c r="V1440" s="9" t="n"/>
      <c r="W1440" s="9" t="n"/>
      <c r="X1440" s="9" t="n"/>
      <c r="Y1440" s="9" t="n"/>
      <c r="Z1440" s="9" t="n"/>
    </row>
    <row r="1441" ht="14.25" customHeight="1" s="37">
      <c r="A1441" s="9">
        <f>IF(C1441="","","UM"&amp;TEXT(ROW()-1,"00000"))</f>
        <v/>
      </c>
      <c r="B1441" s="9" t="n"/>
      <c r="C1441" s="9" t="n"/>
      <c r="D1441" s="9" t="n"/>
      <c r="E1441" s="9" t="n"/>
      <c r="F1441" s="9">
        <f>IF(E1441="","",DATEDIF(E1441,DATE(2026,12,31),"Y"))</f>
        <v/>
      </c>
      <c r="G1441" s="9" t="n"/>
      <c r="H1441" s="9" t="n"/>
      <c r="I1441" s="9" t="n"/>
      <c r="J1441" s="9" t="n"/>
      <c r="K1441" s="9" t="n"/>
      <c r="L1441" s="9" t="n"/>
      <c r="M1441" s="9" t="n"/>
      <c r="N1441" s="9" t="n"/>
      <c r="O1441" s="9" t="n"/>
      <c r="P1441" s="9" t="n"/>
      <c r="Q1441" s="9" t="n"/>
      <c r="R1441" s="9" t="n"/>
      <c r="S1441" s="9" t="n"/>
      <c r="T1441" s="9" t="n"/>
      <c r="U1441" s="9" t="n"/>
      <c r="V1441" s="9" t="n"/>
      <c r="W1441" s="9" t="n"/>
      <c r="X1441" s="9" t="n"/>
      <c r="Y1441" s="9" t="n"/>
      <c r="Z1441" s="9" t="n"/>
    </row>
    <row r="1442" ht="14.25" customHeight="1" s="37">
      <c r="A1442" s="9">
        <f>IF(C1442="","","UM"&amp;TEXT(ROW()-1,"00000"))</f>
        <v/>
      </c>
      <c r="B1442" s="9" t="n"/>
      <c r="C1442" s="9" t="n"/>
      <c r="D1442" s="9" t="n"/>
      <c r="E1442" s="9" t="n"/>
      <c r="F1442" s="9">
        <f>IF(E1442="","",DATEDIF(E1442,DATE(2026,12,31),"Y"))</f>
        <v/>
      </c>
      <c r="G1442" s="9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  <c r="R1442" s="9" t="n"/>
      <c r="S1442" s="9" t="n"/>
      <c r="T1442" s="9" t="n"/>
      <c r="U1442" s="9" t="n"/>
      <c r="V1442" s="9" t="n"/>
      <c r="W1442" s="9" t="n"/>
      <c r="X1442" s="9" t="n"/>
      <c r="Y1442" s="9" t="n"/>
      <c r="Z1442" s="9" t="n"/>
    </row>
    <row r="1443" ht="14.25" customHeight="1" s="37">
      <c r="A1443" s="9">
        <f>IF(C1443="","","UM"&amp;TEXT(ROW()-1,"00000"))</f>
        <v/>
      </c>
      <c r="B1443" s="9" t="n"/>
      <c r="C1443" s="9" t="n"/>
      <c r="D1443" s="9" t="n"/>
      <c r="E1443" s="9" t="n"/>
      <c r="F1443" s="9">
        <f>IF(E1443="","",DATEDIF(E1443,DATE(2026,12,31),"Y"))</f>
        <v/>
      </c>
      <c r="G1443" s="9" t="n"/>
      <c r="H1443" s="9" t="n"/>
      <c r="I1443" s="9" t="n"/>
      <c r="J1443" s="9" t="n"/>
      <c r="K1443" s="9" t="n"/>
      <c r="L1443" s="9" t="n"/>
      <c r="M1443" s="9" t="n"/>
      <c r="N1443" s="9" t="n"/>
      <c r="O1443" s="9" t="n"/>
      <c r="P1443" s="9" t="n"/>
      <c r="Q1443" s="9" t="n"/>
      <c r="R1443" s="9" t="n"/>
      <c r="S1443" s="9" t="n"/>
      <c r="T1443" s="9" t="n"/>
      <c r="U1443" s="9" t="n"/>
      <c r="V1443" s="9" t="n"/>
      <c r="W1443" s="9" t="n"/>
      <c r="X1443" s="9" t="n"/>
      <c r="Y1443" s="9" t="n"/>
      <c r="Z1443" s="9" t="n"/>
    </row>
    <row r="1444" ht="14.25" customHeight="1" s="37">
      <c r="A1444" s="9">
        <f>IF(C1444="","","UM"&amp;TEXT(ROW()-1,"00000"))</f>
        <v/>
      </c>
      <c r="B1444" s="9" t="n"/>
      <c r="C1444" s="9" t="n"/>
      <c r="D1444" s="9" t="n"/>
      <c r="E1444" s="9" t="n"/>
      <c r="F1444" s="9">
        <f>IF(E1444="","",DATEDIF(E1444,DATE(2026,12,31),"Y"))</f>
        <v/>
      </c>
      <c r="G1444" s="9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  <c r="R1444" s="9" t="n"/>
      <c r="S1444" s="9" t="n"/>
      <c r="T1444" s="9" t="n"/>
      <c r="U1444" s="9" t="n"/>
      <c r="V1444" s="9" t="n"/>
      <c r="W1444" s="9" t="n"/>
      <c r="X1444" s="9" t="n"/>
      <c r="Y1444" s="9" t="n"/>
      <c r="Z1444" s="9" t="n"/>
    </row>
    <row r="1445" ht="14.25" customHeight="1" s="37">
      <c r="A1445" s="9">
        <f>IF(C1445="","","UM"&amp;TEXT(ROW()-1,"00000"))</f>
        <v/>
      </c>
      <c r="B1445" s="9" t="n"/>
      <c r="C1445" s="9" t="n"/>
      <c r="D1445" s="9" t="n"/>
      <c r="E1445" s="9" t="n"/>
      <c r="F1445" s="9">
        <f>IF(E1445="","",DATEDIF(E1445,DATE(2026,12,31),"Y"))</f>
        <v/>
      </c>
      <c r="G1445" s="9" t="n"/>
      <c r="H1445" s="9" t="n"/>
      <c r="I1445" s="9" t="n"/>
      <c r="J1445" s="9" t="n"/>
      <c r="K1445" s="9" t="n"/>
      <c r="L1445" s="9" t="n"/>
      <c r="M1445" s="9" t="n"/>
      <c r="N1445" s="9" t="n"/>
      <c r="O1445" s="9" t="n"/>
      <c r="P1445" s="9" t="n"/>
      <c r="Q1445" s="9" t="n"/>
      <c r="R1445" s="9" t="n"/>
      <c r="S1445" s="9" t="n"/>
      <c r="T1445" s="9" t="n"/>
      <c r="U1445" s="9" t="n"/>
      <c r="V1445" s="9" t="n"/>
      <c r="W1445" s="9" t="n"/>
      <c r="X1445" s="9" t="n"/>
      <c r="Y1445" s="9" t="n"/>
      <c r="Z1445" s="9" t="n"/>
    </row>
    <row r="1446" ht="14.25" customHeight="1" s="37">
      <c r="A1446" s="9">
        <f>IF(C1446="","","UM"&amp;TEXT(ROW()-1,"00000"))</f>
        <v/>
      </c>
      <c r="B1446" s="9" t="n"/>
      <c r="C1446" s="9" t="n"/>
      <c r="D1446" s="9" t="n"/>
      <c r="E1446" s="9" t="n"/>
      <c r="F1446" s="9">
        <f>IF(E1446="","",DATEDIF(E1446,DATE(2026,12,31),"Y"))</f>
        <v/>
      </c>
      <c r="G1446" s="9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  <c r="R1446" s="9" t="n"/>
      <c r="S1446" s="9" t="n"/>
      <c r="T1446" s="9" t="n"/>
      <c r="U1446" s="9" t="n"/>
      <c r="V1446" s="9" t="n"/>
      <c r="W1446" s="9" t="n"/>
      <c r="X1446" s="9" t="n"/>
      <c r="Y1446" s="9" t="n"/>
      <c r="Z1446" s="9" t="n"/>
    </row>
    <row r="1447" ht="14.25" customHeight="1" s="37">
      <c r="A1447" s="9">
        <f>IF(C1447="","","UM"&amp;TEXT(ROW()-1,"00000"))</f>
        <v/>
      </c>
      <c r="B1447" s="9" t="n"/>
      <c r="C1447" s="9" t="n"/>
      <c r="D1447" s="9" t="n"/>
      <c r="E1447" s="9" t="n"/>
      <c r="F1447" s="9">
        <f>IF(E1447="","",DATEDIF(E1447,DATE(2026,12,31),"Y"))</f>
        <v/>
      </c>
      <c r="G1447" s="9" t="n"/>
      <c r="H1447" s="9" t="n"/>
      <c r="I1447" s="9" t="n"/>
      <c r="J1447" s="9" t="n"/>
      <c r="K1447" s="9" t="n"/>
      <c r="L1447" s="9" t="n"/>
      <c r="M1447" s="9" t="n"/>
      <c r="N1447" s="9" t="n"/>
      <c r="O1447" s="9" t="n"/>
      <c r="P1447" s="9" t="n"/>
      <c r="Q1447" s="9" t="n"/>
      <c r="R1447" s="9" t="n"/>
      <c r="S1447" s="9" t="n"/>
      <c r="T1447" s="9" t="n"/>
      <c r="U1447" s="9" t="n"/>
      <c r="V1447" s="9" t="n"/>
      <c r="W1447" s="9" t="n"/>
      <c r="X1447" s="9" t="n"/>
      <c r="Y1447" s="9" t="n"/>
      <c r="Z1447" s="9" t="n"/>
    </row>
    <row r="1448" ht="14.25" customHeight="1" s="37">
      <c r="A1448" s="9">
        <f>IF(C1448="","","UM"&amp;TEXT(ROW()-1,"00000"))</f>
        <v/>
      </c>
      <c r="B1448" s="9" t="n"/>
      <c r="C1448" s="9" t="n"/>
      <c r="D1448" s="9" t="n"/>
      <c r="E1448" s="9" t="n"/>
      <c r="F1448" s="9">
        <f>IF(E1448="","",DATEDIF(E1448,DATE(2026,12,31),"Y"))</f>
        <v/>
      </c>
      <c r="G1448" s="9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  <c r="R1448" s="9" t="n"/>
      <c r="S1448" s="9" t="n"/>
      <c r="T1448" s="9" t="n"/>
      <c r="U1448" s="9" t="n"/>
      <c r="V1448" s="9" t="n"/>
      <c r="W1448" s="9" t="n"/>
      <c r="X1448" s="9" t="n"/>
      <c r="Y1448" s="9" t="n"/>
      <c r="Z1448" s="9" t="n"/>
    </row>
    <row r="1449" ht="14.25" customHeight="1" s="37">
      <c r="A1449" s="9">
        <f>IF(C1449="","","UM"&amp;TEXT(ROW()-1,"00000"))</f>
        <v/>
      </c>
      <c r="B1449" s="9" t="n"/>
      <c r="C1449" s="9" t="n"/>
      <c r="D1449" s="9" t="n"/>
      <c r="E1449" s="9" t="n"/>
      <c r="F1449" s="9">
        <f>IF(E1449="","",DATEDIF(E1449,DATE(2026,12,31),"Y"))</f>
        <v/>
      </c>
      <c r="G1449" s="9" t="n"/>
      <c r="H1449" s="9" t="n"/>
      <c r="I1449" s="9" t="n"/>
      <c r="J1449" s="9" t="n"/>
      <c r="K1449" s="9" t="n"/>
      <c r="L1449" s="9" t="n"/>
      <c r="M1449" s="9" t="n"/>
      <c r="N1449" s="9" t="n"/>
      <c r="O1449" s="9" t="n"/>
      <c r="P1449" s="9" t="n"/>
      <c r="Q1449" s="9" t="n"/>
      <c r="R1449" s="9" t="n"/>
      <c r="S1449" s="9" t="n"/>
      <c r="T1449" s="9" t="n"/>
      <c r="U1449" s="9" t="n"/>
      <c r="V1449" s="9" t="n"/>
      <c r="W1449" s="9" t="n"/>
      <c r="X1449" s="9" t="n"/>
      <c r="Y1449" s="9" t="n"/>
      <c r="Z1449" s="9" t="n"/>
    </row>
    <row r="1450" ht="14.25" customHeight="1" s="37">
      <c r="A1450" s="9">
        <f>IF(C1450="","","UM"&amp;TEXT(ROW()-1,"00000"))</f>
        <v/>
      </c>
      <c r="B1450" s="9" t="n"/>
      <c r="C1450" s="9" t="n"/>
      <c r="D1450" s="9" t="n"/>
      <c r="E1450" s="9" t="n"/>
      <c r="F1450" s="9">
        <f>IF(E1450="","",DATEDIF(E1450,DATE(2026,12,31),"Y"))</f>
        <v/>
      </c>
      <c r="G1450" s="9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  <c r="R1450" s="9" t="n"/>
      <c r="S1450" s="9" t="n"/>
      <c r="T1450" s="9" t="n"/>
      <c r="U1450" s="9" t="n"/>
      <c r="V1450" s="9" t="n"/>
      <c r="W1450" s="9" t="n"/>
      <c r="X1450" s="9" t="n"/>
      <c r="Y1450" s="9" t="n"/>
      <c r="Z1450" s="9" t="n"/>
    </row>
    <row r="1451" ht="14.25" customHeight="1" s="37">
      <c r="A1451" s="9">
        <f>IF(C1451="","","UM"&amp;TEXT(ROW()-1,"00000"))</f>
        <v/>
      </c>
      <c r="B1451" s="9" t="n"/>
      <c r="C1451" s="9" t="n"/>
      <c r="D1451" s="9" t="n"/>
      <c r="E1451" s="9" t="n"/>
      <c r="F1451" s="9">
        <f>IF(E1451="","",DATEDIF(E1451,DATE(2026,12,31),"Y"))</f>
        <v/>
      </c>
      <c r="G1451" s="9" t="n"/>
      <c r="H1451" s="9" t="n"/>
      <c r="I1451" s="9" t="n"/>
      <c r="J1451" s="9" t="n"/>
      <c r="K1451" s="9" t="n"/>
      <c r="L1451" s="9" t="n"/>
      <c r="M1451" s="9" t="n"/>
      <c r="N1451" s="9" t="n"/>
      <c r="O1451" s="9" t="n"/>
      <c r="P1451" s="9" t="n"/>
      <c r="Q1451" s="9" t="n"/>
      <c r="R1451" s="9" t="n"/>
      <c r="S1451" s="9" t="n"/>
      <c r="T1451" s="9" t="n"/>
      <c r="U1451" s="9" t="n"/>
      <c r="V1451" s="9" t="n"/>
      <c r="W1451" s="9" t="n"/>
      <c r="X1451" s="9" t="n"/>
      <c r="Y1451" s="9" t="n"/>
      <c r="Z1451" s="9" t="n"/>
    </row>
    <row r="1452" ht="14.25" customHeight="1" s="37">
      <c r="A1452" s="9">
        <f>IF(C1452="","","UM"&amp;TEXT(ROW()-1,"00000"))</f>
        <v/>
      </c>
      <c r="B1452" s="9" t="n"/>
      <c r="C1452" s="9" t="n"/>
      <c r="D1452" s="9" t="n"/>
      <c r="E1452" s="9" t="n"/>
      <c r="F1452" s="9">
        <f>IF(E1452="","",DATEDIF(E1452,DATE(2026,12,31),"Y"))</f>
        <v/>
      </c>
      <c r="G1452" s="9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  <c r="R1452" s="9" t="n"/>
      <c r="S1452" s="9" t="n"/>
      <c r="T1452" s="9" t="n"/>
      <c r="U1452" s="9" t="n"/>
      <c r="V1452" s="9" t="n"/>
      <c r="W1452" s="9" t="n"/>
      <c r="X1452" s="9" t="n"/>
      <c r="Y1452" s="9" t="n"/>
      <c r="Z1452" s="9" t="n"/>
    </row>
    <row r="1453" ht="14.25" customHeight="1" s="37">
      <c r="A1453" s="9">
        <f>IF(C1453="","","UM"&amp;TEXT(ROW()-1,"00000"))</f>
        <v/>
      </c>
      <c r="B1453" s="9" t="n"/>
      <c r="C1453" s="9" t="n"/>
      <c r="D1453" s="9" t="n"/>
      <c r="E1453" s="9" t="n"/>
      <c r="F1453" s="9">
        <f>IF(E1453="","",DATEDIF(E1453,DATE(2026,12,31),"Y"))</f>
        <v/>
      </c>
      <c r="G1453" s="9" t="n"/>
      <c r="H1453" s="9" t="n"/>
      <c r="I1453" s="9" t="n"/>
      <c r="J1453" s="9" t="n"/>
      <c r="K1453" s="9" t="n"/>
      <c r="L1453" s="9" t="n"/>
      <c r="M1453" s="9" t="n"/>
      <c r="N1453" s="9" t="n"/>
      <c r="O1453" s="9" t="n"/>
      <c r="P1453" s="9" t="n"/>
      <c r="Q1453" s="9" t="n"/>
      <c r="R1453" s="9" t="n"/>
      <c r="S1453" s="9" t="n"/>
      <c r="T1453" s="9" t="n"/>
      <c r="U1453" s="9" t="n"/>
      <c r="V1453" s="9" t="n"/>
      <c r="W1453" s="9" t="n"/>
      <c r="X1453" s="9" t="n"/>
      <c r="Y1453" s="9" t="n"/>
      <c r="Z1453" s="9" t="n"/>
    </row>
    <row r="1454" ht="14.25" customHeight="1" s="37">
      <c r="A1454" s="9">
        <f>IF(C1454="","","UM"&amp;TEXT(ROW()-1,"00000"))</f>
        <v/>
      </c>
      <c r="B1454" s="9" t="n"/>
      <c r="C1454" s="9" t="n"/>
      <c r="D1454" s="9" t="n"/>
      <c r="E1454" s="9" t="n"/>
      <c r="F1454" s="9">
        <f>IF(E1454="","",DATEDIF(E1454,DATE(2026,12,31),"Y"))</f>
        <v/>
      </c>
      <c r="G1454" s="9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  <c r="R1454" s="9" t="n"/>
      <c r="S1454" s="9" t="n"/>
      <c r="T1454" s="9" t="n"/>
      <c r="U1454" s="9" t="n"/>
      <c r="V1454" s="9" t="n"/>
      <c r="W1454" s="9" t="n"/>
      <c r="X1454" s="9" t="n"/>
      <c r="Y1454" s="9" t="n"/>
      <c r="Z1454" s="9" t="n"/>
    </row>
    <row r="1455" ht="14.25" customHeight="1" s="37">
      <c r="A1455" s="9">
        <f>IF(C1455="","","UM"&amp;TEXT(ROW()-1,"00000"))</f>
        <v/>
      </c>
      <c r="B1455" s="9" t="n"/>
      <c r="C1455" s="9" t="n"/>
      <c r="D1455" s="9" t="n"/>
      <c r="E1455" s="9" t="n"/>
      <c r="F1455" s="9">
        <f>IF(E1455="","",DATEDIF(E1455,DATE(2026,12,31),"Y"))</f>
        <v/>
      </c>
      <c r="G1455" s="9" t="n"/>
      <c r="H1455" s="9" t="n"/>
      <c r="I1455" s="9" t="n"/>
      <c r="J1455" s="9" t="n"/>
      <c r="K1455" s="9" t="n"/>
      <c r="L1455" s="9" t="n"/>
      <c r="M1455" s="9" t="n"/>
      <c r="N1455" s="9" t="n"/>
      <c r="O1455" s="9" t="n"/>
      <c r="P1455" s="9" t="n"/>
      <c r="Q1455" s="9" t="n"/>
      <c r="R1455" s="9" t="n"/>
      <c r="S1455" s="9" t="n"/>
      <c r="T1455" s="9" t="n"/>
      <c r="U1455" s="9" t="n"/>
      <c r="V1455" s="9" t="n"/>
      <c r="W1455" s="9" t="n"/>
      <c r="X1455" s="9" t="n"/>
      <c r="Y1455" s="9" t="n"/>
      <c r="Z1455" s="9" t="n"/>
    </row>
    <row r="1456" ht="14.25" customHeight="1" s="37">
      <c r="A1456" s="9">
        <f>IF(C1456="","","UM"&amp;TEXT(ROW()-1,"00000"))</f>
        <v/>
      </c>
      <c r="B1456" s="9" t="n"/>
      <c r="C1456" s="9" t="n"/>
      <c r="D1456" s="9" t="n"/>
      <c r="E1456" s="9" t="n"/>
      <c r="F1456" s="9">
        <f>IF(E1456="","",DATEDIF(E1456,DATE(2026,12,31),"Y"))</f>
        <v/>
      </c>
      <c r="G1456" s="9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  <c r="R1456" s="9" t="n"/>
      <c r="S1456" s="9" t="n"/>
      <c r="T1456" s="9" t="n"/>
      <c r="U1456" s="9" t="n"/>
      <c r="V1456" s="9" t="n"/>
      <c r="W1456" s="9" t="n"/>
      <c r="X1456" s="9" t="n"/>
      <c r="Y1456" s="9" t="n"/>
      <c r="Z1456" s="9" t="n"/>
    </row>
    <row r="1457" ht="14.25" customHeight="1" s="37">
      <c r="A1457" s="9">
        <f>IF(C1457="","","UM"&amp;TEXT(ROW()-1,"00000"))</f>
        <v/>
      </c>
      <c r="B1457" s="9" t="n"/>
      <c r="C1457" s="9" t="n"/>
      <c r="D1457" s="9" t="n"/>
      <c r="E1457" s="9" t="n"/>
      <c r="F1457" s="9">
        <f>IF(E1457="","",DATEDIF(E1457,DATE(2026,12,31),"Y"))</f>
        <v/>
      </c>
      <c r="G1457" s="9" t="n"/>
      <c r="H1457" s="9" t="n"/>
      <c r="I1457" s="9" t="n"/>
      <c r="J1457" s="9" t="n"/>
      <c r="K1457" s="9" t="n"/>
      <c r="L1457" s="9" t="n"/>
      <c r="M1457" s="9" t="n"/>
      <c r="N1457" s="9" t="n"/>
      <c r="O1457" s="9" t="n"/>
      <c r="P1457" s="9" t="n"/>
      <c r="Q1457" s="9" t="n"/>
      <c r="R1457" s="9" t="n"/>
      <c r="S1457" s="9" t="n"/>
      <c r="T1457" s="9" t="n"/>
      <c r="U1457" s="9" t="n"/>
      <c r="V1457" s="9" t="n"/>
      <c r="W1457" s="9" t="n"/>
      <c r="X1457" s="9" t="n"/>
      <c r="Y1457" s="9" t="n"/>
      <c r="Z1457" s="9" t="n"/>
    </row>
    <row r="1458" ht="14.25" customHeight="1" s="37">
      <c r="A1458" s="9">
        <f>IF(C1458="","","UM"&amp;TEXT(ROW()-1,"00000"))</f>
        <v/>
      </c>
      <c r="B1458" s="9" t="n"/>
      <c r="C1458" s="9" t="n"/>
      <c r="D1458" s="9" t="n"/>
      <c r="E1458" s="9" t="n"/>
      <c r="F1458" s="9">
        <f>IF(E1458="","",DATEDIF(E1458,DATE(2026,12,31),"Y"))</f>
        <v/>
      </c>
      <c r="G1458" s="9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  <c r="R1458" s="9" t="n"/>
      <c r="S1458" s="9" t="n"/>
      <c r="T1458" s="9" t="n"/>
      <c r="U1458" s="9" t="n"/>
      <c r="V1458" s="9" t="n"/>
      <c r="W1458" s="9" t="n"/>
      <c r="X1458" s="9" t="n"/>
      <c r="Y1458" s="9" t="n"/>
      <c r="Z1458" s="9" t="n"/>
    </row>
    <row r="1459" ht="14.25" customHeight="1" s="37">
      <c r="A1459" s="9">
        <f>IF(C1459="","","UM"&amp;TEXT(ROW()-1,"00000"))</f>
        <v/>
      </c>
      <c r="B1459" s="9" t="n"/>
      <c r="C1459" s="9" t="n"/>
      <c r="D1459" s="9" t="n"/>
      <c r="E1459" s="9" t="n"/>
      <c r="F1459" s="9">
        <f>IF(E1459="","",DATEDIF(E1459,DATE(2026,12,31),"Y"))</f>
        <v/>
      </c>
      <c r="G1459" s="9" t="n"/>
      <c r="H1459" s="9" t="n"/>
      <c r="I1459" s="9" t="n"/>
      <c r="J1459" s="9" t="n"/>
      <c r="K1459" s="9" t="n"/>
      <c r="L1459" s="9" t="n"/>
      <c r="M1459" s="9" t="n"/>
      <c r="N1459" s="9" t="n"/>
      <c r="O1459" s="9" t="n"/>
      <c r="P1459" s="9" t="n"/>
      <c r="Q1459" s="9" t="n"/>
      <c r="R1459" s="9" t="n"/>
      <c r="S1459" s="9" t="n"/>
      <c r="T1459" s="9" t="n"/>
      <c r="U1459" s="9" t="n"/>
      <c r="V1459" s="9" t="n"/>
      <c r="W1459" s="9" t="n"/>
      <c r="X1459" s="9" t="n"/>
      <c r="Y1459" s="9" t="n"/>
      <c r="Z1459" s="9" t="n"/>
    </row>
    <row r="1460" ht="14.25" customHeight="1" s="37">
      <c r="A1460" s="9">
        <f>IF(C1460="","","UM"&amp;TEXT(ROW()-1,"00000"))</f>
        <v/>
      </c>
      <c r="B1460" s="9" t="n"/>
      <c r="C1460" s="9" t="n"/>
      <c r="D1460" s="9" t="n"/>
      <c r="E1460" s="9" t="n"/>
      <c r="F1460" s="9">
        <f>IF(E1460="","",DATEDIF(E1460,DATE(2026,12,31),"Y"))</f>
        <v/>
      </c>
      <c r="G1460" s="9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  <c r="R1460" s="9" t="n"/>
      <c r="S1460" s="9" t="n"/>
      <c r="T1460" s="9" t="n"/>
      <c r="U1460" s="9" t="n"/>
      <c r="V1460" s="9" t="n"/>
      <c r="W1460" s="9" t="n"/>
      <c r="X1460" s="9" t="n"/>
      <c r="Y1460" s="9" t="n"/>
      <c r="Z1460" s="9" t="n"/>
    </row>
    <row r="1461" ht="14.25" customHeight="1" s="37">
      <c r="A1461" s="9">
        <f>IF(C1461="","","UM"&amp;TEXT(ROW()-1,"00000"))</f>
        <v/>
      </c>
      <c r="B1461" s="9" t="n"/>
      <c r="C1461" s="9" t="n"/>
      <c r="D1461" s="9" t="n"/>
      <c r="E1461" s="9" t="n"/>
      <c r="F1461" s="9">
        <f>IF(E1461="","",DATEDIF(E1461,DATE(2026,12,31),"Y"))</f>
        <v/>
      </c>
      <c r="G1461" s="9" t="n"/>
      <c r="H1461" s="9" t="n"/>
      <c r="I1461" s="9" t="n"/>
      <c r="J1461" s="9" t="n"/>
      <c r="K1461" s="9" t="n"/>
      <c r="L1461" s="9" t="n"/>
      <c r="M1461" s="9" t="n"/>
      <c r="N1461" s="9" t="n"/>
      <c r="O1461" s="9" t="n"/>
      <c r="P1461" s="9" t="n"/>
      <c r="Q1461" s="9" t="n"/>
      <c r="R1461" s="9" t="n"/>
      <c r="S1461" s="9" t="n"/>
      <c r="T1461" s="9" t="n"/>
      <c r="U1461" s="9" t="n"/>
      <c r="V1461" s="9" t="n"/>
      <c r="W1461" s="9" t="n"/>
      <c r="X1461" s="9" t="n"/>
      <c r="Y1461" s="9" t="n"/>
      <c r="Z1461" s="9" t="n"/>
    </row>
    <row r="1462" ht="14.25" customHeight="1" s="37">
      <c r="A1462" s="9">
        <f>IF(C1462="","","UM"&amp;TEXT(ROW()-1,"00000"))</f>
        <v/>
      </c>
      <c r="B1462" s="9" t="n"/>
      <c r="C1462" s="9" t="n"/>
      <c r="D1462" s="9" t="n"/>
      <c r="E1462" s="9" t="n"/>
      <c r="F1462" s="9">
        <f>IF(E1462="","",DATEDIF(E1462,DATE(2026,12,31),"Y"))</f>
        <v/>
      </c>
      <c r="G1462" s="9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  <c r="R1462" s="9" t="n"/>
      <c r="S1462" s="9" t="n"/>
      <c r="T1462" s="9" t="n"/>
      <c r="U1462" s="9" t="n"/>
      <c r="V1462" s="9" t="n"/>
      <c r="W1462" s="9" t="n"/>
      <c r="X1462" s="9" t="n"/>
      <c r="Y1462" s="9" t="n"/>
      <c r="Z1462" s="9" t="n"/>
    </row>
    <row r="1463" ht="14.25" customHeight="1" s="37">
      <c r="A1463" s="9">
        <f>IF(C1463="","","UM"&amp;TEXT(ROW()-1,"00000"))</f>
        <v/>
      </c>
      <c r="B1463" s="9" t="n"/>
      <c r="C1463" s="9" t="n"/>
      <c r="D1463" s="9" t="n"/>
      <c r="E1463" s="9" t="n"/>
      <c r="F1463" s="9">
        <f>IF(E1463="","",DATEDIF(E1463,DATE(2026,12,31),"Y"))</f>
        <v/>
      </c>
      <c r="G1463" s="9" t="n"/>
      <c r="H1463" s="9" t="n"/>
      <c r="I1463" s="9" t="n"/>
      <c r="J1463" s="9" t="n"/>
      <c r="K1463" s="9" t="n"/>
      <c r="L1463" s="9" t="n"/>
      <c r="M1463" s="9" t="n"/>
      <c r="N1463" s="9" t="n"/>
      <c r="O1463" s="9" t="n"/>
      <c r="P1463" s="9" t="n"/>
      <c r="Q1463" s="9" t="n"/>
      <c r="R1463" s="9" t="n"/>
      <c r="S1463" s="9" t="n"/>
      <c r="T1463" s="9" t="n"/>
      <c r="U1463" s="9" t="n"/>
      <c r="V1463" s="9" t="n"/>
      <c r="W1463" s="9" t="n"/>
      <c r="X1463" s="9" t="n"/>
      <c r="Y1463" s="9" t="n"/>
      <c r="Z1463" s="9" t="n"/>
    </row>
    <row r="1464" ht="14.25" customHeight="1" s="37">
      <c r="A1464" s="9">
        <f>IF(C1464="","","UM"&amp;TEXT(ROW()-1,"00000"))</f>
        <v/>
      </c>
      <c r="B1464" s="9" t="n"/>
      <c r="C1464" s="9" t="n"/>
      <c r="D1464" s="9" t="n"/>
      <c r="E1464" s="9" t="n"/>
      <c r="F1464" s="9">
        <f>IF(E1464="","",DATEDIF(E1464,DATE(2026,12,31),"Y"))</f>
        <v/>
      </c>
      <c r="G1464" s="9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  <c r="R1464" s="9" t="n"/>
      <c r="S1464" s="9" t="n"/>
      <c r="T1464" s="9" t="n"/>
      <c r="U1464" s="9" t="n"/>
      <c r="V1464" s="9" t="n"/>
      <c r="W1464" s="9" t="n"/>
      <c r="X1464" s="9" t="n"/>
      <c r="Y1464" s="9" t="n"/>
      <c r="Z1464" s="9" t="n"/>
    </row>
    <row r="1465" ht="14.25" customHeight="1" s="37">
      <c r="A1465" s="9">
        <f>IF(C1465="","","UM"&amp;TEXT(ROW()-1,"00000"))</f>
        <v/>
      </c>
      <c r="B1465" s="9" t="n"/>
      <c r="C1465" s="9" t="n"/>
      <c r="D1465" s="9" t="n"/>
      <c r="E1465" s="9" t="n"/>
      <c r="F1465" s="9">
        <f>IF(E1465="","",DATEDIF(E1465,DATE(2026,12,31),"Y"))</f>
        <v/>
      </c>
      <c r="G1465" s="9" t="n"/>
      <c r="H1465" s="9" t="n"/>
      <c r="I1465" s="9" t="n"/>
      <c r="J1465" s="9" t="n"/>
      <c r="K1465" s="9" t="n"/>
      <c r="L1465" s="9" t="n"/>
      <c r="M1465" s="9" t="n"/>
      <c r="N1465" s="9" t="n"/>
      <c r="O1465" s="9" t="n"/>
      <c r="P1465" s="9" t="n"/>
      <c r="Q1465" s="9" t="n"/>
      <c r="R1465" s="9" t="n"/>
      <c r="S1465" s="9" t="n"/>
      <c r="T1465" s="9" t="n"/>
      <c r="U1465" s="9" t="n"/>
      <c r="V1465" s="9" t="n"/>
      <c r="W1465" s="9" t="n"/>
      <c r="X1465" s="9" t="n"/>
      <c r="Y1465" s="9" t="n"/>
      <c r="Z1465" s="9" t="n"/>
    </row>
    <row r="1466" ht="14.25" customHeight="1" s="37">
      <c r="A1466" s="9">
        <f>IF(C1466="","","UM"&amp;TEXT(ROW()-1,"00000"))</f>
        <v/>
      </c>
      <c r="B1466" s="9" t="n"/>
      <c r="C1466" s="9" t="n"/>
      <c r="D1466" s="9" t="n"/>
      <c r="E1466" s="9" t="n"/>
      <c r="F1466" s="9">
        <f>IF(E1466="","",DATEDIF(E1466,DATE(2026,12,31),"Y"))</f>
        <v/>
      </c>
      <c r="G1466" s="9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  <c r="R1466" s="9" t="n"/>
      <c r="S1466" s="9" t="n"/>
      <c r="T1466" s="9" t="n"/>
      <c r="U1466" s="9" t="n"/>
      <c r="V1466" s="9" t="n"/>
      <c r="W1466" s="9" t="n"/>
      <c r="X1466" s="9" t="n"/>
      <c r="Y1466" s="9" t="n"/>
      <c r="Z1466" s="9" t="n"/>
    </row>
    <row r="1467" ht="14.25" customHeight="1" s="37">
      <c r="A1467" s="9">
        <f>IF(C1467="","","UM"&amp;TEXT(ROW()-1,"00000"))</f>
        <v/>
      </c>
      <c r="B1467" s="9" t="n"/>
      <c r="C1467" s="9" t="n"/>
      <c r="D1467" s="9" t="n"/>
      <c r="E1467" s="9" t="n"/>
      <c r="F1467" s="9">
        <f>IF(E1467="","",DATEDIF(E1467,DATE(2026,12,31),"Y"))</f>
        <v/>
      </c>
      <c r="G1467" s="9" t="n"/>
      <c r="H1467" s="9" t="n"/>
      <c r="I1467" s="9" t="n"/>
      <c r="J1467" s="9" t="n"/>
      <c r="K1467" s="9" t="n"/>
      <c r="L1467" s="9" t="n"/>
      <c r="M1467" s="9" t="n"/>
      <c r="N1467" s="9" t="n"/>
      <c r="O1467" s="9" t="n"/>
      <c r="P1467" s="9" t="n"/>
      <c r="Q1467" s="9" t="n"/>
      <c r="R1467" s="9" t="n"/>
      <c r="S1467" s="9" t="n"/>
      <c r="T1467" s="9" t="n"/>
      <c r="U1467" s="9" t="n"/>
      <c r="V1467" s="9" t="n"/>
      <c r="W1467" s="9" t="n"/>
      <c r="X1467" s="9" t="n"/>
      <c r="Y1467" s="9" t="n"/>
      <c r="Z1467" s="9" t="n"/>
    </row>
    <row r="1468" ht="14.25" customHeight="1" s="37">
      <c r="A1468" s="9">
        <f>IF(C1468="","","UM"&amp;TEXT(ROW()-1,"00000"))</f>
        <v/>
      </c>
      <c r="B1468" s="9" t="n"/>
      <c r="C1468" s="9" t="n"/>
      <c r="D1468" s="9" t="n"/>
      <c r="E1468" s="9" t="n"/>
      <c r="F1468" s="9">
        <f>IF(E1468="","",DATEDIF(E1468,DATE(2026,12,31),"Y"))</f>
        <v/>
      </c>
      <c r="G1468" s="9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  <c r="R1468" s="9" t="n"/>
      <c r="S1468" s="9" t="n"/>
      <c r="T1468" s="9" t="n"/>
      <c r="U1468" s="9" t="n"/>
      <c r="V1468" s="9" t="n"/>
      <c r="W1468" s="9" t="n"/>
      <c r="X1468" s="9" t="n"/>
      <c r="Y1468" s="9" t="n"/>
      <c r="Z1468" s="9" t="n"/>
    </row>
    <row r="1469" ht="14.25" customHeight="1" s="37">
      <c r="A1469" s="9">
        <f>IF(C1469="","","UM"&amp;TEXT(ROW()-1,"00000"))</f>
        <v/>
      </c>
      <c r="B1469" s="9" t="n"/>
      <c r="C1469" s="9" t="n"/>
      <c r="D1469" s="9" t="n"/>
      <c r="E1469" s="9" t="n"/>
      <c r="F1469" s="9">
        <f>IF(E1469="","",DATEDIF(E1469,DATE(2026,12,31),"Y"))</f>
        <v/>
      </c>
      <c r="G1469" s="9" t="n"/>
      <c r="H1469" s="9" t="n"/>
      <c r="I1469" s="9" t="n"/>
      <c r="J1469" s="9" t="n"/>
      <c r="K1469" s="9" t="n"/>
      <c r="L1469" s="9" t="n"/>
      <c r="M1469" s="9" t="n"/>
      <c r="N1469" s="9" t="n"/>
      <c r="O1469" s="9" t="n"/>
      <c r="P1469" s="9" t="n"/>
      <c r="Q1469" s="9" t="n"/>
      <c r="R1469" s="9" t="n"/>
      <c r="S1469" s="9" t="n"/>
      <c r="T1469" s="9" t="n"/>
      <c r="U1469" s="9" t="n"/>
      <c r="V1469" s="9" t="n"/>
      <c r="W1469" s="9" t="n"/>
      <c r="X1469" s="9" t="n"/>
      <c r="Y1469" s="9" t="n"/>
      <c r="Z1469" s="9" t="n"/>
    </row>
    <row r="1470" ht="14.25" customHeight="1" s="37">
      <c r="A1470" s="9">
        <f>IF(C1470="","","UM"&amp;TEXT(ROW()-1,"00000"))</f>
        <v/>
      </c>
      <c r="B1470" s="9" t="n"/>
      <c r="C1470" s="9" t="n"/>
      <c r="D1470" s="9" t="n"/>
      <c r="E1470" s="9" t="n"/>
      <c r="F1470" s="9">
        <f>IF(E1470="","",DATEDIF(E1470,DATE(2026,12,31),"Y"))</f>
        <v/>
      </c>
      <c r="G1470" s="9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  <c r="R1470" s="9" t="n"/>
      <c r="S1470" s="9" t="n"/>
      <c r="T1470" s="9" t="n"/>
      <c r="U1470" s="9" t="n"/>
      <c r="V1470" s="9" t="n"/>
      <c r="W1470" s="9" t="n"/>
      <c r="X1470" s="9" t="n"/>
      <c r="Y1470" s="9" t="n"/>
      <c r="Z1470" s="9" t="n"/>
    </row>
    <row r="1471" ht="14.25" customHeight="1" s="37">
      <c r="A1471" s="9">
        <f>IF(C1471="","","UM"&amp;TEXT(ROW()-1,"00000"))</f>
        <v/>
      </c>
      <c r="B1471" s="9" t="n"/>
      <c r="C1471" s="9" t="n"/>
      <c r="D1471" s="9" t="n"/>
      <c r="E1471" s="9" t="n"/>
      <c r="F1471" s="9">
        <f>IF(E1471="","",DATEDIF(E1471,DATE(2026,12,31),"Y"))</f>
        <v/>
      </c>
      <c r="G1471" s="9" t="n"/>
      <c r="H1471" s="9" t="n"/>
      <c r="I1471" s="9" t="n"/>
      <c r="J1471" s="9" t="n"/>
      <c r="K1471" s="9" t="n"/>
      <c r="L1471" s="9" t="n"/>
      <c r="M1471" s="9" t="n"/>
      <c r="N1471" s="9" t="n"/>
      <c r="O1471" s="9" t="n"/>
      <c r="P1471" s="9" t="n"/>
      <c r="Q1471" s="9" t="n"/>
      <c r="R1471" s="9" t="n"/>
      <c r="S1471" s="9" t="n"/>
      <c r="T1471" s="9" t="n"/>
      <c r="U1471" s="9" t="n"/>
      <c r="V1471" s="9" t="n"/>
      <c r="W1471" s="9" t="n"/>
      <c r="X1471" s="9" t="n"/>
      <c r="Y1471" s="9" t="n"/>
      <c r="Z1471" s="9" t="n"/>
    </row>
    <row r="1472" ht="14.25" customHeight="1" s="37">
      <c r="A1472" s="9">
        <f>IF(C1472="","","UM"&amp;TEXT(ROW()-1,"00000"))</f>
        <v/>
      </c>
      <c r="B1472" s="9" t="n"/>
      <c r="C1472" s="9" t="n"/>
      <c r="D1472" s="9" t="n"/>
      <c r="E1472" s="9" t="n"/>
      <c r="F1472" s="9">
        <f>IF(E1472="","",DATEDIF(E1472,DATE(2026,12,31),"Y"))</f>
        <v/>
      </c>
      <c r="G1472" s="9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  <c r="R1472" s="9" t="n"/>
      <c r="S1472" s="9" t="n"/>
      <c r="T1472" s="9" t="n"/>
      <c r="U1472" s="9" t="n"/>
      <c r="V1472" s="9" t="n"/>
      <c r="W1472" s="9" t="n"/>
      <c r="X1472" s="9" t="n"/>
      <c r="Y1472" s="9" t="n"/>
      <c r="Z1472" s="9" t="n"/>
    </row>
    <row r="1473" ht="14.25" customHeight="1" s="37">
      <c r="A1473" s="9">
        <f>IF(C1473="","","UM"&amp;TEXT(ROW()-1,"00000"))</f>
        <v/>
      </c>
      <c r="B1473" s="9" t="n"/>
      <c r="C1473" s="9" t="n"/>
      <c r="D1473" s="9" t="n"/>
      <c r="E1473" s="9" t="n"/>
      <c r="F1473" s="9">
        <f>IF(E1473="","",DATEDIF(E1473,DATE(2026,12,31),"Y"))</f>
        <v/>
      </c>
      <c r="G1473" s="9" t="n"/>
      <c r="H1473" s="9" t="n"/>
      <c r="I1473" s="9" t="n"/>
      <c r="J1473" s="9" t="n"/>
      <c r="K1473" s="9" t="n"/>
      <c r="L1473" s="9" t="n"/>
      <c r="M1473" s="9" t="n"/>
      <c r="N1473" s="9" t="n"/>
      <c r="O1473" s="9" t="n"/>
      <c r="P1473" s="9" t="n"/>
      <c r="Q1473" s="9" t="n"/>
      <c r="R1473" s="9" t="n"/>
      <c r="S1473" s="9" t="n"/>
      <c r="T1473" s="9" t="n"/>
      <c r="U1473" s="9" t="n"/>
      <c r="V1473" s="9" t="n"/>
      <c r="W1473" s="9" t="n"/>
      <c r="X1473" s="9" t="n"/>
      <c r="Y1473" s="9" t="n"/>
      <c r="Z1473" s="9" t="n"/>
    </row>
    <row r="1474" ht="14.25" customHeight="1" s="37">
      <c r="A1474" s="9">
        <f>IF(C1474="","","UM"&amp;TEXT(ROW()-1,"00000"))</f>
        <v/>
      </c>
      <c r="B1474" s="9" t="n"/>
      <c r="C1474" s="9" t="n"/>
      <c r="D1474" s="9" t="n"/>
      <c r="E1474" s="9" t="n"/>
      <c r="F1474" s="9">
        <f>IF(E1474="","",DATEDIF(E1474,DATE(2026,12,31),"Y"))</f>
        <v/>
      </c>
      <c r="G1474" s="9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  <c r="R1474" s="9" t="n"/>
      <c r="S1474" s="9" t="n"/>
      <c r="T1474" s="9" t="n"/>
      <c r="U1474" s="9" t="n"/>
      <c r="V1474" s="9" t="n"/>
      <c r="W1474" s="9" t="n"/>
      <c r="X1474" s="9" t="n"/>
      <c r="Y1474" s="9" t="n"/>
      <c r="Z1474" s="9" t="n"/>
    </row>
    <row r="1475" ht="14.25" customHeight="1" s="37">
      <c r="A1475" s="9">
        <f>IF(C1475="","","UM"&amp;TEXT(ROW()-1,"00000"))</f>
        <v/>
      </c>
      <c r="B1475" s="9" t="n"/>
      <c r="C1475" s="9" t="n"/>
      <c r="D1475" s="9" t="n"/>
      <c r="E1475" s="9" t="n"/>
      <c r="F1475" s="9">
        <f>IF(E1475="","",DATEDIF(E1475,DATE(2026,12,31),"Y"))</f>
        <v/>
      </c>
      <c r="G1475" s="9" t="n"/>
      <c r="H1475" s="9" t="n"/>
      <c r="I1475" s="9" t="n"/>
      <c r="J1475" s="9" t="n"/>
      <c r="K1475" s="9" t="n"/>
      <c r="L1475" s="9" t="n"/>
      <c r="M1475" s="9" t="n"/>
      <c r="N1475" s="9" t="n"/>
      <c r="O1475" s="9" t="n"/>
      <c r="P1475" s="9" t="n"/>
      <c r="Q1475" s="9" t="n"/>
      <c r="R1475" s="9" t="n"/>
      <c r="S1475" s="9" t="n"/>
      <c r="T1475" s="9" t="n"/>
      <c r="U1475" s="9" t="n"/>
      <c r="V1475" s="9" t="n"/>
      <c r="W1475" s="9" t="n"/>
      <c r="X1475" s="9" t="n"/>
      <c r="Y1475" s="9" t="n"/>
      <c r="Z1475" s="9" t="n"/>
    </row>
    <row r="1476" ht="14.25" customHeight="1" s="37">
      <c r="A1476" s="9">
        <f>IF(C1476="","","UM"&amp;TEXT(ROW()-1,"00000"))</f>
        <v/>
      </c>
      <c r="B1476" s="9" t="n"/>
      <c r="C1476" s="9" t="n"/>
      <c r="D1476" s="9" t="n"/>
      <c r="E1476" s="9" t="n"/>
      <c r="F1476" s="9">
        <f>IF(E1476="","",DATEDIF(E1476,DATE(2026,12,31),"Y"))</f>
        <v/>
      </c>
      <c r="G1476" s="9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  <c r="R1476" s="9" t="n"/>
      <c r="S1476" s="9" t="n"/>
      <c r="T1476" s="9" t="n"/>
      <c r="U1476" s="9" t="n"/>
      <c r="V1476" s="9" t="n"/>
      <c r="W1476" s="9" t="n"/>
      <c r="X1476" s="9" t="n"/>
      <c r="Y1476" s="9" t="n"/>
      <c r="Z1476" s="9" t="n"/>
    </row>
    <row r="1477" ht="14.25" customHeight="1" s="37">
      <c r="A1477" s="9">
        <f>IF(C1477="","","UM"&amp;TEXT(ROW()-1,"00000"))</f>
        <v/>
      </c>
      <c r="B1477" s="9" t="n"/>
      <c r="C1477" s="9" t="n"/>
      <c r="D1477" s="9" t="n"/>
      <c r="E1477" s="9" t="n"/>
      <c r="F1477" s="9">
        <f>IF(E1477="","",DATEDIF(E1477,DATE(2026,12,31),"Y"))</f>
        <v/>
      </c>
      <c r="G1477" s="9" t="n"/>
      <c r="H1477" s="9" t="n"/>
      <c r="I1477" s="9" t="n"/>
      <c r="J1477" s="9" t="n"/>
      <c r="K1477" s="9" t="n"/>
      <c r="L1477" s="9" t="n"/>
      <c r="M1477" s="9" t="n"/>
      <c r="N1477" s="9" t="n"/>
      <c r="O1477" s="9" t="n"/>
      <c r="P1477" s="9" t="n"/>
      <c r="Q1477" s="9" t="n"/>
      <c r="R1477" s="9" t="n"/>
      <c r="S1477" s="9" t="n"/>
      <c r="T1477" s="9" t="n"/>
      <c r="U1477" s="9" t="n"/>
      <c r="V1477" s="9" t="n"/>
      <c r="W1477" s="9" t="n"/>
      <c r="X1477" s="9" t="n"/>
      <c r="Y1477" s="9" t="n"/>
      <c r="Z1477" s="9" t="n"/>
    </row>
    <row r="1478" ht="14.25" customHeight="1" s="37">
      <c r="A1478" s="9">
        <f>IF(C1478="","","UM"&amp;TEXT(ROW()-1,"00000"))</f>
        <v/>
      </c>
      <c r="B1478" s="9" t="n"/>
      <c r="C1478" s="9" t="n"/>
      <c r="D1478" s="9" t="n"/>
      <c r="E1478" s="9" t="n"/>
      <c r="F1478" s="9">
        <f>IF(E1478="","",DATEDIF(E1478,DATE(2026,12,31),"Y"))</f>
        <v/>
      </c>
      <c r="G1478" s="9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  <c r="R1478" s="9" t="n"/>
      <c r="S1478" s="9" t="n"/>
      <c r="T1478" s="9" t="n"/>
      <c r="U1478" s="9" t="n"/>
      <c r="V1478" s="9" t="n"/>
      <c r="W1478" s="9" t="n"/>
      <c r="X1478" s="9" t="n"/>
      <c r="Y1478" s="9" t="n"/>
      <c r="Z1478" s="9" t="n"/>
    </row>
    <row r="1479" ht="14.25" customHeight="1" s="37">
      <c r="A1479" s="9">
        <f>IF(C1479="","","UM"&amp;TEXT(ROW()-1,"00000"))</f>
        <v/>
      </c>
      <c r="B1479" s="9" t="n"/>
      <c r="C1479" s="9" t="n"/>
      <c r="D1479" s="9" t="n"/>
      <c r="E1479" s="9" t="n"/>
      <c r="F1479" s="9">
        <f>IF(E1479="","",DATEDIF(E1479,DATE(2026,12,31),"Y"))</f>
        <v/>
      </c>
      <c r="G1479" s="9" t="n"/>
      <c r="H1479" s="9" t="n"/>
      <c r="I1479" s="9" t="n"/>
      <c r="J1479" s="9" t="n"/>
      <c r="K1479" s="9" t="n"/>
      <c r="L1479" s="9" t="n"/>
      <c r="M1479" s="9" t="n"/>
      <c r="N1479" s="9" t="n"/>
      <c r="O1479" s="9" t="n"/>
      <c r="P1479" s="9" t="n"/>
      <c r="Q1479" s="9" t="n"/>
      <c r="R1479" s="9" t="n"/>
      <c r="S1479" s="9" t="n"/>
      <c r="T1479" s="9" t="n"/>
      <c r="U1479" s="9" t="n"/>
      <c r="V1479" s="9" t="n"/>
      <c r="W1479" s="9" t="n"/>
      <c r="X1479" s="9" t="n"/>
      <c r="Y1479" s="9" t="n"/>
      <c r="Z1479" s="9" t="n"/>
    </row>
    <row r="1480" ht="14.25" customHeight="1" s="37">
      <c r="A1480" s="9">
        <f>IF(C1480="","","UM"&amp;TEXT(ROW()-1,"00000"))</f>
        <v/>
      </c>
      <c r="B1480" s="9" t="n"/>
      <c r="C1480" s="9" t="n"/>
      <c r="D1480" s="9" t="n"/>
      <c r="E1480" s="9" t="n"/>
      <c r="F1480" s="9">
        <f>IF(E1480="","",DATEDIF(E1480,DATE(2026,12,31),"Y"))</f>
        <v/>
      </c>
      <c r="G1480" s="9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  <c r="R1480" s="9" t="n"/>
      <c r="S1480" s="9" t="n"/>
      <c r="T1480" s="9" t="n"/>
      <c r="U1480" s="9" t="n"/>
      <c r="V1480" s="9" t="n"/>
      <c r="W1480" s="9" t="n"/>
      <c r="X1480" s="9" t="n"/>
      <c r="Y1480" s="9" t="n"/>
      <c r="Z1480" s="9" t="n"/>
    </row>
    <row r="1481" ht="14.25" customHeight="1" s="37">
      <c r="A1481" s="9">
        <f>IF(C1481="","","UM"&amp;TEXT(ROW()-1,"00000"))</f>
        <v/>
      </c>
      <c r="B1481" s="9" t="n"/>
      <c r="C1481" s="9" t="n"/>
      <c r="D1481" s="9" t="n"/>
      <c r="E1481" s="9" t="n"/>
      <c r="F1481" s="9">
        <f>IF(E1481="","",DATEDIF(E1481,DATE(2026,12,31),"Y"))</f>
        <v/>
      </c>
      <c r="G1481" s="9" t="n"/>
      <c r="H1481" s="9" t="n"/>
      <c r="I1481" s="9" t="n"/>
      <c r="J1481" s="9" t="n"/>
      <c r="K1481" s="9" t="n"/>
      <c r="L1481" s="9" t="n"/>
      <c r="M1481" s="9" t="n"/>
      <c r="N1481" s="9" t="n"/>
      <c r="O1481" s="9" t="n"/>
      <c r="P1481" s="9" t="n"/>
      <c r="Q1481" s="9" t="n"/>
      <c r="R1481" s="9" t="n"/>
      <c r="S1481" s="9" t="n"/>
      <c r="T1481" s="9" t="n"/>
      <c r="U1481" s="9" t="n"/>
      <c r="V1481" s="9" t="n"/>
      <c r="W1481" s="9" t="n"/>
      <c r="X1481" s="9" t="n"/>
      <c r="Y1481" s="9" t="n"/>
      <c r="Z1481" s="9" t="n"/>
    </row>
    <row r="1482" ht="14.25" customHeight="1" s="37">
      <c r="A1482" s="9">
        <f>IF(C1482="","","UM"&amp;TEXT(ROW()-1,"00000"))</f>
        <v/>
      </c>
      <c r="B1482" s="9" t="n"/>
      <c r="C1482" s="9" t="n"/>
      <c r="D1482" s="9" t="n"/>
      <c r="E1482" s="9" t="n"/>
      <c r="F1482" s="9">
        <f>IF(E1482="","",DATEDIF(E1482,DATE(2026,12,31),"Y"))</f>
        <v/>
      </c>
      <c r="G1482" s="9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  <c r="R1482" s="9" t="n"/>
      <c r="S1482" s="9" t="n"/>
      <c r="T1482" s="9" t="n"/>
      <c r="U1482" s="9" t="n"/>
      <c r="V1482" s="9" t="n"/>
      <c r="W1482" s="9" t="n"/>
      <c r="X1482" s="9" t="n"/>
      <c r="Y1482" s="9" t="n"/>
      <c r="Z1482" s="9" t="n"/>
    </row>
    <row r="1483" ht="14.25" customHeight="1" s="37">
      <c r="A1483" s="9">
        <f>IF(C1483="","","UM"&amp;TEXT(ROW()-1,"00000"))</f>
        <v/>
      </c>
      <c r="B1483" s="9" t="n"/>
      <c r="C1483" s="9" t="n"/>
      <c r="D1483" s="9" t="n"/>
      <c r="E1483" s="9" t="n"/>
      <c r="F1483" s="9">
        <f>IF(E1483="","",DATEDIF(E1483,DATE(2026,12,31),"Y"))</f>
        <v/>
      </c>
      <c r="G1483" s="9" t="n"/>
      <c r="H1483" s="9" t="n"/>
      <c r="I1483" s="9" t="n"/>
      <c r="J1483" s="9" t="n"/>
      <c r="K1483" s="9" t="n"/>
      <c r="L1483" s="9" t="n"/>
      <c r="M1483" s="9" t="n"/>
      <c r="N1483" s="9" t="n"/>
      <c r="O1483" s="9" t="n"/>
      <c r="P1483" s="9" t="n"/>
      <c r="Q1483" s="9" t="n"/>
      <c r="R1483" s="9" t="n"/>
      <c r="S1483" s="9" t="n"/>
      <c r="T1483" s="9" t="n"/>
      <c r="U1483" s="9" t="n"/>
      <c r="V1483" s="9" t="n"/>
      <c r="W1483" s="9" t="n"/>
      <c r="X1483" s="9" t="n"/>
      <c r="Y1483" s="9" t="n"/>
      <c r="Z1483" s="9" t="n"/>
    </row>
    <row r="1484" ht="14.25" customHeight="1" s="37">
      <c r="A1484" s="9">
        <f>IF(C1484="","","UM"&amp;TEXT(ROW()-1,"00000"))</f>
        <v/>
      </c>
      <c r="B1484" s="9" t="n"/>
      <c r="C1484" s="9" t="n"/>
      <c r="D1484" s="9" t="n"/>
      <c r="E1484" s="9" t="n"/>
      <c r="F1484" s="9">
        <f>IF(E1484="","",DATEDIF(E1484,DATE(2026,12,31),"Y"))</f>
        <v/>
      </c>
      <c r="G1484" s="9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  <c r="R1484" s="9" t="n"/>
      <c r="S1484" s="9" t="n"/>
      <c r="T1484" s="9" t="n"/>
      <c r="U1484" s="9" t="n"/>
      <c r="V1484" s="9" t="n"/>
      <c r="W1484" s="9" t="n"/>
      <c r="X1484" s="9" t="n"/>
      <c r="Y1484" s="9" t="n"/>
      <c r="Z1484" s="9" t="n"/>
    </row>
    <row r="1485" ht="14.25" customHeight="1" s="37">
      <c r="A1485" s="9">
        <f>IF(C1485="","","UM"&amp;TEXT(ROW()-1,"00000"))</f>
        <v/>
      </c>
      <c r="B1485" s="9" t="n"/>
      <c r="C1485" s="9" t="n"/>
      <c r="D1485" s="9" t="n"/>
      <c r="E1485" s="9" t="n"/>
      <c r="F1485" s="9">
        <f>IF(E1485="","",DATEDIF(E1485,DATE(2026,12,31),"Y"))</f>
        <v/>
      </c>
      <c r="G1485" s="9" t="n"/>
      <c r="H1485" s="9" t="n"/>
      <c r="I1485" s="9" t="n"/>
      <c r="J1485" s="9" t="n"/>
      <c r="K1485" s="9" t="n"/>
      <c r="L1485" s="9" t="n"/>
      <c r="M1485" s="9" t="n"/>
      <c r="N1485" s="9" t="n"/>
      <c r="O1485" s="9" t="n"/>
      <c r="P1485" s="9" t="n"/>
      <c r="Q1485" s="9" t="n"/>
      <c r="R1485" s="9" t="n"/>
      <c r="S1485" s="9" t="n"/>
      <c r="T1485" s="9" t="n"/>
      <c r="U1485" s="9" t="n"/>
      <c r="V1485" s="9" t="n"/>
      <c r="W1485" s="9" t="n"/>
      <c r="X1485" s="9" t="n"/>
      <c r="Y1485" s="9" t="n"/>
      <c r="Z1485" s="9" t="n"/>
    </row>
    <row r="1486" ht="14.25" customHeight="1" s="37">
      <c r="A1486" s="9">
        <f>IF(C1486="","","UM"&amp;TEXT(ROW()-1,"00000"))</f>
        <v/>
      </c>
      <c r="B1486" s="9" t="n"/>
      <c r="C1486" s="9" t="n"/>
      <c r="D1486" s="9" t="n"/>
      <c r="E1486" s="9" t="n"/>
      <c r="F1486" s="9">
        <f>IF(E1486="","",DATEDIF(E1486,DATE(2026,12,31),"Y"))</f>
        <v/>
      </c>
      <c r="G1486" s="9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  <c r="R1486" s="9" t="n"/>
      <c r="S1486" s="9" t="n"/>
      <c r="T1486" s="9" t="n"/>
      <c r="U1486" s="9" t="n"/>
      <c r="V1486" s="9" t="n"/>
      <c r="W1486" s="9" t="n"/>
      <c r="X1486" s="9" t="n"/>
      <c r="Y1486" s="9" t="n"/>
      <c r="Z1486" s="9" t="n"/>
    </row>
    <row r="1487" ht="14.25" customHeight="1" s="37">
      <c r="A1487" s="9">
        <f>IF(C1487="","","UM"&amp;TEXT(ROW()-1,"00000"))</f>
        <v/>
      </c>
      <c r="B1487" s="9" t="n"/>
      <c r="C1487" s="9" t="n"/>
      <c r="D1487" s="9" t="n"/>
      <c r="E1487" s="9" t="n"/>
      <c r="F1487" s="9">
        <f>IF(E1487="","",DATEDIF(E1487,DATE(2026,12,31),"Y"))</f>
        <v/>
      </c>
      <c r="G1487" s="9" t="n"/>
      <c r="H1487" s="9" t="n"/>
      <c r="I1487" s="9" t="n"/>
      <c r="J1487" s="9" t="n"/>
      <c r="K1487" s="9" t="n"/>
      <c r="L1487" s="9" t="n"/>
      <c r="M1487" s="9" t="n"/>
      <c r="N1487" s="9" t="n"/>
      <c r="O1487" s="9" t="n"/>
      <c r="P1487" s="9" t="n"/>
      <c r="Q1487" s="9" t="n"/>
      <c r="R1487" s="9" t="n"/>
      <c r="S1487" s="9" t="n"/>
      <c r="T1487" s="9" t="n"/>
      <c r="U1487" s="9" t="n"/>
      <c r="V1487" s="9" t="n"/>
      <c r="W1487" s="9" t="n"/>
      <c r="X1487" s="9" t="n"/>
      <c r="Y1487" s="9" t="n"/>
      <c r="Z1487" s="9" t="n"/>
    </row>
    <row r="1488" ht="14.25" customHeight="1" s="37">
      <c r="A1488" s="9">
        <f>IF(C1488="","","UM"&amp;TEXT(ROW()-1,"00000"))</f>
        <v/>
      </c>
      <c r="B1488" s="9" t="n"/>
      <c r="C1488" s="9" t="n"/>
      <c r="D1488" s="9" t="n"/>
      <c r="E1488" s="9" t="n"/>
      <c r="F1488" s="9">
        <f>IF(E1488="","",DATEDIF(E1488,DATE(2026,12,31),"Y"))</f>
        <v/>
      </c>
      <c r="G1488" s="9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  <c r="R1488" s="9" t="n"/>
      <c r="S1488" s="9" t="n"/>
      <c r="T1488" s="9" t="n"/>
      <c r="U1488" s="9" t="n"/>
      <c r="V1488" s="9" t="n"/>
      <c r="W1488" s="9" t="n"/>
      <c r="X1488" s="9" t="n"/>
      <c r="Y1488" s="9" t="n"/>
      <c r="Z1488" s="9" t="n"/>
    </row>
    <row r="1489" ht="14.25" customHeight="1" s="37">
      <c r="A1489" s="9">
        <f>IF(C1489="","","UM"&amp;TEXT(ROW()-1,"00000"))</f>
        <v/>
      </c>
      <c r="B1489" s="9" t="n"/>
      <c r="C1489" s="9" t="n"/>
      <c r="D1489" s="9" t="n"/>
      <c r="E1489" s="9" t="n"/>
      <c r="F1489" s="9">
        <f>IF(E1489="","",DATEDIF(E1489,DATE(2026,12,31),"Y"))</f>
        <v/>
      </c>
      <c r="G1489" s="9" t="n"/>
      <c r="H1489" s="9" t="n"/>
      <c r="I1489" s="9" t="n"/>
      <c r="J1489" s="9" t="n"/>
      <c r="K1489" s="9" t="n"/>
      <c r="L1489" s="9" t="n"/>
      <c r="M1489" s="9" t="n"/>
      <c r="N1489" s="9" t="n"/>
      <c r="O1489" s="9" t="n"/>
      <c r="P1489" s="9" t="n"/>
      <c r="Q1489" s="9" t="n"/>
      <c r="R1489" s="9" t="n"/>
      <c r="S1489" s="9" t="n"/>
      <c r="T1489" s="9" t="n"/>
      <c r="U1489" s="9" t="n"/>
      <c r="V1489" s="9" t="n"/>
      <c r="W1489" s="9" t="n"/>
      <c r="X1489" s="9" t="n"/>
      <c r="Y1489" s="9" t="n"/>
      <c r="Z1489" s="9" t="n"/>
    </row>
    <row r="1490" ht="14.25" customHeight="1" s="37">
      <c r="A1490" s="9">
        <f>IF(C1490="","","UM"&amp;TEXT(ROW()-1,"00000"))</f>
        <v/>
      </c>
      <c r="B1490" s="9" t="n"/>
      <c r="C1490" s="9" t="n"/>
      <c r="D1490" s="9" t="n"/>
      <c r="E1490" s="9" t="n"/>
      <c r="F1490" s="9">
        <f>IF(E1490="","",DATEDIF(E1490,DATE(2026,12,31),"Y"))</f>
        <v/>
      </c>
      <c r="G1490" s="9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  <c r="R1490" s="9" t="n"/>
      <c r="S1490" s="9" t="n"/>
      <c r="T1490" s="9" t="n"/>
      <c r="U1490" s="9" t="n"/>
      <c r="V1490" s="9" t="n"/>
      <c r="W1490" s="9" t="n"/>
      <c r="X1490" s="9" t="n"/>
      <c r="Y1490" s="9" t="n"/>
      <c r="Z1490" s="9" t="n"/>
    </row>
    <row r="1491" ht="14.25" customHeight="1" s="37">
      <c r="A1491" s="9">
        <f>IF(C1491="","","UM"&amp;TEXT(ROW()-1,"00000"))</f>
        <v/>
      </c>
      <c r="B1491" s="9" t="n"/>
      <c r="C1491" s="9" t="n"/>
      <c r="D1491" s="9" t="n"/>
      <c r="E1491" s="9" t="n"/>
      <c r="F1491" s="9">
        <f>IF(E1491="","",DATEDIF(E1491,DATE(2026,12,31),"Y"))</f>
        <v/>
      </c>
      <c r="G1491" s="9" t="n"/>
      <c r="H1491" s="9" t="n"/>
      <c r="I1491" s="9" t="n"/>
      <c r="J1491" s="9" t="n"/>
      <c r="K1491" s="9" t="n"/>
      <c r="L1491" s="9" t="n"/>
      <c r="M1491" s="9" t="n"/>
      <c r="N1491" s="9" t="n"/>
      <c r="O1491" s="9" t="n"/>
      <c r="P1491" s="9" t="n"/>
      <c r="Q1491" s="9" t="n"/>
      <c r="R1491" s="9" t="n"/>
      <c r="S1491" s="9" t="n"/>
      <c r="T1491" s="9" t="n"/>
      <c r="U1491" s="9" t="n"/>
      <c r="V1491" s="9" t="n"/>
      <c r="W1491" s="9" t="n"/>
      <c r="X1491" s="9" t="n"/>
      <c r="Y1491" s="9" t="n"/>
      <c r="Z1491" s="9" t="n"/>
    </row>
    <row r="1492" ht="14.25" customHeight="1" s="37">
      <c r="A1492" s="9">
        <f>IF(C1492="","","UM"&amp;TEXT(ROW()-1,"00000"))</f>
        <v/>
      </c>
      <c r="B1492" s="9" t="n"/>
      <c r="C1492" s="9" t="n"/>
      <c r="D1492" s="9" t="n"/>
      <c r="E1492" s="9" t="n"/>
      <c r="F1492" s="9">
        <f>IF(E1492="","",DATEDIF(E1492,DATE(2026,12,31),"Y"))</f>
        <v/>
      </c>
      <c r="G1492" s="9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  <c r="R1492" s="9" t="n"/>
      <c r="S1492" s="9" t="n"/>
      <c r="T1492" s="9" t="n"/>
      <c r="U1492" s="9" t="n"/>
      <c r="V1492" s="9" t="n"/>
      <c r="W1492" s="9" t="n"/>
      <c r="X1492" s="9" t="n"/>
      <c r="Y1492" s="9" t="n"/>
      <c r="Z1492" s="9" t="n"/>
    </row>
    <row r="1493" ht="14.25" customHeight="1" s="37">
      <c r="A1493" s="9">
        <f>IF(C1493="","","UM"&amp;TEXT(ROW()-1,"00000"))</f>
        <v/>
      </c>
      <c r="B1493" s="9" t="n"/>
      <c r="C1493" s="9" t="n"/>
      <c r="D1493" s="9" t="n"/>
      <c r="E1493" s="9" t="n"/>
      <c r="F1493" s="9">
        <f>IF(E1493="","",DATEDIF(E1493,DATE(2026,12,31),"Y"))</f>
        <v/>
      </c>
      <c r="G1493" s="9" t="n"/>
      <c r="H1493" s="9" t="n"/>
      <c r="I1493" s="9" t="n"/>
      <c r="J1493" s="9" t="n"/>
      <c r="K1493" s="9" t="n"/>
      <c r="L1493" s="9" t="n"/>
      <c r="M1493" s="9" t="n"/>
      <c r="N1493" s="9" t="n"/>
      <c r="O1493" s="9" t="n"/>
      <c r="P1493" s="9" t="n"/>
      <c r="Q1493" s="9" t="n"/>
      <c r="R1493" s="9" t="n"/>
      <c r="S1493" s="9" t="n"/>
      <c r="T1493" s="9" t="n"/>
      <c r="U1493" s="9" t="n"/>
      <c r="V1493" s="9" t="n"/>
      <c r="W1493" s="9" t="n"/>
      <c r="X1493" s="9" t="n"/>
      <c r="Y1493" s="9" t="n"/>
      <c r="Z1493" s="9" t="n"/>
    </row>
    <row r="1494" ht="14.25" customHeight="1" s="37">
      <c r="A1494" s="9">
        <f>IF(C1494="","","UM"&amp;TEXT(ROW()-1,"00000"))</f>
        <v/>
      </c>
      <c r="B1494" s="9" t="n"/>
      <c r="C1494" s="9" t="n"/>
      <c r="D1494" s="9" t="n"/>
      <c r="E1494" s="9" t="n"/>
      <c r="F1494" s="9">
        <f>IF(E1494="","",DATEDIF(E1494,DATE(2026,12,31),"Y"))</f>
        <v/>
      </c>
      <c r="G1494" s="9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  <c r="R1494" s="9" t="n"/>
      <c r="S1494" s="9" t="n"/>
      <c r="T1494" s="9" t="n"/>
      <c r="U1494" s="9" t="n"/>
      <c r="V1494" s="9" t="n"/>
      <c r="W1494" s="9" t="n"/>
      <c r="X1494" s="9" t="n"/>
      <c r="Y1494" s="9" t="n"/>
      <c r="Z1494" s="9" t="n"/>
    </row>
    <row r="1495" ht="14.25" customHeight="1" s="37">
      <c r="A1495" s="9">
        <f>IF(C1495="","","UM"&amp;TEXT(ROW()-1,"00000"))</f>
        <v/>
      </c>
      <c r="B1495" s="9" t="n"/>
      <c r="C1495" s="9" t="n"/>
      <c r="D1495" s="9" t="n"/>
      <c r="E1495" s="9" t="n"/>
      <c r="F1495" s="9">
        <f>IF(E1495="","",DATEDIF(E1495,DATE(2026,12,31),"Y"))</f>
        <v/>
      </c>
      <c r="G1495" s="9" t="n"/>
      <c r="H1495" s="9" t="n"/>
      <c r="I1495" s="9" t="n"/>
      <c r="J1495" s="9" t="n"/>
      <c r="K1495" s="9" t="n"/>
      <c r="L1495" s="9" t="n"/>
      <c r="M1495" s="9" t="n"/>
      <c r="N1495" s="9" t="n"/>
      <c r="O1495" s="9" t="n"/>
      <c r="P1495" s="9" t="n"/>
      <c r="Q1495" s="9" t="n"/>
      <c r="R1495" s="9" t="n"/>
      <c r="S1495" s="9" t="n"/>
      <c r="T1495" s="9" t="n"/>
      <c r="U1495" s="9" t="n"/>
      <c r="V1495" s="9" t="n"/>
      <c r="W1495" s="9" t="n"/>
      <c r="X1495" s="9" t="n"/>
      <c r="Y1495" s="9" t="n"/>
      <c r="Z1495" s="9" t="n"/>
    </row>
    <row r="1496" ht="14.25" customHeight="1" s="37">
      <c r="A1496" s="9">
        <f>IF(C1496="","","UM"&amp;TEXT(ROW()-1,"00000"))</f>
        <v/>
      </c>
      <c r="B1496" s="9" t="n"/>
      <c r="C1496" s="9" t="n"/>
      <c r="D1496" s="9" t="n"/>
      <c r="E1496" s="9" t="n"/>
      <c r="F1496" s="9">
        <f>IF(E1496="","",DATEDIF(E1496,DATE(2026,12,31),"Y"))</f>
        <v/>
      </c>
      <c r="G1496" s="9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  <c r="R1496" s="9" t="n"/>
      <c r="S1496" s="9" t="n"/>
      <c r="T1496" s="9" t="n"/>
      <c r="U1496" s="9" t="n"/>
      <c r="V1496" s="9" t="n"/>
      <c r="W1496" s="9" t="n"/>
      <c r="X1496" s="9" t="n"/>
      <c r="Y1496" s="9" t="n"/>
      <c r="Z1496" s="9" t="n"/>
    </row>
    <row r="1497" ht="14.25" customHeight="1" s="37">
      <c r="A1497" s="9">
        <f>IF(C1497="","","UM"&amp;TEXT(ROW()-1,"00000"))</f>
        <v/>
      </c>
      <c r="B1497" s="9" t="n"/>
      <c r="C1497" s="9" t="n"/>
      <c r="D1497" s="9" t="n"/>
      <c r="E1497" s="9" t="n"/>
      <c r="F1497" s="9">
        <f>IF(E1497="","",DATEDIF(E1497,DATE(2026,12,31),"Y"))</f>
        <v/>
      </c>
      <c r="G1497" s="9" t="n"/>
      <c r="H1497" s="9" t="n"/>
      <c r="I1497" s="9" t="n"/>
      <c r="J1497" s="9" t="n"/>
      <c r="K1497" s="9" t="n"/>
      <c r="L1497" s="9" t="n"/>
      <c r="M1497" s="9" t="n"/>
      <c r="N1497" s="9" t="n"/>
      <c r="O1497" s="9" t="n"/>
      <c r="P1497" s="9" t="n"/>
      <c r="Q1497" s="9" t="n"/>
      <c r="R1497" s="9" t="n"/>
      <c r="S1497" s="9" t="n"/>
      <c r="T1497" s="9" t="n"/>
      <c r="U1497" s="9" t="n"/>
      <c r="V1497" s="9" t="n"/>
      <c r="W1497" s="9" t="n"/>
      <c r="X1497" s="9" t="n"/>
      <c r="Y1497" s="9" t="n"/>
      <c r="Z1497" s="9" t="n"/>
    </row>
    <row r="1498" ht="14.25" customHeight="1" s="37">
      <c r="A1498" s="9">
        <f>IF(C1498="","","UM"&amp;TEXT(ROW()-1,"00000"))</f>
        <v/>
      </c>
      <c r="B1498" s="9" t="n"/>
      <c r="C1498" s="9" t="n"/>
      <c r="D1498" s="9" t="n"/>
      <c r="E1498" s="9" t="n"/>
      <c r="F1498" s="9">
        <f>IF(E1498="","",DATEDIF(E1498,DATE(2026,12,31),"Y"))</f>
        <v/>
      </c>
      <c r="G1498" s="9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  <c r="R1498" s="9" t="n"/>
      <c r="S1498" s="9" t="n"/>
      <c r="T1498" s="9" t="n"/>
      <c r="U1498" s="9" t="n"/>
      <c r="V1498" s="9" t="n"/>
      <c r="W1498" s="9" t="n"/>
      <c r="X1498" s="9" t="n"/>
      <c r="Y1498" s="9" t="n"/>
      <c r="Z1498" s="9" t="n"/>
    </row>
    <row r="1499" ht="14.25" customHeight="1" s="37">
      <c r="A1499" s="9">
        <f>IF(C1499="","","UM"&amp;TEXT(ROW()-1,"00000"))</f>
        <v/>
      </c>
      <c r="B1499" s="9" t="n"/>
      <c r="C1499" s="9" t="n"/>
      <c r="D1499" s="9" t="n"/>
      <c r="E1499" s="9" t="n"/>
      <c r="F1499" s="9">
        <f>IF(E1499="","",DATEDIF(E1499,DATE(2026,12,31),"Y"))</f>
        <v/>
      </c>
      <c r="G1499" s="9" t="n"/>
      <c r="H1499" s="9" t="n"/>
      <c r="I1499" s="9" t="n"/>
      <c r="J1499" s="9" t="n"/>
      <c r="K1499" s="9" t="n"/>
      <c r="L1499" s="9" t="n"/>
      <c r="M1499" s="9" t="n"/>
      <c r="N1499" s="9" t="n"/>
      <c r="O1499" s="9" t="n"/>
      <c r="P1499" s="9" t="n"/>
      <c r="Q1499" s="9" t="n"/>
      <c r="R1499" s="9" t="n"/>
      <c r="S1499" s="9" t="n"/>
      <c r="T1499" s="9" t="n"/>
      <c r="U1499" s="9" t="n"/>
      <c r="V1499" s="9" t="n"/>
      <c r="W1499" s="9" t="n"/>
      <c r="X1499" s="9" t="n"/>
      <c r="Y1499" s="9" t="n"/>
      <c r="Z1499" s="9" t="n"/>
    </row>
    <row r="1500" ht="14.25" customHeight="1" s="37">
      <c r="A1500" s="9">
        <f>IF(C1500="","","UM"&amp;TEXT(ROW()-1,"00000"))</f>
        <v/>
      </c>
      <c r="B1500" s="9" t="n"/>
      <c r="C1500" s="9" t="n"/>
      <c r="D1500" s="9" t="n"/>
      <c r="E1500" s="9" t="n"/>
      <c r="F1500" s="9">
        <f>IF(E1500="","",DATEDIF(E1500,DATE(2026,12,31),"Y"))</f>
        <v/>
      </c>
      <c r="G1500" s="9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  <c r="R1500" s="9" t="n"/>
      <c r="S1500" s="9" t="n"/>
      <c r="T1500" s="9" t="n"/>
      <c r="U1500" s="9" t="n"/>
      <c r="V1500" s="9" t="n"/>
      <c r="W1500" s="9" t="n"/>
      <c r="X1500" s="9" t="n"/>
      <c r="Y1500" s="9" t="n"/>
      <c r="Z1500" s="9" t="n"/>
    </row>
    <row r="1501" ht="14.25" customHeight="1" s="37">
      <c r="A1501" s="9">
        <f>IF(C1501="","","UM"&amp;TEXT(ROW()-1,"00000"))</f>
        <v/>
      </c>
      <c r="B1501" s="9" t="n"/>
      <c r="C1501" s="9" t="n"/>
      <c r="D1501" s="9" t="n"/>
      <c r="E1501" s="9" t="n"/>
      <c r="F1501" s="9">
        <f>IF(E1501="","",DATEDIF(E1501,DATE(2026,12,31),"Y"))</f>
        <v/>
      </c>
      <c r="G1501" s="9" t="n"/>
      <c r="H1501" s="9" t="n"/>
      <c r="I1501" s="9" t="n"/>
      <c r="J1501" s="9" t="n"/>
      <c r="K1501" s="9" t="n"/>
      <c r="L1501" s="9" t="n"/>
      <c r="M1501" s="9" t="n"/>
      <c r="N1501" s="9" t="n"/>
      <c r="O1501" s="9" t="n"/>
      <c r="P1501" s="9" t="n"/>
      <c r="Q1501" s="9" t="n"/>
      <c r="R1501" s="9" t="n"/>
      <c r="S1501" s="9" t="n"/>
      <c r="T1501" s="9" t="n"/>
      <c r="U1501" s="9" t="n"/>
      <c r="V1501" s="9" t="n"/>
      <c r="W1501" s="9" t="n"/>
      <c r="X1501" s="9" t="n"/>
      <c r="Y1501" s="9" t="n"/>
      <c r="Z1501" s="9" t="n"/>
    </row>
    <row r="1502" ht="14.25" customHeight="1" s="37">
      <c r="A1502" s="9">
        <f>IF(C1502="","","UM"&amp;TEXT(ROW()-1,"00000"))</f>
        <v/>
      </c>
      <c r="B1502" s="9" t="n"/>
      <c r="C1502" s="9" t="n"/>
      <c r="D1502" s="9" t="n"/>
      <c r="E1502" s="9" t="n"/>
      <c r="F1502" s="9">
        <f>IF(E1502="","",DATEDIF(E1502,DATE(2026,12,31),"Y"))</f>
        <v/>
      </c>
      <c r="G1502" s="9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  <c r="R1502" s="9" t="n"/>
      <c r="S1502" s="9" t="n"/>
      <c r="T1502" s="9" t="n"/>
      <c r="U1502" s="9" t="n"/>
      <c r="V1502" s="9" t="n"/>
      <c r="W1502" s="9" t="n"/>
      <c r="X1502" s="9" t="n"/>
      <c r="Y1502" s="9" t="n"/>
      <c r="Z1502" s="9" t="n"/>
    </row>
    <row r="1503" ht="14.25" customHeight="1" s="37">
      <c r="A1503" s="9">
        <f>IF(C1503="","","UM"&amp;TEXT(ROW()-1,"00000"))</f>
        <v/>
      </c>
      <c r="B1503" s="9" t="n"/>
      <c r="C1503" s="9" t="n"/>
      <c r="D1503" s="9" t="n"/>
      <c r="E1503" s="9" t="n"/>
      <c r="F1503" s="9">
        <f>IF(E1503="","",DATEDIF(E1503,DATE(2026,12,31),"Y"))</f>
        <v/>
      </c>
      <c r="G1503" s="9" t="n"/>
      <c r="H1503" s="9" t="n"/>
      <c r="I1503" s="9" t="n"/>
      <c r="J1503" s="9" t="n"/>
      <c r="K1503" s="9" t="n"/>
      <c r="L1503" s="9" t="n"/>
      <c r="M1503" s="9" t="n"/>
      <c r="N1503" s="9" t="n"/>
      <c r="O1503" s="9" t="n"/>
      <c r="P1503" s="9" t="n"/>
      <c r="Q1503" s="9" t="n"/>
      <c r="R1503" s="9" t="n"/>
      <c r="S1503" s="9" t="n"/>
      <c r="T1503" s="9" t="n"/>
      <c r="U1503" s="9" t="n"/>
      <c r="V1503" s="9" t="n"/>
      <c r="W1503" s="9" t="n"/>
      <c r="X1503" s="9" t="n"/>
      <c r="Y1503" s="9" t="n"/>
      <c r="Z1503" s="9" t="n"/>
    </row>
    <row r="1504" ht="14.25" customHeight="1" s="37">
      <c r="A1504" s="9">
        <f>IF(C1504="","","UM"&amp;TEXT(ROW()-1,"00000"))</f>
        <v/>
      </c>
      <c r="B1504" s="9" t="n"/>
      <c r="C1504" s="9" t="n"/>
      <c r="D1504" s="9" t="n"/>
      <c r="E1504" s="9" t="n"/>
      <c r="F1504" s="9">
        <f>IF(E1504="","",DATEDIF(E1504,DATE(2026,12,31),"Y"))</f>
        <v/>
      </c>
      <c r="G1504" s="9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  <c r="R1504" s="9" t="n"/>
      <c r="S1504" s="9" t="n"/>
      <c r="T1504" s="9" t="n"/>
      <c r="U1504" s="9" t="n"/>
      <c r="V1504" s="9" t="n"/>
      <c r="W1504" s="9" t="n"/>
      <c r="X1504" s="9" t="n"/>
      <c r="Y1504" s="9" t="n"/>
      <c r="Z1504" s="9" t="n"/>
    </row>
    <row r="1505" ht="14.25" customHeight="1" s="37">
      <c r="A1505" s="9">
        <f>IF(C1505="","","UM"&amp;TEXT(ROW()-1,"00000"))</f>
        <v/>
      </c>
      <c r="B1505" s="9" t="n"/>
      <c r="C1505" s="9" t="n"/>
      <c r="D1505" s="9" t="n"/>
      <c r="E1505" s="9" t="n"/>
      <c r="F1505" s="9">
        <f>IF(E1505="","",DATEDIF(E1505,DATE(2026,12,31),"Y"))</f>
        <v/>
      </c>
      <c r="G1505" s="9" t="n"/>
      <c r="H1505" s="9" t="n"/>
      <c r="I1505" s="9" t="n"/>
      <c r="J1505" s="9" t="n"/>
      <c r="K1505" s="9" t="n"/>
      <c r="L1505" s="9" t="n"/>
      <c r="M1505" s="9" t="n"/>
      <c r="N1505" s="9" t="n"/>
      <c r="O1505" s="9" t="n"/>
      <c r="P1505" s="9" t="n"/>
      <c r="Q1505" s="9" t="n"/>
      <c r="R1505" s="9" t="n"/>
      <c r="S1505" s="9" t="n"/>
      <c r="T1505" s="9" t="n"/>
      <c r="U1505" s="9" t="n"/>
      <c r="V1505" s="9" t="n"/>
      <c r="W1505" s="9" t="n"/>
      <c r="X1505" s="9" t="n"/>
      <c r="Y1505" s="9" t="n"/>
      <c r="Z1505" s="9" t="n"/>
    </row>
    <row r="1506" ht="14.25" customHeight="1" s="37">
      <c r="A1506" s="9">
        <f>IF(C1506="","","UM"&amp;TEXT(ROW()-1,"00000"))</f>
        <v/>
      </c>
      <c r="B1506" s="9" t="n"/>
      <c r="C1506" s="9" t="n"/>
      <c r="D1506" s="9" t="n"/>
      <c r="E1506" s="9" t="n"/>
      <c r="F1506" s="9">
        <f>IF(E1506="","",DATEDIF(E1506,DATE(2026,12,31),"Y"))</f>
        <v/>
      </c>
      <c r="G1506" s="9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  <c r="R1506" s="9" t="n"/>
      <c r="S1506" s="9" t="n"/>
      <c r="T1506" s="9" t="n"/>
      <c r="U1506" s="9" t="n"/>
      <c r="V1506" s="9" t="n"/>
      <c r="W1506" s="9" t="n"/>
      <c r="X1506" s="9" t="n"/>
      <c r="Y1506" s="9" t="n"/>
      <c r="Z1506" s="9" t="n"/>
    </row>
    <row r="1507" ht="14.25" customHeight="1" s="37">
      <c r="A1507" s="9">
        <f>IF(C1507="","","UM"&amp;TEXT(ROW()-1,"00000"))</f>
        <v/>
      </c>
      <c r="B1507" s="9" t="n"/>
      <c r="C1507" s="9" t="n"/>
      <c r="D1507" s="9" t="n"/>
      <c r="E1507" s="9" t="n"/>
      <c r="F1507" s="9">
        <f>IF(E1507="","",DATEDIF(E1507,DATE(2026,12,31),"Y"))</f>
        <v/>
      </c>
      <c r="G1507" s="9" t="n"/>
      <c r="H1507" s="9" t="n"/>
      <c r="I1507" s="9" t="n"/>
      <c r="J1507" s="9" t="n"/>
      <c r="K1507" s="9" t="n"/>
      <c r="L1507" s="9" t="n"/>
      <c r="M1507" s="9" t="n"/>
      <c r="N1507" s="9" t="n"/>
      <c r="O1507" s="9" t="n"/>
      <c r="P1507" s="9" t="n"/>
      <c r="Q1507" s="9" t="n"/>
      <c r="R1507" s="9" t="n"/>
      <c r="S1507" s="9" t="n"/>
      <c r="T1507" s="9" t="n"/>
      <c r="U1507" s="9" t="n"/>
      <c r="V1507" s="9" t="n"/>
      <c r="W1507" s="9" t="n"/>
      <c r="X1507" s="9" t="n"/>
      <c r="Y1507" s="9" t="n"/>
      <c r="Z1507" s="9" t="n"/>
    </row>
    <row r="1508" ht="14.25" customHeight="1" s="37">
      <c r="A1508" s="9">
        <f>IF(C1508="","","UM"&amp;TEXT(ROW()-1,"00000"))</f>
        <v/>
      </c>
      <c r="B1508" s="9" t="n"/>
      <c r="C1508" s="9" t="n"/>
      <c r="D1508" s="9" t="n"/>
      <c r="E1508" s="9" t="n"/>
      <c r="F1508" s="9">
        <f>IF(E1508="","",DATEDIF(E1508,DATE(2026,12,31),"Y"))</f>
        <v/>
      </c>
      <c r="G1508" s="9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  <c r="R1508" s="9" t="n"/>
      <c r="S1508" s="9" t="n"/>
      <c r="T1508" s="9" t="n"/>
      <c r="U1508" s="9" t="n"/>
      <c r="V1508" s="9" t="n"/>
      <c r="W1508" s="9" t="n"/>
      <c r="X1508" s="9" t="n"/>
      <c r="Y1508" s="9" t="n"/>
      <c r="Z1508" s="9" t="n"/>
    </row>
    <row r="1509" ht="14.25" customHeight="1" s="37">
      <c r="A1509" s="9">
        <f>IF(C1509="","","UM"&amp;TEXT(ROW()-1,"00000"))</f>
        <v/>
      </c>
      <c r="B1509" s="9" t="n"/>
      <c r="C1509" s="9" t="n"/>
      <c r="D1509" s="9" t="n"/>
      <c r="E1509" s="9" t="n"/>
      <c r="F1509" s="9">
        <f>IF(E1509="","",DATEDIF(E1509,DATE(2026,12,31),"Y"))</f>
        <v/>
      </c>
      <c r="G1509" s="9" t="n"/>
      <c r="H1509" s="9" t="n"/>
      <c r="I1509" s="9" t="n"/>
      <c r="J1509" s="9" t="n"/>
      <c r="K1509" s="9" t="n"/>
      <c r="L1509" s="9" t="n"/>
      <c r="M1509" s="9" t="n"/>
      <c r="N1509" s="9" t="n"/>
      <c r="O1509" s="9" t="n"/>
      <c r="P1509" s="9" t="n"/>
      <c r="Q1509" s="9" t="n"/>
      <c r="R1509" s="9" t="n"/>
      <c r="S1509" s="9" t="n"/>
      <c r="T1509" s="9" t="n"/>
      <c r="U1509" s="9" t="n"/>
      <c r="V1509" s="9" t="n"/>
      <c r="W1509" s="9" t="n"/>
      <c r="X1509" s="9" t="n"/>
      <c r="Y1509" s="9" t="n"/>
      <c r="Z1509" s="9" t="n"/>
    </row>
    <row r="1510" ht="14.25" customHeight="1" s="37">
      <c r="A1510" s="9">
        <f>IF(C1510="","","UM"&amp;TEXT(ROW()-1,"00000"))</f>
        <v/>
      </c>
      <c r="B1510" s="9" t="n"/>
      <c r="C1510" s="9" t="n"/>
      <c r="D1510" s="9" t="n"/>
      <c r="E1510" s="9" t="n"/>
      <c r="F1510" s="9">
        <f>IF(E1510="","",DATEDIF(E1510,DATE(2026,12,31),"Y"))</f>
        <v/>
      </c>
      <c r="G1510" s="9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  <c r="R1510" s="9" t="n"/>
      <c r="S1510" s="9" t="n"/>
      <c r="T1510" s="9" t="n"/>
      <c r="U1510" s="9" t="n"/>
      <c r="V1510" s="9" t="n"/>
      <c r="W1510" s="9" t="n"/>
      <c r="X1510" s="9" t="n"/>
      <c r="Y1510" s="9" t="n"/>
      <c r="Z1510" s="9" t="n"/>
    </row>
    <row r="1511" ht="14.25" customHeight="1" s="37">
      <c r="A1511" s="9">
        <f>IF(C1511="","","UM"&amp;TEXT(ROW()-1,"00000"))</f>
        <v/>
      </c>
      <c r="B1511" s="9" t="n"/>
      <c r="C1511" s="9" t="n"/>
      <c r="D1511" s="9" t="n"/>
      <c r="E1511" s="9" t="n"/>
      <c r="F1511" s="9">
        <f>IF(E1511="","",DATEDIF(E1511,DATE(2026,12,31),"Y"))</f>
        <v/>
      </c>
      <c r="G1511" s="9" t="n"/>
      <c r="H1511" s="9" t="n"/>
      <c r="I1511" s="9" t="n"/>
      <c r="J1511" s="9" t="n"/>
      <c r="K1511" s="9" t="n"/>
      <c r="L1511" s="9" t="n"/>
      <c r="M1511" s="9" t="n"/>
      <c r="N1511" s="9" t="n"/>
      <c r="O1511" s="9" t="n"/>
      <c r="P1511" s="9" t="n"/>
      <c r="Q1511" s="9" t="n"/>
      <c r="R1511" s="9" t="n"/>
      <c r="S1511" s="9" t="n"/>
      <c r="T1511" s="9" t="n"/>
      <c r="U1511" s="9" t="n"/>
      <c r="V1511" s="9" t="n"/>
      <c r="W1511" s="9" t="n"/>
      <c r="X1511" s="9" t="n"/>
      <c r="Y1511" s="9" t="n"/>
      <c r="Z1511" s="9" t="n"/>
    </row>
    <row r="1512" ht="14.25" customHeight="1" s="37">
      <c r="A1512" s="9">
        <f>IF(C1512="","","UM"&amp;TEXT(ROW()-1,"00000"))</f>
        <v/>
      </c>
      <c r="B1512" s="9" t="n"/>
      <c r="C1512" s="9" t="n"/>
      <c r="D1512" s="9" t="n"/>
      <c r="E1512" s="9" t="n"/>
      <c r="F1512" s="9">
        <f>IF(E1512="","",DATEDIF(E1512,DATE(2026,12,31),"Y"))</f>
        <v/>
      </c>
      <c r="G1512" s="9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  <c r="R1512" s="9" t="n"/>
      <c r="S1512" s="9" t="n"/>
      <c r="T1512" s="9" t="n"/>
      <c r="U1512" s="9" t="n"/>
      <c r="V1512" s="9" t="n"/>
      <c r="W1512" s="9" t="n"/>
      <c r="X1512" s="9" t="n"/>
      <c r="Y1512" s="9" t="n"/>
      <c r="Z1512" s="9" t="n"/>
    </row>
    <row r="1513" ht="14.25" customHeight="1" s="37">
      <c r="A1513" s="9">
        <f>IF(C1513="","","UM"&amp;TEXT(ROW()-1,"00000"))</f>
        <v/>
      </c>
      <c r="B1513" s="9" t="n"/>
      <c r="C1513" s="9" t="n"/>
      <c r="D1513" s="9" t="n"/>
      <c r="E1513" s="9" t="n"/>
      <c r="F1513" s="9">
        <f>IF(E1513="","",DATEDIF(E1513,DATE(2026,12,31),"Y"))</f>
        <v/>
      </c>
      <c r="G1513" s="9" t="n"/>
      <c r="H1513" s="9" t="n"/>
      <c r="I1513" s="9" t="n"/>
      <c r="J1513" s="9" t="n"/>
      <c r="K1513" s="9" t="n"/>
      <c r="L1513" s="9" t="n"/>
      <c r="M1513" s="9" t="n"/>
      <c r="N1513" s="9" t="n"/>
      <c r="O1513" s="9" t="n"/>
      <c r="P1513" s="9" t="n"/>
      <c r="Q1513" s="9" t="n"/>
      <c r="R1513" s="9" t="n"/>
      <c r="S1513" s="9" t="n"/>
      <c r="T1513" s="9" t="n"/>
      <c r="U1513" s="9" t="n"/>
      <c r="V1513" s="9" t="n"/>
      <c r="W1513" s="9" t="n"/>
      <c r="X1513" s="9" t="n"/>
      <c r="Y1513" s="9" t="n"/>
      <c r="Z1513" s="9" t="n"/>
    </row>
    <row r="1514" ht="14.25" customHeight="1" s="37">
      <c r="A1514" s="9">
        <f>IF(C1514="","","UM"&amp;TEXT(ROW()-1,"00000"))</f>
        <v/>
      </c>
      <c r="B1514" s="9" t="n"/>
      <c r="C1514" s="9" t="n"/>
      <c r="D1514" s="9" t="n"/>
      <c r="E1514" s="9" t="n"/>
      <c r="F1514" s="9">
        <f>IF(E1514="","",DATEDIF(E1514,DATE(2026,12,31),"Y"))</f>
        <v/>
      </c>
      <c r="G1514" s="9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  <c r="R1514" s="9" t="n"/>
      <c r="S1514" s="9" t="n"/>
      <c r="T1514" s="9" t="n"/>
      <c r="U1514" s="9" t="n"/>
      <c r="V1514" s="9" t="n"/>
      <c r="W1514" s="9" t="n"/>
      <c r="X1514" s="9" t="n"/>
      <c r="Y1514" s="9" t="n"/>
      <c r="Z1514" s="9" t="n"/>
    </row>
    <row r="1515" ht="14.25" customHeight="1" s="37">
      <c r="A1515" s="9">
        <f>IF(C1515="","","UM"&amp;TEXT(ROW()-1,"00000"))</f>
        <v/>
      </c>
      <c r="B1515" s="9" t="n"/>
      <c r="C1515" s="9" t="n"/>
      <c r="D1515" s="9" t="n"/>
      <c r="E1515" s="9" t="n"/>
      <c r="F1515" s="9">
        <f>IF(E1515="","",DATEDIF(E1515,DATE(2026,12,31),"Y"))</f>
        <v/>
      </c>
      <c r="G1515" s="9" t="n"/>
      <c r="H1515" s="9" t="n"/>
      <c r="I1515" s="9" t="n"/>
      <c r="J1515" s="9" t="n"/>
      <c r="K1515" s="9" t="n"/>
      <c r="L1515" s="9" t="n"/>
      <c r="M1515" s="9" t="n"/>
      <c r="N1515" s="9" t="n"/>
      <c r="O1515" s="9" t="n"/>
      <c r="P1515" s="9" t="n"/>
      <c r="Q1515" s="9" t="n"/>
      <c r="R1515" s="9" t="n"/>
      <c r="S1515" s="9" t="n"/>
      <c r="T1515" s="9" t="n"/>
      <c r="U1515" s="9" t="n"/>
      <c r="V1515" s="9" t="n"/>
      <c r="W1515" s="9" t="n"/>
      <c r="X1515" s="9" t="n"/>
      <c r="Y1515" s="9" t="n"/>
      <c r="Z1515" s="9" t="n"/>
    </row>
    <row r="1516" ht="14.25" customHeight="1" s="37">
      <c r="A1516" s="9">
        <f>IF(C1516="","","UM"&amp;TEXT(ROW()-1,"00000"))</f>
        <v/>
      </c>
      <c r="B1516" s="9" t="n"/>
      <c r="C1516" s="9" t="n"/>
      <c r="D1516" s="9" t="n"/>
      <c r="E1516" s="9" t="n"/>
      <c r="F1516" s="9">
        <f>IF(E1516="","",DATEDIF(E1516,DATE(2026,12,31),"Y"))</f>
        <v/>
      </c>
      <c r="G1516" s="9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  <c r="R1516" s="9" t="n"/>
      <c r="S1516" s="9" t="n"/>
      <c r="T1516" s="9" t="n"/>
      <c r="U1516" s="9" t="n"/>
      <c r="V1516" s="9" t="n"/>
      <c r="W1516" s="9" t="n"/>
      <c r="X1516" s="9" t="n"/>
      <c r="Y1516" s="9" t="n"/>
      <c r="Z1516" s="9" t="n"/>
    </row>
    <row r="1517" ht="14.25" customHeight="1" s="37">
      <c r="A1517" s="9">
        <f>IF(C1517="","","UM"&amp;TEXT(ROW()-1,"00000"))</f>
        <v/>
      </c>
      <c r="B1517" s="9" t="n"/>
      <c r="C1517" s="9" t="n"/>
      <c r="D1517" s="9" t="n"/>
      <c r="E1517" s="9" t="n"/>
      <c r="F1517" s="9">
        <f>IF(E1517="","",DATEDIF(E1517,DATE(2026,12,31),"Y"))</f>
        <v/>
      </c>
      <c r="G1517" s="9" t="n"/>
      <c r="H1517" s="9" t="n"/>
      <c r="I1517" s="9" t="n"/>
      <c r="J1517" s="9" t="n"/>
      <c r="K1517" s="9" t="n"/>
      <c r="L1517" s="9" t="n"/>
      <c r="M1517" s="9" t="n"/>
      <c r="N1517" s="9" t="n"/>
      <c r="O1517" s="9" t="n"/>
      <c r="P1517" s="9" t="n"/>
      <c r="Q1517" s="9" t="n"/>
      <c r="R1517" s="9" t="n"/>
      <c r="S1517" s="9" t="n"/>
      <c r="T1517" s="9" t="n"/>
      <c r="U1517" s="9" t="n"/>
      <c r="V1517" s="9" t="n"/>
      <c r="W1517" s="9" t="n"/>
      <c r="X1517" s="9" t="n"/>
      <c r="Y1517" s="9" t="n"/>
      <c r="Z1517" s="9" t="n"/>
    </row>
    <row r="1518" ht="14.25" customHeight="1" s="37">
      <c r="A1518" s="9">
        <f>IF(C1518="","","UM"&amp;TEXT(ROW()-1,"00000"))</f>
        <v/>
      </c>
      <c r="B1518" s="9" t="n"/>
      <c r="C1518" s="9" t="n"/>
      <c r="D1518" s="9" t="n"/>
      <c r="E1518" s="9" t="n"/>
      <c r="F1518" s="9">
        <f>IF(E1518="","",DATEDIF(E1518,DATE(2026,12,31),"Y"))</f>
        <v/>
      </c>
      <c r="G1518" s="9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  <c r="R1518" s="9" t="n"/>
      <c r="S1518" s="9" t="n"/>
      <c r="T1518" s="9" t="n"/>
      <c r="U1518" s="9" t="n"/>
      <c r="V1518" s="9" t="n"/>
      <c r="W1518" s="9" t="n"/>
      <c r="X1518" s="9" t="n"/>
      <c r="Y1518" s="9" t="n"/>
      <c r="Z1518" s="9" t="n"/>
    </row>
    <row r="1519" ht="14.25" customHeight="1" s="37">
      <c r="A1519" s="9">
        <f>IF(C1519="","","UM"&amp;TEXT(ROW()-1,"00000"))</f>
        <v/>
      </c>
      <c r="B1519" s="9" t="n"/>
      <c r="C1519" s="9" t="n"/>
      <c r="D1519" s="9" t="n"/>
      <c r="E1519" s="9" t="n"/>
      <c r="F1519" s="9">
        <f>IF(E1519="","",DATEDIF(E1519,DATE(2026,12,31),"Y"))</f>
        <v/>
      </c>
      <c r="G1519" s="9" t="n"/>
      <c r="H1519" s="9" t="n"/>
      <c r="I1519" s="9" t="n"/>
      <c r="J1519" s="9" t="n"/>
      <c r="K1519" s="9" t="n"/>
      <c r="L1519" s="9" t="n"/>
      <c r="M1519" s="9" t="n"/>
      <c r="N1519" s="9" t="n"/>
      <c r="O1519" s="9" t="n"/>
      <c r="P1519" s="9" t="n"/>
      <c r="Q1519" s="9" t="n"/>
      <c r="R1519" s="9" t="n"/>
      <c r="S1519" s="9" t="n"/>
      <c r="T1519" s="9" t="n"/>
      <c r="U1519" s="9" t="n"/>
      <c r="V1519" s="9" t="n"/>
      <c r="W1519" s="9" t="n"/>
      <c r="X1519" s="9" t="n"/>
      <c r="Y1519" s="9" t="n"/>
      <c r="Z1519" s="9" t="n"/>
    </row>
    <row r="1520" ht="14.25" customHeight="1" s="37">
      <c r="A1520" s="9">
        <f>IF(C1520="","","UM"&amp;TEXT(ROW()-1,"00000"))</f>
        <v/>
      </c>
      <c r="B1520" s="9" t="n"/>
      <c r="C1520" s="9" t="n"/>
      <c r="D1520" s="9" t="n"/>
      <c r="E1520" s="9" t="n"/>
      <c r="F1520" s="9">
        <f>IF(E1520="","",DATEDIF(E1520,DATE(2026,12,31),"Y"))</f>
        <v/>
      </c>
      <c r="G1520" s="9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  <c r="R1520" s="9" t="n"/>
      <c r="S1520" s="9" t="n"/>
      <c r="T1520" s="9" t="n"/>
      <c r="U1520" s="9" t="n"/>
      <c r="V1520" s="9" t="n"/>
      <c r="W1520" s="9" t="n"/>
      <c r="X1520" s="9" t="n"/>
      <c r="Y1520" s="9" t="n"/>
      <c r="Z1520" s="9" t="n"/>
    </row>
    <row r="1521" ht="14.25" customHeight="1" s="37">
      <c r="A1521" s="9">
        <f>IF(C1521="","","UM"&amp;TEXT(ROW()-1,"00000"))</f>
        <v/>
      </c>
      <c r="B1521" s="9" t="n"/>
      <c r="C1521" s="9" t="n"/>
      <c r="D1521" s="9" t="n"/>
      <c r="E1521" s="9" t="n"/>
      <c r="F1521" s="9">
        <f>IF(E1521="","",DATEDIF(E1521,DATE(2026,12,31),"Y"))</f>
        <v/>
      </c>
      <c r="G1521" s="9" t="n"/>
      <c r="H1521" s="9" t="n"/>
      <c r="I1521" s="9" t="n"/>
      <c r="J1521" s="9" t="n"/>
      <c r="K1521" s="9" t="n"/>
      <c r="L1521" s="9" t="n"/>
      <c r="M1521" s="9" t="n"/>
      <c r="N1521" s="9" t="n"/>
      <c r="O1521" s="9" t="n"/>
      <c r="P1521" s="9" t="n"/>
      <c r="Q1521" s="9" t="n"/>
      <c r="R1521" s="9" t="n"/>
      <c r="S1521" s="9" t="n"/>
      <c r="T1521" s="9" t="n"/>
      <c r="U1521" s="9" t="n"/>
      <c r="V1521" s="9" t="n"/>
      <c r="W1521" s="9" t="n"/>
      <c r="X1521" s="9" t="n"/>
      <c r="Y1521" s="9" t="n"/>
      <c r="Z1521" s="9" t="n"/>
    </row>
    <row r="1522" ht="14.25" customHeight="1" s="37">
      <c r="A1522" s="9">
        <f>IF(C1522="","","UM"&amp;TEXT(ROW()-1,"00000"))</f>
        <v/>
      </c>
      <c r="B1522" s="9" t="n"/>
      <c r="C1522" s="9" t="n"/>
      <c r="D1522" s="9" t="n"/>
      <c r="E1522" s="9" t="n"/>
      <c r="F1522" s="9">
        <f>IF(E1522="","",DATEDIF(E1522,DATE(2026,12,31),"Y"))</f>
        <v/>
      </c>
      <c r="G1522" s="9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  <c r="R1522" s="9" t="n"/>
      <c r="S1522" s="9" t="n"/>
      <c r="T1522" s="9" t="n"/>
      <c r="U1522" s="9" t="n"/>
      <c r="V1522" s="9" t="n"/>
      <c r="W1522" s="9" t="n"/>
      <c r="X1522" s="9" t="n"/>
      <c r="Y1522" s="9" t="n"/>
      <c r="Z1522" s="9" t="n"/>
    </row>
    <row r="1523" ht="14.25" customHeight="1" s="37">
      <c r="A1523" s="9">
        <f>IF(C1523="","","UM"&amp;TEXT(ROW()-1,"00000"))</f>
        <v/>
      </c>
      <c r="B1523" s="9" t="n"/>
      <c r="C1523" s="9" t="n"/>
      <c r="D1523" s="9" t="n"/>
      <c r="E1523" s="9" t="n"/>
      <c r="F1523" s="9">
        <f>IF(E1523="","",DATEDIF(E1523,DATE(2026,12,31),"Y"))</f>
        <v/>
      </c>
      <c r="G1523" s="9" t="n"/>
      <c r="H1523" s="9" t="n"/>
      <c r="I1523" s="9" t="n"/>
      <c r="J1523" s="9" t="n"/>
      <c r="K1523" s="9" t="n"/>
      <c r="L1523" s="9" t="n"/>
      <c r="M1523" s="9" t="n"/>
      <c r="N1523" s="9" t="n"/>
      <c r="O1523" s="9" t="n"/>
      <c r="P1523" s="9" t="n"/>
      <c r="Q1523" s="9" t="n"/>
      <c r="R1523" s="9" t="n"/>
      <c r="S1523" s="9" t="n"/>
      <c r="T1523" s="9" t="n"/>
      <c r="U1523" s="9" t="n"/>
      <c r="V1523" s="9" t="n"/>
      <c r="W1523" s="9" t="n"/>
      <c r="X1523" s="9" t="n"/>
      <c r="Y1523" s="9" t="n"/>
      <c r="Z1523" s="9" t="n"/>
    </row>
    <row r="1524" ht="14.25" customHeight="1" s="37">
      <c r="A1524" s="9">
        <f>IF(C1524="","","UM"&amp;TEXT(ROW()-1,"00000"))</f>
        <v/>
      </c>
      <c r="B1524" s="9" t="n"/>
      <c r="C1524" s="9" t="n"/>
      <c r="D1524" s="9" t="n"/>
      <c r="E1524" s="9" t="n"/>
      <c r="F1524" s="9">
        <f>IF(E1524="","",DATEDIF(E1524,DATE(2026,12,31),"Y"))</f>
        <v/>
      </c>
      <c r="G1524" s="9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  <c r="R1524" s="9" t="n"/>
      <c r="S1524" s="9" t="n"/>
      <c r="T1524" s="9" t="n"/>
      <c r="U1524" s="9" t="n"/>
      <c r="V1524" s="9" t="n"/>
      <c r="W1524" s="9" t="n"/>
      <c r="X1524" s="9" t="n"/>
      <c r="Y1524" s="9" t="n"/>
      <c r="Z1524" s="9" t="n"/>
    </row>
    <row r="1525" ht="14.25" customHeight="1" s="37">
      <c r="A1525" s="9">
        <f>IF(C1525="","","UM"&amp;TEXT(ROW()-1,"00000"))</f>
        <v/>
      </c>
      <c r="B1525" s="9" t="n"/>
      <c r="C1525" s="9" t="n"/>
      <c r="D1525" s="9" t="n"/>
      <c r="E1525" s="9" t="n"/>
      <c r="F1525" s="9">
        <f>IF(E1525="","",DATEDIF(E1525,DATE(2026,12,31),"Y"))</f>
        <v/>
      </c>
      <c r="G1525" s="9" t="n"/>
      <c r="H1525" s="9" t="n"/>
      <c r="I1525" s="9" t="n"/>
      <c r="J1525" s="9" t="n"/>
      <c r="K1525" s="9" t="n"/>
      <c r="L1525" s="9" t="n"/>
      <c r="M1525" s="9" t="n"/>
      <c r="N1525" s="9" t="n"/>
      <c r="O1525" s="9" t="n"/>
      <c r="P1525" s="9" t="n"/>
      <c r="Q1525" s="9" t="n"/>
      <c r="R1525" s="9" t="n"/>
      <c r="S1525" s="9" t="n"/>
      <c r="T1525" s="9" t="n"/>
      <c r="U1525" s="9" t="n"/>
      <c r="V1525" s="9" t="n"/>
      <c r="W1525" s="9" t="n"/>
      <c r="X1525" s="9" t="n"/>
      <c r="Y1525" s="9" t="n"/>
      <c r="Z1525" s="9" t="n"/>
    </row>
    <row r="1526" ht="14.25" customHeight="1" s="37">
      <c r="A1526" s="9">
        <f>IF(C1526="","","UM"&amp;TEXT(ROW()-1,"00000"))</f>
        <v/>
      </c>
      <c r="B1526" s="9" t="n"/>
      <c r="C1526" s="9" t="n"/>
      <c r="D1526" s="9" t="n"/>
      <c r="E1526" s="9" t="n"/>
      <c r="F1526" s="9">
        <f>IF(E1526="","",DATEDIF(E1526,DATE(2026,12,31),"Y"))</f>
        <v/>
      </c>
      <c r="G1526" s="9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  <c r="R1526" s="9" t="n"/>
      <c r="S1526" s="9" t="n"/>
      <c r="T1526" s="9" t="n"/>
      <c r="U1526" s="9" t="n"/>
      <c r="V1526" s="9" t="n"/>
      <c r="W1526" s="9" t="n"/>
      <c r="X1526" s="9" t="n"/>
      <c r="Y1526" s="9" t="n"/>
      <c r="Z1526" s="9" t="n"/>
    </row>
    <row r="1527" ht="14.25" customHeight="1" s="37">
      <c r="A1527" s="9">
        <f>IF(C1527="","","UM"&amp;TEXT(ROW()-1,"00000"))</f>
        <v/>
      </c>
      <c r="B1527" s="9" t="n"/>
      <c r="C1527" s="9" t="n"/>
      <c r="D1527" s="9" t="n"/>
      <c r="E1527" s="9" t="n"/>
      <c r="F1527" s="9">
        <f>IF(E1527="","",DATEDIF(E1527,DATE(2026,12,31),"Y"))</f>
        <v/>
      </c>
      <c r="G1527" s="9" t="n"/>
      <c r="H1527" s="9" t="n"/>
      <c r="I1527" s="9" t="n"/>
      <c r="J1527" s="9" t="n"/>
      <c r="K1527" s="9" t="n"/>
      <c r="L1527" s="9" t="n"/>
      <c r="M1527" s="9" t="n"/>
      <c r="N1527" s="9" t="n"/>
      <c r="O1527" s="9" t="n"/>
      <c r="P1527" s="9" t="n"/>
      <c r="Q1527" s="9" t="n"/>
      <c r="R1527" s="9" t="n"/>
      <c r="S1527" s="9" t="n"/>
      <c r="T1527" s="9" t="n"/>
      <c r="U1527" s="9" t="n"/>
      <c r="V1527" s="9" t="n"/>
      <c r="W1527" s="9" t="n"/>
      <c r="X1527" s="9" t="n"/>
      <c r="Y1527" s="9" t="n"/>
      <c r="Z1527" s="9" t="n"/>
    </row>
    <row r="1528" ht="14.25" customHeight="1" s="37">
      <c r="A1528" s="9">
        <f>IF(C1528="","","UM"&amp;TEXT(ROW()-1,"00000"))</f>
        <v/>
      </c>
      <c r="B1528" s="9" t="n"/>
      <c r="C1528" s="9" t="n"/>
      <c r="D1528" s="9" t="n"/>
      <c r="E1528" s="9" t="n"/>
      <c r="F1528" s="9">
        <f>IF(E1528="","",DATEDIF(E1528,DATE(2026,12,31),"Y"))</f>
        <v/>
      </c>
      <c r="G1528" s="9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  <c r="R1528" s="9" t="n"/>
      <c r="S1528" s="9" t="n"/>
      <c r="T1528" s="9" t="n"/>
      <c r="U1528" s="9" t="n"/>
      <c r="V1528" s="9" t="n"/>
      <c r="W1528" s="9" t="n"/>
      <c r="X1528" s="9" t="n"/>
      <c r="Y1528" s="9" t="n"/>
      <c r="Z1528" s="9" t="n"/>
    </row>
    <row r="1529" ht="14.25" customHeight="1" s="37">
      <c r="A1529" s="9">
        <f>IF(C1529="","","UM"&amp;TEXT(ROW()-1,"00000"))</f>
        <v/>
      </c>
      <c r="B1529" s="9" t="n"/>
      <c r="C1529" s="9" t="n"/>
      <c r="D1529" s="9" t="n"/>
      <c r="E1529" s="9" t="n"/>
      <c r="F1529" s="9">
        <f>IF(E1529="","",DATEDIF(E1529,DATE(2026,12,31),"Y"))</f>
        <v/>
      </c>
      <c r="G1529" s="9" t="n"/>
      <c r="H1529" s="9" t="n"/>
      <c r="I1529" s="9" t="n"/>
      <c r="J1529" s="9" t="n"/>
      <c r="K1529" s="9" t="n"/>
      <c r="L1529" s="9" t="n"/>
      <c r="M1529" s="9" t="n"/>
      <c r="N1529" s="9" t="n"/>
      <c r="O1529" s="9" t="n"/>
      <c r="P1529" s="9" t="n"/>
      <c r="Q1529" s="9" t="n"/>
      <c r="R1529" s="9" t="n"/>
      <c r="S1529" s="9" t="n"/>
      <c r="T1529" s="9" t="n"/>
      <c r="U1529" s="9" t="n"/>
      <c r="V1529" s="9" t="n"/>
      <c r="W1529" s="9" t="n"/>
      <c r="X1529" s="9" t="n"/>
      <c r="Y1529" s="9" t="n"/>
      <c r="Z1529" s="9" t="n"/>
    </row>
    <row r="1530" ht="14.25" customHeight="1" s="37">
      <c r="A1530" s="9">
        <f>IF(C1530="","","UM"&amp;TEXT(ROW()-1,"00000"))</f>
        <v/>
      </c>
      <c r="B1530" s="9" t="n"/>
      <c r="C1530" s="9" t="n"/>
      <c r="D1530" s="9" t="n"/>
      <c r="E1530" s="9" t="n"/>
      <c r="F1530" s="9">
        <f>IF(E1530="","",DATEDIF(E1530,DATE(2026,12,31),"Y"))</f>
        <v/>
      </c>
      <c r="G1530" s="9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  <c r="R1530" s="9" t="n"/>
      <c r="S1530" s="9" t="n"/>
      <c r="T1530" s="9" t="n"/>
      <c r="U1530" s="9" t="n"/>
      <c r="V1530" s="9" t="n"/>
      <c r="W1530" s="9" t="n"/>
      <c r="X1530" s="9" t="n"/>
      <c r="Y1530" s="9" t="n"/>
      <c r="Z1530" s="9" t="n"/>
    </row>
    <row r="1531" ht="14.25" customHeight="1" s="37">
      <c r="A1531" s="9">
        <f>IF(C1531="","","UM"&amp;TEXT(ROW()-1,"00000"))</f>
        <v/>
      </c>
      <c r="B1531" s="9" t="n"/>
      <c r="C1531" s="9" t="n"/>
      <c r="D1531" s="9" t="n"/>
      <c r="E1531" s="9" t="n"/>
      <c r="F1531" s="9">
        <f>IF(E1531="","",DATEDIF(E1531,DATE(2026,12,31),"Y"))</f>
        <v/>
      </c>
      <c r="G1531" s="9" t="n"/>
      <c r="H1531" s="9" t="n"/>
      <c r="I1531" s="9" t="n"/>
      <c r="J1531" s="9" t="n"/>
      <c r="K1531" s="9" t="n"/>
      <c r="L1531" s="9" t="n"/>
      <c r="M1531" s="9" t="n"/>
      <c r="N1531" s="9" t="n"/>
      <c r="O1531" s="9" t="n"/>
      <c r="P1531" s="9" t="n"/>
      <c r="Q1531" s="9" t="n"/>
      <c r="R1531" s="9" t="n"/>
      <c r="S1531" s="9" t="n"/>
      <c r="T1531" s="9" t="n"/>
      <c r="U1531" s="9" t="n"/>
      <c r="V1531" s="9" t="n"/>
      <c r="W1531" s="9" t="n"/>
      <c r="X1531" s="9" t="n"/>
      <c r="Y1531" s="9" t="n"/>
      <c r="Z1531" s="9" t="n"/>
    </row>
    <row r="1532" ht="14.25" customHeight="1" s="37">
      <c r="A1532" s="9">
        <f>IF(C1532="","","UM"&amp;TEXT(ROW()-1,"00000"))</f>
        <v/>
      </c>
      <c r="B1532" s="9" t="n"/>
      <c r="C1532" s="9" t="n"/>
      <c r="D1532" s="9" t="n"/>
      <c r="E1532" s="9" t="n"/>
      <c r="F1532" s="9">
        <f>IF(E1532="","",DATEDIF(E1532,DATE(2026,12,31),"Y"))</f>
        <v/>
      </c>
      <c r="G1532" s="9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  <c r="R1532" s="9" t="n"/>
      <c r="S1532" s="9" t="n"/>
      <c r="T1532" s="9" t="n"/>
      <c r="U1532" s="9" t="n"/>
      <c r="V1532" s="9" t="n"/>
      <c r="W1532" s="9" t="n"/>
      <c r="X1532" s="9" t="n"/>
      <c r="Y1532" s="9" t="n"/>
      <c r="Z1532" s="9" t="n"/>
    </row>
    <row r="1533" ht="14.25" customHeight="1" s="37">
      <c r="A1533" s="9">
        <f>IF(C1533="","","UM"&amp;TEXT(ROW()-1,"00000"))</f>
        <v/>
      </c>
      <c r="B1533" s="9" t="n"/>
      <c r="C1533" s="9" t="n"/>
      <c r="D1533" s="9" t="n"/>
      <c r="E1533" s="9" t="n"/>
      <c r="F1533" s="9">
        <f>IF(E1533="","",DATEDIF(E1533,DATE(2026,12,31),"Y"))</f>
        <v/>
      </c>
      <c r="G1533" s="9" t="n"/>
      <c r="H1533" s="9" t="n"/>
      <c r="I1533" s="9" t="n"/>
      <c r="J1533" s="9" t="n"/>
      <c r="K1533" s="9" t="n"/>
      <c r="L1533" s="9" t="n"/>
      <c r="M1533" s="9" t="n"/>
      <c r="N1533" s="9" t="n"/>
      <c r="O1533" s="9" t="n"/>
      <c r="P1533" s="9" t="n"/>
      <c r="Q1533" s="9" t="n"/>
      <c r="R1533" s="9" t="n"/>
      <c r="S1533" s="9" t="n"/>
      <c r="T1533" s="9" t="n"/>
      <c r="U1533" s="9" t="n"/>
      <c r="V1533" s="9" t="n"/>
      <c r="W1533" s="9" t="n"/>
      <c r="X1533" s="9" t="n"/>
      <c r="Y1533" s="9" t="n"/>
      <c r="Z1533" s="9" t="n"/>
    </row>
    <row r="1534" ht="14.25" customHeight="1" s="37">
      <c r="A1534" s="9">
        <f>IF(C1534="","","UM"&amp;TEXT(ROW()-1,"00000"))</f>
        <v/>
      </c>
      <c r="B1534" s="9" t="n"/>
      <c r="C1534" s="9" t="n"/>
      <c r="D1534" s="9" t="n"/>
      <c r="E1534" s="9" t="n"/>
      <c r="F1534" s="9">
        <f>IF(E1534="","",DATEDIF(E1534,DATE(2026,12,31),"Y"))</f>
        <v/>
      </c>
      <c r="G1534" s="9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  <c r="R1534" s="9" t="n"/>
      <c r="S1534" s="9" t="n"/>
      <c r="T1534" s="9" t="n"/>
      <c r="U1534" s="9" t="n"/>
      <c r="V1534" s="9" t="n"/>
      <c r="W1534" s="9" t="n"/>
      <c r="X1534" s="9" t="n"/>
      <c r="Y1534" s="9" t="n"/>
      <c r="Z1534" s="9" t="n"/>
    </row>
    <row r="1535" ht="14.25" customHeight="1" s="37">
      <c r="A1535" s="9">
        <f>IF(C1535="","","UM"&amp;TEXT(ROW()-1,"00000"))</f>
        <v/>
      </c>
      <c r="B1535" s="9" t="n"/>
      <c r="C1535" s="9" t="n"/>
      <c r="D1535" s="9" t="n"/>
      <c r="E1535" s="9" t="n"/>
      <c r="F1535" s="9">
        <f>IF(E1535="","",DATEDIF(E1535,DATE(2026,12,31),"Y"))</f>
        <v/>
      </c>
      <c r="G1535" s="9" t="n"/>
      <c r="H1535" s="9" t="n"/>
      <c r="I1535" s="9" t="n"/>
      <c r="J1535" s="9" t="n"/>
      <c r="K1535" s="9" t="n"/>
      <c r="L1535" s="9" t="n"/>
      <c r="M1535" s="9" t="n"/>
      <c r="N1535" s="9" t="n"/>
      <c r="O1535" s="9" t="n"/>
      <c r="P1535" s="9" t="n"/>
      <c r="Q1535" s="9" t="n"/>
      <c r="R1535" s="9" t="n"/>
      <c r="S1535" s="9" t="n"/>
      <c r="T1535" s="9" t="n"/>
      <c r="U1535" s="9" t="n"/>
      <c r="V1535" s="9" t="n"/>
      <c r="W1535" s="9" t="n"/>
      <c r="X1535" s="9" t="n"/>
      <c r="Y1535" s="9" t="n"/>
      <c r="Z1535" s="9" t="n"/>
    </row>
    <row r="1536" ht="14.25" customHeight="1" s="37">
      <c r="A1536" s="9">
        <f>IF(C1536="","","UM"&amp;TEXT(ROW()-1,"00000"))</f>
        <v/>
      </c>
      <c r="B1536" s="9" t="n"/>
      <c r="C1536" s="9" t="n"/>
      <c r="D1536" s="9" t="n"/>
      <c r="E1536" s="9" t="n"/>
      <c r="F1536" s="9">
        <f>IF(E1536="","",DATEDIF(E1536,DATE(2026,12,31),"Y"))</f>
        <v/>
      </c>
      <c r="G1536" s="9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  <c r="R1536" s="9" t="n"/>
      <c r="S1536" s="9" t="n"/>
      <c r="T1536" s="9" t="n"/>
      <c r="U1536" s="9" t="n"/>
      <c r="V1536" s="9" t="n"/>
      <c r="W1536" s="9" t="n"/>
      <c r="X1536" s="9" t="n"/>
      <c r="Y1536" s="9" t="n"/>
      <c r="Z1536" s="9" t="n"/>
    </row>
    <row r="1537" ht="14.25" customHeight="1" s="37">
      <c r="A1537" s="9">
        <f>IF(C1537="","","UM"&amp;TEXT(ROW()-1,"00000"))</f>
        <v/>
      </c>
      <c r="B1537" s="9" t="n"/>
      <c r="C1537" s="9" t="n"/>
      <c r="D1537" s="9" t="n"/>
      <c r="E1537" s="9" t="n"/>
      <c r="F1537" s="9">
        <f>IF(E1537="","",DATEDIF(E1537,DATE(2026,12,31),"Y"))</f>
        <v/>
      </c>
      <c r="G1537" s="9" t="n"/>
      <c r="H1537" s="9" t="n"/>
      <c r="I1537" s="9" t="n"/>
      <c r="J1537" s="9" t="n"/>
      <c r="K1537" s="9" t="n"/>
      <c r="L1537" s="9" t="n"/>
      <c r="M1537" s="9" t="n"/>
      <c r="N1537" s="9" t="n"/>
      <c r="O1537" s="9" t="n"/>
      <c r="P1537" s="9" t="n"/>
      <c r="Q1537" s="9" t="n"/>
      <c r="R1537" s="9" t="n"/>
      <c r="S1537" s="9" t="n"/>
      <c r="T1537" s="9" t="n"/>
      <c r="U1537" s="9" t="n"/>
      <c r="V1537" s="9" t="n"/>
      <c r="W1537" s="9" t="n"/>
      <c r="X1537" s="9" t="n"/>
      <c r="Y1537" s="9" t="n"/>
      <c r="Z1537" s="9" t="n"/>
    </row>
    <row r="1538" ht="14.25" customHeight="1" s="37">
      <c r="A1538" s="9">
        <f>IF(C1538="","","UM"&amp;TEXT(ROW()-1,"00000"))</f>
        <v/>
      </c>
      <c r="B1538" s="9" t="n"/>
      <c r="C1538" s="9" t="n"/>
      <c r="D1538" s="9" t="n"/>
      <c r="E1538" s="9" t="n"/>
      <c r="F1538" s="9">
        <f>IF(E1538="","",DATEDIF(E1538,DATE(2026,12,31),"Y"))</f>
        <v/>
      </c>
      <c r="G1538" s="9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  <c r="R1538" s="9" t="n"/>
      <c r="S1538" s="9" t="n"/>
      <c r="T1538" s="9" t="n"/>
      <c r="U1538" s="9" t="n"/>
      <c r="V1538" s="9" t="n"/>
      <c r="W1538" s="9" t="n"/>
      <c r="X1538" s="9" t="n"/>
      <c r="Y1538" s="9" t="n"/>
      <c r="Z1538" s="9" t="n"/>
    </row>
    <row r="1539" ht="14.25" customHeight="1" s="37">
      <c r="A1539" s="9">
        <f>IF(C1539="","","UM"&amp;TEXT(ROW()-1,"00000"))</f>
        <v/>
      </c>
      <c r="B1539" s="9" t="n"/>
      <c r="C1539" s="9" t="n"/>
      <c r="D1539" s="9" t="n"/>
      <c r="E1539" s="9" t="n"/>
      <c r="F1539" s="9">
        <f>IF(E1539="","",DATEDIF(E1539,DATE(2026,12,31),"Y"))</f>
        <v/>
      </c>
      <c r="G1539" s="9" t="n"/>
      <c r="H1539" s="9" t="n"/>
      <c r="I1539" s="9" t="n"/>
      <c r="J1539" s="9" t="n"/>
      <c r="K1539" s="9" t="n"/>
      <c r="L1539" s="9" t="n"/>
      <c r="M1539" s="9" t="n"/>
      <c r="N1539" s="9" t="n"/>
      <c r="O1539" s="9" t="n"/>
      <c r="P1539" s="9" t="n"/>
      <c r="Q1539" s="9" t="n"/>
      <c r="R1539" s="9" t="n"/>
      <c r="S1539" s="9" t="n"/>
      <c r="T1539" s="9" t="n"/>
      <c r="U1539" s="9" t="n"/>
      <c r="V1539" s="9" t="n"/>
      <c r="W1539" s="9" t="n"/>
      <c r="X1539" s="9" t="n"/>
      <c r="Y1539" s="9" t="n"/>
      <c r="Z1539" s="9" t="n"/>
    </row>
    <row r="1540" ht="14.25" customHeight="1" s="37">
      <c r="A1540" s="9">
        <f>IF(C1540="","","UM"&amp;TEXT(ROW()-1,"00000"))</f>
        <v/>
      </c>
      <c r="B1540" s="9" t="n"/>
      <c r="C1540" s="9" t="n"/>
      <c r="D1540" s="9" t="n"/>
      <c r="E1540" s="9" t="n"/>
      <c r="F1540" s="9">
        <f>IF(E1540="","",DATEDIF(E1540,DATE(2026,12,31),"Y"))</f>
        <v/>
      </c>
      <c r="G1540" s="9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  <c r="R1540" s="9" t="n"/>
      <c r="S1540" s="9" t="n"/>
      <c r="T1540" s="9" t="n"/>
      <c r="U1540" s="9" t="n"/>
      <c r="V1540" s="9" t="n"/>
      <c r="W1540" s="9" t="n"/>
      <c r="X1540" s="9" t="n"/>
      <c r="Y1540" s="9" t="n"/>
      <c r="Z1540" s="9" t="n"/>
    </row>
    <row r="1541" ht="14.25" customHeight="1" s="37">
      <c r="A1541" s="9">
        <f>IF(C1541="","","UM"&amp;TEXT(ROW()-1,"00000"))</f>
        <v/>
      </c>
      <c r="B1541" s="9" t="n"/>
      <c r="C1541" s="9" t="n"/>
      <c r="D1541" s="9" t="n"/>
      <c r="E1541" s="9" t="n"/>
      <c r="F1541" s="9">
        <f>IF(E1541="","",DATEDIF(E1541,DATE(2026,12,31),"Y"))</f>
        <v/>
      </c>
      <c r="G1541" s="9" t="n"/>
      <c r="H1541" s="9" t="n"/>
      <c r="I1541" s="9" t="n"/>
      <c r="J1541" s="9" t="n"/>
      <c r="K1541" s="9" t="n"/>
      <c r="L1541" s="9" t="n"/>
      <c r="M1541" s="9" t="n"/>
      <c r="N1541" s="9" t="n"/>
      <c r="O1541" s="9" t="n"/>
      <c r="P1541" s="9" t="n"/>
      <c r="Q1541" s="9" t="n"/>
      <c r="R1541" s="9" t="n"/>
      <c r="S1541" s="9" t="n"/>
      <c r="T1541" s="9" t="n"/>
      <c r="U1541" s="9" t="n"/>
      <c r="V1541" s="9" t="n"/>
      <c r="W1541" s="9" t="n"/>
      <c r="X1541" s="9" t="n"/>
      <c r="Y1541" s="9" t="n"/>
      <c r="Z1541" s="9" t="n"/>
    </row>
    <row r="1542" ht="14.25" customHeight="1" s="37">
      <c r="A1542" s="9">
        <f>IF(C1542="","","UM"&amp;TEXT(ROW()-1,"00000"))</f>
        <v/>
      </c>
      <c r="B1542" s="9" t="n"/>
      <c r="C1542" s="9" t="n"/>
      <c r="D1542" s="9" t="n"/>
      <c r="E1542" s="9" t="n"/>
      <c r="F1542" s="9">
        <f>IF(E1542="","",DATEDIF(E1542,DATE(2026,12,31),"Y"))</f>
        <v/>
      </c>
      <c r="G1542" s="9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  <c r="R1542" s="9" t="n"/>
      <c r="S1542" s="9" t="n"/>
      <c r="T1542" s="9" t="n"/>
      <c r="U1542" s="9" t="n"/>
      <c r="V1542" s="9" t="n"/>
      <c r="W1542" s="9" t="n"/>
      <c r="X1542" s="9" t="n"/>
      <c r="Y1542" s="9" t="n"/>
      <c r="Z1542" s="9" t="n"/>
    </row>
    <row r="1543" ht="14.25" customHeight="1" s="37">
      <c r="A1543" s="9">
        <f>IF(C1543="","","UM"&amp;TEXT(ROW()-1,"00000"))</f>
        <v/>
      </c>
      <c r="B1543" s="9" t="n"/>
      <c r="C1543" s="9" t="n"/>
      <c r="D1543" s="9" t="n"/>
      <c r="E1543" s="9" t="n"/>
      <c r="F1543" s="9">
        <f>IF(E1543="","",DATEDIF(E1543,DATE(2026,12,31),"Y"))</f>
        <v/>
      </c>
      <c r="G1543" s="9" t="n"/>
      <c r="H1543" s="9" t="n"/>
      <c r="I1543" s="9" t="n"/>
      <c r="J1543" s="9" t="n"/>
      <c r="K1543" s="9" t="n"/>
      <c r="L1543" s="9" t="n"/>
      <c r="M1543" s="9" t="n"/>
      <c r="N1543" s="9" t="n"/>
      <c r="O1543" s="9" t="n"/>
      <c r="P1543" s="9" t="n"/>
      <c r="Q1543" s="9" t="n"/>
      <c r="R1543" s="9" t="n"/>
      <c r="S1543" s="9" t="n"/>
      <c r="T1543" s="9" t="n"/>
      <c r="U1543" s="9" t="n"/>
      <c r="V1543" s="9" t="n"/>
      <c r="W1543" s="9" t="n"/>
      <c r="X1543" s="9" t="n"/>
      <c r="Y1543" s="9" t="n"/>
      <c r="Z1543" s="9" t="n"/>
    </row>
    <row r="1544" ht="14.25" customHeight="1" s="37">
      <c r="A1544" s="9">
        <f>IF(C1544="","","UM"&amp;TEXT(ROW()-1,"00000"))</f>
        <v/>
      </c>
      <c r="B1544" s="9" t="n"/>
      <c r="C1544" s="9" t="n"/>
      <c r="D1544" s="9" t="n"/>
      <c r="E1544" s="9" t="n"/>
      <c r="F1544" s="9">
        <f>IF(E1544="","",DATEDIF(E1544,DATE(2026,12,31),"Y"))</f>
        <v/>
      </c>
      <c r="G1544" s="9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  <c r="R1544" s="9" t="n"/>
      <c r="S1544" s="9" t="n"/>
      <c r="T1544" s="9" t="n"/>
      <c r="U1544" s="9" t="n"/>
      <c r="V1544" s="9" t="n"/>
      <c r="W1544" s="9" t="n"/>
      <c r="X1544" s="9" t="n"/>
      <c r="Y1544" s="9" t="n"/>
      <c r="Z1544" s="9" t="n"/>
    </row>
    <row r="1545" ht="14.25" customHeight="1" s="37">
      <c r="A1545" s="9">
        <f>IF(C1545="","","UM"&amp;TEXT(ROW()-1,"00000"))</f>
        <v/>
      </c>
      <c r="B1545" s="9" t="n"/>
      <c r="C1545" s="9" t="n"/>
      <c r="D1545" s="9" t="n"/>
      <c r="E1545" s="9" t="n"/>
      <c r="F1545" s="9">
        <f>IF(E1545="","",DATEDIF(E1545,DATE(2026,12,31),"Y"))</f>
        <v/>
      </c>
      <c r="G1545" s="9" t="n"/>
      <c r="H1545" s="9" t="n"/>
      <c r="I1545" s="9" t="n"/>
      <c r="J1545" s="9" t="n"/>
      <c r="K1545" s="9" t="n"/>
      <c r="L1545" s="9" t="n"/>
      <c r="M1545" s="9" t="n"/>
      <c r="N1545" s="9" t="n"/>
      <c r="O1545" s="9" t="n"/>
      <c r="P1545" s="9" t="n"/>
      <c r="Q1545" s="9" t="n"/>
      <c r="R1545" s="9" t="n"/>
      <c r="S1545" s="9" t="n"/>
      <c r="T1545" s="9" t="n"/>
      <c r="U1545" s="9" t="n"/>
      <c r="V1545" s="9" t="n"/>
      <c r="W1545" s="9" t="n"/>
      <c r="X1545" s="9" t="n"/>
      <c r="Y1545" s="9" t="n"/>
      <c r="Z1545" s="9" t="n"/>
    </row>
    <row r="1546" ht="14.25" customHeight="1" s="37">
      <c r="A1546" s="9">
        <f>IF(C1546="","","UM"&amp;TEXT(ROW()-1,"00000"))</f>
        <v/>
      </c>
      <c r="B1546" s="9" t="n"/>
      <c r="C1546" s="9" t="n"/>
      <c r="D1546" s="9" t="n"/>
      <c r="E1546" s="9" t="n"/>
      <c r="F1546" s="9">
        <f>IF(E1546="","",DATEDIF(E1546,DATE(2026,12,31),"Y"))</f>
        <v/>
      </c>
      <c r="G1546" s="9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  <c r="R1546" s="9" t="n"/>
      <c r="S1546" s="9" t="n"/>
      <c r="T1546" s="9" t="n"/>
      <c r="U1546" s="9" t="n"/>
      <c r="V1546" s="9" t="n"/>
      <c r="W1546" s="9" t="n"/>
      <c r="X1546" s="9" t="n"/>
      <c r="Y1546" s="9" t="n"/>
      <c r="Z1546" s="9" t="n"/>
    </row>
    <row r="1547" ht="14.25" customHeight="1" s="37">
      <c r="A1547" s="9">
        <f>IF(C1547="","","UM"&amp;TEXT(ROW()-1,"00000"))</f>
        <v/>
      </c>
      <c r="B1547" s="9" t="n"/>
      <c r="C1547" s="9" t="n"/>
      <c r="D1547" s="9" t="n"/>
      <c r="E1547" s="9" t="n"/>
      <c r="F1547" s="9">
        <f>IF(E1547="","",DATEDIF(E1547,DATE(2026,12,31),"Y"))</f>
        <v/>
      </c>
      <c r="G1547" s="9" t="n"/>
      <c r="H1547" s="9" t="n"/>
      <c r="I1547" s="9" t="n"/>
      <c r="J1547" s="9" t="n"/>
      <c r="K1547" s="9" t="n"/>
      <c r="L1547" s="9" t="n"/>
      <c r="M1547" s="9" t="n"/>
      <c r="N1547" s="9" t="n"/>
      <c r="O1547" s="9" t="n"/>
      <c r="P1547" s="9" t="n"/>
      <c r="Q1547" s="9" t="n"/>
      <c r="R1547" s="9" t="n"/>
      <c r="S1547" s="9" t="n"/>
      <c r="T1547" s="9" t="n"/>
      <c r="U1547" s="9" t="n"/>
      <c r="V1547" s="9" t="n"/>
      <c r="W1547" s="9" t="n"/>
      <c r="X1547" s="9" t="n"/>
      <c r="Y1547" s="9" t="n"/>
      <c r="Z1547" s="9" t="n"/>
    </row>
    <row r="1548" ht="14.25" customHeight="1" s="37">
      <c r="A1548" s="9">
        <f>IF(C1548="","","UM"&amp;TEXT(ROW()-1,"00000"))</f>
        <v/>
      </c>
      <c r="B1548" s="9" t="n"/>
      <c r="C1548" s="9" t="n"/>
      <c r="D1548" s="9" t="n"/>
      <c r="E1548" s="9" t="n"/>
      <c r="F1548" s="9">
        <f>IF(E1548="","",DATEDIF(E1548,DATE(2026,12,31),"Y"))</f>
        <v/>
      </c>
      <c r="G1548" s="9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  <c r="R1548" s="9" t="n"/>
      <c r="S1548" s="9" t="n"/>
      <c r="T1548" s="9" t="n"/>
      <c r="U1548" s="9" t="n"/>
      <c r="V1548" s="9" t="n"/>
      <c r="W1548" s="9" t="n"/>
      <c r="X1548" s="9" t="n"/>
      <c r="Y1548" s="9" t="n"/>
      <c r="Z1548" s="9" t="n"/>
    </row>
    <row r="1549" ht="14.25" customHeight="1" s="37">
      <c r="A1549" s="9">
        <f>IF(C1549="","","UM"&amp;TEXT(ROW()-1,"00000"))</f>
        <v/>
      </c>
      <c r="B1549" s="9" t="n"/>
      <c r="C1549" s="9" t="n"/>
      <c r="D1549" s="9" t="n"/>
      <c r="E1549" s="9" t="n"/>
      <c r="F1549" s="9">
        <f>IF(E1549="","",DATEDIF(E1549,DATE(2026,12,31),"Y"))</f>
        <v/>
      </c>
      <c r="G1549" s="9" t="n"/>
      <c r="H1549" s="9" t="n"/>
      <c r="I1549" s="9" t="n"/>
      <c r="J1549" s="9" t="n"/>
      <c r="K1549" s="9" t="n"/>
      <c r="L1549" s="9" t="n"/>
      <c r="M1549" s="9" t="n"/>
      <c r="N1549" s="9" t="n"/>
      <c r="O1549" s="9" t="n"/>
      <c r="P1549" s="9" t="n"/>
      <c r="Q1549" s="9" t="n"/>
      <c r="R1549" s="9" t="n"/>
      <c r="S1549" s="9" t="n"/>
      <c r="T1549" s="9" t="n"/>
      <c r="U1549" s="9" t="n"/>
      <c r="V1549" s="9" t="n"/>
      <c r="W1549" s="9" t="n"/>
      <c r="X1549" s="9" t="n"/>
      <c r="Y1549" s="9" t="n"/>
      <c r="Z1549" s="9" t="n"/>
    </row>
    <row r="1550" ht="14.25" customHeight="1" s="37">
      <c r="A1550" s="9">
        <f>IF(C1550="","","UM"&amp;TEXT(ROW()-1,"00000"))</f>
        <v/>
      </c>
      <c r="B1550" s="9" t="n"/>
      <c r="C1550" s="9" t="n"/>
      <c r="D1550" s="9" t="n"/>
      <c r="E1550" s="9" t="n"/>
      <c r="F1550" s="9">
        <f>IF(E1550="","",DATEDIF(E1550,DATE(2026,12,31),"Y"))</f>
        <v/>
      </c>
      <c r="G1550" s="9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  <c r="R1550" s="9" t="n"/>
      <c r="S1550" s="9" t="n"/>
      <c r="T1550" s="9" t="n"/>
      <c r="U1550" s="9" t="n"/>
      <c r="V1550" s="9" t="n"/>
      <c r="W1550" s="9" t="n"/>
      <c r="X1550" s="9" t="n"/>
      <c r="Y1550" s="9" t="n"/>
      <c r="Z1550" s="9" t="n"/>
    </row>
    <row r="1551" ht="14.25" customHeight="1" s="37">
      <c r="A1551" s="9">
        <f>IF(C1551="","","UM"&amp;TEXT(ROW()-1,"00000"))</f>
        <v/>
      </c>
      <c r="B1551" s="9" t="n"/>
      <c r="C1551" s="9" t="n"/>
      <c r="D1551" s="9" t="n"/>
      <c r="E1551" s="9" t="n"/>
      <c r="F1551" s="9">
        <f>IF(E1551="","",DATEDIF(E1551,DATE(2026,12,31),"Y"))</f>
        <v/>
      </c>
      <c r="G1551" s="9" t="n"/>
      <c r="H1551" s="9" t="n"/>
      <c r="I1551" s="9" t="n"/>
      <c r="J1551" s="9" t="n"/>
      <c r="K1551" s="9" t="n"/>
      <c r="L1551" s="9" t="n"/>
      <c r="M1551" s="9" t="n"/>
      <c r="N1551" s="9" t="n"/>
      <c r="O1551" s="9" t="n"/>
      <c r="P1551" s="9" t="n"/>
      <c r="Q1551" s="9" t="n"/>
      <c r="R1551" s="9" t="n"/>
      <c r="S1551" s="9" t="n"/>
      <c r="T1551" s="9" t="n"/>
      <c r="U1551" s="9" t="n"/>
      <c r="V1551" s="9" t="n"/>
      <c r="W1551" s="9" t="n"/>
      <c r="X1551" s="9" t="n"/>
      <c r="Y1551" s="9" t="n"/>
      <c r="Z1551" s="9" t="n"/>
    </row>
    <row r="1552" ht="14.25" customHeight="1" s="37">
      <c r="A1552" s="9">
        <f>IF(C1552="","","UM"&amp;TEXT(ROW()-1,"00000"))</f>
        <v/>
      </c>
      <c r="B1552" s="9" t="n"/>
      <c r="C1552" s="9" t="n"/>
      <c r="D1552" s="9" t="n"/>
      <c r="E1552" s="9" t="n"/>
      <c r="F1552" s="9">
        <f>IF(E1552="","",DATEDIF(E1552,DATE(2026,12,31),"Y"))</f>
        <v/>
      </c>
      <c r="G1552" s="9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  <c r="R1552" s="9" t="n"/>
      <c r="S1552" s="9" t="n"/>
      <c r="T1552" s="9" t="n"/>
      <c r="U1552" s="9" t="n"/>
      <c r="V1552" s="9" t="n"/>
      <c r="W1552" s="9" t="n"/>
      <c r="X1552" s="9" t="n"/>
      <c r="Y1552" s="9" t="n"/>
      <c r="Z1552" s="9" t="n"/>
    </row>
    <row r="1553" ht="14.25" customHeight="1" s="37">
      <c r="A1553" s="9">
        <f>IF(C1553="","","UM"&amp;TEXT(ROW()-1,"00000"))</f>
        <v/>
      </c>
      <c r="B1553" s="9" t="n"/>
      <c r="C1553" s="9" t="n"/>
      <c r="D1553" s="9" t="n"/>
      <c r="E1553" s="9" t="n"/>
      <c r="F1553" s="9">
        <f>IF(E1553="","",DATEDIF(E1553,DATE(2026,12,31),"Y"))</f>
        <v/>
      </c>
      <c r="G1553" s="9" t="n"/>
      <c r="H1553" s="9" t="n"/>
      <c r="I1553" s="9" t="n"/>
      <c r="J1553" s="9" t="n"/>
      <c r="K1553" s="9" t="n"/>
      <c r="L1553" s="9" t="n"/>
      <c r="M1553" s="9" t="n"/>
      <c r="N1553" s="9" t="n"/>
      <c r="O1553" s="9" t="n"/>
      <c r="P1553" s="9" t="n"/>
      <c r="Q1553" s="9" t="n"/>
      <c r="R1553" s="9" t="n"/>
      <c r="S1553" s="9" t="n"/>
      <c r="T1553" s="9" t="n"/>
      <c r="U1553" s="9" t="n"/>
      <c r="V1553" s="9" t="n"/>
      <c r="W1553" s="9" t="n"/>
      <c r="X1553" s="9" t="n"/>
      <c r="Y1553" s="9" t="n"/>
      <c r="Z1553" s="9" t="n"/>
    </row>
    <row r="1554" ht="14.25" customHeight="1" s="37">
      <c r="A1554" s="9">
        <f>IF(C1554="","","UM"&amp;TEXT(ROW()-1,"00000"))</f>
        <v/>
      </c>
      <c r="B1554" s="9" t="n"/>
      <c r="C1554" s="9" t="n"/>
      <c r="D1554" s="9" t="n"/>
      <c r="E1554" s="9" t="n"/>
      <c r="F1554" s="9">
        <f>IF(E1554="","",DATEDIF(E1554,DATE(2026,12,31),"Y"))</f>
        <v/>
      </c>
      <c r="G1554" s="9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  <c r="R1554" s="9" t="n"/>
      <c r="S1554" s="9" t="n"/>
      <c r="T1554" s="9" t="n"/>
      <c r="U1554" s="9" t="n"/>
      <c r="V1554" s="9" t="n"/>
      <c r="W1554" s="9" t="n"/>
      <c r="X1554" s="9" t="n"/>
      <c r="Y1554" s="9" t="n"/>
      <c r="Z1554" s="9" t="n"/>
    </row>
    <row r="1555" ht="14.25" customHeight="1" s="37">
      <c r="A1555" s="9">
        <f>IF(C1555="","","UM"&amp;TEXT(ROW()-1,"00000"))</f>
        <v/>
      </c>
      <c r="B1555" s="9" t="n"/>
      <c r="C1555" s="9" t="n"/>
      <c r="D1555" s="9" t="n"/>
      <c r="E1555" s="9" t="n"/>
      <c r="F1555" s="9">
        <f>IF(E1555="","",DATEDIF(E1555,DATE(2026,12,31),"Y"))</f>
        <v/>
      </c>
      <c r="G1555" s="9" t="n"/>
      <c r="H1555" s="9" t="n"/>
      <c r="I1555" s="9" t="n"/>
      <c r="J1555" s="9" t="n"/>
      <c r="K1555" s="9" t="n"/>
      <c r="L1555" s="9" t="n"/>
      <c r="M1555" s="9" t="n"/>
      <c r="N1555" s="9" t="n"/>
      <c r="O1555" s="9" t="n"/>
      <c r="P1555" s="9" t="n"/>
      <c r="Q1555" s="9" t="n"/>
      <c r="R1555" s="9" t="n"/>
      <c r="S1555" s="9" t="n"/>
      <c r="T1555" s="9" t="n"/>
      <c r="U1555" s="9" t="n"/>
      <c r="V1555" s="9" t="n"/>
      <c r="W1555" s="9" t="n"/>
      <c r="X1555" s="9" t="n"/>
      <c r="Y1555" s="9" t="n"/>
      <c r="Z1555" s="9" t="n"/>
    </row>
    <row r="1556" ht="14.25" customHeight="1" s="37">
      <c r="A1556" s="9">
        <f>IF(C1556="","","UM"&amp;TEXT(ROW()-1,"00000"))</f>
        <v/>
      </c>
      <c r="B1556" s="9" t="n"/>
      <c r="C1556" s="9" t="n"/>
      <c r="D1556" s="9" t="n"/>
      <c r="E1556" s="9" t="n"/>
      <c r="F1556" s="9">
        <f>IF(E1556="","",DATEDIF(E1556,DATE(2026,12,31),"Y"))</f>
        <v/>
      </c>
      <c r="G1556" s="9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  <c r="R1556" s="9" t="n"/>
      <c r="S1556" s="9" t="n"/>
      <c r="T1556" s="9" t="n"/>
      <c r="U1556" s="9" t="n"/>
      <c r="V1556" s="9" t="n"/>
      <c r="W1556" s="9" t="n"/>
      <c r="X1556" s="9" t="n"/>
      <c r="Y1556" s="9" t="n"/>
      <c r="Z1556" s="9" t="n"/>
    </row>
    <row r="1557" ht="14.25" customHeight="1" s="37">
      <c r="A1557" s="9">
        <f>IF(C1557="","","UM"&amp;TEXT(ROW()-1,"00000"))</f>
        <v/>
      </c>
      <c r="B1557" s="9" t="n"/>
      <c r="C1557" s="9" t="n"/>
      <c r="D1557" s="9" t="n"/>
      <c r="E1557" s="9" t="n"/>
      <c r="F1557" s="9">
        <f>IF(E1557="","",DATEDIF(E1557,DATE(2026,12,31),"Y"))</f>
        <v/>
      </c>
      <c r="G1557" s="9" t="n"/>
      <c r="H1557" s="9" t="n"/>
      <c r="I1557" s="9" t="n"/>
      <c r="J1557" s="9" t="n"/>
      <c r="K1557" s="9" t="n"/>
      <c r="L1557" s="9" t="n"/>
      <c r="M1557" s="9" t="n"/>
      <c r="N1557" s="9" t="n"/>
      <c r="O1557" s="9" t="n"/>
      <c r="P1557" s="9" t="n"/>
      <c r="Q1557" s="9" t="n"/>
      <c r="R1557" s="9" t="n"/>
      <c r="S1557" s="9" t="n"/>
      <c r="T1557" s="9" t="n"/>
      <c r="U1557" s="9" t="n"/>
      <c r="V1557" s="9" t="n"/>
      <c r="W1557" s="9" t="n"/>
      <c r="X1557" s="9" t="n"/>
      <c r="Y1557" s="9" t="n"/>
      <c r="Z1557" s="9" t="n"/>
    </row>
    <row r="1558" ht="14.25" customHeight="1" s="37">
      <c r="A1558" s="9">
        <f>IF(C1558="","","UM"&amp;TEXT(ROW()-1,"00000"))</f>
        <v/>
      </c>
      <c r="B1558" s="9" t="n"/>
      <c r="C1558" s="9" t="n"/>
      <c r="D1558" s="9" t="n"/>
      <c r="E1558" s="9" t="n"/>
      <c r="F1558" s="9">
        <f>IF(E1558="","",DATEDIF(E1558,DATE(2026,12,31),"Y"))</f>
        <v/>
      </c>
      <c r="G1558" s="9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  <c r="R1558" s="9" t="n"/>
      <c r="S1558" s="9" t="n"/>
      <c r="T1558" s="9" t="n"/>
      <c r="U1558" s="9" t="n"/>
      <c r="V1558" s="9" t="n"/>
      <c r="W1558" s="9" t="n"/>
      <c r="X1558" s="9" t="n"/>
      <c r="Y1558" s="9" t="n"/>
      <c r="Z1558" s="9" t="n"/>
    </row>
    <row r="1559" ht="14.25" customHeight="1" s="37">
      <c r="A1559" s="9">
        <f>IF(C1559="","","UM"&amp;TEXT(ROW()-1,"00000"))</f>
        <v/>
      </c>
      <c r="B1559" s="9" t="n"/>
      <c r="C1559" s="9" t="n"/>
      <c r="D1559" s="9" t="n"/>
      <c r="E1559" s="9" t="n"/>
      <c r="F1559" s="9">
        <f>IF(E1559="","",DATEDIF(E1559,DATE(2026,12,31),"Y"))</f>
        <v/>
      </c>
      <c r="G1559" s="9" t="n"/>
      <c r="H1559" s="9" t="n"/>
      <c r="I1559" s="9" t="n"/>
      <c r="J1559" s="9" t="n"/>
      <c r="K1559" s="9" t="n"/>
      <c r="L1559" s="9" t="n"/>
      <c r="M1559" s="9" t="n"/>
      <c r="N1559" s="9" t="n"/>
      <c r="O1559" s="9" t="n"/>
      <c r="P1559" s="9" t="n"/>
      <c r="Q1559" s="9" t="n"/>
      <c r="R1559" s="9" t="n"/>
      <c r="S1559" s="9" t="n"/>
      <c r="T1559" s="9" t="n"/>
      <c r="U1559" s="9" t="n"/>
      <c r="V1559" s="9" t="n"/>
      <c r="W1559" s="9" t="n"/>
      <c r="X1559" s="9" t="n"/>
      <c r="Y1559" s="9" t="n"/>
      <c r="Z1559" s="9" t="n"/>
    </row>
    <row r="1560" ht="14.25" customHeight="1" s="37">
      <c r="A1560" s="9">
        <f>IF(C1560="","","UM"&amp;TEXT(ROW()-1,"00000"))</f>
        <v/>
      </c>
      <c r="B1560" s="9" t="n"/>
      <c r="C1560" s="9" t="n"/>
      <c r="D1560" s="9" t="n"/>
      <c r="E1560" s="9" t="n"/>
      <c r="F1560" s="9">
        <f>IF(E1560="","",DATEDIF(E1560,DATE(2026,12,31),"Y"))</f>
        <v/>
      </c>
      <c r="G1560" s="9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  <c r="R1560" s="9" t="n"/>
      <c r="S1560" s="9" t="n"/>
      <c r="T1560" s="9" t="n"/>
      <c r="U1560" s="9" t="n"/>
      <c r="V1560" s="9" t="n"/>
      <c r="W1560" s="9" t="n"/>
      <c r="X1560" s="9" t="n"/>
      <c r="Y1560" s="9" t="n"/>
      <c r="Z1560" s="9" t="n"/>
    </row>
    <row r="1561" ht="14.25" customHeight="1" s="37">
      <c r="A1561" s="9">
        <f>IF(C1561="","","UM"&amp;TEXT(ROW()-1,"00000"))</f>
        <v/>
      </c>
      <c r="B1561" s="9" t="n"/>
      <c r="C1561" s="9" t="n"/>
      <c r="D1561" s="9" t="n"/>
      <c r="E1561" s="9" t="n"/>
      <c r="F1561" s="9">
        <f>IF(E1561="","",DATEDIF(E1561,DATE(2026,12,31),"Y"))</f>
        <v/>
      </c>
      <c r="G1561" s="9" t="n"/>
      <c r="H1561" s="9" t="n"/>
      <c r="I1561" s="9" t="n"/>
      <c r="J1561" s="9" t="n"/>
      <c r="K1561" s="9" t="n"/>
      <c r="L1561" s="9" t="n"/>
      <c r="M1561" s="9" t="n"/>
      <c r="N1561" s="9" t="n"/>
      <c r="O1561" s="9" t="n"/>
      <c r="P1561" s="9" t="n"/>
      <c r="Q1561" s="9" t="n"/>
      <c r="R1561" s="9" t="n"/>
      <c r="S1561" s="9" t="n"/>
      <c r="T1561" s="9" t="n"/>
      <c r="U1561" s="9" t="n"/>
      <c r="V1561" s="9" t="n"/>
      <c r="W1561" s="9" t="n"/>
      <c r="X1561" s="9" t="n"/>
      <c r="Y1561" s="9" t="n"/>
      <c r="Z1561" s="9" t="n"/>
    </row>
    <row r="1562" ht="14.25" customHeight="1" s="37">
      <c r="A1562" s="9">
        <f>IF(C1562="","","UM"&amp;TEXT(ROW()-1,"00000"))</f>
        <v/>
      </c>
      <c r="B1562" s="9" t="n"/>
      <c r="C1562" s="9" t="n"/>
      <c r="D1562" s="9" t="n"/>
      <c r="E1562" s="9" t="n"/>
      <c r="F1562" s="9">
        <f>IF(E1562="","",DATEDIF(E1562,DATE(2026,12,31),"Y"))</f>
        <v/>
      </c>
      <c r="G1562" s="9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  <c r="R1562" s="9" t="n"/>
      <c r="S1562" s="9" t="n"/>
      <c r="T1562" s="9" t="n"/>
      <c r="U1562" s="9" t="n"/>
      <c r="V1562" s="9" t="n"/>
      <c r="W1562" s="9" t="n"/>
      <c r="X1562" s="9" t="n"/>
      <c r="Y1562" s="9" t="n"/>
      <c r="Z1562" s="9" t="n"/>
    </row>
    <row r="1563" ht="14.25" customHeight="1" s="37">
      <c r="A1563" s="9">
        <f>IF(C1563="","","UM"&amp;TEXT(ROW()-1,"00000"))</f>
        <v/>
      </c>
      <c r="B1563" s="9" t="n"/>
      <c r="C1563" s="9" t="n"/>
      <c r="D1563" s="9" t="n"/>
      <c r="E1563" s="9" t="n"/>
      <c r="F1563" s="9">
        <f>IF(E1563="","",DATEDIF(E1563,DATE(2026,12,31),"Y"))</f>
        <v/>
      </c>
      <c r="G1563" s="9" t="n"/>
      <c r="H1563" s="9" t="n"/>
      <c r="I1563" s="9" t="n"/>
      <c r="J1563" s="9" t="n"/>
      <c r="K1563" s="9" t="n"/>
      <c r="L1563" s="9" t="n"/>
      <c r="M1563" s="9" t="n"/>
      <c r="N1563" s="9" t="n"/>
      <c r="O1563" s="9" t="n"/>
      <c r="P1563" s="9" t="n"/>
      <c r="Q1563" s="9" t="n"/>
      <c r="R1563" s="9" t="n"/>
      <c r="S1563" s="9" t="n"/>
      <c r="T1563" s="9" t="n"/>
      <c r="U1563" s="9" t="n"/>
      <c r="V1563" s="9" t="n"/>
      <c r="W1563" s="9" t="n"/>
      <c r="X1563" s="9" t="n"/>
      <c r="Y1563" s="9" t="n"/>
      <c r="Z1563" s="9" t="n"/>
    </row>
    <row r="1564" ht="14.25" customHeight="1" s="37">
      <c r="A1564" s="9">
        <f>IF(C1564="","","UM"&amp;TEXT(ROW()-1,"00000"))</f>
        <v/>
      </c>
      <c r="B1564" s="9" t="n"/>
      <c r="C1564" s="9" t="n"/>
      <c r="D1564" s="9" t="n"/>
      <c r="E1564" s="9" t="n"/>
      <c r="F1564" s="9">
        <f>IF(E1564="","",DATEDIF(E1564,DATE(2026,12,31),"Y"))</f>
        <v/>
      </c>
      <c r="G1564" s="9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  <c r="R1564" s="9" t="n"/>
      <c r="S1564" s="9" t="n"/>
      <c r="T1564" s="9" t="n"/>
      <c r="U1564" s="9" t="n"/>
      <c r="V1564" s="9" t="n"/>
      <c r="W1564" s="9" t="n"/>
      <c r="X1564" s="9" t="n"/>
      <c r="Y1564" s="9" t="n"/>
      <c r="Z1564" s="9" t="n"/>
    </row>
    <row r="1565" ht="14.25" customHeight="1" s="37">
      <c r="A1565" s="9">
        <f>IF(C1565="","","UM"&amp;TEXT(ROW()-1,"00000"))</f>
        <v/>
      </c>
      <c r="B1565" s="9" t="n"/>
      <c r="C1565" s="9" t="n"/>
      <c r="D1565" s="9" t="n"/>
      <c r="E1565" s="9" t="n"/>
      <c r="F1565" s="9">
        <f>IF(E1565="","",DATEDIF(E1565,DATE(2026,12,31),"Y"))</f>
        <v/>
      </c>
      <c r="G1565" s="9" t="n"/>
      <c r="H1565" s="9" t="n"/>
      <c r="I1565" s="9" t="n"/>
      <c r="J1565" s="9" t="n"/>
      <c r="K1565" s="9" t="n"/>
      <c r="L1565" s="9" t="n"/>
      <c r="M1565" s="9" t="n"/>
      <c r="N1565" s="9" t="n"/>
      <c r="O1565" s="9" t="n"/>
      <c r="P1565" s="9" t="n"/>
      <c r="Q1565" s="9" t="n"/>
      <c r="R1565" s="9" t="n"/>
      <c r="S1565" s="9" t="n"/>
      <c r="T1565" s="9" t="n"/>
      <c r="U1565" s="9" t="n"/>
      <c r="V1565" s="9" t="n"/>
      <c r="W1565" s="9" t="n"/>
      <c r="X1565" s="9" t="n"/>
      <c r="Y1565" s="9" t="n"/>
      <c r="Z1565" s="9" t="n"/>
    </row>
    <row r="1566" ht="14.25" customHeight="1" s="37">
      <c r="A1566" s="9">
        <f>IF(C1566="","","UM"&amp;TEXT(ROW()-1,"00000"))</f>
        <v/>
      </c>
      <c r="B1566" s="9" t="n"/>
      <c r="C1566" s="9" t="n"/>
      <c r="D1566" s="9" t="n"/>
      <c r="E1566" s="9" t="n"/>
      <c r="F1566" s="9">
        <f>IF(E1566="","",DATEDIF(E1566,DATE(2026,12,31),"Y"))</f>
        <v/>
      </c>
      <c r="G1566" s="9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  <c r="R1566" s="9" t="n"/>
      <c r="S1566" s="9" t="n"/>
      <c r="T1566" s="9" t="n"/>
      <c r="U1566" s="9" t="n"/>
      <c r="V1566" s="9" t="n"/>
      <c r="W1566" s="9" t="n"/>
      <c r="X1566" s="9" t="n"/>
      <c r="Y1566" s="9" t="n"/>
      <c r="Z1566" s="9" t="n"/>
    </row>
    <row r="1567" ht="14.25" customHeight="1" s="37">
      <c r="A1567" s="9">
        <f>IF(C1567="","","UM"&amp;TEXT(ROW()-1,"00000"))</f>
        <v/>
      </c>
      <c r="B1567" s="9" t="n"/>
      <c r="C1567" s="9" t="n"/>
      <c r="D1567" s="9" t="n"/>
      <c r="E1567" s="9" t="n"/>
      <c r="F1567" s="9">
        <f>IF(E1567="","",DATEDIF(E1567,DATE(2026,12,31),"Y"))</f>
        <v/>
      </c>
      <c r="G1567" s="9" t="n"/>
      <c r="H1567" s="9" t="n"/>
      <c r="I1567" s="9" t="n"/>
      <c r="J1567" s="9" t="n"/>
      <c r="K1567" s="9" t="n"/>
      <c r="L1567" s="9" t="n"/>
      <c r="M1567" s="9" t="n"/>
      <c r="N1567" s="9" t="n"/>
      <c r="O1567" s="9" t="n"/>
      <c r="P1567" s="9" t="n"/>
      <c r="Q1567" s="9" t="n"/>
      <c r="R1567" s="9" t="n"/>
      <c r="S1567" s="9" t="n"/>
      <c r="T1567" s="9" t="n"/>
      <c r="U1567" s="9" t="n"/>
      <c r="V1567" s="9" t="n"/>
      <c r="W1567" s="9" t="n"/>
      <c r="X1567" s="9" t="n"/>
      <c r="Y1567" s="9" t="n"/>
      <c r="Z1567" s="9" t="n"/>
    </row>
    <row r="1568" ht="14.25" customHeight="1" s="37">
      <c r="A1568" s="9">
        <f>IF(C1568="","","UM"&amp;TEXT(ROW()-1,"00000"))</f>
        <v/>
      </c>
      <c r="B1568" s="9" t="n"/>
      <c r="C1568" s="9" t="n"/>
      <c r="D1568" s="9" t="n"/>
      <c r="E1568" s="9" t="n"/>
      <c r="F1568" s="9">
        <f>IF(E1568="","",DATEDIF(E1568,DATE(2026,12,31),"Y"))</f>
        <v/>
      </c>
      <c r="G1568" s="9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  <c r="R1568" s="9" t="n"/>
      <c r="S1568" s="9" t="n"/>
      <c r="T1568" s="9" t="n"/>
      <c r="U1568" s="9" t="n"/>
      <c r="V1568" s="9" t="n"/>
      <c r="W1568" s="9" t="n"/>
      <c r="X1568" s="9" t="n"/>
      <c r="Y1568" s="9" t="n"/>
      <c r="Z1568" s="9" t="n"/>
    </row>
    <row r="1569" ht="14.25" customHeight="1" s="37">
      <c r="A1569" s="9">
        <f>IF(C1569="","","UM"&amp;TEXT(ROW()-1,"00000"))</f>
        <v/>
      </c>
      <c r="B1569" s="9" t="n"/>
      <c r="C1569" s="9" t="n"/>
      <c r="D1569" s="9" t="n"/>
      <c r="E1569" s="9" t="n"/>
      <c r="F1569" s="9">
        <f>IF(E1569="","",DATEDIF(E1569,DATE(2026,12,31),"Y"))</f>
        <v/>
      </c>
      <c r="G1569" s="9" t="n"/>
      <c r="H1569" s="9" t="n"/>
      <c r="I1569" s="9" t="n"/>
      <c r="J1569" s="9" t="n"/>
      <c r="K1569" s="9" t="n"/>
      <c r="L1569" s="9" t="n"/>
      <c r="M1569" s="9" t="n"/>
      <c r="N1569" s="9" t="n"/>
      <c r="O1569" s="9" t="n"/>
      <c r="P1569" s="9" t="n"/>
      <c r="Q1569" s="9" t="n"/>
      <c r="R1569" s="9" t="n"/>
      <c r="S1569" s="9" t="n"/>
      <c r="T1569" s="9" t="n"/>
      <c r="U1569" s="9" t="n"/>
      <c r="V1569" s="9" t="n"/>
      <c r="W1569" s="9" t="n"/>
      <c r="X1569" s="9" t="n"/>
      <c r="Y1569" s="9" t="n"/>
      <c r="Z1569" s="9" t="n"/>
    </row>
    <row r="1570" ht="14.25" customHeight="1" s="37">
      <c r="A1570" s="9">
        <f>IF(C1570="","","UM"&amp;TEXT(ROW()-1,"00000"))</f>
        <v/>
      </c>
      <c r="B1570" s="9" t="n"/>
      <c r="C1570" s="9" t="n"/>
      <c r="D1570" s="9" t="n"/>
      <c r="E1570" s="9" t="n"/>
      <c r="F1570" s="9">
        <f>IF(E1570="","",DATEDIF(E1570,DATE(2026,12,31),"Y"))</f>
        <v/>
      </c>
      <c r="G1570" s="9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  <c r="R1570" s="9" t="n"/>
      <c r="S1570" s="9" t="n"/>
      <c r="T1570" s="9" t="n"/>
      <c r="U1570" s="9" t="n"/>
      <c r="V1570" s="9" t="n"/>
      <c r="W1570" s="9" t="n"/>
      <c r="X1570" s="9" t="n"/>
      <c r="Y1570" s="9" t="n"/>
      <c r="Z1570" s="9" t="n"/>
    </row>
    <row r="1571" ht="14.25" customHeight="1" s="37">
      <c r="A1571" s="9">
        <f>IF(C1571="","","UM"&amp;TEXT(ROW()-1,"00000"))</f>
        <v/>
      </c>
      <c r="B1571" s="9" t="n"/>
      <c r="C1571" s="9" t="n"/>
      <c r="D1571" s="9" t="n"/>
      <c r="E1571" s="9" t="n"/>
      <c r="F1571" s="9">
        <f>IF(E1571="","",DATEDIF(E1571,DATE(2026,12,31),"Y"))</f>
        <v/>
      </c>
      <c r="G1571" s="9" t="n"/>
      <c r="H1571" s="9" t="n"/>
      <c r="I1571" s="9" t="n"/>
      <c r="J1571" s="9" t="n"/>
      <c r="K1571" s="9" t="n"/>
      <c r="L1571" s="9" t="n"/>
      <c r="M1571" s="9" t="n"/>
      <c r="N1571" s="9" t="n"/>
      <c r="O1571" s="9" t="n"/>
      <c r="P1571" s="9" t="n"/>
      <c r="Q1571" s="9" t="n"/>
      <c r="R1571" s="9" t="n"/>
      <c r="S1571" s="9" t="n"/>
      <c r="T1571" s="9" t="n"/>
      <c r="U1571" s="9" t="n"/>
      <c r="V1571" s="9" t="n"/>
      <c r="W1571" s="9" t="n"/>
      <c r="X1571" s="9" t="n"/>
      <c r="Y1571" s="9" t="n"/>
      <c r="Z1571" s="9" t="n"/>
    </row>
    <row r="1572" ht="14.25" customHeight="1" s="37">
      <c r="A1572" s="9">
        <f>IF(C1572="","","UM"&amp;TEXT(ROW()-1,"00000"))</f>
        <v/>
      </c>
      <c r="B1572" s="9" t="n"/>
      <c r="C1572" s="9" t="n"/>
      <c r="D1572" s="9" t="n"/>
      <c r="E1572" s="9" t="n"/>
      <c r="F1572" s="9">
        <f>IF(E1572="","",DATEDIF(E1572,DATE(2026,12,31),"Y"))</f>
        <v/>
      </c>
      <c r="G1572" s="9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  <c r="R1572" s="9" t="n"/>
      <c r="S1572" s="9" t="n"/>
      <c r="T1572" s="9" t="n"/>
      <c r="U1572" s="9" t="n"/>
      <c r="V1572" s="9" t="n"/>
      <c r="W1572" s="9" t="n"/>
      <c r="X1572" s="9" t="n"/>
      <c r="Y1572" s="9" t="n"/>
      <c r="Z1572" s="9" t="n"/>
    </row>
    <row r="1573" ht="14.25" customHeight="1" s="37">
      <c r="A1573" s="9">
        <f>IF(C1573="","","UM"&amp;TEXT(ROW()-1,"00000"))</f>
        <v/>
      </c>
      <c r="B1573" s="9" t="n"/>
      <c r="C1573" s="9" t="n"/>
      <c r="D1573" s="9" t="n"/>
      <c r="E1573" s="9" t="n"/>
      <c r="F1573" s="9">
        <f>IF(E1573="","",DATEDIF(E1573,DATE(2026,12,31),"Y"))</f>
        <v/>
      </c>
      <c r="G1573" s="9" t="n"/>
      <c r="H1573" s="9" t="n"/>
      <c r="I1573" s="9" t="n"/>
      <c r="J1573" s="9" t="n"/>
      <c r="K1573" s="9" t="n"/>
      <c r="L1573" s="9" t="n"/>
      <c r="M1573" s="9" t="n"/>
      <c r="N1573" s="9" t="n"/>
      <c r="O1573" s="9" t="n"/>
      <c r="P1573" s="9" t="n"/>
      <c r="Q1573" s="9" t="n"/>
      <c r="R1573" s="9" t="n"/>
      <c r="S1573" s="9" t="n"/>
      <c r="T1573" s="9" t="n"/>
      <c r="U1573" s="9" t="n"/>
      <c r="V1573" s="9" t="n"/>
      <c r="W1573" s="9" t="n"/>
      <c r="X1573" s="9" t="n"/>
      <c r="Y1573" s="9" t="n"/>
      <c r="Z1573" s="9" t="n"/>
    </row>
    <row r="1574" ht="14.25" customHeight="1" s="37">
      <c r="A1574" s="9">
        <f>IF(C1574="","","UM"&amp;TEXT(ROW()-1,"00000"))</f>
        <v/>
      </c>
      <c r="B1574" s="9" t="n"/>
      <c r="C1574" s="9" t="n"/>
      <c r="D1574" s="9" t="n"/>
      <c r="E1574" s="9" t="n"/>
      <c r="F1574" s="9">
        <f>IF(E1574="","",DATEDIF(E1574,DATE(2026,12,31),"Y"))</f>
        <v/>
      </c>
      <c r="G1574" s="9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  <c r="R1574" s="9" t="n"/>
      <c r="S1574" s="9" t="n"/>
      <c r="T1574" s="9" t="n"/>
      <c r="U1574" s="9" t="n"/>
      <c r="V1574" s="9" t="n"/>
      <c r="W1574" s="9" t="n"/>
      <c r="X1574" s="9" t="n"/>
      <c r="Y1574" s="9" t="n"/>
      <c r="Z1574" s="9" t="n"/>
    </row>
    <row r="1575" ht="14.25" customHeight="1" s="37">
      <c r="A1575" s="9">
        <f>IF(C1575="","","UM"&amp;TEXT(ROW()-1,"00000"))</f>
        <v/>
      </c>
      <c r="B1575" s="9" t="n"/>
      <c r="C1575" s="9" t="n"/>
      <c r="D1575" s="9" t="n"/>
      <c r="E1575" s="9" t="n"/>
      <c r="F1575" s="9">
        <f>IF(E1575="","",DATEDIF(E1575,DATE(2026,12,31),"Y"))</f>
        <v/>
      </c>
      <c r="G1575" s="9" t="n"/>
      <c r="H1575" s="9" t="n"/>
      <c r="I1575" s="9" t="n"/>
      <c r="J1575" s="9" t="n"/>
      <c r="K1575" s="9" t="n"/>
      <c r="L1575" s="9" t="n"/>
      <c r="M1575" s="9" t="n"/>
      <c r="N1575" s="9" t="n"/>
      <c r="O1575" s="9" t="n"/>
      <c r="P1575" s="9" t="n"/>
      <c r="Q1575" s="9" t="n"/>
      <c r="R1575" s="9" t="n"/>
      <c r="S1575" s="9" t="n"/>
      <c r="T1575" s="9" t="n"/>
      <c r="U1575" s="9" t="n"/>
      <c r="V1575" s="9" t="n"/>
      <c r="W1575" s="9" t="n"/>
      <c r="X1575" s="9" t="n"/>
      <c r="Y1575" s="9" t="n"/>
      <c r="Z1575" s="9" t="n"/>
    </row>
    <row r="1576" ht="14.25" customHeight="1" s="37">
      <c r="A1576" s="9">
        <f>IF(C1576="","","UM"&amp;TEXT(ROW()-1,"00000"))</f>
        <v/>
      </c>
      <c r="B1576" s="9" t="n"/>
      <c r="C1576" s="9" t="n"/>
      <c r="D1576" s="9" t="n"/>
      <c r="E1576" s="9" t="n"/>
      <c r="F1576" s="9">
        <f>IF(E1576="","",DATEDIF(E1576,DATE(2026,12,31),"Y"))</f>
        <v/>
      </c>
      <c r="G1576" s="9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  <c r="R1576" s="9" t="n"/>
      <c r="S1576" s="9" t="n"/>
      <c r="T1576" s="9" t="n"/>
      <c r="U1576" s="9" t="n"/>
      <c r="V1576" s="9" t="n"/>
      <c r="W1576" s="9" t="n"/>
      <c r="X1576" s="9" t="n"/>
      <c r="Y1576" s="9" t="n"/>
      <c r="Z1576" s="9" t="n"/>
    </row>
    <row r="1577" ht="14.25" customHeight="1" s="37">
      <c r="A1577" s="9">
        <f>IF(C1577="","","UM"&amp;TEXT(ROW()-1,"00000"))</f>
        <v/>
      </c>
      <c r="B1577" s="9" t="n"/>
      <c r="C1577" s="9" t="n"/>
      <c r="D1577" s="9" t="n"/>
      <c r="E1577" s="9" t="n"/>
      <c r="F1577" s="9">
        <f>IF(E1577="","",DATEDIF(E1577,DATE(2026,12,31),"Y"))</f>
        <v/>
      </c>
      <c r="G1577" s="9" t="n"/>
      <c r="H1577" s="9" t="n"/>
      <c r="I1577" s="9" t="n"/>
      <c r="J1577" s="9" t="n"/>
      <c r="K1577" s="9" t="n"/>
      <c r="L1577" s="9" t="n"/>
      <c r="M1577" s="9" t="n"/>
      <c r="N1577" s="9" t="n"/>
      <c r="O1577" s="9" t="n"/>
      <c r="P1577" s="9" t="n"/>
      <c r="Q1577" s="9" t="n"/>
      <c r="R1577" s="9" t="n"/>
      <c r="S1577" s="9" t="n"/>
      <c r="T1577" s="9" t="n"/>
      <c r="U1577" s="9" t="n"/>
      <c r="V1577" s="9" t="n"/>
      <c r="W1577" s="9" t="n"/>
      <c r="X1577" s="9" t="n"/>
      <c r="Y1577" s="9" t="n"/>
      <c r="Z1577" s="9" t="n"/>
    </row>
    <row r="1578" ht="14.25" customHeight="1" s="37">
      <c r="A1578" s="9">
        <f>IF(C1578="","","UM"&amp;TEXT(ROW()-1,"00000"))</f>
        <v/>
      </c>
      <c r="B1578" s="9" t="n"/>
      <c r="C1578" s="9" t="n"/>
      <c r="D1578" s="9" t="n"/>
      <c r="E1578" s="9" t="n"/>
      <c r="F1578" s="9">
        <f>IF(E1578="","",DATEDIF(E1578,DATE(2026,12,31),"Y"))</f>
        <v/>
      </c>
      <c r="G1578" s="9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  <c r="R1578" s="9" t="n"/>
      <c r="S1578" s="9" t="n"/>
      <c r="T1578" s="9" t="n"/>
      <c r="U1578" s="9" t="n"/>
      <c r="V1578" s="9" t="n"/>
      <c r="W1578" s="9" t="n"/>
      <c r="X1578" s="9" t="n"/>
      <c r="Y1578" s="9" t="n"/>
      <c r="Z1578" s="9" t="n"/>
    </row>
    <row r="1579" ht="14.25" customHeight="1" s="37">
      <c r="A1579" s="9">
        <f>IF(C1579="","","UM"&amp;TEXT(ROW()-1,"00000"))</f>
        <v/>
      </c>
      <c r="B1579" s="9" t="n"/>
      <c r="C1579" s="9" t="n"/>
      <c r="D1579" s="9" t="n"/>
      <c r="E1579" s="9" t="n"/>
      <c r="F1579" s="9">
        <f>IF(E1579="","",DATEDIF(E1579,DATE(2026,12,31),"Y"))</f>
        <v/>
      </c>
      <c r="G1579" s="9" t="n"/>
      <c r="H1579" s="9" t="n"/>
      <c r="I1579" s="9" t="n"/>
      <c r="J1579" s="9" t="n"/>
      <c r="K1579" s="9" t="n"/>
      <c r="L1579" s="9" t="n"/>
      <c r="M1579" s="9" t="n"/>
      <c r="N1579" s="9" t="n"/>
      <c r="O1579" s="9" t="n"/>
      <c r="P1579" s="9" t="n"/>
      <c r="Q1579" s="9" t="n"/>
      <c r="R1579" s="9" t="n"/>
      <c r="S1579" s="9" t="n"/>
      <c r="T1579" s="9" t="n"/>
      <c r="U1579" s="9" t="n"/>
      <c r="V1579" s="9" t="n"/>
      <c r="W1579" s="9" t="n"/>
      <c r="X1579" s="9" t="n"/>
      <c r="Y1579" s="9" t="n"/>
      <c r="Z1579" s="9" t="n"/>
    </row>
    <row r="1580" ht="14.25" customHeight="1" s="37">
      <c r="A1580" s="9">
        <f>IF(C1580="","","UM"&amp;TEXT(ROW()-1,"00000"))</f>
        <v/>
      </c>
      <c r="B1580" s="9" t="n"/>
      <c r="C1580" s="9" t="n"/>
      <c r="D1580" s="9" t="n"/>
      <c r="E1580" s="9" t="n"/>
      <c r="F1580" s="9">
        <f>IF(E1580="","",DATEDIF(E1580,DATE(2026,12,31),"Y"))</f>
        <v/>
      </c>
      <c r="G1580" s="9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  <c r="R1580" s="9" t="n"/>
      <c r="S1580" s="9" t="n"/>
      <c r="T1580" s="9" t="n"/>
      <c r="U1580" s="9" t="n"/>
      <c r="V1580" s="9" t="n"/>
      <c r="W1580" s="9" t="n"/>
      <c r="X1580" s="9" t="n"/>
      <c r="Y1580" s="9" t="n"/>
      <c r="Z1580" s="9" t="n"/>
    </row>
    <row r="1581" ht="14.25" customHeight="1" s="37">
      <c r="A1581" s="9">
        <f>IF(C1581="","","UM"&amp;TEXT(ROW()-1,"00000"))</f>
        <v/>
      </c>
      <c r="B1581" s="9" t="n"/>
      <c r="C1581" s="9" t="n"/>
      <c r="D1581" s="9" t="n"/>
      <c r="E1581" s="9" t="n"/>
      <c r="F1581" s="9">
        <f>IF(E1581="","",DATEDIF(E1581,DATE(2026,12,31),"Y"))</f>
        <v/>
      </c>
      <c r="G1581" s="9" t="n"/>
      <c r="H1581" s="9" t="n"/>
      <c r="I1581" s="9" t="n"/>
      <c r="J1581" s="9" t="n"/>
      <c r="K1581" s="9" t="n"/>
      <c r="L1581" s="9" t="n"/>
      <c r="M1581" s="9" t="n"/>
      <c r="N1581" s="9" t="n"/>
      <c r="O1581" s="9" t="n"/>
      <c r="P1581" s="9" t="n"/>
      <c r="Q1581" s="9" t="n"/>
      <c r="R1581" s="9" t="n"/>
      <c r="S1581" s="9" t="n"/>
      <c r="T1581" s="9" t="n"/>
      <c r="U1581" s="9" t="n"/>
      <c r="V1581" s="9" t="n"/>
      <c r="W1581" s="9" t="n"/>
      <c r="X1581" s="9" t="n"/>
      <c r="Y1581" s="9" t="n"/>
      <c r="Z1581" s="9" t="n"/>
    </row>
    <row r="1582" ht="14.25" customHeight="1" s="37">
      <c r="A1582" s="9">
        <f>IF(C1582="","","UM"&amp;TEXT(ROW()-1,"00000"))</f>
        <v/>
      </c>
      <c r="B1582" s="9" t="n"/>
      <c r="C1582" s="9" t="n"/>
      <c r="D1582" s="9" t="n"/>
      <c r="E1582" s="9" t="n"/>
      <c r="F1582" s="9">
        <f>IF(E1582="","",DATEDIF(E1582,DATE(2026,12,31),"Y"))</f>
        <v/>
      </c>
      <c r="G1582" s="9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  <c r="R1582" s="9" t="n"/>
      <c r="S1582" s="9" t="n"/>
      <c r="T1582" s="9" t="n"/>
      <c r="U1582" s="9" t="n"/>
      <c r="V1582" s="9" t="n"/>
      <c r="W1582" s="9" t="n"/>
      <c r="X1582" s="9" t="n"/>
      <c r="Y1582" s="9" t="n"/>
      <c r="Z1582" s="9" t="n"/>
    </row>
    <row r="1583" ht="14.25" customHeight="1" s="37">
      <c r="A1583" s="9">
        <f>IF(C1583="","","UM"&amp;TEXT(ROW()-1,"00000"))</f>
        <v/>
      </c>
      <c r="B1583" s="9" t="n"/>
      <c r="C1583" s="9" t="n"/>
      <c r="D1583" s="9" t="n"/>
      <c r="E1583" s="9" t="n"/>
      <c r="F1583" s="9">
        <f>IF(E1583="","",DATEDIF(E1583,DATE(2026,12,31),"Y"))</f>
        <v/>
      </c>
      <c r="G1583" s="9" t="n"/>
      <c r="H1583" s="9" t="n"/>
      <c r="I1583" s="9" t="n"/>
      <c r="J1583" s="9" t="n"/>
      <c r="K1583" s="9" t="n"/>
      <c r="L1583" s="9" t="n"/>
      <c r="M1583" s="9" t="n"/>
      <c r="N1583" s="9" t="n"/>
      <c r="O1583" s="9" t="n"/>
      <c r="P1583" s="9" t="n"/>
      <c r="Q1583" s="9" t="n"/>
      <c r="R1583" s="9" t="n"/>
      <c r="S1583" s="9" t="n"/>
      <c r="T1583" s="9" t="n"/>
      <c r="U1583" s="9" t="n"/>
      <c r="V1583" s="9" t="n"/>
      <c r="W1583" s="9" t="n"/>
      <c r="X1583" s="9" t="n"/>
      <c r="Y1583" s="9" t="n"/>
      <c r="Z1583" s="9" t="n"/>
    </row>
    <row r="1584" ht="14.25" customHeight="1" s="37">
      <c r="A1584" s="9">
        <f>IF(C1584="","","UM"&amp;TEXT(ROW()-1,"00000"))</f>
        <v/>
      </c>
      <c r="B1584" s="9" t="n"/>
      <c r="C1584" s="9" t="n"/>
      <c r="D1584" s="9" t="n"/>
      <c r="E1584" s="9" t="n"/>
      <c r="F1584" s="9">
        <f>IF(E1584="","",DATEDIF(E1584,DATE(2026,12,31),"Y"))</f>
        <v/>
      </c>
      <c r="G1584" s="9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  <c r="R1584" s="9" t="n"/>
      <c r="S1584" s="9" t="n"/>
      <c r="T1584" s="9" t="n"/>
      <c r="U1584" s="9" t="n"/>
      <c r="V1584" s="9" t="n"/>
      <c r="W1584" s="9" t="n"/>
      <c r="X1584" s="9" t="n"/>
      <c r="Y1584" s="9" t="n"/>
      <c r="Z1584" s="9" t="n"/>
    </row>
    <row r="1585" ht="14.25" customHeight="1" s="37">
      <c r="A1585" s="9">
        <f>IF(C1585="","","UM"&amp;TEXT(ROW()-1,"00000"))</f>
        <v/>
      </c>
      <c r="B1585" s="9" t="n"/>
      <c r="C1585" s="9" t="n"/>
      <c r="D1585" s="9" t="n"/>
      <c r="E1585" s="9" t="n"/>
      <c r="F1585" s="9">
        <f>IF(E1585="","",DATEDIF(E1585,DATE(2026,12,31),"Y"))</f>
        <v/>
      </c>
      <c r="G1585" s="9" t="n"/>
      <c r="H1585" s="9" t="n"/>
      <c r="I1585" s="9" t="n"/>
      <c r="J1585" s="9" t="n"/>
      <c r="K1585" s="9" t="n"/>
      <c r="L1585" s="9" t="n"/>
      <c r="M1585" s="9" t="n"/>
      <c r="N1585" s="9" t="n"/>
      <c r="O1585" s="9" t="n"/>
      <c r="P1585" s="9" t="n"/>
      <c r="Q1585" s="9" t="n"/>
      <c r="R1585" s="9" t="n"/>
      <c r="S1585" s="9" t="n"/>
      <c r="T1585" s="9" t="n"/>
      <c r="U1585" s="9" t="n"/>
      <c r="V1585" s="9" t="n"/>
      <c r="W1585" s="9" t="n"/>
      <c r="X1585" s="9" t="n"/>
      <c r="Y1585" s="9" t="n"/>
      <c r="Z1585" s="9" t="n"/>
    </row>
    <row r="1586" ht="14.25" customHeight="1" s="37">
      <c r="A1586" s="9">
        <f>IF(C1586="","","UM"&amp;TEXT(ROW()-1,"00000"))</f>
        <v/>
      </c>
      <c r="B1586" s="9" t="n"/>
      <c r="C1586" s="9" t="n"/>
      <c r="D1586" s="9" t="n"/>
      <c r="E1586" s="9" t="n"/>
      <c r="F1586" s="9">
        <f>IF(E1586="","",DATEDIF(E1586,DATE(2026,12,31),"Y"))</f>
        <v/>
      </c>
      <c r="G1586" s="9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  <c r="R1586" s="9" t="n"/>
      <c r="S1586" s="9" t="n"/>
      <c r="T1586" s="9" t="n"/>
      <c r="U1586" s="9" t="n"/>
      <c r="V1586" s="9" t="n"/>
      <c r="W1586" s="9" t="n"/>
      <c r="X1586" s="9" t="n"/>
      <c r="Y1586" s="9" t="n"/>
      <c r="Z1586" s="9" t="n"/>
    </row>
    <row r="1587" ht="14.25" customHeight="1" s="37">
      <c r="A1587" s="9">
        <f>IF(C1587="","","UM"&amp;TEXT(ROW()-1,"00000"))</f>
        <v/>
      </c>
      <c r="B1587" s="9" t="n"/>
      <c r="C1587" s="9" t="n"/>
      <c r="D1587" s="9" t="n"/>
      <c r="E1587" s="9" t="n"/>
      <c r="F1587" s="9">
        <f>IF(E1587="","",DATEDIF(E1587,DATE(2026,12,31),"Y"))</f>
        <v/>
      </c>
      <c r="G1587" s="9" t="n"/>
      <c r="H1587" s="9" t="n"/>
      <c r="I1587" s="9" t="n"/>
      <c r="J1587" s="9" t="n"/>
      <c r="K1587" s="9" t="n"/>
      <c r="L1587" s="9" t="n"/>
      <c r="M1587" s="9" t="n"/>
      <c r="N1587" s="9" t="n"/>
      <c r="O1587" s="9" t="n"/>
      <c r="P1587" s="9" t="n"/>
      <c r="Q1587" s="9" t="n"/>
      <c r="R1587" s="9" t="n"/>
      <c r="S1587" s="9" t="n"/>
      <c r="T1587" s="9" t="n"/>
      <c r="U1587" s="9" t="n"/>
      <c r="V1587" s="9" t="n"/>
      <c r="W1587" s="9" t="n"/>
      <c r="X1587" s="9" t="n"/>
      <c r="Y1587" s="9" t="n"/>
      <c r="Z1587" s="9" t="n"/>
    </row>
    <row r="1588" ht="14.25" customHeight="1" s="37">
      <c r="A1588" s="9">
        <f>IF(C1588="","","UM"&amp;TEXT(ROW()-1,"00000"))</f>
        <v/>
      </c>
      <c r="B1588" s="9" t="n"/>
      <c r="C1588" s="9" t="n"/>
      <c r="D1588" s="9" t="n"/>
      <c r="E1588" s="9" t="n"/>
      <c r="F1588" s="9">
        <f>IF(E1588="","",DATEDIF(E1588,DATE(2026,12,31),"Y"))</f>
        <v/>
      </c>
      <c r="G1588" s="9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  <c r="R1588" s="9" t="n"/>
      <c r="S1588" s="9" t="n"/>
      <c r="T1588" s="9" t="n"/>
      <c r="U1588" s="9" t="n"/>
      <c r="V1588" s="9" t="n"/>
      <c r="W1588" s="9" t="n"/>
      <c r="X1588" s="9" t="n"/>
      <c r="Y1588" s="9" t="n"/>
      <c r="Z1588" s="9" t="n"/>
    </row>
    <row r="1589" ht="14.25" customHeight="1" s="37">
      <c r="A1589" s="9">
        <f>IF(C1589="","","UM"&amp;TEXT(ROW()-1,"00000"))</f>
        <v/>
      </c>
      <c r="B1589" s="9" t="n"/>
      <c r="C1589" s="9" t="n"/>
      <c r="D1589" s="9" t="n"/>
      <c r="E1589" s="9" t="n"/>
      <c r="F1589" s="9">
        <f>IF(E1589="","",DATEDIF(E1589,DATE(2026,12,31),"Y"))</f>
        <v/>
      </c>
      <c r="G1589" s="9" t="n"/>
      <c r="H1589" s="9" t="n"/>
      <c r="I1589" s="9" t="n"/>
      <c r="J1589" s="9" t="n"/>
      <c r="K1589" s="9" t="n"/>
      <c r="L1589" s="9" t="n"/>
      <c r="M1589" s="9" t="n"/>
      <c r="N1589" s="9" t="n"/>
      <c r="O1589" s="9" t="n"/>
      <c r="P1589" s="9" t="n"/>
      <c r="Q1589" s="9" t="n"/>
      <c r="R1589" s="9" t="n"/>
      <c r="S1589" s="9" t="n"/>
      <c r="T1589" s="9" t="n"/>
      <c r="U1589" s="9" t="n"/>
      <c r="V1589" s="9" t="n"/>
      <c r="W1589" s="9" t="n"/>
      <c r="X1589" s="9" t="n"/>
      <c r="Y1589" s="9" t="n"/>
      <c r="Z1589" s="9" t="n"/>
    </row>
    <row r="1590" ht="14.25" customHeight="1" s="37">
      <c r="A1590" s="9">
        <f>IF(C1590="","","UM"&amp;TEXT(ROW()-1,"00000"))</f>
        <v/>
      </c>
      <c r="B1590" s="9" t="n"/>
      <c r="C1590" s="9" t="n"/>
      <c r="D1590" s="9" t="n"/>
      <c r="E1590" s="9" t="n"/>
      <c r="F1590" s="9">
        <f>IF(E1590="","",DATEDIF(E1590,DATE(2026,12,31),"Y"))</f>
        <v/>
      </c>
      <c r="G1590" s="9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  <c r="R1590" s="9" t="n"/>
      <c r="S1590" s="9" t="n"/>
      <c r="T1590" s="9" t="n"/>
      <c r="U1590" s="9" t="n"/>
      <c r="V1590" s="9" t="n"/>
      <c r="W1590" s="9" t="n"/>
      <c r="X1590" s="9" t="n"/>
      <c r="Y1590" s="9" t="n"/>
      <c r="Z1590" s="9" t="n"/>
    </row>
    <row r="1591" ht="14.25" customHeight="1" s="37">
      <c r="A1591" s="9">
        <f>IF(C1591="","","UM"&amp;TEXT(ROW()-1,"00000"))</f>
        <v/>
      </c>
      <c r="B1591" s="9" t="n"/>
      <c r="C1591" s="9" t="n"/>
      <c r="D1591" s="9" t="n"/>
      <c r="E1591" s="9" t="n"/>
      <c r="F1591" s="9">
        <f>IF(E1591="","",DATEDIF(E1591,DATE(2026,12,31),"Y"))</f>
        <v/>
      </c>
      <c r="G1591" s="9" t="n"/>
      <c r="H1591" s="9" t="n"/>
      <c r="I1591" s="9" t="n"/>
      <c r="J1591" s="9" t="n"/>
      <c r="K1591" s="9" t="n"/>
      <c r="L1591" s="9" t="n"/>
      <c r="M1591" s="9" t="n"/>
      <c r="N1591" s="9" t="n"/>
      <c r="O1591" s="9" t="n"/>
      <c r="P1591" s="9" t="n"/>
      <c r="Q1591" s="9" t="n"/>
      <c r="R1591" s="9" t="n"/>
      <c r="S1591" s="9" t="n"/>
      <c r="T1591" s="9" t="n"/>
      <c r="U1591" s="9" t="n"/>
      <c r="V1591" s="9" t="n"/>
      <c r="W1591" s="9" t="n"/>
      <c r="X1591" s="9" t="n"/>
      <c r="Y1591" s="9" t="n"/>
      <c r="Z1591" s="9" t="n"/>
    </row>
    <row r="1592" ht="14.25" customHeight="1" s="37">
      <c r="A1592" s="9">
        <f>IF(C1592="","","UM"&amp;TEXT(ROW()-1,"00000"))</f>
        <v/>
      </c>
      <c r="B1592" s="9" t="n"/>
      <c r="C1592" s="9" t="n"/>
      <c r="D1592" s="9" t="n"/>
      <c r="E1592" s="9" t="n"/>
      <c r="F1592" s="9">
        <f>IF(E1592="","",DATEDIF(E1592,DATE(2026,12,31),"Y"))</f>
        <v/>
      </c>
      <c r="G1592" s="9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  <c r="R1592" s="9" t="n"/>
      <c r="S1592" s="9" t="n"/>
      <c r="T1592" s="9" t="n"/>
      <c r="U1592" s="9" t="n"/>
      <c r="V1592" s="9" t="n"/>
      <c r="W1592" s="9" t="n"/>
      <c r="X1592" s="9" t="n"/>
      <c r="Y1592" s="9" t="n"/>
      <c r="Z1592" s="9" t="n"/>
    </row>
    <row r="1593" ht="14.25" customHeight="1" s="37">
      <c r="A1593" s="9">
        <f>IF(C1593="","","UM"&amp;TEXT(ROW()-1,"00000"))</f>
        <v/>
      </c>
      <c r="B1593" s="9" t="n"/>
      <c r="C1593" s="9" t="n"/>
      <c r="D1593" s="9" t="n"/>
      <c r="E1593" s="9" t="n"/>
      <c r="F1593" s="9">
        <f>IF(E1593="","",DATEDIF(E1593,DATE(2026,12,31),"Y"))</f>
        <v/>
      </c>
      <c r="G1593" s="9" t="n"/>
      <c r="H1593" s="9" t="n"/>
      <c r="I1593" s="9" t="n"/>
      <c r="J1593" s="9" t="n"/>
      <c r="K1593" s="9" t="n"/>
      <c r="L1593" s="9" t="n"/>
      <c r="M1593" s="9" t="n"/>
      <c r="N1593" s="9" t="n"/>
      <c r="O1593" s="9" t="n"/>
      <c r="P1593" s="9" t="n"/>
      <c r="Q1593" s="9" t="n"/>
      <c r="R1593" s="9" t="n"/>
      <c r="S1593" s="9" t="n"/>
      <c r="T1593" s="9" t="n"/>
      <c r="U1593" s="9" t="n"/>
      <c r="V1593" s="9" t="n"/>
      <c r="W1593" s="9" t="n"/>
      <c r="X1593" s="9" t="n"/>
      <c r="Y1593" s="9" t="n"/>
      <c r="Z1593" s="9" t="n"/>
    </row>
    <row r="1594" ht="14.25" customHeight="1" s="37">
      <c r="A1594" s="9">
        <f>IF(C1594="","","UM"&amp;TEXT(ROW()-1,"00000"))</f>
        <v/>
      </c>
      <c r="B1594" s="9" t="n"/>
      <c r="C1594" s="9" t="n"/>
      <c r="D1594" s="9" t="n"/>
      <c r="E1594" s="9" t="n"/>
      <c r="F1594" s="9">
        <f>IF(E1594="","",DATEDIF(E1594,DATE(2026,12,31),"Y"))</f>
        <v/>
      </c>
      <c r="G1594" s="9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  <c r="R1594" s="9" t="n"/>
      <c r="S1594" s="9" t="n"/>
      <c r="T1594" s="9" t="n"/>
      <c r="U1594" s="9" t="n"/>
      <c r="V1594" s="9" t="n"/>
      <c r="W1594" s="9" t="n"/>
      <c r="X1594" s="9" t="n"/>
      <c r="Y1594" s="9" t="n"/>
      <c r="Z1594" s="9" t="n"/>
    </row>
    <row r="1595" ht="14.25" customHeight="1" s="37">
      <c r="A1595" s="9">
        <f>IF(C1595="","","UM"&amp;TEXT(ROW()-1,"00000"))</f>
        <v/>
      </c>
      <c r="B1595" s="9" t="n"/>
      <c r="C1595" s="9" t="n"/>
      <c r="D1595" s="9" t="n"/>
      <c r="E1595" s="9" t="n"/>
      <c r="F1595" s="9">
        <f>IF(E1595="","",DATEDIF(E1595,DATE(2026,12,31),"Y"))</f>
        <v/>
      </c>
      <c r="G1595" s="9" t="n"/>
      <c r="H1595" s="9" t="n"/>
      <c r="I1595" s="9" t="n"/>
      <c r="J1595" s="9" t="n"/>
      <c r="K1595" s="9" t="n"/>
      <c r="L1595" s="9" t="n"/>
      <c r="M1595" s="9" t="n"/>
      <c r="N1595" s="9" t="n"/>
      <c r="O1595" s="9" t="n"/>
      <c r="P1595" s="9" t="n"/>
      <c r="Q1595" s="9" t="n"/>
      <c r="R1595" s="9" t="n"/>
      <c r="S1595" s="9" t="n"/>
      <c r="T1595" s="9" t="n"/>
      <c r="U1595" s="9" t="n"/>
      <c r="V1595" s="9" t="n"/>
      <c r="W1595" s="9" t="n"/>
      <c r="X1595" s="9" t="n"/>
      <c r="Y1595" s="9" t="n"/>
      <c r="Z1595" s="9" t="n"/>
    </row>
    <row r="1596" ht="14.25" customHeight="1" s="37">
      <c r="A1596" s="9">
        <f>IF(C1596="","","UM"&amp;TEXT(ROW()-1,"00000"))</f>
        <v/>
      </c>
      <c r="B1596" s="9" t="n"/>
      <c r="C1596" s="9" t="n"/>
      <c r="D1596" s="9" t="n"/>
      <c r="E1596" s="9" t="n"/>
      <c r="F1596" s="9">
        <f>IF(E1596="","",DATEDIF(E1596,DATE(2026,12,31),"Y"))</f>
        <v/>
      </c>
      <c r="G1596" s="9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  <c r="R1596" s="9" t="n"/>
      <c r="S1596" s="9" t="n"/>
      <c r="T1596" s="9" t="n"/>
      <c r="U1596" s="9" t="n"/>
      <c r="V1596" s="9" t="n"/>
      <c r="W1596" s="9" t="n"/>
      <c r="X1596" s="9" t="n"/>
      <c r="Y1596" s="9" t="n"/>
      <c r="Z1596" s="9" t="n"/>
    </row>
    <row r="1597" ht="14.25" customHeight="1" s="37">
      <c r="A1597" s="9">
        <f>IF(C1597="","","UM"&amp;TEXT(ROW()-1,"00000"))</f>
        <v/>
      </c>
      <c r="B1597" s="9" t="n"/>
      <c r="C1597" s="9" t="n"/>
      <c r="D1597" s="9" t="n"/>
      <c r="E1597" s="9" t="n"/>
      <c r="F1597" s="9">
        <f>IF(E1597="","",DATEDIF(E1597,DATE(2026,12,31),"Y"))</f>
        <v/>
      </c>
      <c r="G1597" s="9" t="n"/>
      <c r="H1597" s="9" t="n"/>
      <c r="I1597" s="9" t="n"/>
      <c r="J1597" s="9" t="n"/>
      <c r="K1597" s="9" t="n"/>
      <c r="L1597" s="9" t="n"/>
      <c r="M1597" s="9" t="n"/>
      <c r="N1597" s="9" t="n"/>
      <c r="O1597" s="9" t="n"/>
      <c r="P1597" s="9" t="n"/>
      <c r="Q1597" s="9" t="n"/>
      <c r="R1597" s="9" t="n"/>
      <c r="S1597" s="9" t="n"/>
      <c r="T1597" s="9" t="n"/>
      <c r="U1597" s="9" t="n"/>
      <c r="V1597" s="9" t="n"/>
      <c r="W1597" s="9" t="n"/>
      <c r="X1597" s="9" t="n"/>
      <c r="Y1597" s="9" t="n"/>
      <c r="Z1597" s="9" t="n"/>
    </row>
    <row r="1598" ht="14.25" customHeight="1" s="37">
      <c r="A1598" s="9">
        <f>IF(C1598="","","UM"&amp;TEXT(ROW()-1,"00000"))</f>
        <v/>
      </c>
      <c r="B1598" s="9" t="n"/>
      <c r="C1598" s="9" t="n"/>
      <c r="D1598" s="9" t="n"/>
      <c r="E1598" s="9" t="n"/>
      <c r="F1598" s="9">
        <f>IF(E1598="","",DATEDIF(E1598,DATE(2026,12,31),"Y"))</f>
        <v/>
      </c>
      <c r="G1598" s="9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  <c r="R1598" s="9" t="n"/>
      <c r="S1598" s="9" t="n"/>
      <c r="T1598" s="9" t="n"/>
      <c r="U1598" s="9" t="n"/>
      <c r="V1598" s="9" t="n"/>
      <c r="W1598" s="9" t="n"/>
      <c r="X1598" s="9" t="n"/>
      <c r="Y1598" s="9" t="n"/>
      <c r="Z1598" s="9" t="n"/>
    </row>
    <row r="1599" ht="14.25" customHeight="1" s="37">
      <c r="A1599" s="9">
        <f>IF(C1599="","","UM"&amp;TEXT(ROW()-1,"00000"))</f>
        <v/>
      </c>
      <c r="B1599" s="9" t="n"/>
      <c r="C1599" s="9" t="n"/>
      <c r="D1599" s="9" t="n"/>
      <c r="E1599" s="9" t="n"/>
      <c r="F1599" s="9">
        <f>IF(E1599="","",DATEDIF(E1599,DATE(2026,12,31),"Y"))</f>
        <v/>
      </c>
      <c r="G1599" s="9" t="n"/>
      <c r="H1599" s="9" t="n"/>
      <c r="I1599" s="9" t="n"/>
      <c r="J1599" s="9" t="n"/>
      <c r="K1599" s="9" t="n"/>
      <c r="L1599" s="9" t="n"/>
      <c r="M1599" s="9" t="n"/>
      <c r="N1599" s="9" t="n"/>
      <c r="O1599" s="9" t="n"/>
      <c r="P1599" s="9" t="n"/>
      <c r="Q1599" s="9" t="n"/>
      <c r="R1599" s="9" t="n"/>
      <c r="S1599" s="9" t="n"/>
      <c r="T1599" s="9" t="n"/>
      <c r="U1599" s="9" t="n"/>
      <c r="V1599" s="9" t="n"/>
      <c r="W1599" s="9" t="n"/>
      <c r="X1599" s="9" t="n"/>
      <c r="Y1599" s="9" t="n"/>
      <c r="Z1599" s="9" t="n"/>
    </row>
    <row r="1600" ht="14.25" customHeight="1" s="37">
      <c r="A1600" s="9">
        <f>IF(C1600="","","UM"&amp;TEXT(ROW()-1,"00000"))</f>
        <v/>
      </c>
      <c r="B1600" s="9" t="n"/>
      <c r="C1600" s="9" t="n"/>
      <c r="D1600" s="9" t="n"/>
      <c r="E1600" s="9" t="n"/>
      <c r="F1600" s="9">
        <f>IF(E1600="","",DATEDIF(E1600,DATE(2026,12,31),"Y"))</f>
        <v/>
      </c>
      <c r="G1600" s="9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  <c r="R1600" s="9" t="n"/>
      <c r="S1600" s="9" t="n"/>
      <c r="T1600" s="9" t="n"/>
      <c r="U1600" s="9" t="n"/>
      <c r="V1600" s="9" t="n"/>
      <c r="W1600" s="9" t="n"/>
      <c r="X1600" s="9" t="n"/>
      <c r="Y1600" s="9" t="n"/>
      <c r="Z1600" s="9" t="n"/>
    </row>
    <row r="1601" ht="14.25" customHeight="1" s="37">
      <c r="A1601" s="9">
        <f>IF(C1601="","","UM"&amp;TEXT(ROW()-1,"00000"))</f>
        <v/>
      </c>
      <c r="B1601" s="9" t="n"/>
      <c r="C1601" s="9" t="n"/>
      <c r="D1601" s="9" t="n"/>
      <c r="E1601" s="9" t="n"/>
      <c r="F1601" s="9">
        <f>IF(E1601="","",DATEDIF(E1601,DATE(2026,12,31),"Y"))</f>
        <v/>
      </c>
      <c r="G1601" s="9" t="n"/>
      <c r="H1601" s="9" t="n"/>
      <c r="I1601" s="9" t="n"/>
      <c r="J1601" s="9" t="n"/>
      <c r="K1601" s="9" t="n"/>
      <c r="L1601" s="9" t="n"/>
      <c r="M1601" s="9" t="n"/>
      <c r="N1601" s="9" t="n"/>
      <c r="O1601" s="9" t="n"/>
      <c r="P1601" s="9" t="n"/>
      <c r="Q1601" s="9" t="n"/>
      <c r="R1601" s="9" t="n"/>
      <c r="S1601" s="9" t="n"/>
      <c r="T1601" s="9" t="n"/>
      <c r="U1601" s="9" t="n"/>
      <c r="V1601" s="9" t="n"/>
      <c r="W1601" s="9" t="n"/>
      <c r="X1601" s="9" t="n"/>
      <c r="Y1601" s="9" t="n"/>
      <c r="Z1601" s="9" t="n"/>
    </row>
    <row r="1602" ht="14.25" customHeight="1" s="37">
      <c r="A1602" s="9">
        <f>IF(C1602="","","UM"&amp;TEXT(ROW()-1,"00000"))</f>
        <v/>
      </c>
      <c r="B1602" s="9" t="n"/>
      <c r="C1602" s="9" t="n"/>
      <c r="D1602" s="9" t="n"/>
      <c r="E1602" s="9" t="n"/>
      <c r="F1602" s="9">
        <f>IF(E1602="","",DATEDIF(E1602,DATE(2026,12,31),"Y"))</f>
        <v/>
      </c>
      <c r="G1602" s="9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  <c r="R1602" s="9" t="n"/>
      <c r="S1602" s="9" t="n"/>
      <c r="T1602" s="9" t="n"/>
      <c r="U1602" s="9" t="n"/>
      <c r="V1602" s="9" t="n"/>
      <c r="W1602" s="9" t="n"/>
      <c r="X1602" s="9" t="n"/>
      <c r="Y1602" s="9" t="n"/>
      <c r="Z1602" s="9" t="n"/>
    </row>
    <row r="1603" ht="14.25" customHeight="1" s="37">
      <c r="A1603" s="9">
        <f>IF(C1603="","","UM"&amp;TEXT(ROW()-1,"00000"))</f>
        <v/>
      </c>
      <c r="B1603" s="9" t="n"/>
      <c r="C1603" s="9" t="n"/>
      <c r="D1603" s="9" t="n"/>
      <c r="E1603" s="9" t="n"/>
      <c r="F1603" s="9">
        <f>IF(E1603="","",DATEDIF(E1603,DATE(2026,12,31),"Y"))</f>
        <v/>
      </c>
      <c r="G1603" s="9" t="n"/>
      <c r="H1603" s="9" t="n"/>
      <c r="I1603" s="9" t="n"/>
      <c r="J1603" s="9" t="n"/>
      <c r="K1603" s="9" t="n"/>
      <c r="L1603" s="9" t="n"/>
      <c r="M1603" s="9" t="n"/>
      <c r="N1603" s="9" t="n"/>
      <c r="O1603" s="9" t="n"/>
      <c r="P1603" s="9" t="n"/>
      <c r="Q1603" s="9" t="n"/>
      <c r="R1603" s="9" t="n"/>
      <c r="S1603" s="9" t="n"/>
      <c r="T1603" s="9" t="n"/>
      <c r="U1603" s="9" t="n"/>
      <c r="V1603" s="9" t="n"/>
      <c r="W1603" s="9" t="n"/>
      <c r="X1603" s="9" t="n"/>
      <c r="Y1603" s="9" t="n"/>
      <c r="Z1603" s="9" t="n"/>
    </row>
    <row r="1604" ht="14.25" customHeight="1" s="37">
      <c r="A1604" s="9">
        <f>IF(C1604="","","UM"&amp;TEXT(ROW()-1,"00000"))</f>
        <v/>
      </c>
      <c r="B1604" s="9" t="n"/>
      <c r="C1604" s="9" t="n"/>
      <c r="D1604" s="9" t="n"/>
      <c r="E1604" s="9" t="n"/>
      <c r="F1604" s="9">
        <f>IF(E1604="","",DATEDIF(E1604,DATE(2026,12,31),"Y"))</f>
        <v/>
      </c>
      <c r="G1604" s="9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  <c r="R1604" s="9" t="n"/>
      <c r="S1604" s="9" t="n"/>
      <c r="T1604" s="9" t="n"/>
      <c r="U1604" s="9" t="n"/>
      <c r="V1604" s="9" t="n"/>
      <c r="W1604" s="9" t="n"/>
      <c r="X1604" s="9" t="n"/>
      <c r="Y1604" s="9" t="n"/>
      <c r="Z1604" s="9" t="n"/>
    </row>
    <row r="1605" ht="14.25" customHeight="1" s="37">
      <c r="A1605" s="9">
        <f>IF(C1605="","","UM"&amp;TEXT(ROW()-1,"00000"))</f>
        <v/>
      </c>
      <c r="B1605" s="9" t="n"/>
      <c r="C1605" s="9" t="n"/>
      <c r="D1605" s="9" t="n"/>
      <c r="E1605" s="9" t="n"/>
      <c r="F1605" s="9">
        <f>IF(E1605="","",DATEDIF(E1605,DATE(2026,12,31),"Y"))</f>
        <v/>
      </c>
      <c r="G1605" s="9" t="n"/>
      <c r="H1605" s="9" t="n"/>
      <c r="I1605" s="9" t="n"/>
      <c r="J1605" s="9" t="n"/>
      <c r="K1605" s="9" t="n"/>
      <c r="L1605" s="9" t="n"/>
      <c r="M1605" s="9" t="n"/>
      <c r="N1605" s="9" t="n"/>
      <c r="O1605" s="9" t="n"/>
      <c r="P1605" s="9" t="n"/>
      <c r="Q1605" s="9" t="n"/>
      <c r="R1605" s="9" t="n"/>
      <c r="S1605" s="9" t="n"/>
      <c r="T1605" s="9" t="n"/>
      <c r="U1605" s="9" t="n"/>
      <c r="V1605" s="9" t="n"/>
      <c r="W1605" s="9" t="n"/>
      <c r="X1605" s="9" t="n"/>
      <c r="Y1605" s="9" t="n"/>
      <c r="Z1605" s="9" t="n"/>
    </row>
    <row r="1606" ht="14.25" customHeight="1" s="37">
      <c r="A1606" s="9">
        <f>IF(C1606="","","UM"&amp;TEXT(ROW()-1,"00000"))</f>
        <v/>
      </c>
      <c r="B1606" s="9" t="n"/>
      <c r="C1606" s="9" t="n"/>
      <c r="D1606" s="9" t="n"/>
      <c r="E1606" s="9" t="n"/>
      <c r="F1606" s="9">
        <f>IF(E1606="","",DATEDIF(E1606,DATE(2026,12,31),"Y"))</f>
        <v/>
      </c>
      <c r="G1606" s="9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  <c r="R1606" s="9" t="n"/>
      <c r="S1606" s="9" t="n"/>
      <c r="T1606" s="9" t="n"/>
      <c r="U1606" s="9" t="n"/>
      <c r="V1606" s="9" t="n"/>
      <c r="W1606" s="9" t="n"/>
      <c r="X1606" s="9" t="n"/>
      <c r="Y1606" s="9" t="n"/>
      <c r="Z1606" s="9" t="n"/>
    </row>
    <row r="1607" ht="14.25" customHeight="1" s="37">
      <c r="A1607" s="9">
        <f>IF(C1607="","","UM"&amp;TEXT(ROW()-1,"00000"))</f>
        <v/>
      </c>
      <c r="B1607" s="9" t="n"/>
      <c r="C1607" s="9" t="n"/>
      <c r="D1607" s="9" t="n"/>
      <c r="E1607" s="9" t="n"/>
      <c r="F1607" s="9">
        <f>IF(E1607="","",DATEDIF(E1607,DATE(2026,12,31),"Y"))</f>
        <v/>
      </c>
      <c r="G1607" s="9" t="n"/>
      <c r="H1607" s="9" t="n"/>
      <c r="I1607" s="9" t="n"/>
      <c r="J1607" s="9" t="n"/>
      <c r="K1607" s="9" t="n"/>
      <c r="L1607" s="9" t="n"/>
      <c r="M1607" s="9" t="n"/>
      <c r="N1607" s="9" t="n"/>
      <c r="O1607" s="9" t="n"/>
      <c r="P1607" s="9" t="n"/>
      <c r="Q1607" s="9" t="n"/>
      <c r="R1607" s="9" t="n"/>
      <c r="S1607" s="9" t="n"/>
      <c r="T1607" s="9" t="n"/>
      <c r="U1607" s="9" t="n"/>
      <c r="V1607" s="9" t="n"/>
      <c r="W1607" s="9" t="n"/>
      <c r="X1607" s="9" t="n"/>
      <c r="Y1607" s="9" t="n"/>
      <c r="Z1607" s="9" t="n"/>
    </row>
    <row r="1608" ht="14.25" customHeight="1" s="37">
      <c r="A1608" s="9">
        <f>IF(C1608="","","UM"&amp;TEXT(ROW()-1,"00000"))</f>
        <v/>
      </c>
      <c r="B1608" s="9" t="n"/>
      <c r="C1608" s="9" t="n"/>
      <c r="D1608" s="9" t="n"/>
      <c r="E1608" s="9" t="n"/>
      <c r="F1608" s="9">
        <f>IF(E1608="","",DATEDIF(E1608,DATE(2026,12,31),"Y"))</f>
        <v/>
      </c>
      <c r="G1608" s="9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  <c r="R1608" s="9" t="n"/>
      <c r="S1608" s="9" t="n"/>
      <c r="T1608" s="9" t="n"/>
      <c r="U1608" s="9" t="n"/>
      <c r="V1608" s="9" t="n"/>
      <c r="W1608" s="9" t="n"/>
      <c r="X1608" s="9" t="n"/>
      <c r="Y1608" s="9" t="n"/>
      <c r="Z1608" s="9" t="n"/>
    </row>
    <row r="1609" ht="14.25" customHeight="1" s="37">
      <c r="A1609" s="9">
        <f>IF(C1609="","","UM"&amp;TEXT(ROW()-1,"00000"))</f>
        <v/>
      </c>
      <c r="B1609" s="9" t="n"/>
      <c r="C1609" s="9" t="n"/>
      <c r="D1609" s="9" t="n"/>
      <c r="E1609" s="9" t="n"/>
      <c r="F1609" s="9">
        <f>IF(E1609="","",DATEDIF(E1609,DATE(2026,12,31),"Y"))</f>
        <v/>
      </c>
      <c r="G1609" s="9" t="n"/>
      <c r="H1609" s="9" t="n"/>
      <c r="I1609" s="9" t="n"/>
      <c r="J1609" s="9" t="n"/>
      <c r="K1609" s="9" t="n"/>
      <c r="L1609" s="9" t="n"/>
      <c r="M1609" s="9" t="n"/>
      <c r="N1609" s="9" t="n"/>
      <c r="O1609" s="9" t="n"/>
      <c r="P1609" s="9" t="n"/>
      <c r="Q1609" s="9" t="n"/>
      <c r="R1609" s="9" t="n"/>
      <c r="S1609" s="9" t="n"/>
      <c r="T1609" s="9" t="n"/>
      <c r="U1609" s="9" t="n"/>
      <c r="V1609" s="9" t="n"/>
      <c r="W1609" s="9" t="n"/>
      <c r="X1609" s="9" t="n"/>
      <c r="Y1609" s="9" t="n"/>
      <c r="Z1609" s="9" t="n"/>
    </row>
    <row r="1610" ht="14.25" customHeight="1" s="37">
      <c r="A1610" s="9">
        <f>IF(C1610="","","UM"&amp;TEXT(ROW()-1,"00000"))</f>
        <v/>
      </c>
      <c r="B1610" s="9" t="n"/>
      <c r="C1610" s="9" t="n"/>
      <c r="D1610" s="9" t="n"/>
      <c r="E1610" s="9" t="n"/>
      <c r="F1610" s="9">
        <f>IF(E1610="","",DATEDIF(E1610,DATE(2026,12,31),"Y"))</f>
        <v/>
      </c>
      <c r="G1610" s="9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  <c r="R1610" s="9" t="n"/>
      <c r="S1610" s="9" t="n"/>
      <c r="T1610" s="9" t="n"/>
      <c r="U1610" s="9" t="n"/>
      <c r="V1610" s="9" t="n"/>
      <c r="W1610" s="9" t="n"/>
      <c r="X1610" s="9" t="n"/>
      <c r="Y1610" s="9" t="n"/>
      <c r="Z1610" s="9" t="n"/>
    </row>
    <row r="1611" ht="14.25" customHeight="1" s="37">
      <c r="A1611" s="9">
        <f>IF(C1611="","","UM"&amp;TEXT(ROW()-1,"00000"))</f>
        <v/>
      </c>
      <c r="B1611" s="9" t="n"/>
      <c r="C1611" s="9" t="n"/>
      <c r="D1611" s="9" t="n"/>
      <c r="E1611" s="9" t="n"/>
      <c r="F1611" s="9">
        <f>IF(E1611="","",DATEDIF(E1611,DATE(2026,12,31),"Y"))</f>
        <v/>
      </c>
      <c r="G1611" s="9" t="n"/>
      <c r="H1611" s="9" t="n"/>
      <c r="I1611" s="9" t="n"/>
      <c r="J1611" s="9" t="n"/>
      <c r="K1611" s="9" t="n"/>
      <c r="L1611" s="9" t="n"/>
      <c r="M1611" s="9" t="n"/>
      <c r="N1611" s="9" t="n"/>
      <c r="O1611" s="9" t="n"/>
      <c r="P1611" s="9" t="n"/>
      <c r="Q1611" s="9" t="n"/>
      <c r="R1611" s="9" t="n"/>
      <c r="S1611" s="9" t="n"/>
      <c r="T1611" s="9" t="n"/>
      <c r="U1611" s="9" t="n"/>
      <c r="V1611" s="9" t="n"/>
      <c r="W1611" s="9" t="n"/>
      <c r="X1611" s="9" t="n"/>
      <c r="Y1611" s="9" t="n"/>
      <c r="Z1611" s="9" t="n"/>
    </row>
    <row r="1612" ht="14.25" customHeight="1" s="37">
      <c r="A1612" s="9">
        <f>IF(C1612="","","UM"&amp;TEXT(ROW()-1,"00000"))</f>
        <v/>
      </c>
      <c r="B1612" s="9" t="n"/>
      <c r="C1612" s="9" t="n"/>
      <c r="D1612" s="9" t="n"/>
      <c r="E1612" s="9" t="n"/>
      <c r="F1612" s="9">
        <f>IF(E1612="","",DATEDIF(E1612,DATE(2026,12,31),"Y"))</f>
        <v/>
      </c>
      <c r="G1612" s="9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  <c r="R1612" s="9" t="n"/>
      <c r="S1612" s="9" t="n"/>
      <c r="T1612" s="9" t="n"/>
      <c r="U1612" s="9" t="n"/>
      <c r="V1612" s="9" t="n"/>
      <c r="W1612" s="9" t="n"/>
      <c r="X1612" s="9" t="n"/>
      <c r="Y1612" s="9" t="n"/>
      <c r="Z1612" s="9" t="n"/>
    </row>
    <row r="1613" ht="14.25" customHeight="1" s="37">
      <c r="A1613" s="9">
        <f>IF(C1613="","","UM"&amp;TEXT(ROW()-1,"00000"))</f>
        <v/>
      </c>
      <c r="B1613" s="9" t="n"/>
      <c r="C1613" s="9" t="n"/>
      <c r="D1613" s="9" t="n"/>
      <c r="E1613" s="9" t="n"/>
      <c r="F1613" s="9">
        <f>IF(E1613="","",DATEDIF(E1613,DATE(2026,12,31),"Y"))</f>
        <v/>
      </c>
      <c r="G1613" s="9" t="n"/>
      <c r="H1613" s="9" t="n"/>
      <c r="I1613" s="9" t="n"/>
      <c r="J1613" s="9" t="n"/>
      <c r="K1613" s="9" t="n"/>
      <c r="L1613" s="9" t="n"/>
      <c r="M1613" s="9" t="n"/>
      <c r="N1613" s="9" t="n"/>
      <c r="O1613" s="9" t="n"/>
      <c r="P1613" s="9" t="n"/>
      <c r="Q1613" s="9" t="n"/>
      <c r="R1613" s="9" t="n"/>
      <c r="S1613" s="9" t="n"/>
      <c r="T1613" s="9" t="n"/>
      <c r="U1613" s="9" t="n"/>
      <c r="V1613" s="9" t="n"/>
      <c r="W1613" s="9" t="n"/>
      <c r="X1613" s="9" t="n"/>
      <c r="Y1613" s="9" t="n"/>
      <c r="Z1613" s="9" t="n"/>
    </row>
    <row r="1614" ht="14.25" customHeight="1" s="37">
      <c r="A1614" s="9">
        <f>IF(C1614="","","UM"&amp;TEXT(ROW()-1,"00000"))</f>
        <v/>
      </c>
      <c r="B1614" s="9" t="n"/>
      <c r="C1614" s="9" t="n"/>
      <c r="D1614" s="9" t="n"/>
      <c r="E1614" s="9" t="n"/>
      <c r="F1614" s="9">
        <f>IF(E1614="","",DATEDIF(E1614,DATE(2026,12,31),"Y"))</f>
        <v/>
      </c>
      <c r="G1614" s="9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  <c r="R1614" s="9" t="n"/>
      <c r="S1614" s="9" t="n"/>
      <c r="T1614" s="9" t="n"/>
      <c r="U1614" s="9" t="n"/>
      <c r="V1614" s="9" t="n"/>
      <c r="W1614" s="9" t="n"/>
      <c r="X1614" s="9" t="n"/>
      <c r="Y1614" s="9" t="n"/>
      <c r="Z1614" s="9" t="n"/>
    </row>
    <row r="1615" ht="14.25" customHeight="1" s="37">
      <c r="A1615" s="9">
        <f>IF(C1615="","","UM"&amp;TEXT(ROW()-1,"00000"))</f>
        <v/>
      </c>
      <c r="B1615" s="9" t="n"/>
      <c r="C1615" s="9" t="n"/>
      <c r="D1615" s="9" t="n"/>
      <c r="E1615" s="9" t="n"/>
      <c r="F1615" s="9">
        <f>IF(E1615="","",DATEDIF(E1615,DATE(2026,12,31),"Y"))</f>
        <v/>
      </c>
      <c r="G1615" s="9" t="n"/>
      <c r="H1615" s="9" t="n"/>
      <c r="I1615" s="9" t="n"/>
      <c r="J1615" s="9" t="n"/>
      <c r="K1615" s="9" t="n"/>
      <c r="L1615" s="9" t="n"/>
      <c r="M1615" s="9" t="n"/>
      <c r="N1615" s="9" t="n"/>
      <c r="O1615" s="9" t="n"/>
      <c r="P1615" s="9" t="n"/>
      <c r="Q1615" s="9" t="n"/>
      <c r="R1615" s="9" t="n"/>
      <c r="S1615" s="9" t="n"/>
      <c r="T1615" s="9" t="n"/>
      <c r="U1615" s="9" t="n"/>
      <c r="V1615" s="9" t="n"/>
      <c r="W1615" s="9" t="n"/>
      <c r="X1615" s="9" t="n"/>
      <c r="Y1615" s="9" t="n"/>
      <c r="Z1615" s="9" t="n"/>
    </row>
    <row r="1616" ht="14.25" customHeight="1" s="37">
      <c r="A1616" s="9">
        <f>IF(C1616="","","UM"&amp;TEXT(ROW()-1,"00000"))</f>
        <v/>
      </c>
      <c r="B1616" s="9" t="n"/>
      <c r="C1616" s="9" t="n"/>
      <c r="D1616" s="9" t="n"/>
      <c r="E1616" s="9" t="n"/>
      <c r="F1616" s="9">
        <f>IF(E1616="","",DATEDIF(E1616,DATE(2026,12,31),"Y"))</f>
        <v/>
      </c>
      <c r="G1616" s="9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  <c r="R1616" s="9" t="n"/>
      <c r="S1616" s="9" t="n"/>
      <c r="T1616" s="9" t="n"/>
      <c r="U1616" s="9" t="n"/>
      <c r="V1616" s="9" t="n"/>
      <c r="W1616" s="9" t="n"/>
      <c r="X1616" s="9" t="n"/>
      <c r="Y1616" s="9" t="n"/>
      <c r="Z1616" s="9" t="n"/>
    </row>
    <row r="1617" ht="14.25" customHeight="1" s="37">
      <c r="A1617" s="9">
        <f>IF(C1617="","","UM"&amp;TEXT(ROW()-1,"00000"))</f>
        <v/>
      </c>
      <c r="B1617" s="9" t="n"/>
      <c r="C1617" s="9" t="n"/>
      <c r="D1617" s="9" t="n"/>
      <c r="E1617" s="9" t="n"/>
      <c r="F1617" s="9">
        <f>IF(E1617="","",DATEDIF(E1617,DATE(2026,12,31),"Y"))</f>
        <v/>
      </c>
      <c r="G1617" s="9" t="n"/>
      <c r="H1617" s="9" t="n"/>
      <c r="I1617" s="9" t="n"/>
      <c r="J1617" s="9" t="n"/>
      <c r="K1617" s="9" t="n"/>
      <c r="L1617" s="9" t="n"/>
      <c r="M1617" s="9" t="n"/>
      <c r="N1617" s="9" t="n"/>
      <c r="O1617" s="9" t="n"/>
      <c r="P1617" s="9" t="n"/>
      <c r="Q1617" s="9" t="n"/>
      <c r="R1617" s="9" t="n"/>
      <c r="S1617" s="9" t="n"/>
      <c r="T1617" s="9" t="n"/>
      <c r="U1617" s="9" t="n"/>
      <c r="V1617" s="9" t="n"/>
      <c r="W1617" s="9" t="n"/>
      <c r="X1617" s="9" t="n"/>
      <c r="Y1617" s="9" t="n"/>
      <c r="Z1617" s="9" t="n"/>
    </row>
    <row r="1618" ht="14.25" customHeight="1" s="37">
      <c r="A1618" s="9">
        <f>IF(C1618="","","UM"&amp;TEXT(ROW()-1,"00000"))</f>
        <v/>
      </c>
      <c r="B1618" s="9" t="n"/>
      <c r="C1618" s="9" t="n"/>
      <c r="D1618" s="9" t="n"/>
      <c r="E1618" s="9" t="n"/>
      <c r="F1618" s="9">
        <f>IF(E1618="","",DATEDIF(E1618,DATE(2026,12,31),"Y"))</f>
        <v/>
      </c>
      <c r="G1618" s="9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  <c r="R1618" s="9" t="n"/>
      <c r="S1618" s="9" t="n"/>
      <c r="T1618" s="9" t="n"/>
      <c r="U1618" s="9" t="n"/>
      <c r="V1618" s="9" t="n"/>
      <c r="W1618" s="9" t="n"/>
      <c r="X1618" s="9" t="n"/>
      <c r="Y1618" s="9" t="n"/>
      <c r="Z1618" s="9" t="n"/>
    </row>
    <row r="1619" ht="14.25" customHeight="1" s="37">
      <c r="A1619" s="9">
        <f>IF(C1619="","","UM"&amp;TEXT(ROW()-1,"00000"))</f>
        <v/>
      </c>
      <c r="B1619" s="9" t="n"/>
      <c r="C1619" s="9" t="n"/>
      <c r="D1619" s="9" t="n"/>
      <c r="E1619" s="9" t="n"/>
      <c r="F1619" s="9">
        <f>IF(E1619="","",DATEDIF(E1619,DATE(2026,12,31),"Y"))</f>
        <v/>
      </c>
      <c r="G1619" s="9" t="n"/>
      <c r="H1619" s="9" t="n"/>
      <c r="I1619" s="9" t="n"/>
      <c r="J1619" s="9" t="n"/>
      <c r="K1619" s="9" t="n"/>
      <c r="L1619" s="9" t="n"/>
      <c r="M1619" s="9" t="n"/>
      <c r="N1619" s="9" t="n"/>
      <c r="O1619" s="9" t="n"/>
      <c r="P1619" s="9" t="n"/>
      <c r="Q1619" s="9" t="n"/>
      <c r="R1619" s="9" t="n"/>
      <c r="S1619" s="9" t="n"/>
      <c r="T1619" s="9" t="n"/>
      <c r="U1619" s="9" t="n"/>
      <c r="V1619" s="9" t="n"/>
      <c r="W1619" s="9" t="n"/>
      <c r="X1619" s="9" t="n"/>
      <c r="Y1619" s="9" t="n"/>
      <c r="Z1619" s="9" t="n"/>
    </row>
    <row r="1620" ht="14.25" customHeight="1" s="37">
      <c r="A1620" s="9">
        <f>IF(C1620="","","UM"&amp;TEXT(ROW()-1,"00000"))</f>
        <v/>
      </c>
      <c r="B1620" s="9" t="n"/>
      <c r="C1620" s="9" t="n"/>
      <c r="D1620" s="9" t="n"/>
      <c r="E1620" s="9" t="n"/>
      <c r="F1620" s="9">
        <f>IF(E1620="","",DATEDIF(E1620,DATE(2026,12,31),"Y"))</f>
        <v/>
      </c>
      <c r="G1620" s="9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  <c r="R1620" s="9" t="n"/>
      <c r="S1620" s="9" t="n"/>
      <c r="T1620" s="9" t="n"/>
      <c r="U1620" s="9" t="n"/>
      <c r="V1620" s="9" t="n"/>
      <c r="W1620" s="9" t="n"/>
      <c r="X1620" s="9" t="n"/>
      <c r="Y1620" s="9" t="n"/>
      <c r="Z1620" s="9" t="n"/>
    </row>
    <row r="1621" ht="14.25" customHeight="1" s="37">
      <c r="A1621" s="9">
        <f>IF(C1621="","","UM"&amp;TEXT(ROW()-1,"00000"))</f>
        <v/>
      </c>
      <c r="B1621" s="9" t="n"/>
      <c r="C1621" s="9" t="n"/>
      <c r="D1621" s="9" t="n"/>
      <c r="E1621" s="9" t="n"/>
      <c r="F1621" s="9">
        <f>IF(E1621="","",DATEDIF(E1621,DATE(2026,12,31),"Y"))</f>
        <v/>
      </c>
      <c r="G1621" s="9" t="n"/>
      <c r="H1621" s="9" t="n"/>
      <c r="I1621" s="9" t="n"/>
      <c r="J1621" s="9" t="n"/>
      <c r="K1621" s="9" t="n"/>
      <c r="L1621" s="9" t="n"/>
      <c r="M1621" s="9" t="n"/>
      <c r="N1621" s="9" t="n"/>
      <c r="O1621" s="9" t="n"/>
      <c r="P1621" s="9" t="n"/>
      <c r="Q1621" s="9" t="n"/>
      <c r="R1621" s="9" t="n"/>
      <c r="S1621" s="9" t="n"/>
      <c r="T1621" s="9" t="n"/>
      <c r="U1621" s="9" t="n"/>
      <c r="V1621" s="9" t="n"/>
      <c r="W1621" s="9" t="n"/>
      <c r="X1621" s="9" t="n"/>
      <c r="Y1621" s="9" t="n"/>
      <c r="Z1621" s="9" t="n"/>
    </row>
    <row r="1622" ht="14.25" customHeight="1" s="37">
      <c r="A1622" s="9">
        <f>IF(C1622="","","UM"&amp;TEXT(ROW()-1,"00000"))</f>
        <v/>
      </c>
      <c r="B1622" s="9" t="n"/>
      <c r="C1622" s="9" t="n"/>
      <c r="D1622" s="9" t="n"/>
      <c r="E1622" s="9" t="n"/>
      <c r="F1622" s="9">
        <f>IF(E1622="","",DATEDIF(E1622,DATE(2026,12,31),"Y"))</f>
        <v/>
      </c>
      <c r="G1622" s="9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  <c r="R1622" s="9" t="n"/>
      <c r="S1622" s="9" t="n"/>
      <c r="T1622" s="9" t="n"/>
      <c r="U1622" s="9" t="n"/>
      <c r="V1622" s="9" t="n"/>
      <c r="W1622" s="9" t="n"/>
      <c r="X1622" s="9" t="n"/>
      <c r="Y1622" s="9" t="n"/>
      <c r="Z1622" s="9" t="n"/>
    </row>
    <row r="1623" ht="14.25" customHeight="1" s="37">
      <c r="A1623" s="9">
        <f>IF(C1623="","","UM"&amp;TEXT(ROW()-1,"00000"))</f>
        <v/>
      </c>
      <c r="B1623" s="9" t="n"/>
      <c r="C1623" s="9" t="n"/>
      <c r="D1623" s="9" t="n"/>
      <c r="E1623" s="9" t="n"/>
      <c r="F1623" s="9">
        <f>IF(E1623="","",DATEDIF(E1623,DATE(2026,12,31),"Y"))</f>
        <v/>
      </c>
      <c r="G1623" s="9" t="n"/>
      <c r="H1623" s="9" t="n"/>
      <c r="I1623" s="9" t="n"/>
      <c r="J1623" s="9" t="n"/>
      <c r="K1623" s="9" t="n"/>
      <c r="L1623" s="9" t="n"/>
      <c r="M1623" s="9" t="n"/>
      <c r="N1623" s="9" t="n"/>
      <c r="O1623" s="9" t="n"/>
      <c r="P1623" s="9" t="n"/>
      <c r="Q1623" s="9" t="n"/>
      <c r="R1623" s="9" t="n"/>
      <c r="S1623" s="9" t="n"/>
      <c r="T1623" s="9" t="n"/>
      <c r="U1623" s="9" t="n"/>
      <c r="V1623" s="9" t="n"/>
      <c r="W1623" s="9" t="n"/>
      <c r="X1623" s="9" t="n"/>
      <c r="Y1623" s="9" t="n"/>
      <c r="Z1623" s="9" t="n"/>
    </row>
    <row r="1624" ht="14.25" customHeight="1" s="37">
      <c r="A1624" s="9">
        <f>IF(C1624="","","UM"&amp;TEXT(ROW()-1,"00000"))</f>
        <v/>
      </c>
      <c r="B1624" s="9" t="n"/>
      <c r="C1624" s="9" t="n"/>
      <c r="D1624" s="9" t="n"/>
      <c r="E1624" s="9" t="n"/>
      <c r="F1624" s="9">
        <f>IF(E1624="","",DATEDIF(E1624,DATE(2026,12,31),"Y"))</f>
        <v/>
      </c>
      <c r="G1624" s="9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  <c r="R1624" s="9" t="n"/>
      <c r="S1624" s="9" t="n"/>
      <c r="T1624" s="9" t="n"/>
      <c r="U1624" s="9" t="n"/>
      <c r="V1624" s="9" t="n"/>
      <c r="W1624" s="9" t="n"/>
      <c r="X1624" s="9" t="n"/>
      <c r="Y1624" s="9" t="n"/>
      <c r="Z1624" s="9" t="n"/>
    </row>
    <row r="1625" ht="14.25" customHeight="1" s="37">
      <c r="A1625" s="9">
        <f>IF(C1625="","","UM"&amp;TEXT(ROW()-1,"00000"))</f>
        <v/>
      </c>
      <c r="B1625" s="9" t="n"/>
      <c r="C1625" s="9" t="n"/>
      <c r="D1625" s="9" t="n"/>
      <c r="E1625" s="9" t="n"/>
      <c r="F1625" s="9">
        <f>IF(E1625="","",DATEDIF(E1625,DATE(2026,12,31),"Y"))</f>
        <v/>
      </c>
      <c r="G1625" s="9" t="n"/>
      <c r="H1625" s="9" t="n"/>
      <c r="I1625" s="9" t="n"/>
      <c r="J1625" s="9" t="n"/>
      <c r="K1625" s="9" t="n"/>
      <c r="L1625" s="9" t="n"/>
      <c r="M1625" s="9" t="n"/>
      <c r="N1625" s="9" t="n"/>
      <c r="O1625" s="9" t="n"/>
      <c r="P1625" s="9" t="n"/>
      <c r="Q1625" s="9" t="n"/>
      <c r="R1625" s="9" t="n"/>
      <c r="S1625" s="9" t="n"/>
      <c r="T1625" s="9" t="n"/>
      <c r="U1625" s="9" t="n"/>
      <c r="V1625" s="9" t="n"/>
      <c r="W1625" s="9" t="n"/>
      <c r="X1625" s="9" t="n"/>
      <c r="Y1625" s="9" t="n"/>
      <c r="Z1625" s="9" t="n"/>
    </row>
    <row r="1626" ht="14.25" customHeight="1" s="37">
      <c r="A1626" s="9">
        <f>IF(C1626="","","UM"&amp;TEXT(ROW()-1,"00000"))</f>
        <v/>
      </c>
      <c r="B1626" s="9" t="n"/>
      <c r="C1626" s="9" t="n"/>
      <c r="D1626" s="9" t="n"/>
      <c r="E1626" s="9" t="n"/>
      <c r="F1626" s="9">
        <f>IF(E1626="","",DATEDIF(E1626,DATE(2026,12,31),"Y"))</f>
        <v/>
      </c>
      <c r="G1626" s="9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  <c r="R1626" s="9" t="n"/>
      <c r="S1626" s="9" t="n"/>
      <c r="T1626" s="9" t="n"/>
      <c r="U1626" s="9" t="n"/>
      <c r="V1626" s="9" t="n"/>
      <c r="W1626" s="9" t="n"/>
      <c r="X1626" s="9" t="n"/>
      <c r="Y1626" s="9" t="n"/>
      <c r="Z1626" s="9" t="n"/>
    </row>
    <row r="1627" ht="14.25" customHeight="1" s="37">
      <c r="A1627" s="9">
        <f>IF(C1627="","","UM"&amp;TEXT(ROW()-1,"00000"))</f>
        <v/>
      </c>
      <c r="B1627" s="9" t="n"/>
      <c r="C1627" s="9" t="n"/>
      <c r="D1627" s="9" t="n"/>
      <c r="E1627" s="9" t="n"/>
      <c r="F1627" s="9">
        <f>IF(E1627="","",DATEDIF(E1627,DATE(2026,12,31),"Y"))</f>
        <v/>
      </c>
      <c r="G1627" s="9" t="n"/>
      <c r="H1627" s="9" t="n"/>
      <c r="I1627" s="9" t="n"/>
      <c r="J1627" s="9" t="n"/>
      <c r="K1627" s="9" t="n"/>
      <c r="L1627" s="9" t="n"/>
      <c r="M1627" s="9" t="n"/>
      <c r="N1627" s="9" t="n"/>
      <c r="O1627" s="9" t="n"/>
      <c r="P1627" s="9" t="n"/>
      <c r="Q1627" s="9" t="n"/>
      <c r="R1627" s="9" t="n"/>
      <c r="S1627" s="9" t="n"/>
      <c r="T1627" s="9" t="n"/>
      <c r="U1627" s="9" t="n"/>
      <c r="V1627" s="9" t="n"/>
      <c r="W1627" s="9" t="n"/>
      <c r="X1627" s="9" t="n"/>
      <c r="Y1627" s="9" t="n"/>
      <c r="Z1627" s="9" t="n"/>
    </row>
    <row r="1628" ht="14.25" customHeight="1" s="37">
      <c r="A1628" s="9">
        <f>IF(C1628="","","UM"&amp;TEXT(ROW()-1,"00000"))</f>
        <v/>
      </c>
      <c r="B1628" s="9" t="n"/>
      <c r="C1628" s="9" t="n"/>
      <c r="D1628" s="9" t="n"/>
      <c r="E1628" s="9" t="n"/>
      <c r="F1628" s="9">
        <f>IF(E1628="","",DATEDIF(E1628,DATE(2026,12,31),"Y"))</f>
        <v/>
      </c>
      <c r="G1628" s="9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  <c r="R1628" s="9" t="n"/>
      <c r="S1628" s="9" t="n"/>
      <c r="T1628" s="9" t="n"/>
      <c r="U1628" s="9" t="n"/>
      <c r="V1628" s="9" t="n"/>
      <c r="W1628" s="9" t="n"/>
      <c r="X1628" s="9" t="n"/>
      <c r="Y1628" s="9" t="n"/>
      <c r="Z1628" s="9" t="n"/>
    </row>
    <row r="1629" ht="14.25" customHeight="1" s="37">
      <c r="A1629" s="9">
        <f>IF(C1629="","","UM"&amp;TEXT(ROW()-1,"00000"))</f>
        <v/>
      </c>
      <c r="B1629" s="9" t="n"/>
      <c r="C1629" s="9" t="n"/>
      <c r="D1629" s="9" t="n"/>
      <c r="E1629" s="9" t="n"/>
      <c r="F1629" s="9">
        <f>IF(E1629="","",DATEDIF(E1629,DATE(2026,12,31),"Y"))</f>
        <v/>
      </c>
      <c r="G1629" s="9" t="n"/>
      <c r="H1629" s="9" t="n"/>
      <c r="I1629" s="9" t="n"/>
      <c r="J1629" s="9" t="n"/>
      <c r="K1629" s="9" t="n"/>
      <c r="L1629" s="9" t="n"/>
      <c r="M1629" s="9" t="n"/>
      <c r="N1629" s="9" t="n"/>
      <c r="O1629" s="9" t="n"/>
      <c r="P1629" s="9" t="n"/>
      <c r="Q1629" s="9" t="n"/>
      <c r="R1629" s="9" t="n"/>
      <c r="S1629" s="9" t="n"/>
      <c r="T1629" s="9" t="n"/>
      <c r="U1629" s="9" t="n"/>
      <c r="V1629" s="9" t="n"/>
      <c r="W1629" s="9" t="n"/>
      <c r="X1629" s="9" t="n"/>
      <c r="Y1629" s="9" t="n"/>
      <c r="Z1629" s="9" t="n"/>
    </row>
    <row r="1630" ht="14.25" customHeight="1" s="37">
      <c r="A1630" s="9">
        <f>IF(C1630="","","UM"&amp;TEXT(ROW()-1,"00000"))</f>
        <v/>
      </c>
      <c r="B1630" s="9" t="n"/>
      <c r="C1630" s="9" t="n"/>
      <c r="D1630" s="9" t="n"/>
      <c r="E1630" s="9" t="n"/>
      <c r="F1630" s="9">
        <f>IF(E1630="","",DATEDIF(E1630,DATE(2026,12,31),"Y"))</f>
        <v/>
      </c>
      <c r="G1630" s="9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  <c r="R1630" s="9" t="n"/>
      <c r="S1630" s="9" t="n"/>
      <c r="T1630" s="9" t="n"/>
      <c r="U1630" s="9" t="n"/>
      <c r="V1630" s="9" t="n"/>
      <c r="W1630" s="9" t="n"/>
      <c r="X1630" s="9" t="n"/>
      <c r="Y1630" s="9" t="n"/>
      <c r="Z1630" s="9" t="n"/>
    </row>
    <row r="1631" ht="14.25" customHeight="1" s="37">
      <c r="A1631" s="9">
        <f>IF(C1631="","","UM"&amp;TEXT(ROW()-1,"00000"))</f>
        <v/>
      </c>
      <c r="B1631" s="9" t="n"/>
      <c r="C1631" s="9" t="n"/>
      <c r="D1631" s="9" t="n"/>
      <c r="E1631" s="9" t="n"/>
      <c r="F1631" s="9">
        <f>IF(E1631="","",DATEDIF(E1631,DATE(2026,12,31),"Y"))</f>
        <v/>
      </c>
      <c r="G1631" s="9" t="n"/>
      <c r="H1631" s="9" t="n"/>
      <c r="I1631" s="9" t="n"/>
      <c r="J1631" s="9" t="n"/>
      <c r="K1631" s="9" t="n"/>
      <c r="L1631" s="9" t="n"/>
      <c r="M1631" s="9" t="n"/>
      <c r="N1631" s="9" t="n"/>
      <c r="O1631" s="9" t="n"/>
      <c r="P1631" s="9" t="n"/>
      <c r="Q1631" s="9" t="n"/>
      <c r="R1631" s="9" t="n"/>
      <c r="S1631" s="9" t="n"/>
      <c r="T1631" s="9" t="n"/>
      <c r="U1631" s="9" t="n"/>
      <c r="V1631" s="9" t="n"/>
      <c r="W1631" s="9" t="n"/>
      <c r="X1631" s="9" t="n"/>
      <c r="Y1631" s="9" t="n"/>
      <c r="Z1631" s="9" t="n"/>
    </row>
    <row r="1632" ht="14.25" customHeight="1" s="37">
      <c r="A1632" s="9">
        <f>IF(C1632="","","UM"&amp;TEXT(ROW()-1,"00000"))</f>
        <v/>
      </c>
      <c r="B1632" s="9" t="n"/>
      <c r="C1632" s="9" t="n"/>
      <c r="D1632" s="9" t="n"/>
      <c r="E1632" s="9" t="n"/>
      <c r="F1632" s="9">
        <f>IF(E1632="","",DATEDIF(E1632,DATE(2026,12,31),"Y"))</f>
        <v/>
      </c>
      <c r="G1632" s="9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  <c r="R1632" s="9" t="n"/>
      <c r="S1632" s="9" t="n"/>
      <c r="T1632" s="9" t="n"/>
      <c r="U1632" s="9" t="n"/>
      <c r="V1632" s="9" t="n"/>
      <c r="W1632" s="9" t="n"/>
      <c r="X1632" s="9" t="n"/>
      <c r="Y1632" s="9" t="n"/>
      <c r="Z1632" s="9" t="n"/>
    </row>
    <row r="1633" ht="14.25" customHeight="1" s="37">
      <c r="A1633" s="9">
        <f>IF(C1633="","","UM"&amp;TEXT(ROW()-1,"00000"))</f>
        <v/>
      </c>
      <c r="B1633" s="9" t="n"/>
      <c r="C1633" s="9" t="n"/>
      <c r="D1633" s="9" t="n"/>
      <c r="E1633" s="9" t="n"/>
      <c r="F1633" s="9">
        <f>IF(E1633="","",DATEDIF(E1633,DATE(2026,12,31),"Y"))</f>
        <v/>
      </c>
      <c r="G1633" s="9" t="n"/>
      <c r="H1633" s="9" t="n"/>
      <c r="I1633" s="9" t="n"/>
      <c r="J1633" s="9" t="n"/>
      <c r="K1633" s="9" t="n"/>
      <c r="L1633" s="9" t="n"/>
      <c r="M1633" s="9" t="n"/>
      <c r="N1633" s="9" t="n"/>
      <c r="O1633" s="9" t="n"/>
      <c r="P1633" s="9" t="n"/>
      <c r="Q1633" s="9" t="n"/>
      <c r="R1633" s="9" t="n"/>
      <c r="S1633" s="9" t="n"/>
      <c r="T1633" s="9" t="n"/>
      <c r="U1633" s="9" t="n"/>
      <c r="V1633" s="9" t="n"/>
      <c r="W1633" s="9" t="n"/>
      <c r="X1633" s="9" t="n"/>
      <c r="Y1633" s="9" t="n"/>
      <c r="Z1633" s="9" t="n"/>
    </row>
    <row r="1634" ht="14.25" customHeight="1" s="37">
      <c r="A1634" s="9">
        <f>IF(C1634="","","UM"&amp;TEXT(ROW()-1,"00000"))</f>
        <v/>
      </c>
      <c r="B1634" s="9" t="n"/>
      <c r="C1634" s="9" t="n"/>
      <c r="D1634" s="9" t="n"/>
      <c r="E1634" s="9" t="n"/>
      <c r="F1634" s="9">
        <f>IF(E1634="","",DATEDIF(E1634,DATE(2026,12,31),"Y"))</f>
        <v/>
      </c>
      <c r="G1634" s="9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  <c r="R1634" s="9" t="n"/>
      <c r="S1634" s="9" t="n"/>
      <c r="T1634" s="9" t="n"/>
      <c r="U1634" s="9" t="n"/>
      <c r="V1634" s="9" t="n"/>
      <c r="W1634" s="9" t="n"/>
      <c r="X1634" s="9" t="n"/>
      <c r="Y1634" s="9" t="n"/>
      <c r="Z1634" s="9" t="n"/>
    </row>
    <row r="1635" ht="14.25" customHeight="1" s="37">
      <c r="A1635" s="9">
        <f>IF(C1635="","","UM"&amp;TEXT(ROW()-1,"00000"))</f>
        <v/>
      </c>
      <c r="B1635" s="9" t="n"/>
      <c r="C1635" s="9" t="n"/>
      <c r="D1635" s="9" t="n"/>
      <c r="E1635" s="9" t="n"/>
      <c r="F1635" s="9">
        <f>IF(E1635="","",DATEDIF(E1635,DATE(2026,12,31),"Y"))</f>
        <v/>
      </c>
      <c r="G1635" s="9" t="n"/>
      <c r="H1635" s="9" t="n"/>
      <c r="I1635" s="9" t="n"/>
      <c r="J1635" s="9" t="n"/>
      <c r="K1635" s="9" t="n"/>
      <c r="L1635" s="9" t="n"/>
      <c r="M1635" s="9" t="n"/>
      <c r="N1635" s="9" t="n"/>
      <c r="O1635" s="9" t="n"/>
      <c r="P1635" s="9" t="n"/>
      <c r="Q1635" s="9" t="n"/>
      <c r="R1635" s="9" t="n"/>
      <c r="S1635" s="9" t="n"/>
      <c r="T1635" s="9" t="n"/>
      <c r="U1635" s="9" t="n"/>
      <c r="V1635" s="9" t="n"/>
      <c r="W1635" s="9" t="n"/>
      <c r="X1635" s="9" t="n"/>
      <c r="Y1635" s="9" t="n"/>
      <c r="Z1635" s="9" t="n"/>
    </row>
    <row r="1636" ht="14.25" customHeight="1" s="37">
      <c r="A1636" s="9">
        <f>IF(C1636="","","UM"&amp;TEXT(ROW()-1,"00000"))</f>
        <v/>
      </c>
      <c r="B1636" s="9" t="n"/>
      <c r="C1636" s="9" t="n"/>
      <c r="D1636" s="9" t="n"/>
      <c r="E1636" s="9" t="n"/>
      <c r="F1636" s="9">
        <f>IF(E1636="","",DATEDIF(E1636,DATE(2026,12,31),"Y"))</f>
        <v/>
      </c>
      <c r="G1636" s="9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  <c r="R1636" s="9" t="n"/>
      <c r="S1636" s="9" t="n"/>
      <c r="T1636" s="9" t="n"/>
      <c r="U1636" s="9" t="n"/>
      <c r="V1636" s="9" t="n"/>
      <c r="W1636" s="9" t="n"/>
      <c r="X1636" s="9" t="n"/>
      <c r="Y1636" s="9" t="n"/>
      <c r="Z1636" s="9" t="n"/>
    </row>
    <row r="1637" ht="14.25" customHeight="1" s="37">
      <c r="A1637" s="9">
        <f>IF(C1637="","","UM"&amp;TEXT(ROW()-1,"00000"))</f>
        <v/>
      </c>
      <c r="B1637" s="9" t="n"/>
      <c r="C1637" s="9" t="n"/>
      <c r="D1637" s="9" t="n"/>
      <c r="E1637" s="9" t="n"/>
      <c r="F1637" s="9">
        <f>IF(E1637="","",DATEDIF(E1637,DATE(2026,12,31),"Y"))</f>
        <v/>
      </c>
      <c r="G1637" s="9" t="n"/>
      <c r="H1637" s="9" t="n"/>
      <c r="I1637" s="9" t="n"/>
      <c r="J1637" s="9" t="n"/>
      <c r="K1637" s="9" t="n"/>
      <c r="L1637" s="9" t="n"/>
      <c r="M1637" s="9" t="n"/>
      <c r="N1637" s="9" t="n"/>
      <c r="O1637" s="9" t="n"/>
      <c r="P1637" s="9" t="n"/>
      <c r="Q1637" s="9" t="n"/>
      <c r="R1637" s="9" t="n"/>
      <c r="S1637" s="9" t="n"/>
      <c r="T1637" s="9" t="n"/>
      <c r="U1637" s="9" t="n"/>
      <c r="V1637" s="9" t="n"/>
      <c r="W1637" s="9" t="n"/>
      <c r="X1637" s="9" t="n"/>
      <c r="Y1637" s="9" t="n"/>
      <c r="Z1637" s="9" t="n"/>
    </row>
    <row r="1638" ht="14.25" customHeight="1" s="37">
      <c r="A1638" s="9">
        <f>IF(C1638="","","UM"&amp;TEXT(ROW()-1,"00000"))</f>
        <v/>
      </c>
      <c r="B1638" s="9" t="n"/>
      <c r="C1638" s="9" t="n"/>
      <c r="D1638" s="9" t="n"/>
      <c r="E1638" s="9" t="n"/>
      <c r="F1638" s="9">
        <f>IF(E1638="","",DATEDIF(E1638,DATE(2026,12,31),"Y"))</f>
        <v/>
      </c>
      <c r="G1638" s="9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  <c r="R1638" s="9" t="n"/>
      <c r="S1638" s="9" t="n"/>
      <c r="T1638" s="9" t="n"/>
      <c r="U1638" s="9" t="n"/>
      <c r="V1638" s="9" t="n"/>
      <c r="W1638" s="9" t="n"/>
      <c r="X1638" s="9" t="n"/>
      <c r="Y1638" s="9" t="n"/>
      <c r="Z1638" s="9" t="n"/>
    </row>
    <row r="1639" ht="14.25" customHeight="1" s="37">
      <c r="A1639" s="9">
        <f>IF(C1639="","","UM"&amp;TEXT(ROW()-1,"00000"))</f>
        <v/>
      </c>
      <c r="B1639" s="9" t="n"/>
      <c r="C1639" s="9" t="n"/>
      <c r="D1639" s="9" t="n"/>
      <c r="E1639" s="9" t="n"/>
      <c r="F1639" s="9">
        <f>IF(E1639="","",DATEDIF(E1639,DATE(2026,12,31),"Y"))</f>
        <v/>
      </c>
      <c r="G1639" s="9" t="n"/>
      <c r="H1639" s="9" t="n"/>
      <c r="I1639" s="9" t="n"/>
      <c r="J1639" s="9" t="n"/>
      <c r="K1639" s="9" t="n"/>
      <c r="L1639" s="9" t="n"/>
      <c r="M1639" s="9" t="n"/>
      <c r="N1639" s="9" t="n"/>
      <c r="O1639" s="9" t="n"/>
      <c r="P1639" s="9" t="n"/>
      <c r="Q1639" s="9" t="n"/>
      <c r="R1639" s="9" t="n"/>
      <c r="S1639" s="9" t="n"/>
      <c r="T1639" s="9" t="n"/>
      <c r="U1639" s="9" t="n"/>
      <c r="V1639" s="9" t="n"/>
      <c r="W1639" s="9" t="n"/>
      <c r="X1639" s="9" t="n"/>
      <c r="Y1639" s="9" t="n"/>
      <c r="Z1639" s="9" t="n"/>
    </row>
    <row r="1640" ht="14.25" customHeight="1" s="37">
      <c r="A1640" s="9">
        <f>IF(C1640="","","UM"&amp;TEXT(ROW()-1,"00000"))</f>
        <v/>
      </c>
      <c r="B1640" s="9" t="n"/>
      <c r="C1640" s="9" t="n"/>
      <c r="D1640" s="9" t="n"/>
      <c r="E1640" s="9" t="n"/>
      <c r="F1640" s="9">
        <f>IF(E1640="","",DATEDIF(E1640,DATE(2026,12,31),"Y"))</f>
        <v/>
      </c>
      <c r="G1640" s="9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  <c r="R1640" s="9" t="n"/>
      <c r="S1640" s="9" t="n"/>
      <c r="T1640" s="9" t="n"/>
      <c r="U1640" s="9" t="n"/>
      <c r="V1640" s="9" t="n"/>
      <c r="W1640" s="9" t="n"/>
      <c r="X1640" s="9" t="n"/>
      <c r="Y1640" s="9" t="n"/>
      <c r="Z1640" s="9" t="n"/>
    </row>
    <row r="1641" ht="14.25" customHeight="1" s="37">
      <c r="A1641" s="9">
        <f>IF(C1641="","","UM"&amp;TEXT(ROW()-1,"00000"))</f>
        <v/>
      </c>
      <c r="B1641" s="9" t="n"/>
      <c r="C1641" s="9" t="n"/>
      <c r="D1641" s="9" t="n"/>
      <c r="E1641" s="9" t="n"/>
      <c r="F1641" s="9">
        <f>IF(E1641="","",DATEDIF(E1641,DATE(2026,12,31),"Y"))</f>
        <v/>
      </c>
      <c r="G1641" s="9" t="n"/>
      <c r="H1641" s="9" t="n"/>
      <c r="I1641" s="9" t="n"/>
      <c r="J1641" s="9" t="n"/>
      <c r="K1641" s="9" t="n"/>
      <c r="L1641" s="9" t="n"/>
      <c r="M1641" s="9" t="n"/>
      <c r="N1641" s="9" t="n"/>
      <c r="O1641" s="9" t="n"/>
      <c r="P1641" s="9" t="n"/>
      <c r="Q1641" s="9" t="n"/>
      <c r="R1641" s="9" t="n"/>
      <c r="S1641" s="9" t="n"/>
      <c r="T1641" s="9" t="n"/>
      <c r="U1641" s="9" t="n"/>
      <c r="V1641" s="9" t="n"/>
      <c r="W1641" s="9" t="n"/>
      <c r="X1641" s="9" t="n"/>
      <c r="Y1641" s="9" t="n"/>
      <c r="Z1641" s="9" t="n"/>
    </row>
    <row r="1642" ht="14.25" customHeight="1" s="37">
      <c r="A1642" s="9">
        <f>IF(C1642="","","UM"&amp;TEXT(ROW()-1,"00000"))</f>
        <v/>
      </c>
      <c r="B1642" s="9" t="n"/>
      <c r="C1642" s="9" t="n"/>
      <c r="D1642" s="9" t="n"/>
      <c r="E1642" s="9" t="n"/>
      <c r="F1642" s="9">
        <f>IF(E1642="","",DATEDIF(E1642,DATE(2026,12,31),"Y"))</f>
        <v/>
      </c>
      <c r="G1642" s="9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  <c r="R1642" s="9" t="n"/>
      <c r="S1642" s="9" t="n"/>
      <c r="T1642" s="9" t="n"/>
      <c r="U1642" s="9" t="n"/>
      <c r="V1642" s="9" t="n"/>
      <c r="W1642" s="9" t="n"/>
      <c r="X1642" s="9" t="n"/>
      <c r="Y1642" s="9" t="n"/>
      <c r="Z1642" s="9" t="n"/>
    </row>
    <row r="1643" ht="14.25" customHeight="1" s="37">
      <c r="A1643" s="9">
        <f>IF(C1643="","","UM"&amp;TEXT(ROW()-1,"00000"))</f>
        <v/>
      </c>
      <c r="B1643" s="9" t="n"/>
      <c r="C1643" s="9" t="n"/>
      <c r="D1643" s="9" t="n"/>
      <c r="E1643" s="9" t="n"/>
      <c r="F1643" s="9">
        <f>IF(E1643="","",DATEDIF(E1643,DATE(2026,12,31),"Y"))</f>
        <v/>
      </c>
      <c r="G1643" s="9" t="n"/>
      <c r="H1643" s="9" t="n"/>
      <c r="I1643" s="9" t="n"/>
      <c r="J1643" s="9" t="n"/>
      <c r="K1643" s="9" t="n"/>
      <c r="L1643" s="9" t="n"/>
      <c r="M1643" s="9" t="n"/>
      <c r="N1643" s="9" t="n"/>
      <c r="O1643" s="9" t="n"/>
      <c r="P1643" s="9" t="n"/>
      <c r="Q1643" s="9" t="n"/>
      <c r="R1643" s="9" t="n"/>
      <c r="S1643" s="9" t="n"/>
      <c r="T1643" s="9" t="n"/>
      <c r="U1643" s="9" t="n"/>
      <c r="V1643" s="9" t="n"/>
      <c r="W1643" s="9" t="n"/>
      <c r="X1643" s="9" t="n"/>
      <c r="Y1643" s="9" t="n"/>
      <c r="Z1643" s="9" t="n"/>
    </row>
    <row r="1644" ht="14.25" customHeight="1" s="37">
      <c r="A1644" s="9">
        <f>IF(C1644="","","UM"&amp;TEXT(ROW()-1,"00000"))</f>
        <v/>
      </c>
      <c r="B1644" s="9" t="n"/>
      <c r="C1644" s="9" t="n"/>
      <c r="D1644" s="9" t="n"/>
      <c r="E1644" s="9" t="n"/>
      <c r="F1644" s="9">
        <f>IF(E1644="","",DATEDIF(E1644,DATE(2026,12,31),"Y"))</f>
        <v/>
      </c>
      <c r="G1644" s="9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  <c r="R1644" s="9" t="n"/>
      <c r="S1644" s="9" t="n"/>
      <c r="T1644" s="9" t="n"/>
      <c r="U1644" s="9" t="n"/>
      <c r="V1644" s="9" t="n"/>
      <c r="W1644" s="9" t="n"/>
      <c r="X1644" s="9" t="n"/>
      <c r="Y1644" s="9" t="n"/>
      <c r="Z1644" s="9" t="n"/>
    </row>
    <row r="1645" ht="14.25" customHeight="1" s="37">
      <c r="A1645" s="9">
        <f>IF(C1645="","","UM"&amp;TEXT(ROW()-1,"00000"))</f>
        <v/>
      </c>
      <c r="B1645" s="9" t="n"/>
      <c r="C1645" s="9" t="n"/>
      <c r="D1645" s="9" t="n"/>
      <c r="E1645" s="9" t="n"/>
      <c r="F1645" s="9">
        <f>IF(E1645="","",DATEDIF(E1645,DATE(2026,12,31),"Y"))</f>
        <v/>
      </c>
      <c r="G1645" s="9" t="n"/>
      <c r="H1645" s="9" t="n"/>
      <c r="I1645" s="9" t="n"/>
      <c r="J1645" s="9" t="n"/>
      <c r="K1645" s="9" t="n"/>
      <c r="L1645" s="9" t="n"/>
      <c r="M1645" s="9" t="n"/>
      <c r="N1645" s="9" t="n"/>
      <c r="O1645" s="9" t="n"/>
      <c r="P1645" s="9" t="n"/>
      <c r="Q1645" s="9" t="n"/>
      <c r="R1645" s="9" t="n"/>
      <c r="S1645" s="9" t="n"/>
      <c r="T1645" s="9" t="n"/>
      <c r="U1645" s="9" t="n"/>
      <c r="V1645" s="9" t="n"/>
      <c r="W1645" s="9" t="n"/>
      <c r="X1645" s="9" t="n"/>
      <c r="Y1645" s="9" t="n"/>
      <c r="Z1645" s="9" t="n"/>
    </row>
    <row r="1646" ht="14.25" customHeight="1" s="37">
      <c r="A1646" s="9">
        <f>IF(C1646="","","UM"&amp;TEXT(ROW()-1,"00000"))</f>
        <v/>
      </c>
      <c r="B1646" s="9" t="n"/>
      <c r="C1646" s="9" t="n"/>
      <c r="D1646" s="9" t="n"/>
      <c r="E1646" s="9" t="n"/>
      <c r="F1646" s="9">
        <f>IF(E1646="","",DATEDIF(E1646,DATE(2026,12,31),"Y"))</f>
        <v/>
      </c>
      <c r="G1646" s="9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  <c r="R1646" s="9" t="n"/>
      <c r="S1646" s="9" t="n"/>
      <c r="T1646" s="9" t="n"/>
      <c r="U1646" s="9" t="n"/>
      <c r="V1646" s="9" t="n"/>
      <c r="W1646" s="9" t="n"/>
      <c r="X1646" s="9" t="n"/>
      <c r="Y1646" s="9" t="n"/>
      <c r="Z1646" s="9" t="n"/>
    </row>
    <row r="1647" ht="14.25" customHeight="1" s="37">
      <c r="A1647" s="9">
        <f>IF(C1647="","","UM"&amp;TEXT(ROW()-1,"00000"))</f>
        <v/>
      </c>
      <c r="B1647" s="9" t="n"/>
      <c r="C1647" s="9" t="n"/>
      <c r="D1647" s="9" t="n"/>
      <c r="E1647" s="9" t="n"/>
      <c r="F1647" s="9">
        <f>IF(E1647="","",DATEDIF(E1647,DATE(2026,12,31),"Y"))</f>
        <v/>
      </c>
      <c r="G1647" s="9" t="n"/>
      <c r="H1647" s="9" t="n"/>
      <c r="I1647" s="9" t="n"/>
      <c r="J1647" s="9" t="n"/>
      <c r="K1647" s="9" t="n"/>
      <c r="L1647" s="9" t="n"/>
      <c r="M1647" s="9" t="n"/>
      <c r="N1647" s="9" t="n"/>
      <c r="O1647" s="9" t="n"/>
      <c r="P1647" s="9" t="n"/>
      <c r="Q1647" s="9" t="n"/>
      <c r="R1647" s="9" t="n"/>
      <c r="S1647" s="9" t="n"/>
      <c r="T1647" s="9" t="n"/>
      <c r="U1647" s="9" t="n"/>
      <c r="V1647" s="9" t="n"/>
      <c r="W1647" s="9" t="n"/>
      <c r="X1647" s="9" t="n"/>
      <c r="Y1647" s="9" t="n"/>
      <c r="Z1647" s="9" t="n"/>
    </row>
    <row r="1648" ht="14.25" customHeight="1" s="37">
      <c r="A1648" s="9">
        <f>IF(C1648="","","UM"&amp;TEXT(ROW()-1,"00000"))</f>
        <v/>
      </c>
      <c r="B1648" s="9" t="n"/>
      <c r="C1648" s="9" t="n"/>
      <c r="D1648" s="9" t="n"/>
      <c r="E1648" s="9" t="n"/>
      <c r="F1648" s="9">
        <f>IF(E1648="","",DATEDIF(E1648,DATE(2026,12,31),"Y"))</f>
        <v/>
      </c>
      <c r="G1648" s="9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  <c r="R1648" s="9" t="n"/>
      <c r="S1648" s="9" t="n"/>
      <c r="T1648" s="9" t="n"/>
      <c r="U1648" s="9" t="n"/>
      <c r="V1648" s="9" t="n"/>
      <c r="W1648" s="9" t="n"/>
      <c r="X1648" s="9" t="n"/>
      <c r="Y1648" s="9" t="n"/>
      <c r="Z1648" s="9" t="n"/>
    </row>
    <row r="1649" ht="14.25" customHeight="1" s="37">
      <c r="A1649" s="9">
        <f>IF(C1649="","","UM"&amp;TEXT(ROW()-1,"00000"))</f>
        <v/>
      </c>
      <c r="B1649" s="9" t="n"/>
      <c r="C1649" s="9" t="n"/>
      <c r="D1649" s="9" t="n"/>
      <c r="E1649" s="9" t="n"/>
      <c r="F1649" s="9">
        <f>IF(E1649="","",DATEDIF(E1649,DATE(2026,12,31),"Y"))</f>
        <v/>
      </c>
      <c r="G1649" s="9" t="n"/>
      <c r="H1649" s="9" t="n"/>
      <c r="I1649" s="9" t="n"/>
      <c r="J1649" s="9" t="n"/>
      <c r="K1649" s="9" t="n"/>
      <c r="L1649" s="9" t="n"/>
      <c r="M1649" s="9" t="n"/>
      <c r="N1649" s="9" t="n"/>
      <c r="O1649" s="9" t="n"/>
      <c r="P1649" s="9" t="n"/>
      <c r="Q1649" s="9" t="n"/>
      <c r="R1649" s="9" t="n"/>
      <c r="S1649" s="9" t="n"/>
      <c r="T1649" s="9" t="n"/>
      <c r="U1649" s="9" t="n"/>
      <c r="V1649" s="9" t="n"/>
      <c r="W1649" s="9" t="n"/>
      <c r="X1649" s="9" t="n"/>
      <c r="Y1649" s="9" t="n"/>
      <c r="Z1649" s="9" t="n"/>
    </row>
    <row r="1650" ht="14.25" customHeight="1" s="37">
      <c r="A1650" s="9">
        <f>IF(C1650="","","UM"&amp;TEXT(ROW()-1,"00000"))</f>
        <v/>
      </c>
      <c r="B1650" s="9" t="n"/>
      <c r="C1650" s="9" t="n"/>
      <c r="D1650" s="9" t="n"/>
      <c r="E1650" s="9" t="n"/>
      <c r="F1650" s="9">
        <f>IF(E1650="","",DATEDIF(E1650,DATE(2026,12,31),"Y"))</f>
        <v/>
      </c>
      <c r="G1650" s="9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  <c r="R1650" s="9" t="n"/>
      <c r="S1650" s="9" t="n"/>
      <c r="T1650" s="9" t="n"/>
      <c r="U1650" s="9" t="n"/>
      <c r="V1650" s="9" t="n"/>
      <c r="W1650" s="9" t="n"/>
      <c r="X1650" s="9" t="n"/>
      <c r="Y1650" s="9" t="n"/>
      <c r="Z1650" s="9" t="n"/>
    </row>
    <row r="1651" ht="14.25" customHeight="1" s="37">
      <c r="A1651" s="9">
        <f>IF(C1651="","","UM"&amp;TEXT(ROW()-1,"00000"))</f>
        <v/>
      </c>
      <c r="B1651" s="9" t="n"/>
      <c r="C1651" s="9" t="n"/>
      <c r="D1651" s="9" t="n"/>
      <c r="E1651" s="9" t="n"/>
      <c r="F1651" s="9">
        <f>IF(E1651="","",DATEDIF(E1651,DATE(2026,12,31),"Y"))</f>
        <v/>
      </c>
      <c r="G1651" s="9" t="n"/>
      <c r="H1651" s="9" t="n"/>
      <c r="I1651" s="9" t="n"/>
      <c r="J1651" s="9" t="n"/>
      <c r="K1651" s="9" t="n"/>
      <c r="L1651" s="9" t="n"/>
      <c r="M1651" s="9" t="n"/>
      <c r="N1651" s="9" t="n"/>
      <c r="O1651" s="9" t="n"/>
      <c r="P1651" s="9" t="n"/>
      <c r="Q1651" s="9" t="n"/>
      <c r="R1651" s="9" t="n"/>
      <c r="S1651" s="9" t="n"/>
      <c r="T1651" s="9" t="n"/>
      <c r="U1651" s="9" t="n"/>
      <c r="V1651" s="9" t="n"/>
      <c r="W1651" s="9" t="n"/>
      <c r="X1651" s="9" t="n"/>
      <c r="Y1651" s="9" t="n"/>
      <c r="Z1651" s="9" t="n"/>
    </row>
    <row r="1652" ht="14.25" customHeight="1" s="37">
      <c r="A1652" s="9">
        <f>IF(C1652="","","UM"&amp;TEXT(ROW()-1,"00000"))</f>
        <v/>
      </c>
      <c r="B1652" s="9" t="n"/>
      <c r="C1652" s="9" t="n"/>
      <c r="D1652" s="9" t="n"/>
      <c r="E1652" s="9" t="n"/>
      <c r="F1652" s="9">
        <f>IF(E1652="","",DATEDIF(E1652,DATE(2026,12,31),"Y"))</f>
        <v/>
      </c>
      <c r="G1652" s="9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  <c r="R1652" s="9" t="n"/>
      <c r="S1652" s="9" t="n"/>
      <c r="T1652" s="9" t="n"/>
      <c r="U1652" s="9" t="n"/>
      <c r="V1652" s="9" t="n"/>
      <c r="W1652" s="9" t="n"/>
      <c r="X1652" s="9" t="n"/>
      <c r="Y1652" s="9" t="n"/>
      <c r="Z1652" s="9" t="n"/>
    </row>
    <row r="1653" ht="14.25" customHeight="1" s="37">
      <c r="A1653" s="9">
        <f>IF(C1653="","","UM"&amp;TEXT(ROW()-1,"00000"))</f>
        <v/>
      </c>
      <c r="B1653" s="9" t="n"/>
      <c r="C1653" s="9" t="n"/>
      <c r="D1653" s="9" t="n"/>
      <c r="E1653" s="9" t="n"/>
      <c r="F1653" s="9">
        <f>IF(E1653="","",DATEDIF(E1653,DATE(2026,12,31),"Y"))</f>
        <v/>
      </c>
      <c r="G1653" s="9" t="n"/>
      <c r="H1653" s="9" t="n"/>
      <c r="I1653" s="9" t="n"/>
      <c r="J1653" s="9" t="n"/>
      <c r="K1653" s="9" t="n"/>
      <c r="L1653" s="9" t="n"/>
      <c r="M1653" s="9" t="n"/>
      <c r="N1653" s="9" t="n"/>
      <c r="O1653" s="9" t="n"/>
      <c r="P1653" s="9" t="n"/>
      <c r="Q1653" s="9" t="n"/>
      <c r="R1653" s="9" t="n"/>
      <c r="S1653" s="9" t="n"/>
      <c r="T1653" s="9" t="n"/>
      <c r="U1653" s="9" t="n"/>
      <c r="V1653" s="9" t="n"/>
      <c r="W1653" s="9" t="n"/>
      <c r="X1653" s="9" t="n"/>
      <c r="Y1653" s="9" t="n"/>
      <c r="Z1653" s="9" t="n"/>
    </row>
    <row r="1654" ht="14.25" customHeight="1" s="37">
      <c r="A1654" s="9">
        <f>IF(C1654="","","UM"&amp;TEXT(ROW()-1,"00000"))</f>
        <v/>
      </c>
      <c r="B1654" s="9" t="n"/>
      <c r="C1654" s="9" t="n"/>
      <c r="D1654" s="9" t="n"/>
      <c r="E1654" s="9" t="n"/>
      <c r="F1654" s="9">
        <f>IF(E1654="","",DATEDIF(E1654,DATE(2026,12,31),"Y"))</f>
        <v/>
      </c>
      <c r="G1654" s="9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  <c r="R1654" s="9" t="n"/>
      <c r="S1654" s="9" t="n"/>
      <c r="T1654" s="9" t="n"/>
      <c r="U1654" s="9" t="n"/>
      <c r="V1654" s="9" t="n"/>
      <c r="W1654" s="9" t="n"/>
      <c r="X1654" s="9" t="n"/>
      <c r="Y1654" s="9" t="n"/>
      <c r="Z1654" s="9" t="n"/>
    </row>
    <row r="1655" ht="14.25" customHeight="1" s="37">
      <c r="A1655" s="9">
        <f>IF(C1655="","","UM"&amp;TEXT(ROW()-1,"00000"))</f>
        <v/>
      </c>
      <c r="B1655" s="9" t="n"/>
      <c r="C1655" s="9" t="n"/>
      <c r="D1655" s="9" t="n"/>
      <c r="E1655" s="9" t="n"/>
      <c r="F1655" s="9">
        <f>IF(E1655="","",DATEDIF(E1655,DATE(2026,12,31),"Y"))</f>
        <v/>
      </c>
      <c r="G1655" s="9" t="n"/>
      <c r="H1655" s="9" t="n"/>
      <c r="I1655" s="9" t="n"/>
      <c r="J1655" s="9" t="n"/>
      <c r="K1655" s="9" t="n"/>
      <c r="L1655" s="9" t="n"/>
      <c r="M1655" s="9" t="n"/>
      <c r="N1655" s="9" t="n"/>
      <c r="O1655" s="9" t="n"/>
      <c r="P1655" s="9" t="n"/>
      <c r="Q1655" s="9" t="n"/>
      <c r="R1655" s="9" t="n"/>
      <c r="S1655" s="9" t="n"/>
      <c r="T1655" s="9" t="n"/>
      <c r="U1655" s="9" t="n"/>
      <c r="V1655" s="9" t="n"/>
      <c r="W1655" s="9" t="n"/>
      <c r="X1655" s="9" t="n"/>
      <c r="Y1655" s="9" t="n"/>
      <c r="Z1655" s="9" t="n"/>
    </row>
    <row r="1656" ht="14.25" customHeight="1" s="37">
      <c r="A1656" s="9">
        <f>IF(C1656="","","UM"&amp;TEXT(ROW()-1,"00000"))</f>
        <v/>
      </c>
      <c r="B1656" s="9" t="n"/>
      <c r="C1656" s="9" t="n"/>
      <c r="D1656" s="9" t="n"/>
      <c r="E1656" s="9" t="n"/>
      <c r="F1656" s="9">
        <f>IF(E1656="","",DATEDIF(E1656,DATE(2026,12,31),"Y"))</f>
        <v/>
      </c>
      <c r="G1656" s="9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  <c r="R1656" s="9" t="n"/>
      <c r="S1656" s="9" t="n"/>
      <c r="T1656" s="9" t="n"/>
      <c r="U1656" s="9" t="n"/>
      <c r="V1656" s="9" t="n"/>
      <c r="W1656" s="9" t="n"/>
      <c r="X1656" s="9" t="n"/>
      <c r="Y1656" s="9" t="n"/>
      <c r="Z1656" s="9" t="n"/>
    </row>
    <row r="1657" ht="14.25" customHeight="1" s="37">
      <c r="A1657" s="9">
        <f>IF(C1657="","","UM"&amp;TEXT(ROW()-1,"00000"))</f>
        <v/>
      </c>
      <c r="B1657" s="9" t="n"/>
      <c r="C1657" s="9" t="n"/>
      <c r="D1657" s="9" t="n"/>
      <c r="E1657" s="9" t="n"/>
      <c r="F1657" s="9">
        <f>IF(E1657="","",DATEDIF(E1657,DATE(2026,12,31),"Y"))</f>
        <v/>
      </c>
      <c r="G1657" s="9" t="n"/>
      <c r="H1657" s="9" t="n"/>
      <c r="I1657" s="9" t="n"/>
      <c r="J1657" s="9" t="n"/>
      <c r="K1657" s="9" t="n"/>
      <c r="L1657" s="9" t="n"/>
      <c r="M1657" s="9" t="n"/>
      <c r="N1657" s="9" t="n"/>
      <c r="O1657" s="9" t="n"/>
      <c r="P1657" s="9" t="n"/>
      <c r="Q1657" s="9" t="n"/>
      <c r="R1657" s="9" t="n"/>
      <c r="S1657" s="9" t="n"/>
      <c r="T1657" s="9" t="n"/>
      <c r="U1657" s="9" t="n"/>
      <c r="V1657" s="9" t="n"/>
      <c r="W1657" s="9" t="n"/>
      <c r="X1657" s="9" t="n"/>
      <c r="Y1657" s="9" t="n"/>
      <c r="Z1657" s="9" t="n"/>
    </row>
    <row r="1658" ht="14.25" customHeight="1" s="37">
      <c r="A1658" s="9">
        <f>IF(C1658="","","UM"&amp;TEXT(ROW()-1,"00000"))</f>
        <v/>
      </c>
      <c r="B1658" s="9" t="n"/>
      <c r="C1658" s="9" t="n"/>
      <c r="D1658" s="9" t="n"/>
      <c r="E1658" s="9" t="n"/>
      <c r="F1658" s="9">
        <f>IF(E1658="","",DATEDIF(E1658,DATE(2026,12,31),"Y"))</f>
        <v/>
      </c>
      <c r="G1658" s="9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  <c r="R1658" s="9" t="n"/>
      <c r="S1658" s="9" t="n"/>
      <c r="T1658" s="9" t="n"/>
      <c r="U1658" s="9" t="n"/>
      <c r="V1658" s="9" t="n"/>
      <c r="W1658" s="9" t="n"/>
      <c r="X1658" s="9" t="n"/>
      <c r="Y1658" s="9" t="n"/>
      <c r="Z1658" s="9" t="n"/>
    </row>
    <row r="1659" ht="14.25" customHeight="1" s="37">
      <c r="A1659" s="9">
        <f>IF(C1659="","","UM"&amp;TEXT(ROW()-1,"00000"))</f>
        <v/>
      </c>
      <c r="B1659" s="9" t="n"/>
      <c r="C1659" s="9" t="n"/>
      <c r="D1659" s="9" t="n"/>
      <c r="E1659" s="9" t="n"/>
      <c r="F1659" s="9">
        <f>IF(E1659="","",DATEDIF(E1659,DATE(2026,12,31),"Y"))</f>
        <v/>
      </c>
      <c r="G1659" s="9" t="n"/>
      <c r="H1659" s="9" t="n"/>
      <c r="I1659" s="9" t="n"/>
      <c r="J1659" s="9" t="n"/>
      <c r="K1659" s="9" t="n"/>
      <c r="L1659" s="9" t="n"/>
      <c r="M1659" s="9" t="n"/>
      <c r="N1659" s="9" t="n"/>
      <c r="O1659" s="9" t="n"/>
      <c r="P1659" s="9" t="n"/>
      <c r="Q1659" s="9" t="n"/>
      <c r="R1659" s="9" t="n"/>
      <c r="S1659" s="9" t="n"/>
      <c r="T1659" s="9" t="n"/>
      <c r="U1659" s="9" t="n"/>
      <c r="V1659" s="9" t="n"/>
      <c r="W1659" s="9" t="n"/>
      <c r="X1659" s="9" t="n"/>
      <c r="Y1659" s="9" t="n"/>
      <c r="Z1659" s="9" t="n"/>
    </row>
    <row r="1660" ht="14.25" customHeight="1" s="37">
      <c r="A1660" s="9">
        <f>IF(C1660="","","UM"&amp;TEXT(ROW()-1,"00000"))</f>
        <v/>
      </c>
      <c r="B1660" s="9" t="n"/>
      <c r="C1660" s="9" t="n"/>
      <c r="D1660" s="9" t="n"/>
      <c r="E1660" s="9" t="n"/>
      <c r="F1660" s="9">
        <f>IF(E1660="","",DATEDIF(E1660,DATE(2026,12,31),"Y"))</f>
        <v/>
      </c>
      <c r="G1660" s="9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  <c r="R1660" s="9" t="n"/>
      <c r="S1660" s="9" t="n"/>
      <c r="T1660" s="9" t="n"/>
      <c r="U1660" s="9" t="n"/>
      <c r="V1660" s="9" t="n"/>
      <c r="W1660" s="9" t="n"/>
      <c r="X1660" s="9" t="n"/>
      <c r="Y1660" s="9" t="n"/>
      <c r="Z1660" s="9" t="n"/>
    </row>
    <row r="1661" ht="14.25" customHeight="1" s="37">
      <c r="A1661" s="9">
        <f>IF(C1661="","","UM"&amp;TEXT(ROW()-1,"00000"))</f>
        <v/>
      </c>
      <c r="B1661" s="9" t="n"/>
      <c r="C1661" s="9" t="n"/>
      <c r="D1661" s="9" t="n"/>
      <c r="E1661" s="9" t="n"/>
      <c r="F1661" s="9">
        <f>IF(E1661="","",DATEDIF(E1661,DATE(2026,12,31),"Y"))</f>
        <v/>
      </c>
      <c r="G1661" s="9" t="n"/>
      <c r="H1661" s="9" t="n"/>
      <c r="I1661" s="9" t="n"/>
      <c r="J1661" s="9" t="n"/>
      <c r="K1661" s="9" t="n"/>
      <c r="L1661" s="9" t="n"/>
      <c r="M1661" s="9" t="n"/>
      <c r="N1661" s="9" t="n"/>
      <c r="O1661" s="9" t="n"/>
      <c r="P1661" s="9" t="n"/>
      <c r="Q1661" s="9" t="n"/>
      <c r="R1661" s="9" t="n"/>
      <c r="S1661" s="9" t="n"/>
      <c r="T1661" s="9" t="n"/>
      <c r="U1661" s="9" t="n"/>
      <c r="V1661" s="9" t="n"/>
      <c r="W1661" s="9" t="n"/>
      <c r="X1661" s="9" t="n"/>
      <c r="Y1661" s="9" t="n"/>
      <c r="Z1661" s="9" t="n"/>
    </row>
    <row r="1662" ht="14.25" customHeight="1" s="37">
      <c r="A1662" s="9">
        <f>IF(C1662="","","UM"&amp;TEXT(ROW()-1,"00000"))</f>
        <v/>
      </c>
      <c r="B1662" s="9" t="n"/>
      <c r="C1662" s="9" t="n"/>
      <c r="D1662" s="9" t="n"/>
      <c r="E1662" s="9" t="n"/>
      <c r="F1662" s="9">
        <f>IF(E1662="","",DATEDIF(E1662,DATE(2026,12,31),"Y"))</f>
        <v/>
      </c>
      <c r="G1662" s="9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  <c r="R1662" s="9" t="n"/>
      <c r="S1662" s="9" t="n"/>
      <c r="T1662" s="9" t="n"/>
      <c r="U1662" s="9" t="n"/>
      <c r="V1662" s="9" t="n"/>
      <c r="W1662" s="9" t="n"/>
      <c r="X1662" s="9" t="n"/>
      <c r="Y1662" s="9" t="n"/>
      <c r="Z1662" s="9" t="n"/>
    </row>
    <row r="1663" ht="14.25" customHeight="1" s="37">
      <c r="A1663" s="9">
        <f>IF(C1663="","","UM"&amp;TEXT(ROW()-1,"00000"))</f>
        <v/>
      </c>
      <c r="B1663" s="9" t="n"/>
      <c r="C1663" s="9" t="n"/>
      <c r="D1663" s="9" t="n"/>
      <c r="E1663" s="9" t="n"/>
      <c r="F1663" s="9">
        <f>IF(E1663="","",DATEDIF(E1663,DATE(2026,12,31),"Y"))</f>
        <v/>
      </c>
      <c r="G1663" s="9" t="n"/>
      <c r="H1663" s="9" t="n"/>
      <c r="I1663" s="9" t="n"/>
      <c r="J1663" s="9" t="n"/>
      <c r="K1663" s="9" t="n"/>
      <c r="L1663" s="9" t="n"/>
      <c r="M1663" s="9" t="n"/>
      <c r="N1663" s="9" t="n"/>
      <c r="O1663" s="9" t="n"/>
      <c r="P1663" s="9" t="n"/>
      <c r="Q1663" s="9" t="n"/>
      <c r="R1663" s="9" t="n"/>
      <c r="S1663" s="9" t="n"/>
      <c r="T1663" s="9" t="n"/>
      <c r="U1663" s="9" t="n"/>
      <c r="V1663" s="9" t="n"/>
      <c r="W1663" s="9" t="n"/>
      <c r="X1663" s="9" t="n"/>
      <c r="Y1663" s="9" t="n"/>
      <c r="Z1663" s="9" t="n"/>
    </row>
    <row r="1664" ht="14.25" customHeight="1" s="37">
      <c r="A1664" s="9">
        <f>IF(C1664="","","UM"&amp;TEXT(ROW()-1,"00000"))</f>
        <v/>
      </c>
      <c r="B1664" s="9" t="n"/>
      <c r="C1664" s="9" t="n"/>
      <c r="D1664" s="9" t="n"/>
      <c r="E1664" s="9" t="n"/>
      <c r="F1664" s="9">
        <f>IF(E1664="","",DATEDIF(E1664,DATE(2026,12,31),"Y"))</f>
        <v/>
      </c>
      <c r="G1664" s="9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  <c r="R1664" s="9" t="n"/>
      <c r="S1664" s="9" t="n"/>
      <c r="T1664" s="9" t="n"/>
      <c r="U1664" s="9" t="n"/>
      <c r="V1664" s="9" t="n"/>
      <c r="W1664" s="9" t="n"/>
      <c r="X1664" s="9" t="n"/>
      <c r="Y1664" s="9" t="n"/>
      <c r="Z1664" s="9" t="n"/>
    </row>
    <row r="1665" ht="14.25" customHeight="1" s="37">
      <c r="A1665" s="9">
        <f>IF(C1665="","","UM"&amp;TEXT(ROW()-1,"00000"))</f>
        <v/>
      </c>
      <c r="B1665" s="9" t="n"/>
      <c r="C1665" s="9" t="n"/>
      <c r="D1665" s="9" t="n"/>
      <c r="E1665" s="9" t="n"/>
      <c r="F1665" s="9">
        <f>IF(E1665="","",DATEDIF(E1665,DATE(2026,12,31),"Y"))</f>
        <v/>
      </c>
      <c r="G1665" s="9" t="n"/>
      <c r="H1665" s="9" t="n"/>
      <c r="I1665" s="9" t="n"/>
      <c r="J1665" s="9" t="n"/>
      <c r="K1665" s="9" t="n"/>
      <c r="L1665" s="9" t="n"/>
      <c r="M1665" s="9" t="n"/>
      <c r="N1665" s="9" t="n"/>
      <c r="O1665" s="9" t="n"/>
      <c r="P1665" s="9" t="n"/>
      <c r="Q1665" s="9" t="n"/>
      <c r="R1665" s="9" t="n"/>
      <c r="S1665" s="9" t="n"/>
      <c r="T1665" s="9" t="n"/>
      <c r="U1665" s="9" t="n"/>
      <c r="V1665" s="9" t="n"/>
      <c r="W1665" s="9" t="n"/>
      <c r="X1665" s="9" t="n"/>
      <c r="Y1665" s="9" t="n"/>
      <c r="Z1665" s="9" t="n"/>
    </row>
    <row r="1666" ht="14.25" customHeight="1" s="37">
      <c r="A1666" s="9">
        <f>IF(C1666="","","UM"&amp;TEXT(ROW()-1,"00000"))</f>
        <v/>
      </c>
      <c r="B1666" s="9" t="n"/>
      <c r="C1666" s="9" t="n"/>
      <c r="D1666" s="9" t="n"/>
      <c r="E1666" s="9" t="n"/>
      <c r="F1666" s="9">
        <f>IF(E1666="","",DATEDIF(E1666,DATE(2026,12,31),"Y"))</f>
        <v/>
      </c>
      <c r="G1666" s="9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  <c r="R1666" s="9" t="n"/>
      <c r="S1666" s="9" t="n"/>
      <c r="T1666" s="9" t="n"/>
      <c r="U1666" s="9" t="n"/>
      <c r="V1666" s="9" t="n"/>
      <c r="W1666" s="9" t="n"/>
      <c r="X1666" s="9" t="n"/>
      <c r="Y1666" s="9" t="n"/>
      <c r="Z1666" s="9" t="n"/>
    </row>
    <row r="1667" ht="14.25" customHeight="1" s="37">
      <c r="A1667" s="9">
        <f>IF(C1667="","","UM"&amp;TEXT(ROW()-1,"00000"))</f>
        <v/>
      </c>
      <c r="B1667" s="9" t="n"/>
      <c r="C1667" s="9" t="n"/>
      <c r="D1667" s="9" t="n"/>
      <c r="E1667" s="9" t="n"/>
      <c r="F1667" s="9">
        <f>IF(E1667="","",DATEDIF(E1667,DATE(2026,12,31),"Y"))</f>
        <v/>
      </c>
      <c r="G1667" s="9" t="n"/>
      <c r="H1667" s="9" t="n"/>
      <c r="I1667" s="9" t="n"/>
      <c r="J1667" s="9" t="n"/>
      <c r="K1667" s="9" t="n"/>
      <c r="L1667" s="9" t="n"/>
      <c r="M1667" s="9" t="n"/>
      <c r="N1667" s="9" t="n"/>
      <c r="O1667" s="9" t="n"/>
      <c r="P1667" s="9" t="n"/>
      <c r="Q1667" s="9" t="n"/>
      <c r="R1667" s="9" t="n"/>
      <c r="S1667" s="9" t="n"/>
      <c r="T1667" s="9" t="n"/>
      <c r="U1667" s="9" t="n"/>
      <c r="V1667" s="9" t="n"/>
      <c r="W1667" s="9" t="n"/>
      <c r="X1667" s="9" t="n"/>
      <c r="Y1667" s="9" t="n"/>
      <c r="Z1667" s="9" t="n"/>
    </row>
    <row r="1668" ht="14.25" customHeight="1" s="37">
      <c r="A1668" s="9">
        <f>IF(C1668="","","UM"&amp;TEXT(ROW()-1,"00000"))</f>
        <v/>
      </c>
      <c r="B1668" s="9" t="n"/>
      <c r="C1668" s="9" t="n"/>
      <c r="D1668" s="9" t="n"/>
      <c r="E1668" s="9" t="n"/>
      <c r="F1668" s="9">
        <f>IF(E1668="","",DATEDIF(E1668,DATE(2026,12,31),"Y"))</f>
        <v/>
      </c>
      <c r="G1668" s="9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  <c r="R1668" s="9" t="n"/>
      <c r="S1668" s="9" t="n"/>
      <c r="T1668" s="9" t="n"/>
      <c r="U1668" s="9" t="n"/>
      <c r="V1668" s="9" t="n"/>
      <c r="W1668" s="9" t="n"/>
      <c r="X1668" s="9" t="n"/>
      <c r="Y1668" s="9" t="n"/>
      <c r="Z1668" s="9" t="n"/>
    </row>
    <row r="1669" ht="14.25" customHeight="1" s="37">
      <c r="A1669" s="9">
        <f>IF(C1669="","","UM"&amp;TEXT(ROW()-1,"00000"))</f>
        <v/>
      </c>
      <c r="B1669" s="9" t="n"/>
      <c r="C1669" s="9" t="n"/>
      <c r="D1669" s="9" t="n"/>
      <c r="E1669" s="9" t="n"/>
      <c r="F1669" s="9">
        <f>IF(E1669="","",DATEDIF(E1669,DATE(2026,12,31),"Y"))</f>
        <v/>
      </c>
      <c r="G1669" s="9" t="n"/>
      <c r="H1669" s="9" t="n"/>
      <c r="I1669" s="9" t="n"/>
      <c r="J1669" s="9" t="n"/>
      <c r="K1669" s="9" t="n"/>
      <c r="L1669" s="9" t="n"/>
      <c r="M1669" s="9" t="n"/>
      <c r="N1669" s="9" t="n"/>
      <c r="O1669" s="9" t="n"/>
      <c r="P1669" s="9" t="n"/>
      <c r="Q1669" s="9" t="n"/>
      <c r="R1669" s="9" t="n"/>
      <c r="S1669" s="9" t="n"/>
      <c r="T1669" s="9" t="n"/>
      <c r="U1669" s="9" t="n"/>
      <c r="V1669" s="9" t="n"/>
      <c r="W1669" s="9" t="n"/>
      <c r="X1669" s="9" t="n"/>
      <c r="Y1669" s="9" t="n"/>
      <c r="Z1669" s="9" t="n"/>
    </row>
    <row r="1670" ht="14.25" customHeight="1" s="37">
      <c r="A1670" s="9">
        <f>IF(C1670="","","UM"&amp;TEXT(ROW()-1,"00000"))</f>
        <v/>
      </c>
      <c r="B1670" s="9" t="n"/>
      <c r="C1670" s="9" t="n"/>
      <c r="D1670" s="9" t="n"/>
      <c r="E1670" s="9" t="n"/>
      <c r="F1670" s="9">
        <f>IF(E1670="","",DATEDIF(E1670,DATE(2026,12,31),"Y"))</f>
        <v/>
      </c>
      <c r="G1670" s="9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  <c r="R1670" s="9" t="n"/>
      <c r="S1670" s="9" t="n"/>
      <c r="T1670" s="9" t="n"/>
      <c r="U1670" s="9" t="n"/>
      <c r="V1670" s="9" t="n"/>
      <c r="W1670" s="9" t="n"/>
      <c r="X1670" s="9" t="n"/>
      <c r="Y1670" s="9" t="n"/>
      <c r="Z1670" s="9" t="n"/>
    </row>
    <row r="1671" ht="14.25" customHeight="1" s="37">
      <c r="A1671" s="9">
        <f>IF(C1671="","","UM"&amp;TEXT(ROW()-1,"00000"))</f>
        <v/>
      </c>
      <c r="B1671" s="9" t="n"/>
      <c r="C1671" s="9" t="n"/>
      <c r="D1671" s="9" t="n"/>
      <c r="E1671" s="9" t="n"/>
      <c r="F1671" s="9">
        <f>IF(E1671="","",DATEDIF(E1671,DATE(2026,12,31),"Y"))</f>
        <v/>
      </c>
      <c r="G1671" s="9" t="n"/>
      <c r="H1671" s="9" t="n"/>
      <c r="I1671" s="9" t="n"/>
      <c r="J1671" s="9" t="n"/>
      <c r="K1671" s="9" t="n"/>
      <c r="L1671" s="9" t="n"/>
      <c r="M1671" s="9" t="n"/>
      <c r="N1671" s="9" t="n"/>
      <c r="O1671" s="9" t="n"/>
      <c r="P1671" s="9" t="n"/>
      <c r="Q1671" s="9" t="n"/>
      <c r="R1671" s="9" t="n"/>
      <c r="S1671" s="9" t="n"/>
      <c r="T1671" s="9" t="n"/>
      <c r="U1671" s="9" t="n"/>
      <c r="V1671" s="9" t="n"/>
      <c r="W1671" s="9" t="n"/>
      <c r="X1671" s="9" t="n"/>
      <c r="Y1671" s="9" t="n"/>
      <c r="Z1671" s="9" t="n"/>
    </row>
    <row r="1672" ht="14.25" customHeight="1" s="37">
      <c r="A1672" s="9">
        <f>IF(C1672="","","UM"&amp;TEXT(ROW()-1,"00000"))</f>
        <v/>
      </c>
      <c r="B1672" s="9" t="n"/>
      <c r="C1672" s="9" t="n"/>
      <c r="D1672" s="9" t="n"/>
      <c r="E1672" s="9" t="n"/>
      <c r="F1672" s="9">
        <f>IF(E1672="","",DATEDIF(E1672,DATE(2026,12,31),"Y"))</f>
        <v/>
      </c>
      <c r="G1672" s="9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  <c r="R1672" s="9" t="n"/>
      <c r="S1672" s="9" t="n"/>
      <c r="T1672" s="9" t="n"/>
      <c r="U1672" s="9" t="n"/>
      <c r="V1672" s="9" t="n"/>
      <c r="W1672" s="9" t="n"/>
      <c r="X1672" s="9" t="n"/>
      <c r="Y1672" s="9" t="n"/>
      <c r="Z1672" s="9" t="n"/>
    </row>
    <row r="1673" ht="14.25" customHeight="1" s="37">
      <c r="A1673" s="9">
        <f>IF(C1673="","","UM"&amp;TEXT(ROW()-1,"00000"))</f>
        <v/>
      </c>
      <c r="B1673" s="9" t="n"/>
      <c r="C1673" s="9" t="n"/>
      <c r="D1673" s="9" t="n"/>
      <c r="E1673" s="9" t="n"/>
      <c r="F1673" s="9">
        <f>IF(E1673="","",DATEDIF(E1673,DATE(2026,12,31),"Y"))</f>
        <v/>
      </c>
      <c r="G1673" s="9" t="n"/>
      <c r="H1673" s="9" t="n"/>
      <c r="I1673" s="9" t="n"/>
      <c r="J1673" s="9" t="n"/>
      <c r="K1673" s="9" t="n"/>
      <c r="L1673" s="9" t="n"/>
      <c r="M1673" s="9" t="n"/>
      <c r="N1673" s="9" t="n"/>
      <c r="O1673" s="9" t="n"/>
      <c r="P1673" s="9" t="n"/>
      <c r="Q1673" s="9" t="n"/>
      <c r="R1673" s="9" t="n"/>
      <c r="S1673" s="9" t="n"/>
      <c r="T1673" s="9" t="n"/>
      <c r="U1673" s="9" t="n"/>
      <c r="V1673" s="9" t="n"/>
      <c r="W1673" s="9" t="n"/>
      <c r="X1673" s="9" t="n"/>
      <c r="Y1673" s="9" t="n"/>
      <c r="Z1673" s="9" t="n"/>
    </row>
    <row r="1674" ht="14.25" customHeight="1" s="37">
      <c r="A1674" s="9">
        <f>IF(C1674="","","UM"&amp;TEXT(ROW()-1,"00000"))</f>
        <v/>
      </c>
      <c r="B1674" s="9" t="n"/>
      <c r="C1674" s="9" t="n"/>
      <c r="D1674" s="9" t="n"/>
      <c r="E1674" s="9" t="n"/>
      <c r="F1674" s="9">
        <f>IF(E1674="","",DATEDIF(E1674,DATE(2026,12,31),"Y"))</f>
        <v/>
      </c>
      <c r="G1674" s="9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  <c r="R1674" s="9" t="n"/>
      <c r="S1674" s="9" t="n"/>
      <c r="T1674" s="9" t="n"/>
      <c r="U1674" s="9" t="n"/>
      <c r="V1674" s="9" t="n"/>
      <c r="W1674" s="9" t="n"/>
      <c r="X1674" s="9" t="n"/>
      <c r="Y1674" s="9" t="n"/>
      <c r="Z1674" s="9" t="n"/>
    </row>
    <row r="1675" ht="14.25" customHeight="1" s="37">
      <c r="A1675" s="9">
        <f>IF(C1675="","","UM"&amp;TEXT(ROW()-1,"00000"))</f>
        <v/>
      </c>
      <c r="B1675" s="9" t="n"/>
      <c r="C1675" s="9" t="n"/>
      <c r="D1675" s="9" t="n"/>
      <c r="E1675" s="9" t="n"/>
      <c r="F1675" s="9">
        <f>IF(E1675="","",DATEDIF(E1675,DATE(2026,12,31),"Y"))</f>
        <v/>
      </c>
      <c r="G1675" s="9" t="n"/>
      <c r="H1675" s="9" t="n"/>
      <c r="I1675" s="9" t="n"/>
      <c r="J1675" s="9" t="n"/>
      <c r="K1675" s="9" t="n"/>
      <c r="L1675" s="9" t="n"/>
      <c r="M1675" s="9" t="n"/>
      <c r="N1675" s="9" t="n"/>
      <c r="O1675" s="9" t="n"/>
      <c r="P1675" s="9" t="n"/>
      <c r="Q1675" s="9" t="n"/>
      <c r="R1675" s="9" t="n"/>
      <c r="S1675" s="9" t="n"/>
      <c r="T1675" s="9" t="n"/>
      <c r="U1675" s="9" t="n"/>
      <c r="V1675" s="9" t="n"/>
      <c r="W1675" s="9" t="n"/>
      <c r="X1675" s="9" t="n"/>
      <c r="Y1675" s="9" t="n"/>
      <c r="Z1675" s="9" t="n"/>
    </row>
    <row r="1676" ht="14.25" customHeight="1" s="37">
      <c r="A1676" s="9">
        <f>IF(C1676="","","UM"&amp;TEXT(ROW()-1,"00000"))</f>
        <v/>
      </c>
      <c r="B1676" s="9" t="n"/>
      <c r="C1676" s="9" t="n"/>
      <c r="D1676" s="9" t="n"/>
      <c r="E1676" s="9" t="n"/>
      <c r="F1676" s="9">
        <f>IF(E1676="","",DATEDIF(E1676,DATE(2026,12,31),"Y"))</f>
        <v/>
      </c>
      <c r="G1676" s="9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  <c r="R1676" s="9" t="n"/>
      <c r="S1676" s="9" t="n"/>
      <c r="T1676" s="9" t="n"/>
      <c r="U1676" s="9" t="n"/>
      <c r="V1676" s="9" t="n"/>
      <c r="W1676" s="9" t="n"/>
      <c r="X1676" s="9" t="n"/>
      <c r="Y1676" s="9" t="n"/>
      <c r="Z1676" s="9" t="n"/>
    </row>
    <row r="1677" ht="14.25" customHeight="1" s="37">
      <c r="A1677" s="9">
        <f>IF(C1677="","","UM"&amp;TEXT(ROW()-1,"00000"))</f>
        <v/>
      </c>
      <c r="B1677" s="9" t="n"/>
      <c r="C1677" s="9" t="n"/>
      <c r="D1677" s="9" t="n"/>
      <c r="E1677" s="9" t="n"/>
      <c r="F1677" s="9">
        <f>IF(E1677="","",DATEDIF(E1677,DATE(2026,12,31),"Y"))</f>
        <v/>
      </c>
      <c r="G1677" s="9" t="n"/>
      <c r="H1677" s="9" t="n"/>
      <c r="I1677" s="9" t="n"/>
      <c r="J1677" s="9" t="n"/>
      <c r="K1677" s="9" t="n"/>
      <c r="L1677" s="9" t="n"/>
      <c r="M1677" s="9" t="n"/>
      <c r="N1677" s="9" t="n"/>
      <c r="O1677" s="9" t="n"/>
      <c r="P1677" s="9" t="n"/>
      <c r="Q1677" s="9" t="n"/>
      <c r="R1677" s="9" t="n"/>
      <c r="S1677" s="9" t="n"/>
      <c r="T1677" s="9" t="n"/>
      <c r="U1677" s="9" t="n"/>
      <c r="V1677" s="9" t="n"/>
      <c r="W1677" s="9" t="n"/>
      <c r="X1677" s="9" t="n"/>
      <c r="Y1677" s="9" t="n"/>
      <c r="Z1677" s="9" t="n"/>
    </row>
    <row r="1678" ht="14.25" customHeight="1" s="37">
      <c r="A1678" s="9">
        <f>IF(C1678="","","UM"&amp;TEXT(ROW()-1,"00000"))</f>
        <v/>
      </c>
      <c r="B1678" s="9" t="n"/>
      <c r="C1678" s="9" t="n"/>
      <c r="D1678" s="9" t="n"/>
      <c r="E1678" s="9" t="n"/>
      <c r="F1678" s="9">
        <f>IF(E1678="","",DATEDIF(E1678,DATE(2026,12,31),"Y"))</f>
        <v/>
      </c>
      <c r="G1678" s="9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  <c r="R1678" s="9" t="n"/>
      <c r="S1678" s="9" t="n"/>
      <c r="T1678" s="9" t="n"/>
      <c r="U1678" s="9" t="n"/>
      <c r="V1678" s="9" t="n"/>
      <c r="W1678" s="9" t="n"/>
      <c r="X1678" s="9" t="n"/>
      <c r="Y1678" s="9" t="n"/>
      <c r="Z1678" s="9" t="n"/>
    </row>
    <row r="1679" ht="14.25" customHeight="1" s="37">
      <c r="A1679" s="9">
        <f>IF(C1679="","","UM"&amp;TEXT(ROW()-1,"00000"))</f>
        <v/>
      </c>
      <c r="B1679" s="9" t="n"/>
      <c r="C1679" s="9" t="n"/>
      <c r="D1679" s="9" t="n"/>
      <c r="E1679" s="9" t="n"/>
      <c r="F1679" s="9">
        <f>IF(E1679="","",DATEDIF(E1679,DATE(2026,12,31),"Y"))</f>
        <v/>
      </c>
      <c r="G1679" s="9" t="n"/>
      <c r="H1679" s="9" t="n"/>
      <c r="I1679" s="9" t="n"/>
      <c r="J1679" s="9" t="n"/>
      <c r="K1679" s="9" t="n"/>
      <c r="L1679" s="9" t="n"/>
      <c r="M1679" s="9" t="n"/>
      <c r="N1679" s="9" t="n"/>
      <c r="O1679" s="9" t="n"/>
      <c r="P1679" s="9" t="n"/>
      <c r="Q1679" s="9" t="n"/>
      <c r="R1679" s="9" t="n"/>
      <c r="S1679" s="9" t="n"/>
      <c r="T1679" s="9" t="n"/>
      <c r="U1679" s="9" t="n"/>
      <c r="V1679" s="9" t="n"/>
      <c r="W1679" s="9" t="n"/>
      <c r="X1679" s="9" t="n"/>
      <c r="Y1679" s="9" t="n"/>
      <c r="Z1679" s="9" t="n"/>
    </row>
    <row r="1680" ht="14.25" customHeight="1" s="37">
      <c r="A1680" s="9">
        <f>IF(C1680="","","UM"&amp;TEXT(ROW()-1,"00000"))</f>
        <v/>
      </c>
      <c r="B1680" s="9" t="n"/>
      <c r="C1680" s="9" t="n"/>
      <c r="D1680" s="9" t="n"/>
      <c r="E1680" s="9" t="n"/>
      <c r="F1680" s="9">
        <f>IF(E1680="","",DATEDIF(E1680,DATE(2026,12,31),"Y"))</f>
        <v/>
      </c>
      <c r="G1680" s="9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  <c r="R1680" s="9" t="n"/>
      <c r="S1680" s="9" t="n"/>
      <c r="T1680" s="9" t="n"/>
      <c r="U1680" s="9" t="n"/>
      <c r="V1680" s="9" t="n"/>
      <c r="W1680" s="9" t="n"/>
      <c r="X1680" s="9" t="n"/>
      <c r="Y1680" s="9" t="n"/>
      <c r="Z1680" s="9" t="n"/>
    </row>
    <row r="1681" ht="14.25" customHeight="1" s="37">
      <c r="A1681" s="9">
        <f>IF(C1681="","","UM"&amp;TEXT(ROW()-1,"00000"))</f>
        <v/>
      </c>
      <c r="B1681" s="9" t="n"/>
      <c r="C1681" s="9" t="n"/>
      <c r="D1681" s="9" t="n"/>
      <c r="E1681" s="9" t="n"/>
      <c r="F1681" s="9">
        <f>IF(E1681="","",DATEDIF(E1681,DATE(2026,12,31),"Y"))</f>
        <v/>
      </c>
      <c r="G1681" s="9" t="n"/>
      <c r="H1681" s="9" t="n"/>
      <c r="I1681" s="9" t="n"/>
      <c r="J1681" s="9" t="n"/>
      <c r="K1681" s="9" t="n"/>
      <c r="L1681" s="9" t="n"/>
      <c r="M1681" s="9" t="n"/>
      <c r="N1681" s="9" t="n"/>
      <c r="O1681" s="9" t="n"/>
      <c r="P1681" s="9" t="n"/>
      <c r="Q1681" s="9" t="n"/>
      <c r="R1681" s="9" t="n"/>
      <c r="S1681" s="9" t="n"/>
      <c r="T1681" s="9" t="n"/>
      <c r="U1681" s="9" t="n"/>
      <c r="V1681" s="9" t="n"/>
      <c r="W1681" s="9" t="n"/>
      <c r="X1681" s="9" t="n"/>
      <c r="Y1681" s="9" t="n"/>
      <c r="Z1681" s="9" t="n"/>
    </row>
    <row r="1682" ht="14.25" customHeight="1" s="37">
      <c r="A1682" s="9">
        <f>IF(C1682="","","UM"&amp;TEXT(ROW()-1,"00000"))</f>
        <v/>
      </c>
      <c r="B1682" s="9" t="n"/>
      <c r="C1682" s="9" t="n"/>
      <c r="D1682" s="9" t="n"/>
      <c r="E1682" s="9" t="n"/>
      <c r="F1682" s="9">
        <f>IF(E1682="","",DATEDIF(E1682,DATE(2026,12,31),"Y"))</f>
        <v/>
      </c>
      <c r="G1682" s="9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  <c r="R1682" s="9" t="n"/>
      <c r="S1682" s="9" t="n"/>
      <c r="T1682" s="9" t="n"/>
      <c r="U1682" s="9" t="n"/>
      <c r="V1682" s="9" t="n"/>
      <c r="W1682" s="9" t="n"/>
      <c r="X1682" s="9" t="n"/>
      <c r="Y1682" s="9" t="n"/>
      <c r="Z1682" s="9" t="n"/>
    </row>
    <row r="1683" ht="14.25" customHeight="1" s="37">
      <c r="A1683" s="9">
        <f>IF(C1683="","","UM"&amp;TEXT(ROW()-1,"00000"))</f>
        <v/>
      </c>
      <c r="B1683" s="9" t="n"/>
      <c r="C1683" s="9" t="n"/>
      <c r="D1683" s="9" t="n"/>
      <c r="E1683" s="9" t="n"/>
      <c r="F1683" s="9">
        <f>IF(E1683="","",DATEDIF(E1683,DATE(2026,12,31),"Y"))</f>
        <v/>
      </c>
      <c r="G1683" s="9" t="n"/>
      <c r="H1683" s="9" t="n"/>
      <c r="I1683" s="9" t="n"/>
      <c r="J1683" s="9" t="n"/>
      <c r="K1683" s="9" t="n"/>
      <c r="L1683" s="9" t="n"/>
      <c r="M1683" s="9" t="n"/>
      <c r="N1683" s="9" t="n"/>
      <c r="O1683" s="9" t="n"/>
      <c r="P1683" s="9" t="n"/>
      <c r="Q1683" s="9" t="n"/>
      <c r="R1683" s="9" t="n"/>
      <c r="S1683" s="9" t="n"/>
      <c r="T1683" s="9" t="n"/>
      <c r="U1683" s="9" t="n"/>
      <c r="V1683" s="9" t="n"/>
      <c r="W1683" s="9" t="n"/>
      <c r="X1683" s="9" t="n"/>
      <c r="Y1683" s="9" t="n"/>
      <c r="Z1683" s="9" t="n"/>
    </row>
    <row r="1684" ht="14.25" customHeight="1" s="37">
      <c r="A1684" s="9">
        <f>IF(C1684="","","UM"&amp;TEXT(ROW()-1,"00000"))</f>
        <v/>
      </c>
      <c r="B1684" s="9" t="n"/>
      <c r="C1684" s="9" t="n"/>
      <c r="D1684" s="9" t="n"/>
      <c r="E1684" s="9" t="n"/>
      <c r="F1684" s="9">
        <f>IF(E1684="","",DATEDIF(E1684,DATE(2026,12,31),"Y"))</f>
        <v/>
      </c>
      <c r="G1684" s="9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  <c r="R1684" s="9" t="n"/>
      <c r="S1684" s="9" t="n"/>
      <c r="T1684" s="9" t="n"/>
      <c r="U1684" s="9" t="n"/>
      <c r="V1684" s="9" t="n"/>
      <c r="W1684" s="9" t="n"/>
      <c r="X1684" s="9" t="n"/>
      <c r="Y1684" s="9" t="n"/>
      <c r="Z1684" s="9" t="n"/>
    </row>
    <row r="1685" ht="14.25" customHeight="1" s="37">
      <c r="A1685" s="9">
        <f>IF(C1685="","","UM"&amp;TEXT(ROW()-1,"00000"))</f>
        <v/>
      </c>
      <c r="B1685" s="9" t="n"/>
      <c r="C1685" s="9" t="n"/>
      <c r="D1685" s="9" t="n"/>
      <c r="E1685" s="9" t="n"/>
      <c r="F1685" s="9">
        <f>IF(E1685="","",DATEDIF(E1685,DATE(2026,12,31),"Y"))</f>
        <v/>
      </c>
      <c r="G1685" s="9" t="n"/>
      <c r="H1685" s="9" t="n"/>
      <c r="I1685" s="9" t="n"/>
      <c r="J1685" s="9" t="n"/>
      <c r="K1685" s="9" t="n"/>
      <c r="L1685" s="9" t="n"/>
      <c r="M1685" s="9" t="n"/>
      <c r="N1685" s="9" t="n"/>
      <c r="O1685" s="9" t="n"/>
      <c r="P1685" s="9" t="n"/>
      <c r="Q1685" s="9" t="n"/>
      <c r="R1685" s="9" t="n"/>
      <c r="S1685" s="9" t="n"/>
      <c r="T1685" s="9" t="n"/>
      <c r="U1685" s="9" t="n"/>
      <c r="V1685" s="9" t="n"/>
      <c r="W1685" s="9" t="n"/>
      <c r="X1685" s="9" t="n"/>
      <c r="Y1685" s="9" t="n"/>
      <c r="Z1685" s="9" t="n"/>
    </row>
    <row r="1686" ht="14.25" customHeight="1" s="37">
      <c r="A1686" s="9">
        <f>IF(C1686="","","UM"&amp;TEXT(ROW()-1,"00000"))</f>
        <v/>
      </c>
      <c r="B1686" s="9" t="n"/>
      <c r="C1686" s="9" t="n"/>
      <c r="D1686" s="9" t="n"/>
      <c r="E1686" s="9" t="n"/>
      <c r="F1686" s="9">
        <f>IF(E1686="","",DATEDIF(E1686,DATE(2026,12,31),"Y"))</f>
        <v/>
      </c>
      <c r="G1686" s="9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  <c r="R1686" s="9" t="n"/>
      <c r="S1686" s="9" t="n"/>
      <c r="T1686" s="9" t="n"/>
      <c r="U1686" s="9" t="n"/>
      <c r="V1686" s="9" t="n"/>
      <c r="W1686" s="9" t="n"/>
      <c r="X1686" s="9" t="n"/>
      <c r="Y1686" s="9" t="n"/>
      <c r="Z1686" s="9" t="n"/>
    </row>
    <row r="1687" ht="14.25" customHeight="1" s="37">
      <c r="A1687" s="9">
        <f>IF(C1687="","","UM"&amp;TEXT(ROW()-1,"00000"))</f>
        <v/>
      </c>
      <c r="B1687" s="9" t="n"/>
      <c r="C1687" s="9" t="n"/>
      <c r="D1687" s="9" t="n"/>
      <c r="E1687" s="9" t="n"/>
      <c r="F1687" s="9">
        <f>IF(E1687="","",DATEDIF(E1687,DATE(2026,12,31),"Y"))</f>
        <v/>
      </c>
      <c r="G1687" s="9" t="n"/>
      <c r="H1687" s="9" t="n"/>
      <c r="I1687" s="9" t="n"/>
      <c r="J1687" s="9" t="n"/>
      <c r="K1687" s="9" t="n"/>
      <c r="L1687" s="9" t="n"/>
      <c r="M1687" s="9" t="n"/>
      <c r="N1687" s="9" t="n"/>
      <c r="O1687" s="9" t="n"/>
      <c r="P1687" s="9" t="n"/>
      <c r="Q1687" s="9" t="n"/>
      <c r="R1687" s="9" t="n"/>
      <c r="S1687" s="9" t="n"/>
      <c r="T1687" s="9" t="n"/>
      <c r="U1687" s="9" t="n"/>
      <c r="V1687" s="9" t="n"/>
      <c r="W1687" s="9" t="n"/>
      <c r="X1687" s="9" t="n"/>
      <c r="Y1687" s="9" t="n"/>
      <c r="Z1687" s="9" t="n"/>
    </row>
    <row r="1688" ht="14.25" customHeight="1" s="37">
      <c r="A1688" s="9">
        <f>IF(C1688="","","UM"&amp;TEXT(ROW()-1,"00000"))</f>
        <v/>
      </c>
      <c r="B1688" s="9" t="n"/>
      <c r="C1688" s="9" t="n"/>
      <c r="D1688" s="9" t="n"/>
      <c r="E1688" s="9" t="n"/>
      <c r="F1688" s="9">
        <f>IF(E1688="","",DATEDIF(E1688,DATE(2026,12,31),"Y"))</f>
        <v/>
      </c>
      <c r="G1688" s="9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  <c r="R1688" s="9" t="n"/>
      <c r="S1688" s="9" t="n"/>
      <c r="T1688" s="9" t="n"/>
      <c r="U1688" s="9" t="n"/>
      <c r="V1688" s="9" t="n"/>
      <c r="W1688" s="9" t="n"/>
      <c r="X1688" s="9" t="n"/>
      <c r="Y1688" s="9" t="n"/>
      <c r="Z1688" s="9" t="n"/>
    </row>
    <row r="1689" ht="14.25" customHeight="1" s="37">
      <c r="A1689" s="9">
        <f>IF(C1689="","","UM"&amp;TEXT(ROW()-1,"00000"))</f>
        <v/>
      </c>
      <c r="B1689" s="9" t="n"/>
      <c r="C1689" s="9" t="n"/>
      <c r="D1689" s="9" t="n"/>
      <c r="E1689" s="9" t="n"/>
      <c r="F1689" s="9">
        <f>IF(E1689="","",DATEDIF(E1689,DATE(2026,12,31),"Y"))</f>
        <v/>
      </c>
      <c r="G1689" s="9" t="n"/>
      <c r="H1689" s="9" t="n"/>
      <c r="I1689" s="9" t="n"/>
      <c r="J1689" s="9" t="n"/>
      <c r="K1689" s="9" t="n"/>
      <c r="L1689" s="9" t="n"/>
      <c r="M1689" s="9" t="n"/>
      <c r="N1689" s="9" t="n"/>
      <c r="O1689" s="9" t="n"/>
      <c r="P1689" s="9" t="n"/>
      <c r="Q1689" s="9" t="n"/>
      <c r="R1689" s="9" t="n"/>
      <c r="S1689" s="9" t="n"/>
      <c r="T1689" s="9" t="n"/>
      <c r="U1689" s="9" t="n"/>
      <c r="V1689" s="9" t="n"/>
      <c r="W1689" s="9" t="n"/>
      <c r="X1689" s="9" t="n"/>
      <c r="Y1689" s="9" t="n"/>
      <c r="Z1689" s="9" t="n"/>
    </row>
    <row r="1690" ht="14.25" customHeight="1" s="37">
      <c r="A1690" s="9">
        <f>IF(C1690="","","UM"&amp;TEXT(ROW()-1,"00000"))</f>
        <v/>
      </c>
      <c r="B1690" s="9" t="n"/>
      <c r="C1690" s="9" t="n"/>
      <c r="D1690" s="9" t="n"/>
      <c r="E1690" s="9" t="n"/>
      <c r="F1690" s="9">
        <f>IF(E1690="","",DATEDIF(E1690,DATE(2026,12,31),"Y"))</f>
        <v/>
      </c>
      <c r="G1690" s="9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  <c r="R1690" s="9" t="n"/>
      <c r="S1690" s="9" t="n"/>
      <c r="T1690" s="9" t="n"/>
      <c r="U1690" s="9" t="n"/>
      <c r="V1690" s="9" t="n"/>
      <c r="W1690" s="9" t="n"/>
      <c r="X1690" s="9" t="n"/>
      <c r="Y1690" s="9" t="n"/>
      <c r="Z1690" s="9" t="n"/>
    </row>
    <row r="1691" ht="14.25" customHeight="1" s="37">
      <c r="A1691" s="9">
        <f>IF(C1691="","","UM"&amp;TEXT(ROW()-1,"00000"))</f>
        <v/>
      </c>
      <c r="B1691" s="9" t="n"/>
      <c r="C1691" s="9" t="n"/>
      <c r="D1691" s="9" t="n"/>
      <c r="E1691" s="9" t="n"/>
      <c r="F1691" s="9">
        <f>IF(E1691="","",DATEDIF(E1691,DATE(2026,12,31),"Y"))</f>
        <v/>
      </c>
      <c r="G1691" s="9" t="n"/>
      <c r="H1691" s="9" t="n"/>
      <c r="I1691" s="9" t="n"/>
      <c r="J1691" s="9" t="n"/>
      <c r="K1691" s="9" t="n"/>
      <c r="L1691" s="9" t="n"/>
      <c r="M1691" s="9" t="n"/>
      <c r="N1691" s="9" t="n"/>
      <c r="O1691" s="9" t="n"/>
      <c r="P1691" s="9" t="n"/>
      <c r="Q1691" s="9" t="n"/>
      <c r="R1691" s="9" t="n"/>
      <c r="S1691" s="9" t="n"/>
      <c r="T1691" s="9" t="n"/>
      <c r="U1691" s="9" t="n"/>
      <c r="V1691" s="9" t="n"/>
      <c r="W1691" s="9" t="n"/>
      <c r="X1691" s="9" t="n"/>
      <c r="Y1691" s="9" t="n"/>
      <c r="Z1691" s="9" t="n"/>
    </row>
    <row r="1692" ht="14.25" customHeight="1" s="37">
      <c r="A1692" s="9">
        <f>IF(C1692="","","UM"&amp;TEXT(ROW()-1,"00000"))</f>
        <v/>
      </c>
      <c r="B1692" s="9" t="n"/>
      <c r="C1692" s="9" t="n"/>
      <c r="D1692" s="9" t="n"/>
      <c r="E1692" s="9" t="n"/>
      <c r="F1692" s="9">
        <f>IF(E1692="","",DATEDIF(E1692,DATE(2026,12,31),"Y"))</f>
        <v/>
      </c>
      <c r="G1692" s="9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  <c r="R1692" s="9" t="n"/>
      <c r="S1692" s="9" t="n"/>
      <c r="T1692" s="9" t="n"/>
      <c r="U1692" s="9" t="n"/>
      <c r="V1692" s="9" t="n"/>
      <c r="W1692" s="9" t="n"/>
      <c r="X1692" s="9" t="n"/>
      <c r="Y1692" s="9" t="n"/>
      <c r="Z1692" s="9" t="n"/>
    </row>
    <row r="1693" ht="14.25" customHeight="1" s="37">
      <c r="A1693" s="9">
        <f>IF(C1693="","","UM"&amp;TEXT(ROW()-1,"00000"))</f>
        <v/>
      </c>
      <c r="B1693" s="9" t="n"/>
      <c r="C1693" s="9" t="n"/>
      <c r="D1693" s="9" t="n"/>
      <c r="E1693" s="9" t="n"/>
      <c r="F1693" s="9">
        <f>IF(E1693="","",DATEDIF(E1693,DATE(2026,12,31),"Y"))</f>
        <v/>
      </c>
      <c r="G1693" s="9" t="n"/>
      <c r="H1693" s="9" t="n"/>
      <c r="I1693" s="9" t="n"/>
      <c r="J1693" s="9" t="n"/>
      <c r="K1693" s="9" t="n"/>
      <c r="L1693" s="9" t="n"/>
      <c r="M1693" s="9" t="n"/>
      <c r="N1693" s="9" t="n"/>
      <c r="O1693" s="9" t="n"/>
      <c r="P1693" s="9" t="n"/>
      <c r="Q1693" s="9" t="n"/>
      <c r="R1693" s="9" t="n"/>
      <c r="S1693" s="9" t="n"/>
      <c r="T1693" s="9" t="n"/>
      <c r="U1693" s="9" t="n"/>
      <c r="V1693" s="9" t="n"/>
      <c r="W1693" s="9" t="n"/>
      <c r="X1693" s="9" t="n"/>
      <c r="Y1693" s="9" t="n"/>
      <c r="Z1693" s="9" t="n"/>
    </row>
    <row r="1694" ht="14.25" customHeight="1" s="37">
      <c r="A1694" s="9">
        <f>IF(C1694="","","UM"&amp;TEXT(ROW()-1,"00000"))</f>
        <v/>
      </c>
      <c r="B1694" s="9" t="n"/>
      <c r="C1694" s="9" t="n"/>
      <c r="D1694" s="9" t="n"/>
      <c r="E1694" s="9" t="n"/>
      <c r="F1694" s="9">
        <f>IF(E1694="","",DATEDIF(E1694,DATE(2026,12,31),"Y"))</f>
        <v/>
      </c>
      <c r="G1694" s="9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  <c r="R1694" s="9" t="n"/>
      <c r="S1694" s="9" t="n"/>
      <c r="T1694" s="9" t="n"/>
      <c r="U1694" s="9" t="n"/>
      <c r="V1694" s="9" t="n"/>
      <c r="W1694" s="9" t="n"/>
      <c r="X1694" s="9" t="n"/>
      <c r="Y1694" s="9" t="n"/>
      <c r="Z1694" s="9" t="n"/>
    </row>
    <row r="1695" ht="14.25" customHeight="1" s="37">
      <c r="A1695" s="9">
        <f>IF(C1695="","","UM"&amp;TEXT(ROW()-1,"00000"))</f>
        <v/>
      </c>
      <c r="B1695" s="9" t="n"/>
      <c r="C1695" s="9" t="n"/>
      <c r="D1695" s="9" t="n"/>
      <c r="E1695" s="9" t="n"/>
      <c r="F1695" s="9">
        <f>IF(E1695="","",DATEDIF(E1695,DATE(2026,12,31),"Y"))</f>
        <v/>
      </c>
      <c r="G1695" s="9" t="n"/>
      <c r="H1695" s="9" t="n"/>
      <c r="I1695" s="9" t="n"/>
      <c r="J1695" s="9" t="n"/>
      <c r="K1695" s="9" t="n"/>
      <c r="L1695" s="9" t="n"/>
      <c r="M1695" s="9" t="n"/>
      <c r="N1695" s="9" t="n"/>
      <c r="O1695" s="9" t="n"/>
      <c r="P1695" s="9" t="n"/>
      <c r="Q1695" s="9" t="n"/>
      <c r="R1695" s="9" t="n"/>
      <c r="S1695" s="9" t="n"/>
      <c r="T1695" s="9" t="n"/>
      <c r="U1695" s="9" t="n"/>
      <c r="V1695" s="9" t="n"/>
      <c r="W1695" s="9" t="n"/>
      <c r="X1695" s="9" t="n"/>
      <c r="Y1695" s="9" t="n"/>
      <c r="Z1695" s="9" t="n"/>
    </row>
    <row r="1696" ht="14.25" customHeight="1" s="37">
      <c r="A1696" s="9">
        <f>IF(C1696="","","UM"&amp;TEXT(ROW()-1,"00000"))</f>
        <v/>
      </c>
      <c r="B1696" s="9" t="n"/>
      <c r="C1696" s="9" t="n"/>
      <c r="D1696" s="9" t="n"/>
      <c r="E1696" s="9" t="n"/>
      <c r="F1696" s="9">
        <f>IF(E1696="","",DATEDIF(E1696,DATE(2026,12,31),"Y"))</f>
        <v/>
      </c>
      <c r="G1696" s="9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  <c r="R1696" s="9" t="n"/>
      <c r="S1696" s="9" t="n"/>
      <c r="T1696" s="9" t="n"/>
      <c r="U1696" s="9" t="n"/>
      <c r="V1696" s="9" t="n"/>
      <c r="W1696" s="9" t="n"/>
      <c r="X1696" s="9" t="n"/>
      <c r="Y1696" s="9" t="n"/>
      <c r="Z1696" s="9" t="n"/>
    </row>
    <row r="1697" ht="14.25" customHeight="1" s="37">
      <c r="A1697" s="9">
        <f>IF(C1697="","","UM"&amp;TEXT(ROW()-1,"00000"))</f>
        <v/>
      </c>
      <c r="B1697" s="9" t="n"/>
      <c r="C1697" s="9" t="n"/>
      <c r="D1697" s="9" t="n"/>
      <c r="E1697" s="9" t="n"/>
      <c r="F1697" s="9">
        <f>IF(E1697="","",DATEDIF(E1697,DATE(2026,12,31),"Y"))</f>
        <v/>
      </c>
      <c r="G1697" s="9" t="n"/>
      <c r="H1697" s="9" t="n"/>
      <c r="I1697" s="9" t="n"/>
      <c r="J1697" s="9" t="n"/>
      <c r="K1697" s="9" t="n"/>
      <c r="L1697" s="9" t="n"/>
      <c r="M1697" s="9" t="n"/>
      <c r="N1697" s="9" t="n"/>
      <c r="O1697" s="9" t="n"/>
      <c r="P1697" s="9" t="n"/>
      <c r="Q1697" s="9" t="n"/>
      <c r="R1697" s="9" t="n"/>
      <c r="S1697" s="9" t="n"/>
      <c r="T1697" s="9" t="n"/>
      <c r="U1697" s="9" t="n"/>
      <c r="V1697" s="9" t="n"/>
      <c r="W1697" s="9" t="n"/>
      <c r="X1697" s="9" t="n"/>
      <c r="Y1697" s="9" t="n"/>
      <c r="Z1697" s="9" t="n"/>
    </row>
    <row r="1698" ht="14.25" customHeight="1" s="37">
      <c r="A1698" s="9">
        <f>IF(C1698="","","UM"&amp;TEXT(ROW()-1,"00000"))</f>
        <v/>
      </c>
      <c r="B1698" s="9" t="n"/>
      <c r="C1698" s="9" t="n"/>
      <c r="D1698" s="9" t="n"/>
      <c r="E1698" s="9" t="n"/>
      <c r="F1698" s="9">
        <f>IF(E1698="","",DATEDIF(E1698,DATE(2026,12,31),"Y"))</f>
        <v/>
      </c>
      <c r="G1698" s="9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  <c r="R1698" s="9" t="n"/>
      <c r="S1698" s="9" t="n"/>
      <c r="T1698" s="9" t="n"/>
      <c r="U1698" s="9" t="n"/>
      <c r="V1698" s="9" t="n"/>
      <c r="W1698" s="9" t="n"/>
      <c r="X1698" s="9" t="n"/>
      <c r="Y1698" s="9" t="n"/>
      <c r="Z1698" s="9" t="n"/>
    </row>
    <row r="1699" ht="14.25" customHeight="1" s="37">
      <c r="A1699" s="9">
        <f>IF(C1699="","","UM"&amp;TEXT(ROW()-1,"00000"))</f>
        <v/>
      </c>
      <c r="B1699" s="9" t="n"/>
      <c r="C1699" s="9" t="n"/>
      <c r="D1699" s="9" t="n"/>
      <c r="E1699" s="9" t="n"/>
      <c r="F1699" s="9">
        <f>IF(E1699="","",DATEDIF(E1699,DATE(2026,12,31),"Y"))</f>
        <v/>
      </c>
      <c r="G1699" s="9" t="n"/>
      <c r="H1699" s="9" t="n"/>
      <c r="I1699" s="9" t="n"/>
      <c r="J1699" s="9" t="n"/>
      <c r="K1699" s="9" t="n"/>
      <c r="L1699" s="9" t="n"/>
      <c r="M1699" s="9" t="n"/>
      <c r="N1699" s="9" t="n"/>
      <c r="O1699" s="9" t="n"/>
      <c r="P1699" s="9" t="n"/>
      <c r="Q1699" s="9" t="n"/>
      <c r="R1699" s="9" t="n"/>
      <c r="S1699" s="9" t="n"/>
      <c r="T1699" s="9" t="n"/>
      <c r="U1699" s="9" t="n"/>
      <c r="V1699" s="9" t="n"/>
      <c r="W1699" s="9" t="n"/>
      <c r="X1699" s="9" t="n"/>
      <c r="Y1699" s="9" t="n"/>
      <c r="Z1699" s="9" t="n"/>
    </row>
    <row r="1700" ht="14.25" customHeight="1" s="37">
      <c r="A1700" s="9">
        <f>IF(C1700="","","UM"&amp;TEXT(ROW()-1,"00000"))</f>
        <v/>
      </c>
      <c r="B1700" s="9" t="n"/>
      <c r="C1700" s="9" t="n"/>
      <c r="D1700" s="9" t="n"/>
      <c r="E1700" s="9" t="n"/>
      <c r="F1700" s="9">
        <f>IF(E1700="","",DATEDIF(E1700,DATE(2026,12,31),"Y"))</f>
        <v/>
      </c>
      <c r="G1700" s="9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  <c r="R1700" s="9" t="n"/>
      <c r="S1700" s="9" t="n"/>
      <c r="T1700" s="9" t="n"/>
      <c r="U1700" s="9" t="n"/>
      <c r="V1700" s="9" t="n"/>
      <c r="W1700" s="9" t="n"/>
      <c r="X1700" s="9" t="n"/>
      <c r="Y1700" s="9" t="n"/>
      <c r="Z1700" s="9" t="n"/>
    </row>
    <row r="1701" ht="14.25" customHeight="1" s="37">
      <c r="A1701" s="9">
        <f>IF(C1701="","","UM"&amp;TEXT(ROW()-1,"00000"))</f>
        <v/>
      </c>
      <c r="B1701" s="9" t="n"/>
      <c r="C1701" s="9" t="n"/>
      <c r="D1701" s="9" t="n"/>
      <c r="E1701" s="9" t="n"/>
      <c r="F1701" s="9">
        <f>IF(E1701="","",DATEDIF(E1701,DATE(2026,12,31),"Y"))</f>
        <v/>
      </c>
      <c r="G1701" s="9" t="n"/>
      <c r="H1701" s="9" t="n"/>
      <c r="I1701" s="9" t="n"/>
      <c r="J1701" s="9" t="n"/>
      <c r="K1701" s="9" t="n"/>
      <c r="L1701" s="9" t="n"/>
      <c r="M1701" s="9" t="n"/>
      <c r="N1701" s="9" t="n"/>
      <c r="O1701" s="9" t="n"/>
      <c r="P1701" s="9" t="n"/>
      <c r="Q1701" s="9" t="n"/>
      <c r="R1701" s="9" t="n"/>
      <c r="S1701" s="9" t="n"/>
      <c r="T1701" s="9" t="n"/>
      <c r="U1701" s="9" t="n"/>
      <c r="V1701" s="9" t="n"/>
      <c r="W1701" s="9" t="n"/>
      <c r="X1701" s="9" t="n"/>
      <c r="Y1701" s="9" t="n"/>
      <c r="Z1701" s="9" t="n"/>
    </row>
    <row r="1702" ht="14.25" customHeight="1" s="37">
      <c r="A1702" s="9">
        <f>IF(C1702="","","UM"&amp;TEXT(ROW()-1,"00000"))</f>
        <v/>
      </c>
      <c r="B1702" s="9" t="n"/>
      <c r="C1702" s="9" t="n"/>
      <c r="D1702" s="9" t="n"/>
      <c r="E1702" s="9" t="n"/>
      <c r="F1702" s="9">
        <f>IF(E1702="","",DATEDIF(E1702,DATE(2026,12,31),"Y"))</f>
        <v/>
      </c>
      <c r="G1702" s="9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  <c r="R1702" s="9" t="n"/>
      <c r="S1702" s="9" t="n"/>
      <c r="T1702" s="9" t="n"/>
      <c r="U1702" s="9" t="n"/>
      <c r="V1702" s="9" t="n"/>
      <c r="W1702" s="9" t="n"/>
      <c r="X1702" s="9" t="n"/>
      <c r="Y1702" s="9" t="n"/>
      <c r="Z1702" s="9" t="n"/>
    </row>
    <row r="1703" ht="14.25" customHeight="1" s="37">
      <c r="A1703" s="9">
        <f>IF(C1703="","","UM"&amp;TEXT(ROW()-1,"00000"))</f>
        <v/>
      </c>
      <c r="B1703" s="9" t="n"/>
      <c r="C1703" s="9" t="n"/>
      <c r="D1703" s="9" t="n"/>
      <c r="E1703" s="9" t="n"/>
      <c r="F1703" s="9">
        <f>IF(E1703="","",DATEDIF(E1703,DATE(2026,12,31),"Y"))</f>
        <v/>
      </c>
      <c r="G1703" s="9" t="n"/>
      <c r="H1703" s="9" t="n"/>
      <c r="I1703" s="9" t="n"/>
      <c r="J1703" s="9" t="n"/>
      <c r="K1703" s="9" t="n"/>
      <c r="L1703" s="9" t="n"/>
      <c r="M1703" s="9" t="n"/>
      <c r="N1703" s="9" t="n"/>
      <c r="O1703" s="9" t="n"/>
      <c r="P1703" s="9" t="n"/>
      <c r="Q1703" s="9" t="n"/>
      <c r="R1703" s="9" t="n"/>
      <c r="S1703" s="9" t="n"/>
      <c r="T1703" s="9" t="n"/>
      <c r="U1703" s="9" t="n"/>
      <c r="V1703" s="9" t="n"/>
      <c r="W1703" s="9" t="n"/>
      <c r="X1703" s="9" t="n"/>
      <c r="Y1703" s="9" t="n"/>
      <c r="Z1703" s="9" t="n"/>
    </row>
    <row r="1704" ht="14.25" customHeight="1" s="37">
      <c r="A1704" s="9">
        <f>IF(C1704="","","UM"&amp;TEXT(ROW()-1,"00000"))</f>
        <v/>
      </c>
      <c r="B1704" s="9" t="n"/>
      <c r="C1704" s="9" t="n"/>
      <c r="D1704" s="9" t="n"/>
      <c r="E1704" s="9" t="n"/>
      <c r="F1704" s="9">
        <f>IF(E1704="","",DATEDIF(E1704,DATE(2026,12,31),"Y"))</f>
        <v/>
      </c>
      <c r="G1704" s="9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  <c r="R1704" s="9" t="n"/>
      <c r="S1704" s="9" t="n"/>
      <c r="T1704" s="9" t="n"/>
      <c r="U1704" s="9" t="n"/>
      <c r="V1704" s="9" t="n"/>
      <c r="W1704" s="9" t="n"/>
      <c r="X1704" s="9" t="n"/>
      <c r="Y1704" s="9" t="n"/>
      <c r="Z1704" s="9" t="n"/>
    </row>
    <row r="1705" ht="14.25" customHeight="1" s="37">
      <c r="A1705" s="9">
        <f>IF(C1705="","","UM"&amp;TEXT(ROW()-1,"00000"))</f>
        <v/>
      </c>
      <c r="B1705" s="9" t="n"/>
      <c r="C1705" s="9" t="n"/>
      <c r="D1705" s="9" t="n"/>
      <c r="E1705" s="9" t="n"/>
      <c r="F1705" s="9">
        <f>IF(E1705="","",DATEDIF(E1705,DATE(2026,12,31),"Y"))</f>
        <v/>
      </c>
      <c r="G1705" s="9" t="n"/>
      <c r="H1705" s="9" t="n"/>
      <c r="I1705" s="9" t="n"/>
      <c r="J1705" s="9" t="n"/>
      <c r="K1705" s="9" t="n"/>
      <c r="L1705" s="9" t="n"/>
      <c r="M1705" s="9" t="n"/>
      <c r="N1705" s="9" t="n"/>
      <c r="O1705" s="9" t="n"/>
      <c r="P1705" s="9" t="n"/>
      <c r="Q1705" s="9" t="n"/>
      <c r="R1705" s="9" t="n"/>
      <c r="S1705" s="9" t="n"/>
      <c r="T1705" s="9" t="n"/>
      <c r="U1705" s="9" t="n"/>
      <c r="V1705" s="9" t="n"/>
      <c r="W1705" s="9" t="n"/>
      <c r="X1705" s="9" t="n"/>
      <c r="Y1705" s="9" t="n"/>
      <c r="Z1705" s="9" t="n"/>
    </row>
    <row r="1706" ht="14.25" customHeight="1" s="37">
      <c r="A1706" s="9">
        <f>IF(C1706="","","UM"&amp;TEXT(ROW()-1,"00000"))</f>
        <v/>
      </c>
      <c r="B1706" s="9" t="n"/>
      <c r="C1706" s="9" t="n"/>
      <c r="D1706" s="9" t="n"/>
      <c r="E1706" s="9" t="n"/>
      <c r="F1706" s="9">
        <f>IF(E1706="","",DATEDIF(E1706,DATE(2026,12,31),"Y"))</f>
        <v/>
      </c>
      <c r="G1706" s="9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  <c r="R1706" s="9" t="n"/>
      <c r="S1706" s="9" t="n"/>
      <c r="T1706" s="9" t="n"/>
      <c r="U1706" s="9" t="n"/>
      <c r="V1706" s="9" t="n"/>
      <c r="W1706" s="9" t="n"/>
      <c r="X1706" s="9" t="n"/>
      <c r="Y1706" s="9" t="n"/>
      <c r="Z1706" s="9" t="n"/>
    </row>
    <row r="1707" ht="14.25" customHeight="1" s="37">
      <c r="A1707" s="9">
        <f>IF(C1707="","","UM"&amp;TEXT(ROW()-1,"00000"))</f>
        <v/>
      </c>
      <c r="B1707" s="9" t="n"/>
      <c r="C1707" s="9" t="n"/>
      <c r="D1707" s="9" t="n"/>
      <c r="E1707" s="9" t="n"/>
      <c r="F1707" s="9">
        <f>IF(E1707="","",DATEDIF(E1707,DATE(2026,12,31),"Y"))</f>
        <v/>
      </c>
      <c r="G1707" s="9" t="n"/>
      <c r="H1707" s="9" t="n"/>
      <c r="I1707" s="9" t="n"/>
      <c r="J1707" s="9" t="n"/>
      <c r="K1707" s="9" t="n"/>
      <c r="L1707" s="9" t="n"/>
      <c r="M1707" s="9" t="n"/>
      <c r="N1707" s="9" t="n"/>
      <c r="O1707" s="9" t="n"/>
      <c r="P1707" s="9" t="n"/>
      <c r="Q1707" s="9" t="n"/>
      <c r="R1707" s="9" t="n"/>
      <c r="S1707" s="9" t="n"/>
      <c r="T1707" s="9" t="n"/>
      <c r="U1707" s="9" t="n"/>
      <c r="V1707" s="9" t="n"/>
      <c r="W1707" s="9" t="n"/>
      <c r="X1707" s="9" t="n"/>
      <c r="Y1707" s="9" t="n"/>
      <c r="Z1707" s="9" t="n"/>
    </row>
    <row r="1708" ht="14.25" customHeight="1" s="37">
      <c r="A1708" s="9">
        <f>IF(C1708="","","UM"&amp;TEXT(ROW()-1,"00000"))</f>
        <v/>
      </c>
      <c r="B1708" s="9" t="n"/>
      <c r="C1708" s="9" t="n"/>
      <c r="D1708" s="9" t="n"/>
      <c r="E1708" s="9" t="n"/>
      <c r="F1708" s="9">
        <f>IF(E1708="","",DATEDIF(E1708,DATE(2026,12,31),"Y"))</f>
        <v/>
      </c>
      <c r="G1708" s="9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  <c r="R1708" s="9" t="n"/>
      <c r="S1708" s="9" t="n"/>
      <c r="T1708" s="9" t="n"/>
      <c r="U1708" s="9" t="n"/>
      <c r="V1708" s="9" t="n"/>
      <c r="W1708" s="9" t="n"/>
      <c r="X1708" s="9" t="n"/>
      <c r="Y1708" s="9" t="n"/>
      <c r="Z1708" s="9" t="n"/>
    </row>
    <row r="1709" ht="14.25" customHeight="1" s="37">
      <c r="A1709" s="9">
        <f>IF(C1709="","","UM"&amp;TEXT(ROW()-1,"00000"))</f>
        <v/>
      </c>
      <c r="B1709" s="9" t="n"/>
      <c r="C1709" s="9" t="n"/>
      <c r="D1709" s="9" t="n"/>
      <c r="E1709" s="9" t="n"/>
      <c r="F1709" s="9">
        <f>IF(E1709="","",DATEDIF(E1709,DATE(2026,12,31),"Y"))</f>
        <v/>
      </c>
      <c r="G1709" s="9" t="n"/>
      <c r="H1709" s="9" t="n"/>
      <c r="I1709" s="9" t="n"/>
      <c r="J1709" s="9" t="n"/>
      <c r="K1709" s="9" t="n"/>
      <c r="L1709" s="9" t="n"/>
      <c r="M1709" s="9" t="n"/>
      <c r="N1709" s="9" t="n"/>
      <c r="O1709" s="9" t="n"/>
      <c r="P1709" s="9" t="n"/>
      <c r="Q1709" s="9" t="n"/>
      <c r="R1709" s="9" t="n"/>
      <c r="S1709" s="9" t="n"/>
      <c r="T1709" s="9" t="n"/>
      <c r="U1709" s="9" t="n"/>
      <c r="V1709" s="9" t="n"/>
      <c r="W1709" s="9" t="n"/>
      <c r="X1709" s="9" t="n"/>
      <c r="Y1709" s="9" t="n"/>
      <c r="Z1709" s="9" t="n"/>
    </row>
    <row r="1710" ht="14.25" customHeight="1" s="37">
      <c r="A1710" s="9">
        <f>IF(C1710="","","UM"&amp;TEXT(ROW()-1,"00000"))</f>
        <v/>
      </c>
      <c r="B1710" s="9" t="n"/>
      <c r="C1710" s="9" t="n"/>
      <c r="D1710" s="9" t="n"/>
      <c r="E1710" s="9" t="n"/>
      <c r="F1710" s="9">
        <f>IF(E1710="","",DATEDIF(E1710,DATE(2026,12,31),"Y"))</f>
        <v/>
      </c>
      <c r="G1710" s="9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  <c r="R1710" s="9" t="n"/>
      <c r="S1710" s="9" t="n"/>
      <c r="T1710" s="9" t="n"/>
      <c r="U1710" s="9" t="n"/>
      <c r="V1710" s="9" t="n"/>
      <c r="W1710" s="9" t="n"/>
      <c r="X1710" s="9" t="n"/>
      <c r="Y1710" s="9" t="n"/>
      <c r="Z1710" s="9" t="n"/>
    </row>
    <row r="1711" ht="14.25" customHeight="1" s="37">
      <c r="A1711" s="9">
        <f>IF(C1711="","","UM"&amp;TEXT(ROW()-1,"00000"))</f>
        <v/>
      </c>
      <c r="B1711" s="9" t="n"/>
      <c r="C1711" s="9" t="n"/>
      <c r="D1711" s="9" t="n"/>
      <c r="E1711" s="9" t="n"/>
      <c r="F1711" s="9">
        <f>IF(E1711="","",DATEDIF(E1711,DATE(2026,12,31),"Y"))</f>
        <v/>
      </c>
      <c r="G1711" s="9" t="n"/>
      <c r="H1711" s="9" t="n"/>
      <c r="I1711" s="9" t="n"/>
      <c r="J1711" s="9" t="n"/>
      <c r="K1711" s="9" t="n"/>
      <c r="L1711" s="9" t="n"/>
      <c r="M1711" s="9" t="n"/>
      <c r="N1711" s="9" t="n"/>
      <c r="O1711" s="9" t="n"/>
      <c r="P1711" s="9" t="n"/>
      <c r="Q1711" s="9" t="n"/>
      <c r="R1711" s="9" t="n"/>
      <c r="S1711" s="9" t="n"/>
      <c r="T1711" s="9" t="n"/>
      <c r="U1711" s="9" t="n"/>
      <c r="V1711" s="9" t="n"/>
      <c r="W1711" s="9" t="n"/>
      <c r="X1711" s="9" t="n"/>
      <c r="Y1711" s="9" t="n"/>
      <c r="Z1711" s="9" t="n"/>
    </row>
    <row r="1712" ht="14.25" customHeight="1" s="37">
      <c r="A1712" s="9">
        <f>IF(C1712="","","UM"&amp;TEXT(ROW()-1,"00000"))</f>
        <v/>
      </c>
      <c r="B1712" s="9" t="n"/>
      <c r="C1712" s="9" t="n"/>
      <c r="D1712" s="9" t="n"/>
      <c r="E1712" s="9" t="n"/>
      <c r="F1712" s="9">
        <f>IF(E1712="","",DATEDIF(E1712,DATE(2026,12,31),"Y"))</f>
        <v/>
      </c>
      <c r="G1712" s="9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  <c r="R1712" s="9" t="n"/>
      <c r="S1712" s="9" t="n"/>
      <c r="T1712" s="9" t="n"/>
      <c r="U1712" s="9" t="n"/>
      <c r="V1712" s="9" t="n"/>
      <c r="W1712" s="9" t="n"/>
      <c r="X1712" s="9" t="n"/>
      <c r="Y1712" s="9" t="n"/>
      <c r="Z1712" s="9" t="n"/>
    </row>
    <row r="1713" ht="14.25" customHeight="1" s="37">
      <c r="A1713" s="9">
        <f>IF(C1713="","","UM"&amp;TEXT(ROW()-1,"00000"))</f>
        <v/>
      </c>
      <c r="B1713" s="9" t="n"/>
      <c r="C1713" s="9" t="n"/>
      <c r="D1713" s="9" t="n"/>
      <c r="E1713" s="9" t="n"/>
      <c r="F1713" s="9">
        <f>IF(E1713="","",DATEDIF(E1713,DATE(2026,12,31),"Y"))</f>
        <v/>
      </c>
      <c r="G1713" s="9" t="n"/>
      <c r="H1713" s="9" t="n"/>
      <c r="I1713" s="9" t="n"/>
      <c r="J1713" s="9" t="n"/>
      <c r="K1713" s="9" t="n"/>
      <c r="L1713" s="9" t="n"/>
      <c r="M1713" s="9" t="n"/>
      <c r="N1713" s="9" t="n"/>
      <c r="O1713" s="9" t="n"/>
      <c r="P1713" s="9" t="n"/>
      <c r="Q1713" s="9" t="n"/>
      <c r="R1713" s="9" t="n"/>
      <c r="S1713" s="9" t="n"/>
      <c r="T1713" s="9" t="n"/>
      <c r="U1713" s="9" t="n"/>
      <c r="V1713" s="9" t="n"/>
      <c r="W1713" s="9" t="n"/>
      <c r="X1713" s="9" t="n"/>
      <c r="Y1713" s="9" t="n"/>
      <c r="Z1713" s="9" t="n"/>
    </row>
    <row r="1714" ht="14.25" customHeight="1" s="37">
      <c r="A1714" s="9">
        <f>IF(C1714="","","UM"&amp;TEXT(ROW()-1,"00000"))</f>
        <v/>
      </c>
      <c r="B1714" s="9" t="n"/>
      <c r="C1714" s="9" t="n"/>
      <c r="D1714" s="9" t="n"/>
      <c r="E1714" s="9" t="n"/>
      <c r="F1714" s="9">
        <f>IF(E1714="","",DATEDIF(E1714,DATE(2026,12,31),"Y"))</f>
        <v/>
      </c>
      <c r="G1714" s="9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  <c r="R1714" s="9" t="n"/>
      <c r="S1714" s="9" t="n"/>
      <c r="T1714" s="9" t="n"/>
      <c r="U1714" s="9" t="n"/>
      <c r="V1714" s="9" t="n"/>
      <c r="W1714" s="9" t="n"/>
      <c r="X1714" s="9" t="n"/>
      <c r="Y1714" s="9" t="n"/>
      <c r="Z1714" s="9" t="n"/>
    </row>
    <row r="1715" ht="14.25" customHeight="1" s="37">
      <c r="A1715" s="9">
        <f>IF(C1715="","","UM"&amp;TEXT(ROW()-1,"00000"))</f>
        <v/>
      </c>
      <c r="B1715" s="9" t="n"/>
      <c r="C1715" s="9" t="n"/>
      <c r="D1715" s="9" t="n"/>
      <c r="E1715" s="9" t="n"/>
      <c r="F1715" s="9">
        <f>IF(E1715="","",DATEDIF(E1715,DATE(2026,12,31),"Y"))</f>
        <v/>
      </c>
      <c r="G1715" s="9" t="n"/>
      <c r="H1715" s="9" t="n"/>
      <c r="I1715" s="9" t="n"/>
      <c r="J1715" s="9" t="n"/>
      <c r="K1715" s="9" t="n"/>
      <c r="L1715" s="9" t="n"/>
      <c r="M1715" s="9" t="n"/>
      <c r="N1715" s="9" t="n"/>
      <c r="O1715" s="9" t="n"/>
      <c r="P1715" s="9" t="n"/>
      <c r="Q1715" s="9" t="n"/>
      <c r="R1715" s="9" t="n"/>
      <c r="S1715" s="9" t="n"/>
      <c r="T1715" s="9" t="n"/>
      <c r="U1715" s="9" t="n"/>
      <c r="V1715" s="9" t="n"/>
      <c r="W1715" s="9" t="n"/>
      <c r="X1715" s="9" t="n"/>
      <c r="Y1715" s="9" t="n"/>
      <c r="Z1715" s="9" t="n"/>
    </row>
    <row r="1716" ht="14.25" customHeight="1" s="37">
      <c r="A1716" s="9">
        <f>IF(C1716="","","UM"&amp;TEXT(ROW()-1,"00000"))</f>
        <v/>
      </c>
      <c r="B1716" s="9" t="n"/>
      <c r="C1716" s="9" t="n"/>
      <c r="D1716" s="9" t="n"/>
      <c r="E1716" s="9" t="n"/>
      <c r="F1716" s="9">
        <f>IF(E1716="","",DATEDIF(E1716,DATE(2026,12,31),"Y"))</f>
        <v/>
      </c>
      <c r="G1716" s="9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  <c r="R1716" s="9" t="n"/>
      <c r="S1716" s="9" t="n"/>
      <c r="T1716" s="9" t="n"/>
      <c r="U1716" s="9" t="n"/>
      <c r="V1716" s="9" t="n"/>
      <c r="W1716" s="9" t="n"/>
      <c r="X1716" s="9" t="n"/>
      <c r="Y1716" s="9" t="n"/>
      <c r="Z1716" s="9" t="n"/>
    </row>
    <row r="1717" ht="14.25" customHeight="1" s="37">
      <c r="A1717" s="9">
        <f>IF(C1717="","","UM"&amp;TEXT(ROW()-1,"00000"))</f>
        <v/>
      </c>
      <c r="B1717" s="9" t="n"/>
      <c r="C1717" s="9" t="n"/>
      <c r="D1717" s="9" t="n"/>
      <c r="E1717" s="9" t="n"/>
      <c r="F1717" s="9">
        <f>IF(E1717="","",DATEDIF(E1717,DATE(2026,12,31),"Y"))</f>
        <v/>
      </c>
      <c r="G1717" s="9" t="n"/>
      <c r="H1717" s="9" t="n"/>
      <c r="I1717" s="9" t="n"/>
      <c r="J1717" s="9" t="n"/>
      <c r="K1717" s="9" t="n"/>
      <c r="L1717" s="9" t="n"/>
      <c r="M1717" s="9" t="n"/>
      <c r="N1717" s="9" t="n"/>
      <c r="O1717" s="9" t="n"/>
      <c r="P1717" s="9" t="n"/>
      <c r="Q1717" s="9" t="n"/>
      <c r="R1717" s="9" t="n"/>
      <c r="S1717" s="9" t="n"/>
      <c r="T1717" s="9" t="n"/>
      <c r="U1717" s="9" t="n"/>
      <c r="V1717" s="9" t="n"/>
      <c r="W1717" s="9" t="n"/>
      <c r="X1717" s="9" t="n"/>
      <c r="Y1717" s="9" t="n"/>
      <c r="Z1717" s="9" t="n"/>
    </row>
    <row r="1718" ht="14.25" customHeight="1" s="37">
      <c r="A1718" s="9">
        <f>IF(C1718="","","UM"&amp;TEXT(ROW()-1,"00000"))</f>
        <v/>
      </c>
      <c r="B1718" s="9" t="n"/>
      <c r="C1718" s="9" t="n"/>
      <c r="D1718" s="9" t="n"/>
      <c r="E1718" s="9" t="n"/>
      <c r="F1718" s="9">
        <f>IF(E1718="","",DATEDIF(E1718,DATE(2026,12,31),"Y"))</f>
        <v/>
      </c>
      <c r="G1718" s="9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  <c r="R1718" s="9" t="n"/>
      <c r="S1718" s="9" t="n"/>
      <c r="T1718" s="9" t="n"/>
      <c r="U1718" s="9" t="n"/>
      <c r="V1718" s="9" t="n"/>
      <c r="W1718" s="9" t="n"/>
      <c r="X1718" s="9" t="n"/>
      <c r="Y1718" s="9" t="n"/>
      <c r="Z1718" s="9" t="n"/>
    </row>
    <row r="1719" ht="14.25" customHeight="1" s="37">
      <c r="A1719" s="9">
        <f>IF(C1719="","","UM"&amp;TEXT(ROW()-1,"00000"))</f>
        <v/>
      </c>
      <c r="B1719" s="9" t="n"/>
      <c r="C1719" s="9" t="n"/>
      <c r="D1719" s="9" t="n"/>
      <c r="E1719" s="9" t="n"/>
      <c r="F1719" s="9">
        <f>IF(E1719="","",DATEDIF(E1719,DATE(2026,12,31),"Y"))</f>
        <v/>
      </c>
      <c r="G1719" s="9" t="n"/>
      <c r="H1719" s="9" t="n"/>
      <c r="I1719" s="9" t="n"/>
      <c r="J1719" s="9" t="n"/>
      <c r="K1719" s="9" t="n"/>
      <c r="L1719" s="9" t="n"/>
      <c r="M1719" s="9" t="n"/>
      <c r="N1719" s="9" t="n"/>
      <c r="O1719" s="9" t="n"/>
      <c r="P1719" s="9" t="n"/>
      <c r="Q1719" s="9" t="n"/>
      <c r="R1719" s="9" t="n"/>
      <c r="S1719" s="9" t="n"/>
      <c r="T1719" s="9" t="n"/>
      <c r="U1719" s="9" t="n"/>
      <c r="V1719" s="9" t="n"/>
      <c r="W1719" s="9" t="n"/>
      <c r="X1719" s="9" t="n"/>
      <c r="Y1719" s="9" t="n"/>
      <c r="Z1719" s="9" t="n"/>
    </row>
    <row r="1720" ht="14.25" customHeight="1" s="37">
      <c r="A1720" s="9">
        <f>IF(C1720="","","UM"&amp;TEXT(ROW()-1,"00000"))</f>
        <v/>
      </c>
      <c r="B1720" s="9" t="n"/>
      <c r="C1720" s="9" t="n"/>
      <c r="D1720" s="9" t="n"/>
      <c r="E1720" s="9" t="n"/>
      <c r="F1720" s="9">
        <f>IF(E1720="","",DATEDIF(E1720,DATE(2026,12,31),"Y"))</f>
        <v/>
      </c>
      <c r="G1720" s="9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  <c r="R1720" s="9" t="n"/>
      <c r="S1720" s="9" t="n"/>
      <c r="T1720" s="9" t="n"/>
      <c r="U1720" s="9" t="n"/>
      <c r="V1720" s="9" t="n"/>
      <c r="W1720" s="9" t="n"/>
      <c r="X1720" s="9" t="n"/>
      <c r="Y1720" s="9" t="n"/>
      <c r="Z1720" s="9" t="n"/>
    </row>
    <row r="1721" ht="14.25" customHeight="1" s="37">
      <c r="A1721" s="9">
        <f>IF(C1721="","","UM"&amp;TEXT(ROW()-1,"00000"))</f>
        <v/>
      </c>
      <c r="B1721" s="9" t="n"/>
      <c r="C1721" s="9" t="n"/>
      <c r="D1721" s="9" t="n"/>
      <c r="E1721" s="9" t="n"/>
      <c r="F1721" s="9">
        <f>IF(E1721="","",DATEDIF(E1721,DATE(2026,12,31),"Y"))</f>
        <v/>
      </c>
      <c r="G1721" s="9" t="n"/>
      <c r="H1721" s="9" t="n"/>
      <c r="I1721" s="9" t="n"/>
      <c r="J1721" s="9" t="n"/>
      <c r="K1721" s="9" t="n"/>
      <c r="L1721" s="9" t="n"/>
      <c r="M1721" s="9" t="n"/>
      <c r="N1721" s="9" t="n"/>
      <c r="O1721" s="9" t="n"/>
      <c r="P1721" s="9" t="n"/>
      <c r="Q1721" s="9" t="n"/>
      <c r="R1721" s="9" t="n"/>
      <c r="S1721" s="9" t="n"/>
      <c r="T1721" s="9" t="n"/>
      <c r="U1721" s="9" t="n"/>
      <c r="V1721" s="9" t="n"/>
      <c r="W1721" s="9" t="n"/>
      <c r="X1721" s="9" t="n"/>
      <c r="Y1721" s="9" t="n"/>
      <c r="Z1721" s="9" t="n"/>
    </row>
    <row r="1722" ht="14.25" customHeight="1" s="37">
      <c r="A1722" s="9">
        <f>IF(C1722="","","UM"&amp;TEXT(ROW()-1,"00000"))</f>
        <v/>
      </c>
      <c r="B1722" s="9" t="n"/>
      <c r="C1722" s="9" t="n"/>
      <c r="D1722" s="9" t="n"/>
      <c r="E1722" s="9" t="n"/>
      <c r="F1722" s="9">
        <f>IF(E1722="","",DATEDIF(E1722,DATE(2026,12,31),"Y"))</f>
        <v/>
      </c>
      <c r="G1722" s="9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  <c r="R1722" s="9" t="n"/>
      <c r="S1722" s="9" t="n"/>
      <c r="T1722" s="9" t="n"/>
      <c r="U1722" s="9" t="n"/>
      <c r="V1722" s="9" t="n"/>
      <c r="W1722" s="9" t="n"/>
      <c r="X1722" s="9" t="n"/>
      <c r="Y1722" s="9" t="n"/>
      <c r="Z1722" s="9" t="n"/>
    </row>
    <row r="1723" ht="14.25" customHeight="1" s="37">
      <c r="A1723" s="9">
        <f>IF(C1723="","","UM"&amp;TEXT(ROW()-1,"00000"))</f>
        <v/>
      </c>
      <c r="B1723" s="9" t="n"/>
      <c r="C1723" s="9" t="n"/>
      <c r="D1723" s="9" t="n"/>
      <c r="E1723" s="9" t="n"/>
      <c r="F1723" s="9">
        <f>IF(E1723="","",DATEDIF(E1723,DATE(2026,12,31),"Y"))</f>
        <v/>
      </c>
      <c r="G1723" s="9" t="n"/>
      <c r="H1723" s="9" t="n"/>
      <c r="I1723" s="9" t="n"/>
      <c r="J1723" s="9" t="n"/>
      <c r="K1723" s="9" t="n"/>
      <c r="L1723" s="9" t="n"/>
      <c r="M1723" s="9" t="n"/>
      <c r="N1723" s="9" t="n"/>
      <c r="O1723" s="9" t="n"/>
      <c r="P1723" s="9" t="n"/>
      <c r="Q1723" s="9" t="n"/>
      <c r="R1723" s="9" t="n"/>
      <c r="S1723" s="9" t="n"/>
      <c r="T1723" s="9" t="n"/>
      <c r="U1723" s="9" t="n"/>
      <c r="V1723" s="9" t="n"/>
      <c r="W1723" s="9" t="n"/>
      <c r="X1723" s="9" t="n"/>
      <c r="Y1723" s="9" t="n"/>
      <c r="Z1723" s="9" t="n"/>
    </row>
    <row r="1724" ht="14.25" customHeight="1" s="37">
      <c r="A1724" s="9">
        <f>IF(C1724="","","UM"&amp;TEXT(ROW()-1,"00000"))</f>
        <v/>
      </c>
      <c r="B1724" s="9" t="n"/>
      <c r="C1724" s="9" t="n"/>
      <c r="D1724" s="9" t="n"/>
      <c r="E1724" s="9" t="n"/>
      <c r="F1724" s="9">
        <f>IF(E1724="","",DATEDIF(E1724,DATE(2026,12,31),"Y"))</f>
        <v/>
      </c>
      <c r="G1724" s="9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  <c r="R1724" s="9" t="n"/>
      <c r="S1724" s="9" t="n"/>
      <c r="T1724" s="9" t="n"/>
      <c r="U1724" s="9" t="n"/>
      <c r="V1724" s="9" t="n"/>
      <c r="W1724" s="9" t="n"/>
      <c r="X1724" s="9" t="n"/>
      <c r="Y1724" s="9" t="n"/>
      <c r="Z1724" s="9" t="n"/>
    </row>
    <row r="1725" ht="14.25" customHeight="1" s="37">
      <c r="A1725" s="9">
        <f>IF(C1725="","","UM"&amp;TEXT(ROW()-1,"00000"))</f>
        <v/>
      </c>
      <c r="B1725" s="9" t="n"/>
      <c r="C1725" s="9" t="n"/>
      <c r="D1725" s="9" t="n"/>
      <c r="E1725" s="9" t="n"/>
      <c r="F1725" s="9">
        <f>IF(E1725="","",DATEDIF(E1725,DATE(2026,12,31),"Y"))</f>
        <v/>
      </c>
      <c r="G1725" s="9" t="n"/>
      <c r="H1725" s="9" t="n"/>
      <c r="I1725" s="9" t="n"/>
      <c r="J1725" s="9" t="n"/>
      <c r="K1725" s="9" t="n"/>
      <c r="L1725" s="9" t="n"/>
      <c r="M1725" s="9" t="n"/>
      <c r="N1725" s="9" t="n"/>
      <c r="O1725" s="9" t="n"/>
      <c r="P1725" s="9" t="n"/>
      <c r="Q1725" s="9" t="n"/>
      <c r="R1725" s="9" t="n"/>
      <c r="S1725" s="9" t="n"/>
      <c r="T1725" s="9" t="n"/>
      <c r="U1725" s="9" t="n"/>
      <c r="V1725" s="9" t="n"/>
      <c r="W1725" s="9" t="n"/>
      <c r="X1725" s="9" t="n"/>
      <c r="Y1725" s="9" t="n"/>
      <c r="Z1725" s="9" t="n"/>
    </row>
    <row r="1726" ht="14.25" customHeight="1" s="37">
      <c r="A1726" s="9">
        <f>IF(C1726="","","UM"&amp;TEXT(ROW()-1,"00000"))</f>
        <v/>
      </c>
      <c r="B1726" s="9" t="n"/>
      <c r="C1726" s="9" t="n"/>
      <c r="D1726" s="9" t="n"/>
      <c r="E1726" s="9" t="n"/>
      <c r="F1726" s="9">
        <f>IF(E1726="","",DATEDIF(E1726,DATE(2026,12,31),"Y"))</f>
        <v/>
      </c>
      <c r="G1726" s="9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  <c r="R1726" s="9" t="n"/>
      <c r="S1726" s="9" t="n"/>
      <c r="T1726" s="9" t="n"/>
      <c r="U1726" s="9" t="n"/>
      <c r="V1726" s="9" t="n"/>
      <c r="W1726" s="9" t="n"/>
      <c r="X1726" s="9" t="n"/>
      <c r="Y1726" s="9" t="n"/>
      <c r="Z1726" s="9" t="n"/>
    </row>
    <row r="1727" ht="14.25" customHeight="1" s="37">
      <c r="A1727" s="9">
        <f>IF(C1727="","","UM"&amp;TEXT(ROW()-1,"00000"))</f>
        <v/>
      </c>
      <c r="B1727" s="9" t="n"/>
      <c r="C1727" s="9" t="n"/>
      <c r="D1727" s="9" t="n"/>
      <c r="E1727" s="9" t="n"/>
      <c r="F1727" s="9">
        <f>IF(E1727="","",DATEDIF(E1727,DATE(2026,12,31),"Y"))</f>
        <v/>
      </c>
      <c r="G1727" s="9" t="n"/>
      <c r="H1727" s="9" t="n"/>
      <c r="I1727" s="9" t="n"/>
      <c r="J1727" s="9" t="n"/>
      <c r="K1727" s="9" t="n"/>
      <c r="L1727" s="9" t="n"/>
      <c r="M1727" s="9" t="n"/>
      <c r="N1727" s="9" t="n"/>
      <c r="O1727" s="9" t="n"/>
      <c r="P1727" s="9" t="n"/>
      <c r="Q1727" s="9" t="n"/>
      <c r="R1727" s="9" t="n"/>
      <c r="S1727" s="9" t="n"/>
      <c r="T1727" s="9" t="n"/>
      <c r="U1727" s="9" t="n"/>
      <c r="V1727" s="9" t="n"/>
      <c r="W1727" s="9" t="n"/>
      <c r="X1727" s="9" t="n"/>
      <c r="Y1727" s="9" t="n"/>
      <c r="Z1727" s="9" t="n"/>
    </row>
    <row r="1728" ht="14.25" customHeight="1" s="37">
      <c r="A1728" s="9">
        <f>IF(C1728="","","UM"&amp;TEXT(ROW()-1,"00000"))</f>
        <v/>
      </c>
      <c r="B1728" s="9" t="n"/>
      <c r="C1728" s="9" t="n"/>
      <c r="D1728" s="9" t="n"/>
      <c r="E1728" s="9" t="n"/>
      <c r="F1728" s="9">
        <f>IF(E1728="","",DATEDIF(E1728,DATE(2026,12,31),"Y"))</f>
        <v/>
      </c>
      <c r="G1728" s="9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  <c r="R1728" s="9" t="n"/>
      <c r="S1728" s="9" t="n"/>
      <c r="T1728" s="9" t="n"/>
      <c r="U1728" s="9" t="n"/>
      <c r="V1728" s="9" t="n"/>
      <c r="W1728" s="9" t="n"/>
      <c r="X1728" s="9" t="n"/>
      <c r="Y1728" s="9" t="n"/>
      <c r="Z1728" s="9" t="n"/>
    </row>
    <row r="1729" ht="14.25" customHeight="1" s="37">
      <c r="A1729" s="9">
        <f>IF(C1729="","","UM"&amp;TEXT(ROW()-1,"00000"))</f>
        <v/>
      </c>
      <c r="B1729" s="9" t="n"/>
      <c r="C1729" s="9" t="n"/>
      <c r="D1729" s="9" t="n"/>
      <c r="E1729" s="9" t="n"/>
      <c r="F1729" s="9">
        <f>IF(E1729="","",DATEDIF(E1729,DATE(2026,12,31),"Y"))</f>
        <v/>
      </c>
      <c r="G1729" s="9" t="n"/>
      <c r="H1729" s="9" t="n"/>
      <c r="I1729" s="9" t="n"/>
      <c r="J1729" s="9" t="n"/>
      <c r="K1729" s="9" t="n"/>
      <c r="L1729" s="9" t="n"/>
      <c r="M1729" s="9" t="n"/>
      <c r="N1729" s="9" t="n"/>
      <c r="O1729" s="9" t="n"/>
      <c r="P1729" s="9" t="n"/>
      <c r="Q1729" s="9" t="n"/>
      <c r="R1729" s="9" t="n"/>
      <c r="S1729" s="9" t="n"/>
      <c r="T1729" s="9" t="n"/>
      <c r="U1729" s="9" t="n"/>
      <c r="V1729" s="9" t="n"/>
      <c r="W1729" s="9" t="n"/>
      <c r="X1729" s="9" t="n"/>
      <c r="Y1729" s="9" t="n"/>
      <c r="Z1729" s="9" t="n"/>
    </row>
    <row r="1730" ht="14.25" customHeight="1" s="37">
      <c r="A1730" s="9">
        <f>IF(C1730="","","UM"&amp;TEXT(ROW()-1,"00000"))</f>
        <v/>
      </c>
      <c r="B1730" s="9" t="n"/>
      <c r="C1730" s="9" t="n"/>
      <c r="D1730" s="9" t="n"/>
      <c r="E1730" s="9" t="n"/>
      <c r="F1730" s="9">
        <f>IF(E1730="","",DATEDIF(E1730,DATE(2026,12,31),"Y"))</f>
        <v/>
      </c>
      <c r="G1730" s="9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  <c r="R1730" s="9" t="n"/>
      <c r="S1730" s="9" t="n"/>
      <c r="T1730" s="9" t="n"/>
      <c r="U1730" s="9" t="n"/>
      <c r="V1730" s="9" t="n"/>
      <c r="W1730" s="9" t="n"/>
      <c r="X1730" s="9" t="n"/>
      <c r="Y1730" s="9" t="n"/>
      <c r="Z1730" s="9" t="n"/>
    </row>
    <row r="1731" ht="14.25" customHeight="1" s="37">
      <c r="A1731" s="9">
        <f>IF(C1731="","","UM"&amp;TEXT(ROW()-1,"00000"))</f>
        <v/>
      </c>
      <c r="B1731" s="9" t="n"/>
      <c r="C1731" s="9" t="n"/>
      <c r="D1731" s="9" t="n"/>
      <c r="E1731" s="9" t="n"/>
      <c r="F1731" s="9">
        <f>IF(E1731="","",DATEDIF(E1731,DATE(2026,12,31),"Y"))</f>
        <v/>
      </c>
      <c r="G1731" s="9" t="n"/>
      <c r="H1731" s="9" t="n"/>
      <c r="I1731" s="9" t="n"/>
      <c r="J1731" s="9" t="n"/>
      <c r="K1731" s="9" t="n"/>
      <c r="L1731" s="9" t="n"/>
      <c r="M1731" s="9" t="n"/>
      <c r="N1731" s="9" t="n"/>
      <c r="O1731" s="9" t="n"/>
      <c r="P1731" s="9" t="n"/>
      <c r="Q1731" s="9" t="n"/>
      <c r="R1731" s="9" t="n"/>
      <c r="S1731" s="9" t="n"/>
      <c r="T1731" s="9" t="n"/>
      <c r="U1731" s="9" t="n"/>
      <c r="V1731" s="9" t="n"/>
      <c r="W1731" s="9" t="n"/>
      <c r="X1731" s="9" t="n"/>
      <c r="Y1731" s="9" t="n"/>
      <c r="Z1731" s="9" t="n"/>
    </row>
    <row r="1732" ht="14.25" customHeight="1" s="37">
      <c r="A1732" s="9">
        <f>IF(C1732="","","UM"&amp;TEXT(ROW()-1,"00000"))</f>
        <v/>
      </c>
      <c r="B1732" s="9" t="n"/>
      <c r="C1732" s="9" t="n"/>
      <c r="D1732" s="9" t="n"/>
      <c r="E1732" s="9" t="n"/>
      <c r="F1732" s="9">
        <f>IF(E1732="","",DATEDIF(E1732,DATE(2026,12,31),"Y"))</f>
        <v/>
      </c>
      <c r="G1732" s="9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  <c r="R1732" s="9" t="n"/>
      <c r="S1732" s="9" t="n"/>
      <c r="T1732" s="9" t="n"/>
      <c r="U1732" s="9" t="n"/>
      <c r="V1732" s="9" t="n"/>
      <c r="W1732" s="9" t="n"/>
      <c r="X1732" s="9" t="n"/>
      <c r="Y1732" s="9" t="n"/>
      <c r="Z1732" s="9" t="n"/>
    </row>
    <row r="1733" ht="14.25" customHeight="1" s="37">
      <c r="A1733" s="9">
        <f>IF(C1733="","","UM"&amp;TEXT(ROW()-1,"00000"))</f>
        <v/>
      </c>
      <c r="B1733" s="9" t="n"/>
      <c r="C1733" s="9" t="n"/>
      <c r="D1733" s="9" t="n"/>
      <c r="E1733" s="9" t="n"/>
      <c r="F1733" s="9">
        <f>IF(E1733="","",DATEDIF(E1733,DATE(2026,12,31),"Y"))</f>
        <v/>
      </c>
      <c r="G1733" s="9" t="n"/>
      <c r="H1733" s="9" t="n"/>
      <c r="I1733" s="9" t="n"/>
      <c r="J1733" s="9" t="n"/>
      <c r="K1733" s="9" t="n"/>
      <c r="L1733" s="9" t="n"/>
      <c r="M1733" s="9" t="n"/>
      <c r="N1733" s="9" t="n"/>
      <c r="O1733" s="9" t="n"/>
      <c r="P1733" s="9" t="n"/>
      <c r="Q1733" s="9" t="n"/>
      <c r="R1733" s="9" t="n"/>
      <c r="S1733" s="9" t="n"/>
      <c r="T1733" s="9" t="n"/>
      <c r="U1733" s="9" t="n"/>
      <c r="V1733" s="9" t="n"/>
      <c r="W1733" s="9" t="n"/>
      <c r="X1733" s="9" t="n"/>
      <c r="Y1733" s="9" t="n"/>
      <c r="Z1733" s="9" t="n"/>
    </row>
    <row r="1734" ht="14.25" customHeight="1" s="37">
      <c r="A1734" s="9">
        <f>IF(C1734="","","UM"&amp;TEXT(ROW()-1,"00000"))</f>
        <v/>
      </c>
      <c r="B1734" s="9" t="n"/>
      <c r="C1734" s="9" t="n"/>
      <c r="D1734" s="9" t="n"/>
      <c r="E1734" s="9" t="n"/>
      <c r="F1734" s="9">
        <f>IF(E1734="","",DATEDIF(E1734,DATE(2026,12,31),"Y"))</f>
        <v/>
      </c>
      <c r="G1734" s="9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  <c r="R1734" s="9" t="n"/>
      <c r="S1734" s="9" t="n"/>
      <c r="T1734" s="9" t="n"/>
      <c r="U1734" s="9" t="n"/>
      <c r="V1734" s="9" t="n"/>
      <c r="W1734" s="9" t="n"/>
      <c r="X1734" s="9" t="n"/>
      <c r="Y1734" s="9" t="n"/>
      <c r="Z1734" s="9" t="n"/>
    </row>
    <row r="1735" ht="14.25" customHeight="1" s="37">
      <c r="A1735" s="9">
        <f>IF(C1735="","","UM"&amp;TEXT(ROW()-1,"00000"))</f>
        <v/>
      </c>
      <c r="B1735" s="9" t="n"/>
      <c r="C1735" s="9" t="n"/>
      <c r="D1735" s="9" t="n"/>
      <c r="E1735" s="9" t="n"/>
      <c r="F1735" s="9">
        <f>IF(E1735="","",DATEDIF(E1735,DATE(2026,12,31),"Y"))</f>
        <v/>
      </c>
      <c r="G1735" s="9" t="n"/>
      <c r="H1735" s="9" t="n"/>
      <c r="I1735" s="9" t="n"/>
      <c r="J1735" s="9" t="n"/>
      <c r="K1735" s="9" t="n"/>
      <c r="L1735" s="9" t="n"/>
      <c r="M1735" s="9" t="n"/>
      <c r="N1735" s="9" t="n"/>
      <c r="O1735" s="9" t="n"/>
      <c r="P1735" s="9" t="n"/>
      <c r="Q1735" s="9" t="n"/>
      <c r="R1735" s="9" t="n"/>
      <c r="S1735" s="9" t="n"/>
      <c r="T1735" s="9" t="n"/>
      <c r="U1735" s="9" t="n"/>
      <c r="V1735" s="9" t="n"/>
      <c r="W1735" s="9" t="n"/>
      <c r="X1735" s="9" t="n"/>
      <c r="Y1735" s="9" t="n"/>
      <c r="Z1735" s="9" t="n"/>
    </row>
    <row r="1736" ht="14.25" customHeight="1" s="37">
      <c r="A1736" s="9">
        <f>IF(C1736="","","UM"&amp;TEXT(ROW()-1,"00000"))</f>
        <v/>
      </c>
      <c r="B1736" s="9" t="n"/>
      <c r="C1736" s="9" t="n"/>
      <c r="D1736" s="9" t="n"/>
      <c r="E1736" s="9" t="n"/>
      <c r="F1736" s="9">
        <f>IF(E1736="","",DATEDIF(E1736,DATE(2026,12,31),"Y"))</f>
        <v/>
      </c>
      <c r="G1736" s="9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  <c r="R1736" s="9" t="n"/>
      <c r="S1736" s="9" t="n"/>
      <c r="T1736" s="9" t="n"/>
      <c r="U1736" s="9" t="n"/>
      <c r="V1736" s="9" t="n"/>
      <c r="W1736" s="9" t="n"/>
      <c r="X1736" s="9" t="n"/>
      <c r="Y1736" s="9" t="n"/>
      <c r="Z1736" s="9" t="n"/>
    </row>
    <row r="1737" ht="14.25" customHeight="1" s="37">
      <c r="A1737" s="9">
        <f>IF(C1737="","","UM"&amp;TEXT(ROW()-1,"00000"))</f>
        <v/>
      </c>
      <c r="B1737" s="9" t="n"/>
      <c r="C1737" s="9" t="n"/>
      <c r="D1737" s="9" t="n"/>
      <c r="E1737" s="9" t="n"/>
      <c r="F1737" s="9">
        <f>IF(E1737="","",DATEDIF(E1737,DATE(2026,12,31),"Y"))</f>
        <v/>
      </c>
      <c r="G1737" s="9" t="n"/>
      <c r="H1737" s="9" t="n"/>
      <c r="I1737" s="9" t="n"/>
      <c r="J1737" s="9" t="n"/>
      <c r="K1737" s="9" t="n"/>
      <c r="L1737" s="9" t="n"/>
      <c r="M1737" s="9" t="n"/>
      <c r="N1737" s="9" t="n"/>
      <c r="O1737" s="9" t="n"/>
      <c r="P1737" s="9" t="n"/>
      <c r="Q1737" s="9" t="n"/>
      <c r="R1737" s="9" t="n"/>
      <c r="S1737" s="9" t="n"/>
      <c r="T1737" s="9" t="n"/>
      <c r="U1737" s="9" t="n"/>
      <c r="V1737" s="9" t="n"/>
      <c r="W1737" s="9" t="n"/>
      <c r="X1737" s="9" t="n"/>
      <c r="Y1737" s="9" t="n"/>
      <c r="Z1737" s="9" t="n"/>
    </row>
    <row r="1738" ht="14.25" customHeight="1" s="37">
      <c r="A1738" s="9">
        <f>IF(C1738="","","UM"&amp;TEXT(ROW()-1,"00000"))</f>
        <v/>
      </c>
      <c r="B1738" s="9" t="n"/>
      <c r="C1738" s="9" t="n"/>
      <c r="D1738" s="9" t="n"/>
      <c r="E1738" s="9" t="n"/>
      <c r="F1738" s="9">
        <f>IF(E1738="","",DATEDIF(E1738,DATE(2026,12,31),"Y"))</f>
        <v/>
      </c>
      <c r="G1738" s="9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  <c r="R1738" s="9" t="n"/>
      <c r="S1738" s="9" t="n"/>
      <c r="T1738" s="9" t="n"/>
      <c r="U1738" s="9" t="n"/>
      <c r="V1738" s="9" t="n"/>
      <c r="W1738" s="9" t="n"/>
      <c r="X1738" s="9" t="n"/>
      <c r="Y1738" s="9" t="n"/>
      <c r="Z1738" s="9" t="n"/>
    </row>
    <row r="1739" ht="14.25" customHeight="1" s="37">
      <c r="A1739" s="9">
        <f>IF(C1739="","","UM"&amp;TEXT(ROW()-1,"00000"))</f>
        <v/>
      </c>
      <c r="B1739" s="9" t="n"/>
      <c r="C1739" s="9" t="n"/>
      <c r="D1739" s="9" t="n"/>
      <c r="E1739" s="9" t="n"/>
      <c r="F1739" s="9">
        <f>IF(E1739="","",DATEDIF(E1739,DATE(2026,12,31),"Y"))</f>
        <v/>
      </c>
      <c r="G1739" s="9" t="n"/>
      <c r="H1739" s="9" t="n"/>
      <c r="I1739" s="9" t="n"/>
      <c r="J1739" s="9" t="n"/>
      <c r="K1739" s="9" t="n"/>
      <c r="L1739" s="9" t="n"/>
      <c r="M1739" s="9" t="n"/>
      <c r="N1739" s="9" t="n"/>
      <c r="O1739" s="9" t="n"/>
      <c r="P1739" s="9" t="n"/>
      <c r="Q1739" s="9" t="n"/>
      <c r="R1739" s="9" t="n"/>
      <c r="S1739" s="9" t="n"/>
      <c r="T1739" s="9" t="n"/>
      <c r="U1739" s="9" t="n"/>
      <c r="V1739" s="9" t="n"/>
      <c r="W1739" s="9" t="n"/>
      <c r="X1739" s="9" t="n"/>
      <c r="Y1739" s="9" t="n"/>
      <c r="Z1739" s="9" t="n"/>
    </row>
    <row r="1740" ht="14.25" customHeight="1" s="37">
      <c r="A1740" s="9">
        <f>IF(C1740="","","UM"&amp;TEXT(ROW()-1,"00000"))</f>
        <v/>
      </c>
      <c r="B1740" s="9" t="n"/>
      <c r="C1740" s="9" t="n"/>
      <c r="D1740" s="9" t="n"/>
      <c r="E1740" s="9" t="n"/>
      <c r="F1740" s="9">
        <f>IF(E1740="","",DATEDIF(E1740,DATE(2026,12,31),"Y"))</f>
        <v/>
      </c>
      <c r="G1740" s="9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  <c r="R1740" s="9" t="n"/>
      <c r="S1740" s="9" t="n"/>
      <c r="T1740" s="9" t="n"/>
      <c r="U1740" s="9" t="n"/>
      <c r="V1740" s="9" t="n"/>
      <c r="W1740" s="9" t="n"/>
      <c r="X1740" s="9" t="n"/>
      <c r="Y1740" s="9" t="n"/>
      <c r="Z1740" s="9" t="n"/>
    </row>
    <row r="1741" ht="14.25" customHeight="1" s="37">
      <c r="A1741" s="9">
        <f>IF(C1741="","","UM"&amp;TEXT(ROW()-1,"00000"))</f>
        <v/>
      </c>
      <c r="B1741" s="9" t="n"/>
      <c r="C1741" s="9" t="n"/>
      <c r="D1741" s="9" t="n"/>
      <c r="E1741" s="9" t="n"/>
      <c r="F1741" s="9">
        <f>IF(E1741="","",DATEDIF(E1741,DATE(2026,12,31),"Y"))</f>
        <v/>
      </c>
      <c r="G1741" s="9" t="n"/>
      <c r="H1741" s="9" t="n"/>
      <c r="I1741" s="9" t="n"/>
      <c r="J1741" s="9" t="n"/>
      <c r="K1741" s="9" t="n"/>
      <c r="L1741" s="9" t="n"/>
      <c r="M1741" s="9" t="n"/>
      <c r="N1741" s="9" t="n"/>
      <c r="O1741" s="9" t="n"/>
      <c r="P1741" s="9" t="n"/>
      <c r="Q1741" s="9" t="n"/>
      <c r="R1741" s="9" t="n"/>
      <c r="S1741" s="9" t="n"/>
      <c r="T1741" s="9" t="n"/>
      <c r="U1741" s="9" t="n"/>
      <c r="V1741" s="9" t="n"/>
      <c r="W1741" s="9" t="n"/>
      <c r="X1741" s="9" t="n"/>
      <c r="Y1741" s="9" t="n"/>
      <c r="Z1741" s="9" t="n"/>
    </row>
    <row r="1742" ht="14.25" customHeight="1" s="37">
      <c r="A1742" s="9">
        <f>IF(C1742="","","UM"&amp;TEXT(ROW()-1,"00000"))</f>
        <v/>
      </c>
      <c r="B1742" s="9" t="n"/>
      <c r="C1742" s="9" t="n"/>
      <c r="D1742" s="9" t="n"/>
      <c r="E1742" s="9" t="n"/>
      <c r="F1742" s="9">
        <f>IF(E1742="","",DATEDIF(E1742,DATE(2026,12,31),"Y"))</f>
        <v/>
      </c>
      <c r="G1742" s="9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  <c r="R1742" s="9" t="n"/>
      <c r="S1742" s="9" t="n"/>
      <c r="T1742" s="9" t="n"/>
      <c r="U1742" s="9" t="n"/>
      <c r="V1742" s="9" t="n"/>
      <c r="W1742" s="9" t="n"/>
      <c r="X1742" s="9" t="n"/>
      <c r="Y1742" s="9" t="n"/>
      <c r="Z1742" s="9" t="n"/>
    </row>
    <row r="1743" ht="14.25" customHeight="1" s="37">
      <c r="A1743" s="9">
        <f>IF(C1743="","","UM"&amp;TEXT(ROW()-1,"00000"))</f>
        <v/>
      </c>
      <c r="B1743" s="9" t="n"/>
      <c r="C1743" s="9" t="n"/>
      <c r="D1743" s="9" t="n"/>
      <c r="E1743" s="9" t="n"/>
      <c r="F1743" s="9">
        <f>IF(E1743="","",DATEDIF(E1743,DATE(2026,12,31),"Y"))</f>
        <v/>
      </c>
      <c r="G1743" s="9" t="n"/>
      <c r="H1743" s="9" t="n"/>
      <c r="I1743" s="9" t="n"/>
      <c r="J1743" s="9" t="n"/>
      <c r="K1743" s="9" t="n"/>
      <c r="L1743" s="9" t="n"/>
      <c r="M1743" s="9" t="n"/>
      <c r="N1743" s="9" t="n"/>
      <c r="O1743" s="9" t="n"/>
      <c r="P1743" s="9" t="n"/>
      <c r="Q1743" s="9" t="n"/>
      <c r="R1743" s="9" t="n"/>
      <c r="S1743" s="9" t="n"/>
      <c r="T1743" s="9" t="n"/>
      <c r="U1743" s="9" t="n"/>
      <c r="V1743" s="9" t="n"/>
      <c r="W1743" s="9" t="n"/>
      <c r="X1743" s="9" t="n"/>
      <c r="Y1743" s="9" t="n"/>
      <c r="Z1743" s="9" t="n"/>
    </row>
    <row r="1744" ht="14.25" customHeight="1" s="37">
      <c r="A1744" s="9">
        <f>IF(C1744="","","UM"&amp;TEXT(ROW()-1,"00000"))</f>
        <v/>
      </c>
      <c r="B1744" s="9" t="n"/>
      <c r="C1744" s="9" t="n"/>
      <c r="D1744" s="9" t="n"/>
      <c r="E1744" s="9" t="n"/>
      <c r="F1744" s="9">
        <f>IF(E1744="","",DATEDIF(E1744,DATE(2026,12,31),"Y"))</f>
        <v/>
      </c>
      <c r="G1744" s="9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  <c r="R1744" s="9" t="n"/>
      <c r="S1744" s="9" t="n"/>
      <c r="T1744" s="9" t="n"/>
      <c r="U1744" s="9" t="n"/>
      <c r="V1744" s="9" t="n"/>
      <c r="W1744" s="9" t="n"/>
      <c r="X1744" s="9" t="n"/>
      <c r="Y1744" s="9" t="n"/>
      <c r="Z1744" s="9" t="n"/>
    </row>
    <row r="1745" ht="14.25" customHeight="1" s="37">
      <c r="A1745" s="9">
        <f>IF(C1745="","","UM"&amp;TEXT(ROW()-1,"00000"))</f>
        <v/>
      </c>
      <c r="B1745" s="9" t="n"/>
      <c r="C1745" s="9" t="n"/>
      <c r="D1745" s="9" t="n"/>
      <c r="E1745" s="9" t="n"/>
      <c r="F1745" s="9">
        <f>IF(E1745="","",DATEDIF(E1745,DATE(2026,12,31),"Y"))</f>
        <v/>
      </c>
      <c r="G1745" s="9" t="n"/>
      <c r="H1745" s="9" t="n"/>
      <c r="I1745" s="9" t="n"/>
      <c r="J1745" s="9" t="n"/>
      <c r="K1745" s="9" t="n"/>
      <c r="L1745" s="9" t="n"/>
      <c r="M1745" s="9" t="n"/>
      <c r="N1745" s="9" t="n"/>
      <c r="O1745" s="9" t="n"/>
      <c r="P1745" s="9" t="n"/>
      <c r="Q1745" s="9" t="n"/>
      <c r="R1745" s="9" t="n"/>
      <c r="S1745" s="9" t="n"/>
      <c r="T1745" s="9" t="n"/>
      <c r="U1745" s="9" t="n"/>
      <c r="V1745" s="9" t="n"/>
      <c r="W1745" s="9" t="n"/>
      <c r="X1745" s="9" t="n"/>
      <c r="Y1745" s="9" t="n"/>
      <c r="Z1745" s="9" t="n"/>
    </row>
    <row r="1746" ht="14.25" customHeight="1" s="37">
      <c r="A1746" s="9">
        <f>IF(C1746="","","UM"&amp;TEXT(ROW()-1,"00000"))</f>
        <v/>
      </c>
      <c r="B1746" s="9" t="n"/>
      <c r="C1746" s="9" t="n"/>
      <c r="D1746" s="9" t="n"/>
      <c r="E1746" s="9" t="n"/>
      <c r="F1746" s="9">
        <f>IF(E1746="","",DATEDIF(E1746,DATE(2026,12,31),"Y"))</f>
        <v/>
      </c>
      <c r="G1746" s="9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  <c r="R1746" s="9" t="n"/>
      <c r="S1746" s="9" t="n"/>
      <c r="T1746" s="9" t="n"/>
      <c r="U1746" s="9" t="n"/>
      <c r="V1746" s="9" t="n"/>
      <c r="W1746" s="9" t="n"/>
      <c r="X1746" s="9" t="n"/>
      <c r="Y1746" s="9" t="n"/>
      <c r="Z1746" s="9" t="n"/>
    </row>
    <row r="1747" ht="14.25" customHeight="1" s="37">
      <c r="A1747" s="9">
        <f>IF(C1747="","","UM"&amp;TEXT(ROW()-1,"00000"))</f>
        <v/>
      </c>
      <c r="B1747" s="9" t="n"/>
      <c r="C1747" s="9" t="n"/>
      <c r="D1747" s="9" t="n"/>
      <c r="E1747" s="9" t="n"/>
      <c r="F1747" s="9">
        <f>IF(E1747="","",DATEDIF(E1747,DATE(2026,12,31),"Y"))</f>
        <v/>
      </c>
      <c r="G1747" s="9" t="n"/>
      <c r="H1747" s="9" t="n"/>
      <c r="I1747" s="9" t="n"/>
      <c r="J1747" s="9" t="n"/>
      <c r="K1747" s="9" t="n"/>
      <c r="L1747" s="9" t="n"/>
      <c r="M1747" s="9" t="n"/>
      <c r="N1747" s="9" t="n"/>
      <c r="O1747" s="9" t="n"/>
      <c r="P1747" s="9" t="n"/>
      <c r="Q1747" s="9" t="n"/>
      <c r="R1747" s="9" t="n"/>
      <c r="S1747" s="9" t="n"/>
      <c r="T1747" s="9" t="n"/>
      <c r="U1747" s="9" t="n"/>
      <c r="V1747" s="9" t="n"/>
      <c r="W1747" s="9" t="n"/>
      <c r="X1747" s="9" t="n"/>
      <c r="Y1747" s="9" t="n"/>
      <c r="Z1747" s="9" t="n"/>
    </row>
    <row r="1748" ht="14.25" customHeight="1" s="37">
      <c r="A1748" s="9">
        <f>IF(C1748="","","UM"&amp;TEXT(ROW()-1,"00000"))</f>
        <v/>
      </c>
      <c r="B1748" s="9" t="n"/>
      <c r="C1748" s="9" t="n"/>
      <c r="D1748" s="9" t="n"/>
      <c r="E1748" s="9" t="n"/>
      <c r="F1748" s="9">
        <f>IF(E1748="","",DATEDIF(E1748,DATE(2026,12,31),"Y"))</f>
        <v/>
      </c>
      <c r="G1748" s="9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  <c r="R1748" s="9" t="n"/>
      <c r="S1748" s="9" t="n"/>
      <c r="T1748" s="9" t="n"/>
      <c r="U1748" s="9" t="n"/>
      <c r="V1748" s="9" t="n"/>
      <c r="W1748" s="9" t="n"/>
      <c r="X1748" s="9" t="n"/>
      <c r="Y1748" s="9" t="n"/>
      <c r="Z1748" s="9" t="n"/>
    </row>
    <row r="1749" ht="14.25" customHeight="1" s="37">
      <c r="A1749" s="9">
        <f>IF(C1749="","","UM"&amp;TEXT(ROW()-1,"00000"))</f>
        <v/>
      </c>
      <c r="B1749" s="9" t="n"/>
      <c r="C1749" s="9" t="n"/>
      <c r="D1749" s="9" t="n"/>
      <c r="E1749" s="9" t="n"/>
      <c r="F1749" s="9">
        <f>IF(E1749="","",DATEDIF(E1749,DATE(2026,12,31),"Y"))</f>
        <v/>
      </c>
      <c r="G1749" s="9" t="n"/>
      <c r="H1749" s="9" t="n"/>
      <c r="I1749" s="9" t="n"/>
      <c r="J1749" s="9" t="n"/>
      <c r="K1749" s="9" t="n"/>
      <c r="L1749" s="9" t="n"/>
      <c r="M1749" s="9" t="n"/>
      <c r="N1749" s="9" t="n"/>
      <c r="O1749" s="9" t="n"/>
      <c r="P1749" s="9" t="n"/>
      <c r="Q1749" s="9" t="n"/>
      <c r="R1749" s="9" t="n"/>
      <c r="S1749" s="9" t="n"/>
      <c r="T1749" s="9" t="n"/>
      <c r="U1749" s="9" t="n"/>
      <c r="V1749" s="9" t="n"/>
      <c r="W1749" s="9" t="n"/>
      <c r="X1749" s="9" t="n"/>
      <c r="Y1749" s="9" t="n"/>
      <c r="Z1749" s="9" t="n"/>
    </row>
    <row r="1750" ht="14.25" customHeight="1" s="37">
      <c r="A1750" s="9">
        <f>IF(C1750="","","UM"&amp;TEXT(ROW()-1,"00000"))</f>
        <v/>
      </c>
      <c r="B1750" s="9" t="n"/>
      <c r="C1750" s="9" t="n"/>
      <c r="D1750" s="9" t="n"/>
      <c r="E1750" s="9" t="n"/>
      <c r="F1750" s="9">
        <f>IF(E1750="","",DATEDIF(E1750,DATE(2026,12,31),"Y"))</f>
        <v/>
      </c>
      <c r="G1750" s="9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  <c r="R1750" s="9" t="n"/>
      <c r="S1750" s="9" t="n"/>
      <c r="T1750" s="9" t="n"/>
      <c r="U1750" s="9" t="n"/>
      <c r="V1750" s="9" t="n"/>
      <c r="W1750" s="9" t="n"/>
      <c r="X1750" s="9" t="n"/>
      <c r="Y1750" s="9" t="n"/>
      <c r="Z1750" s="9" t="n"/>
    </row>
    <row r="1751" ht="14.25" customHeight="1" s="37">
      <c r="A1751" s="9">
        <f>IF(C1751="","","UM"&amp;TEXT(ROW()-1,"00000"))</f>
        <v/>
      </c>
      <c r="B1751" s="9" t="n"/>
      <c r="C1751" s="9" t="n"/>
      <c r="D1751" s="9" t="n"/>
      <c r="E1751" s="9" t="n"/>
      <c r="F1751" s="9">
        <f>IF(E1751="","",DATEDIF(E1751,DATE(2026,12,31),"Y"))</f>
        <v/>
      </c>
      <c r="G1751" s="9" t="n"/>
      <c r="H1751" s="9" t="n"/>
      <c r="I1751" s="9" t="n"/>
      <c r="J1751" s="9" t="n"/>
      <c r="K1751" s="9" t="n"/>
      <c r="L1751" s="9" t="n"/>
      <c r="M1751" s="9" t="n"/>
      <c r="N1751" s="9" t="n"/>
      <c r="O1751" s="9" t="n"/>
      <c r="P1751" s="9" t="n"/>
      <c r="Q1751" s="9" t="n"/>
      <c r="R1751" s="9" t="n"/>
      <c r="S1751" s="9" t="n"/>
      <c r="T1751" s="9" t="n"/>
      <c r="U1751" s="9" t="n"/>
      <c r="V1751" s="9" t="n"/>
      <c r="W1751" s="9" t="n"/>
      <c r="X1751" s="9" t="n"/>
      <c r="Y1751" s="9" t="n"/>
      <c r="Z1751" s="9" t="n"/>
    </row>
    <row r="1752" ht="14.25" customHeight="1" s="37">
      <c r="A1752" s="9">
        <f>IF(C1752="","","UM"&amp;TEXT(ROW()-1,"00000"))</f>
        <v/>
      </c>
      <c r="B1752" s="9" t="n"/>
      <c r="C1752" s="9" t="n"/>
      <c r="D1752" s="9" t="n"/>
      <c r="E1752" s="9" t="n"/>
      <c r="F1752" s="9">
        <f>IF(E1752="","",DATEDIF(E1752,DATE(2026,12,31),"Y"))</f>
        <v/>
      </c>
      <c r="G1752" s="9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  <c r="R1752" s="9" t="n"/>
      <c r="S1752" s="9" t="n"/>
      <c r="T1752" s="9" t="n"/>
      <c r="U1752" s="9" t="n"/>
      <c r="V1752" s="9" t="n"/>
      <c r="W1752" s="9" t="n"/>
      <c r="X1752" s="9" t="n"/>
      <c r="Y1752" s="9" t="n"/>
      <c r="Z1752" s="9" t="n"/>
    </row>
    <row r="1753" ht="14.25" customHeight="1" s="37">
      <c r="A1753" s="9">
        <f>IF(C1753="","","UM"&amp;TEXT(ROW()-1,"00000"))</f>
        <v/>
      </c>
      <c r="B1753" s="9" t="n"/>
      <c r="C1753" s="9" t="n"/>
      <c r="D1753" s="9" t="n"/>
      <c r="E1753" s="9" t="n"/>
      <c r="F1753" s="9">
        <f>IF(E1753="","",DATEDIF(E1753,DATE(2026,12,31),"Y"))</f>
        <v/>
      </c>
      <c r="G1753" s="9" t="n"/>
      <c r="H1753" s="9" t="n"/>
      <c r="I1753" s="9" t="n"/>
      <c r="J1753" s="9" t="n"/>
      <c r="K1753" s="9" t="n"/>
      <c r="L1753" s="9" t="n"/>
      <c r="M1753" s="9" t="n"/>
      <c r="N1753" s="9" t="n"/>
      <c r="O1753" s="9" t="n"/>
      <c r="P1753" s="9" t="n"/>
      <c r="Q1753" s="9" t="n"/>
      <c r="R1753" s="9" t="n"/>
      <c r="S1753" s="9" t="n"/>
      <c r="T1753" s="9" t="n"/>
      <c r="U1753" s="9" t="n"/>
      <c r="V1753" s="9" t="n"/>
      <c r="W1753" s="9" t="n"/>
      <c r="X1753" s="9" t="n"/>
      <c r="Y1753" s="9" t="n"/>
      <c r="Z1753" s="9" t="n"/>
    </row>
    <row r="1754" ht="14.25" customHeight="1" s="37">
      <c r="A1754" s="9">
        <f>IF(C1754="","","UM"&amp;TEXT(ROW()-1,"00000"))</f>
        <v/>
      </c>
      <c r="B1754" s="9" t="n"/>
      <c r="C1754" s="9" t="n"/>
      <c r="D1754" s="9" t="n"/>
      <c r="E1754" s="9" t="n"/>
      <c r="F1754" s="9">
        <f>IF(E1754="","",DATEDIF(E1754,DATE(2026,12,31),"Y"))</f>
        <v/>
      </c>
      <c r="G1754" s="9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  <c r="R1754" s="9" t="n"/>
      <c r="S1754" s="9" t="n"/>
      <c r="T1754" s="9" t="n"/>
      <c r="U1754" s="9" t="n"/>
      <c r="V1754" s="9" t="n"/>
      <c r="W1754" s="9" t="n"/>
      <c r="X1754" s="9" t="n"/>
      <c r="Y1754" s="9" t="n"/>
      <c r="Z1754" s="9" t="n"/>
    </row>
    <row r="1755" ht="14.25" customHeight="1" s="37">
      <c r="A1755" s="9">
        <f>IF(C1755="","","UM"&amp;TEXT(ROW()-1,"00000"))</f>
        <v/>
      </c>
      <c r="B1755" s="9" t="n"/>
      <c r="C1755" s="9" t="n"/>
      <c r="D1755" s="9" t="n"/>
      <c r="E1755" s="9" t="n"/>
      <c r="F1755" s="9">
        <f>IF(E1755="","",DATEDIF(E1755,DATE(2026,12,31),"Y"))</f>
        <v/>
      </c>
      <c r="G1755" s="9" t="n"/>
      <c r="H1755" s="9" t="n"/>
      <c r="I1755" s="9" t="n"/>
      <c r="J1755" s="9" t="n"/>
      <c r="K1755" s="9" t="n"/>
      <c r="L1755" s="9" t="n"/>
      <c r="M1755" s="9" t="n"/>
      <c r="N1755" s="9" t="n"/>
      <c r="O1755" s="9" t="n"/>
      <c r="P1755" s="9" t="n"/>
      <c r="Q1755" s="9" t="n"/>
      <c r="R1755" s="9" t="n"/>
      <c r="S1755" s="9" t="n"/>
      <c r="T1755" s="9" t="n"/>
      <c r="U1755" s="9" t="n"/>
      <c r="V1755" s="9" t="n"/>
      <c r="W1755" s="9" t="n"/>
      <c r="X1755" s="9" t="n"/>
      <c r="Y1755" s="9" t="n"/>
      <c r="Z1755" s="9" t="n"/>
    </row>
    <row r="1756" ht="14.25" customHeight="1" s="37">
      <c r="A1756" s="9">
        <f>IF(C1756="","","UM"&amp;TEXT(ROW()-1,"00000"))</f>
        <v/>
      </c>
      <c r="B1756" s="9" t="n"/>
      <c r="C1756" s="9" t="n"/>
      <c r="D1756" s="9" t="n"/>
      <c r="E1756" s="9" t="n"/>
      <c r="F1756" s="9">
        <f>IF(E1756="","",DATEDIF(E1756,DATE(2026,12,31),"Y"))</f>
        <v/>
      </c>
      <c r="G1756" s="9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  <c r="R1756" s="9" t="n"/>
      <c r="S1756" s="9" t="n"/>
      <c r="T1756" s="9" t="n"/>
      <c r="U1756" s="9" t="n"/>
      <c r="V1756" s="9" t="n"/>
      <c r="W1756" s="9" t="n"/>
      <c r="X1756" s="9" t="n"/>
      <c r="Y1756" s="9" t="n"/>
      <c r="Z1756" s="9" t="n"/>
    </row>
    <row r="1757" ht="14.25" customHeight="1" s="37">
      <c r="A1757" s="9">
        <f>IF(C1757="","","UM"&amp;TEXT(ROW()-1,"00000"))</f>
        <v/>
      </c>
      <c r="B1757" s="9" t="n"/>
      <c r="C1757" s="9" t="n"/>
      <c r="D1757" s="9" t="n"/>
      <c r="E1757" s="9" t="n"/>
      <c r="F1757" s="9">
        <f>IF(E1757="","",DATEDIF(E1757,DATE(2026,12,31),"Y"))</f>
        <v/>
      </c>
      <c r="G1757" s="9" t="n"/>
      <c r="H1757" s="9" t="n"/>
      <c r="I1757" s="9" t="n"/>
      <c r="J1757" s="9" t="n"/>
      <c r="K1757" s="9" t="n"/>
      <c r="L1757" s="9" t="n"/>
      <c r="M1757" s="9" t="n"/>
      <c r="N1757" s="9" t="n"/>
      <c r="O1757" s="9" t="n"/>
      <c r="P1757" s="9" t="n"/>
      <c r="Q1757" s="9" t="n"/>
      <c r="R1757" s="9" t="n"/>
      <c r="S1757" s="9" t="n"/>
      <c r="T1757" s="9" t="n"/>
      <c r="U1757" s="9" t="n"/>
      <c r="V1757" s="9" t="n"/>
      <c r="W1757" s="9" t="n"/>
      <c r="X1757" s="9" t="n"/>
      <c r="Y1757" s="9" t="n"/>
      <c r="Z1757" s="9" t="n"/>
    </row>
    <row r="1758" ht="14.25" customHeight="1" s="37">
      <c r="A1758" s="9">
        <f>IF(C1758="","","UM"&amp;TEXT(ROW()-1,"00000"))</f>
        <v/>
      </c>
      <c r="B1758" s="9" t="n"/>
      <c r="C1758" s="9" t="n"/>
      <c r="D1758" s="9" t="n"/>
      <c r="E1758" s="9" t="n"/>
      <c r="F1758" s="9">
        <f>IF(E1758="","",DATEDIF(E1758,DATE(2026,12,31),"Y"))</f>
        <v/>
      </c>
      <c r="G1758" s="9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  <c r="R1758" s="9" t="n"/>
      <c r="S1758" s="9" t="n"/>
      <c r="T1758" s="9" t="n"/>
      <c r="U1758" s="9" t="n"/>
      <c r="V1758" s="9" t="n"/>
      <c r="W1758" s="9" t="n"/>
      <c r="X1758" s="9" t="n"/>
      <c r="Y1758" s="9" t="n"/>
      <c r="Z1758" s="9" t="n"/>
    </row>
    <row r="1759" ht="14.25" customHeight="1" s="37">
      <c r="A1759" s="9">
        <f>IF(C1759="","","UM"&amp;TEXT(ROW()-1,"00000"))</f>
        <v/>
      </c>
      <c r="B1759" s="9" t="n"/>
      <c r="C1759" s="9" t="n"/>
      <c r="D1759" s="9" t="n"/>
      <c r="E1759" s="9" t="n"/>
      <c r="F1759" s="9">
        <f>IF(E1759="","",DATEDIF(E1759,DATE(2026,12,31),"Y"))</f>
        <v/>
      </c>
      <c r="G1759" s="9" t="n"/>
      <c r="H1759" s="9" t="n"/>
      <c r="I1759" s="9" t="n"/>
      <c r="J1759" s="9" t="n"/>
      <c r="K1759" s="9" t="n"/>
      <c r="L1759" s="9" t="n"/>
      <c r="M1759" s="9" t="n"/>
      <c r="N1759" s="9" t="n"/>
      <c r="O1759" s="9" t="n"/>
      <c r="P1759" s="9" t="n"/>
      <c r="Q1759" s="9" t="n"/>
      <c r="R1759" s="9" t="n"/>
      <c r="S1759" s="9" t="n"/>
      <c r="T1759" s="9" t="n"/>
      <c r="U1759" s="9" t="n"/>
      <c r="V1759" s="9" t="n"/>
      <c r="W1759" s="9" t="n"/>
      <c r="X1759" s="9" t="n"/>
      <c r="Y1759" s="9" t="n"/>
      <c r="Z1759" s="9" t="n"/>
    </row>
    <row r="1760" ht="14.25" customHeight="1" s="37">
      <c r="A1760" s="9">
        <f>IF(C1760="","","UM"&amp;TEXT(ROW()-1,"00000"))</f>
        <v/>
      </c>
      <c r="B1760" s="9" t="n"/>
      <c r="C1760" s="9" t="n"/>
      <c r="D1760" s="9" t="n"/>
      <c r="E1760" s="9" t="n"/>
      <c r="F1760" s="9">
        <f>IF(E1760="","",DATEDIF(E1760,DATE(2026,12,31),"Y"))</f>
        <v/>
      </c>
      <c r="G1760" s="9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  <c r="R1760" s="9" t="n"/>
      <c r="S1760" s="9" t="n"/>
      <c r="T1760" s="9" t="n"/>
      <c r="U1760" s="9" t="n"/>
      <c r="V1760" s="9" t="n"/>
      <c r="W1760" s="9" t="n"/>
      <c r="X1760" s="9" t="n"/>
      <c r="Y1760" s="9" t="n"/>
      <c r="Z1760" s="9" t="n"/>
    </row>
    <row r="1761" ht="14.25" customHeight="1" s="37">
      <c r="A1761" s="9">
        <f>IF(C1761="","","UM"&amp;TEXT(ROW()-1,"00000"))</f>
        <v/>
      </c>
      <c r="B1761" s="9" t="n"/>
      <c r="C1761" s="9" t="n"/>
      <c r="D1761" s="9" t="n"/>
      <c r="E1761" s="9" t="n"/>
      <c r="F1761" s="9">
        <f>IF(E1761="","",DATEDIF(E1761,DATE(2026,12,31),"Y"))</f>
        <v/>
      </c>
      <c r="G1761" s="9" t="n"/>
      <c r="H1761" s="9" t="n"/>
      <c r="I1761" s="9" t="n"/>
      <c r="J1761" s="9" t="n"/>
      <c r="K1761" s="9" t="n"/>
      <c r="L1761" s="9" t="n"/>
      <c r="M1761" s="9" t="n"/>
      <c r="N1761" s="9" t="n"/>
      <c r="O1761" s="9" t="n"/>
      <c r="P1761" s="9" t="n"/>
      <c r="Q1761" s="9" t="n"/>
      <c r="R1761" s="9" t="n"/>
      <c r="S1761" s="9" t="n"/>
      <c r="T1761" s="9" t="n"/>
      <c r="U1761" s="9" t="n"/>
      <c r="V1761" s="9" t="n"/>
      <c r="W1761" s="9" t="n"/>
      <c r="X1761" s="9" t="n"/>
      <c r="Y1761" s="9" t="n"/>
      <c r="Z1761" s="9" t="n"/>
    </row>
    <row r="1762" ht="14.25" customHeight="1" s="37">
      <c r="A1762" s="9">
        <f>IF(C1762="","","UM"&amp;TEXT(ROW()-1,"00000"))</f>
        <v/>
      </c>
      <c r="B1762" s="9" t="n"/>
      <c r="C1762" s="9" t="n"/>
      <c r="D1762" s="9" t="n"/>
      <c r="E1762" s="9" t="n"/>
      <c r="F1762" s="9">
        <f>IF(E1762="","",DATEDIF(E1762,DATE(2026,12,31),"Y"))</f>
        <v/>
      </c>
      <c r="G1762" s="9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  <c r="R1762" s="9" t="n"/>
      <c r="S1762" s="9" t="n"/>
      <c r="T1762" s="9" t="n"/>
      <c r="U1762" s="9" t="n"/>
      <c r="V1762" s="9" t="n"/>
      <c r="W1762" s="9" t="n"/>
      <c r="X1762" s="9" t="n"/>
      <c r="Y1762" s="9" t="n"/>
      <c r="Z1762" s="9" t="n"/>
    </row>
    <row r="1763" ht="14.25" customHeight="1" s="37">
      <c r="A1763" s="9">
        <f>IF(C1763="","","UM"&amp;TEXT(ROW()-1,"00000"))</f>
        <v/>
      </c>
      <c r="B1763" s="9" t="n"/>
      <c r="C1763" s="9" t="n"/>
      <c r="D1763" s="9" t="n"/>
      <c r="E1763" s="9" t="n"/>
      <c r="F1763" s="9">
        <f>IF(E1763="","",DATEDIF(E1763,DATE(2026,12,31),"Y"))</f>
        <v/>
      </c>
      <c r="G1763" s="9" t="n"/>
      <c r="H1763" s="9" t="n"/>
      <c r="I1763" s="9" t="n"/>
      <c r="J1763" s="9" t="n"/>
      <c r="K1763" s="9" t="n"/>
      <c r="L1763" s="9" t="n"/>
      <c r="M1763" s="9" t="n"/>
      <c r="N1763" s="9" t="n"/>
      <c r="O1763" s="9" t="n"/>
      <c r="P1763" s="9" t="n"/>
      <c r="Q1763" s="9" t="n"/>
      <c r="R1763" s="9" t="n"/>
      <c r="S1763" s="9" t="n"/>
      <c r="T1763" s="9" t="n"/>
      <c r="U1763" s="9" t="n"/>
      <c r="V1763" s="9" t="n"/>
      <c r="W1763" s="9" t="n"/>
      <c r="X1763" s="9" t="n"/>
      <c r="Y1763" s="9" t="n"/>
      <c r="Z1763" s="9" t="n"/>
    </row>
    <row r="1764" ht="14.25" customHeight="1" s="37">
      <c r="A1764" s="9">
        <f>IF(C1764="","","UM"&amp;TEXT(ROW()-1,"00000"))</f>
        <v/>
      </c>
      <c r="B1764" s="9" t="n"/>
      <c r="C1764" s="9" t="n"/>
      <c r="D1764" s="9" t="n"/>
      <c r="E1764" s="9" t="n"/>
      <c r="F1764" s="9">
        <f>IF(E1764="","",DATEDIF(E1764,DATE(2026,12,31),"Y"))</f>
        <v/>
      </c>
      <c r="G1764" s="9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  <c r="R1764" s="9" t="n"/>
      <c r="S1764" s="9" t="n"/>
      <c r="T1764" s="9" t="n"/>
      <c r="U1764" s="9" t="n"/>
      <c r="V1764" s="9" t="n"/>
      <c r="W1764" s="9" t="n"/>
      <c r="X1764" s="9" t="n"/>
      <c r="Y1764" s="9" t="n"/>
      <c r="Z1764" s="9" t="n"/>
    </row>
    <row r="1765" ht="14.25" customHeight="1" s="37">
      <c r="A1765" s="9">
        <f>IF(C1765="","","UM"&amp;TEXT(ROW()-1,"00000"))</f>
        <v/>
      </c>
      <c r="B1765" s="9" t="n"/>
      <c r="C1765" s="9" t="n"/>
      <c r="D1765" s="9" t="n"/>
      <c r="E1765" s="9" t="n"/>
      <c r="F1765" s="9">
        <f>IF(E1765="","",DATEDIF(E1765,DATE(2026,12,31),"Y"))</f>
        <v/>
      </c>
      <c r="G1765" s="9" t="n"/>
      <c r="H1765" s="9" t="n"/>
      <c r="I1765" s="9" t="n"/>
      <c r="J1765" s="9" t="n"/>
      <c r="K1765" s="9" t="n"/>
      <c r="L1765" s="9" t="n"/>
      <c r="M1765" s="9" t="n"/>
      <c r="N1765" s="9" t="n"/>
      <c r="O1765" s="9" t="n"/>
      <c r="P1765" s="9" t="n"/>
      <c r="Q1765" s="9" t="n"/>
      <c r="R1765" s="9" t="n"/>
      <c r="S1765" s="9" t="n"/>
      <c r="T1765" s="9" t="n"/>
      <c r="U1765" s="9" t="n"/>
      <c r="V1765" s="9" t="n"/>
      <c r="W1765" s="9" t="n"/>
      <c r="X1765" s="9" t="n"/>
      <c r="Y1765" s="9" t="n"/>
      <c r="Z1765" s="9" t="n"/>
    </row>
    <row r="1766" ht="14.25" customHeight="1" s="37">
      <c r="A1766" s="9">
        <f>IF(C1766="","","UM"&amp;TEXT(ROW()-1,"00000"))</f>
        <v/>
      </c>
      <c r="B1766" s="9" t="n"/>
      <c r="C1766" s="9" t="n"/>
      <c r="D1766" s="9" t="n"/>
      <c r="E1766" s="9" t="n"/>
      <c r="F1766" s="9">
        <f>IF(E1766="","",DATEDIF(E1766,DATE(2026,12,31),"Y"))</f>
        <v/>
      </c>
      <c r="G1766" s="9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  <c r="R1766" s="9" t="n"/>
      <c r="S1766" s="9" t="n"/>
      <c r="T1766" s="9" t="n"/>
      <c r="U1766" s="9" t="n"/>
      <c r="V1766" s="9" t="n"/>
      <c r="W1766" s="9" t="n"/>
      <c r="X1766" s="9" t="n"/>
      <c r="Y1766" s="9" t="n"/>
      <c r="Z1766" s="9" t="n"/>
    </row>
    <row r="1767" ht="14.25" customHeight="1" s="37">
      <c r="A1767" s="9">
        <f>IF(C1767="","","UM"&amp;TEXT(ROW()-1,"00000"))</f>
        <v/>
      </c>
      <c r="B1767" s="9" t="n"/>
      <c r="C1767" s="9" t="n"/>
      <c r="D1767" s="9" t="n"/>
      <c r="E1767" s="9" t="n"/>
      <c r="F1767" s="9">
        <f>IF(E1767="","",DATEDIF(E1767,DATE(2026,12,31),"Y"))</f>
        <v/>
      </c>
      <c r="G1767" s="9" t="n"/>
      <c r="H1767" s="9" t="n"/>
      <c r="I1767" s="9" t="n"/>
      <c r="J1767" s="9" t="n"/>
      <c r="K1767" s="9" t="n"/>
      <c r="L1767" s="9" t="n"/>
      <c r="M1767" s="9" t="n"/>
      <c r="N1767" s="9" t="n"/>
      <c r="O1767" s="9" t="n"/>
      <c r="P1767" s="9" t="n"/>
      <c r="Q1767" s="9" t="n"/>
      <c r="R1767" s="9" t="n"/>
      <c r="S1767" s="9" t="n"/>
      <c r="T1767" s="9" t="n"/>
      <c r="U1767" s="9" t="n"/>
      <c r="V1767" s="9" t="n"/>
      <c r="W1767" s="9" t="n"/>
      <c r="X1767" s="9" t="n"/>
      <c r="Y1767" s="9" t="n"/>
      <c r="Z1767" s="9" t="n"/>
    </row>
    <row r="1768" ht="14.25" customHeight="1" s="37">
      <c r="A1768" s="9">
        <f>IF(C1768="","","UM"&amp;TEXT(ROW()-1,"00000"))</f>
        <v/>
      </c>
      <c r="B1768" s="9" t="n"/>
      <c r="C1768" s="9" t="n"/>
      <c r="D1768" s="9" t="n"/>
      <c r="E1768" s="9" t="n"/>
      <c r="F1768" s="9">
        <f>IF(E1768="","",DATEDIF(E1768,DATE(2026,12,31),"Y"))</f>
        <v/>
      </c>
      <c r="G1768" s="9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  <c r="R1768" s="9" t="n"/>
      <c r="S1768" s="9" t="n"/>
      <c r="T1768" s="9" t="n"/>
      <c r="U1768" s="9" t="n"/>
      <c r="V1768" s="9" t="n"/>
      <c r="W1768" s="9" t="n"/>
      <c r="X1768" s="9" t="n"/>
      <c r="Y1768" s="9" t="n"/>
      <c r="Z1768" s="9" t="n"/>
    </row>
    <row r="1769" ht="14.25" customHeight="1" s="37">
      <c r="A1769" s="9">
        <f>IF(C1769="","","UM"&amp;TEXT(ROW()-1,"00000"))</f>
        <v/>
      </c>
      <c r="B1769" s="9" t="n"/>
      <c r="C1769" s="9" t="n"/>
      <c r="D1769" s="9" t="n"/>
      <c r="E1769" s="9" t="n"/>
      <c r="F1769" s="9">
        <f>IF(E1769="","",DATEDIF(E1769,DATE(2026,12,31),"Y"))</f>
        <v/>
      </c>
      <c r="G1769" s="9" t="n"/>
      <c r="H1769" s="9" t="n"/>
      <c r="I1769" s="9" t="n"/>
      <c r="J1769" s="9" t="n"/>
      <c r="K1769" s="9" t="n"/>
      <c r="L1769" s="9" t="n"/>
      <c r="M1769" s="9" t="n"/>
      <c r="N1769" s="9" t="n"/>
      <c r="O1769" s="9" t="n"/>
      <c r="P1769" s="9" t="n"/>
      <c r="Q1769" s="9" t="n"/>
      <c r="R1769" s="9" t="n"/>
      <c r="S1769" s="9" t="n"/>
      <c r="T1769" s="9" t="n"/>
      <c r="U1769" s="9" t="n"/>
      <c r="V1769" s="9" t="n"/>
      <c r="W1769" s="9" t="n"/>
      <c r="X1769" s="9" t="n"/>
      <c r="Y1769" s="9" t="n"/>
      <c r="Z1769" s="9" t="n"/>
    </row>
    <row r="1770" ht="14.25" customHeight="1" s="37">
      <c r="A1770" s="9">
        <f>IF(C1770="","","UM"&amp;TEXT(ROW()-1,"00000"))</f>
        <v/>
      </c>
      <c r="B1770" s="9" t="n"/>
      <c r="C1770" s="9" t="n"/>
      <c r="D1770" s="9" t="n"/>
      <c r="E1770" s="9" t="n"/>
      <c r="F1770" s="9">
        <f>IF(E1770="","",DATEDIF(E1770,DATE(2026,12,31),"Y"))</f>
        <v/>
      </c>
      <c r="G1770" s="9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  <c r="R1770" s="9" t="n"/>
      <c r="S1770" s="9" t="n"/>
      <c r="T1770" s="9" t="n"/>
      <c r="U1770" s="9" t="n"/>
      <c r="V1770" s="9" t="n"/>
      <c r="W1770" s="9" t="n"/>
      <c r="X1770" s="9" t="n"/>
      <c r="Y1770" s="9" t="n"/>
      <c r="Z1770" s="9" t="n"/>
    </row>
    <row r="1771" ht="14.25" customHeight="1" s="37">
      <c r="A1771" s="9">
        <f>IF(C1771="","","UM"&amp;TEXT(ROW()-1,"00000"))</f>
        <v/>
      </c>
      <c r="B1771" s="9" t="n"/>
      <c r="C1771" s="9" t="n"/>
      <c r="D1771" s="9" t="n"/>
      <c r="E1771" s="9" t="n"/>
      <c r="F1771" s="9">
        <f>IF(E1771="","",DATEDIF(E1771,DATE(2026,12,31),"Y"))</f>
        <v/>
      </c>
      <c r="G1771" s="9" t="n"/>
      <c r="H1771" s="9" t="n"/>
      <c r="I1771" s="9" t="n"/>
      <c r="J1771" s="9" t="n"/>
      <c r="K1771" s="9" t="n"/>
      <c r="L1771" s="9" t="n"/>
      <c r="M1771" s="9" t="n"/>
      <c r="N1771" s="9" t="n"/>
      <c r="O1771" s="9" t="n"/>
      <c r="P1771" s="9" t="n"/>
      <c r="Q1771" s="9" t="n"/>
      <c r="R1771" s="9" t="n"/>
      <c r="S1771" s="9" t="n"/>
      <c r="T1771" s="9" t="n"/>
      <c r="U1771" s="9" t="n"/>
      <c r="V1771" s="9" t="n"/>
      <c r="W1771" s="9" t="n"/>
      <c r="X1771" s="9" t="n"/>
      <c r="Y1771" s="9" t="n"/>
      <c r="Z1771" s="9" t="n"/>
    </row>
    <row r="1772" ht="14.25" customHeight="1" s="37">
      <c r="A1772" s="9">
        <f>IF(C1772="","","UM"&amp;TEXT(ROW()-1,"00000"))</f>
        <v/>
      </c>
      <c r="B1772" s="9" t="n"/>
      <c r="C1772" s="9" t="n"/>
      <c r="D1772" s="9" t="n"/>
      <c r="E1772" s="9" t="n"/>
      <c r="F1772" s="9">
        <f>IF(E1772="","",DATEDIF(E1772,DATE(2026,12,31),"Y"))</f>
        <v/>
      </c>
      <c r="G1772" s="9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  <c r="R1772" s="9" t="n"/>
      <c r="S1772" s="9" t="n"/>
      <c r="T1772" s="9" t="n"/>
      <c r="U1772" s="9" t="n"/>
      <c r="V1772" s="9" t="n"/>
      <c r="W1772" s="9" t="n"/>
      <c r="X1772" s="9" t="n"/>
      <c r="Y1772" s="9" t="n"/>
      <c r="Z1772" s="9" t="n"/>
    </row>
    <row r="1773" ht="14.25" customHeight="1" s="37">
      <c r="A1773" s="9">
        <f>IF(C1773="","","UM"&amp;TEXT(ROW()-1,"00000"))</f>
        <v/>
      </c>
      <c r="B1773" s="9" t="n"/>
      <c r="C1773" s="9" t="n"/>
      <c r="D1773" s="9" t="n"/>
      <c r="E1773" s="9" t="n"/>
      <c r="F1773" s="9">
        <f>IF(E1773="","",DATEDIF(E1773,DATE(2026,12,31),"Y"))</f>
        <v/>
      </c>
      <c r="G1773" s="9" t="n"/>
      <c r="H1773" s="9" t="n"/>
      <c r="I1773" s="9" t="n"/>
      <c r="J1773" s="9" t="n"/>
      <c r="K1773" s="9" t="n"/>
      <c r="L1773" s="9" t="n"/>
      <c r="M1773" s="9" t="n"/>
      <c r="N1773" s="9" t="n"/>
      <c r="O1773" s="9" t="n"/>
      <c r="P1773" s="9" t="n"/>
      <c r="Q1773" s="9" t="n"/>
      <c r="R1773" s="9" t="n"/>
      <c r="S1773" s="9" t="n"/>
      <c r="T1773" s="9" t="n"/>
      <c r="U1773" s="9" t="n"/>
      <c r="V1773" s="9" t="n"/>
      <c r="W1773" s="9" t="n"/>
      <c r="X1773" s="9" t="n"/>
      <c r="Y1773" s="9" t="n"/>
      <c r="Z1773" s="9" t="n"/>
    </row>
    <row r="1774" ht="14.25" customHeight="1" s="37">
      <c r="A1774" s="9">
        <f>IF(C1774="","","UM"&amp;TEXT(ROW()-1,"00000"))</f>
        <v/>
      </c>
      <c r="B1774" s="9" t="n"/>
      <c r="C1774" s="9" t="n"/>
      <c r="D1774" s="9" t="n"/>
      <c r="E1774" s="9" t="n"/>
      <c r="F1774" s="9">
        <f>IF(E1774="","",DATEDIF(E1774,DATE(2026,12,31),"Y"))</f>
        <v/>
      </c>
      <c r="G1774" s="9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  <c r="R1774" s="9" t="n"/>
      <c r="S1774" s="9" t="n"/>
      <c r="T1774" s="9" t="n"/>
      <c r="U1774" s="9" t="n"/>
      <c r="V1774" s="9" t="n"/>
      <c r="W1774" s="9" t="n"/>
      <c r="X1774" s="9" t="n"/>
      <c r="Y1774" s="9" t="n"/>
      <c r="Z1774" s="9" t="n"/>
    </row>
    <row r="1775" ht="14.25" customHeight="1" s="37">
      <c r="A1775" s="9">
        <f>IF(C1775="","","UM"&amp;TEXT(ROW()-1,"00000"))</f>
        <v/>
      </c>
      <c r="B1775" s="9" t="n"/>
      <c r="C1775" s="9" t="n"/>
      <c r="D1775" s="9" t="n"/>
      <c r="E1775" s="9" t="n"/>
      <c r="F1775" s="9">
        <f>IF(E1775="","",DATEDIF(E1775,DATE(2026,12,31),"Y"))</f>
        <v/>
      </c>
      <c r="G1775" s="9" t="n"/>
      <c r="H1775" s="9" t="n"/>
      <c r="I1775" s="9" t="n"/>
      <c r="J1775" s="9" t="n"/>
      <c r="K1775" s="9" t="n"/>
      <c r="L1775" s="9" t="n"/>
      <c r="M1775" s="9" t="n"/>
      <c r="N1775" s="9" t="n"/>
      <c r="O1775" s="9" t="n"/>
      <c r="P1775" s="9" t="n"/>
      <c r="Q1775" s="9" t="n"/>
      <c r="R1775" s="9" t="n"/>
      <c r="S1775" s="9" t="n"/>
      <c r="T1775" s="9" t="n"/>
      <c r="U1775" s="9" t="n"/>
      <c r="V1775" s="9" t="n"/>
      <c r="W1775" s="9" t="n"/>
      <c r="X1775" s="9" t="n"/>
      <c r="Y1775" s="9" t="n"/>
      <c r="Z1775" s="9" t="n"/>
    </row>
    <row r="1776" ht="14.25" customHeight="1" s="37">
      <c r="A1776" s="9">
        <f>IF(C1776="","","UM"&amp;TEXT(ROW()-1,"00000"))</f>
        <v/>
      </c>
      <c r="B1776" s="9" t="n"/>
      <c r="C1776" s="9" t="n"/>
      <c r="D1776" s="9" t="n"/>
      <c r="E1776" s="9" t="n"/>
      <c r="F1776" s="9">
        <f>IF(E1776="","",DATEDIF(E1776,DATE(2026,12,31),"Y"))</f>
        <v/>
      </c>
      <c r="G1776" s="9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  <c r="R1776" s="9" t="n"/>
      <c r="S1776" s="9" t="n"/>
      <c r="T1776" s="9" t="n"/>
      <c r="U1776" s="9" t="n"/>
      <c r="V1776" s="9" t="n"/>
      <c r="W1776" s="9" t="n"/>
      <c r="X1776" s="9" t="n"/>
      <c r="Y1776" s="9" t="n"/>
      <c r="Z1776" s="9" t="n"/>
    </row>
    <row r="1777" ht="14.25" customHeight="1" s="37">
      <c r="A1777" s="9">
        <f>IF(C1777="","","UM"&amp;TEXT(ROW()-1,"00000"))</f>
        <v/>
      </c>
      <c r="B1777" s="9" t="n"/>
      <c r="C1777" s="9" t="n"/>
      <c r="D1777" s="9" t="n"/>
      <c r="E1777" s="9" t="n"/>
      <c r="F1777" s="9">
        <f>IF(E1777="","",DATEDIF(E1777,DATE(2026,12,31),"Y"))</f>
        <v/>
      </c>
      <c r="G1777" s="9" t="n"/>
      <c r="H1777" s="9" t="n"/>
      <c r="I1777" s="9" t="n"/>
      <c r="J1777" s="9" t="n"/>
      <c r="K1777" s="9" t="n"/>
      <c r="L1777" s="9" t="n"/>
      <c r="M1777" s="9" t="n"/>
      <c r="N1777" s="9" t="n"/>
      <c r="O1777" s="9" t="n"/>
      <c r="P1777" s="9" t="n"/>
      <c r="Q1777" s="9" t="n"/>
      <c r="R1777" s="9" t="n"/>
      <c r="S1777" s="9" t="n"/>
      <c r="T1777" s="9" t="n"/>
      <c r="U1777" s="9" t="n"/>
      <c r="V1777" s="9" t="n"/>
      <c r="W1777" s="9" t="n"/>
      <c r="X1777" s="9" t="n"/>
      <c r="Y1777" s="9" t="n"/>
      <c r="Z1777" s="9" t="n"/>
    </row>
    <row r="1778" ht="14.25" customHeight="1" s="37">
      <c r="A1778" s="9">
        <f>IF(C1778="","","UM"&amp;TEXT(ROW()-1,"00000"))</f>
        <v/>
      </c>
      <c r="B1778" s="9" t="n"/>
      <c r="C1778" s="9" t="n"/>
      <c r="D1778" s="9" t="n"/>
      <c r="E1778" s="9" t="n"/>
      <c r="F1778" s="9">
        <f>IF(E1778="","",DATEDIF(E1778,DATE(2026,12,31),"Y"))</f>
        <v/>
      </c>
      <c r="G1778" s="9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  <c r="R1778" s="9" t="n"/>
      <c r="S1778" s="9" t="n"/>
      <c r="T1778" s="9" t="n"/>
      <c r="U1778" s="9" t="n"/>
      <c r="V1778" s="9" t="n"/>
      <c r="W1778" s="9" t="n"/>
      <c r="X1778" s="9" t="n"/>
      <c r="Y1778" s="9" t="n"/>
      <c r="Z1778" s="9" t="n"/>
    </row>
    <row r="1779" ht="14.25" customHeight="1" s="37">
      <c r="A1779" s="9">
        <f>IF(C1779="","","UM"&amp;TEXT(ROW()-1,"00000"))</f>
        <v/>
      </c>
      <c r="B1779" s="9" t="n"/>
      <c r="C1779" s="9" t="n"/>
      <c r="D1779" s="9" t="n"/>
      <c r="E1779" s="9" t="n"/>
      <c r="F1779" s="9">
        <f>IF(E1779="","",DATEDIF(E1779,DATE(2026,12,31),"Y"))</f>
        <v/>
      </c>
      <c r="G1779" s="9" t="n"/>
      <c r="H1779" s="9" t="n"/>
      <c r="I1779" s="9" t="n"/>
      <c r="J1779" s="9" t="n"/>
      <c r="K1779" s="9" t="n"/>
      <c r="L1779" s="9" t="n"/>
      <c r="M1779" s="9" t="n"/>
      <c r="N1779" s="9" t="n"/>
      <c r="O1779" s="9" t="n"/>
      <c r="P1779" s="9" t="n"/>
      <c r="Q1779" s="9" t="n"/>
      <c r="R1779" s="9" t="n"/>
      <c r="S1779" s="9" t="n"/>
      <c r="T1779" s="9" t="n"/>
      <c r="U1779" s="9" t="n"/>
      <c r="V1779" s="9" t="n"/>
      <c r="W1779" s="9" t="n"/>
      <c r="X1779" s="9" t="n"/>
      <c r="Y1779" s="9" t="n"/>
      <c r="Z1779" s="9" t="n"/>
    </row>
    <row r="1780" ht="14.25" customHeight="1" s="37">
      <c r="A1780" s="9">
        <f>IF(C1780="","","UM"&amp;TEXT(ROW()-1,"00000"))</f>
        <v/>
      </c>
      <c r="B1780" s="9" t="n"/>
      <c r="C1780" s="9" t="n"/>
      <c r="D1780" s="9" t="n"/>
      <c r="E1780" s="9" t="n"/>
      <c r="F1780" s="9">
        <f>IF(E1780="","",DATEDIF(E1780,DATE(2026,12,31),"Y"))</f>
        <v/>
      </c>
      <c r="G1780" s="9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  <c r="R1780" s="9" t="n"/>
      <c r="S1780" s="9" t="n"/>
      <c r="T1780" s="9" t="n"/>
      <c r="U1780" s="9" t="n"/>
      <c r="V1780" s="9" t="n"/>
      <c r="W1780" s="9" t="n"/>
      <c r="X1780" s="9" t="n"/>
      <c r="Y1780" s="9" t="n"/>
      <c r="Z1780" s="9" t="n"/>
    </row>
    <row r="1781" ht="14.25" customHeight="1" s="37">
      <c r="A1781" s="9">
        <f>IF(C1781="","","UM"&amp;TEXT(ROW()-1,"00000"))</f>
        <v/>
      </c>
      <c r="B1781" s="9" t="n"/>
      <c r="C1781" s="9" t="n"/>
      <c r="D1781" s="9" t="n"/>
      <c r="E1781" s="9" t="n"/>
      <c r="F1781" s="9">
        <f>IF(E1781="","",DATEDIF(E1781,DATE(2026,12,31),"Y"))</f>
        <v/>
      </c>
      <c r="G1781" s="9" t="n"/>
      <c r="H1781" s="9" t="n"/>
      <c r="I1781" s="9" t="n"/>
      <c r="J1781" s="9" t="n"/>
      <c r="K1781" s="9" t="n"/>
      <c r="L1781" s="9" t="n"/>
      <c r="M1781" s="9" t="n"/>
      <c r="N1781" s="9" t="n"/>
      <c r="O1781" s="9" t="n"/>
      <c r="P1781" s="9" t="n"/>
      <c r="Q1781" s="9" t="n"/>
      <c r="R1781" s="9" t="n"/>
      <c r="S1781" s="9" t="n"/>
      <c r="T1781" s="9" t="n"/>
      <c r="U1781" s="9" t="n"/>
      <c r="V1781" s="9" t="n"/>
      <c r="W1781" s="9" t="n"/>
      <c r="X1781" s="9" t="n"/>
      <c r="Y1781" s="9" t="n"/>
      <c r="Z1781" s="9" t="n"/>
    </row>
    <row r="1782" ht="14.25" customHeight="1" s="37">
      <c r="A1782" s="9">
        <f>IF(C1782="","","UM"&amp;TEXT(ROW()-1,"00000"))</f>
        <v/>
      </c>
      <c r="B1782" s="9" t="n"/>
      <c r="C1782" s="9" t="n"/>
      <c r="D1782" s="9" t="n"/>
      <c r="E1782" s="9" t="n"/>
      <c r="F1782" s="9">
        <f>IF(E1782="","",DATEDIF(E1782,DATE(2026,12,31),"Y"))</f>
        <v/>
      </c>
      <c r="G1782" s="9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  <c r="R1782" s="9" t="n"/>
      <c r="S1782" s="9" t="n"/>
      <c r="T1782" s="9" t="n"/>
      <c r="U1782" s="9" t="n"/>
      <c r="V1782" s="9" t="n"/>
      <c r="W1782" s="9" t="n"/>
      <c r="X1782" s="9" t="n"/>
      <c r="Y1782" s="9" t="n"/>
      <c r="Z1782" s="9" t="n"/>
    </row>
    <row r="1783" ht="14.25" customHeight="1" s="37">
      <c r="A1783" s="9">
        <f>IF(C1783="","","UM"&amp;TEXT(ROW()-1,"00000"))</f>
        <v/>
      </c>
      <c r="B1783" s="9" t="n"/>
      <c r="C1783" s="9" t="n"/>
      <c r="D1783" s="9" t="n"/>
      <c r="E1783" s="9" t="n"/>
      <c r="F1783" s="9">
        <f>IF(E1783="","",DATEDIF(E1783,DATE(2026,12,31),"Y"))</f>
        <v/>
      </c>
      <c r="G1783" s="9" t="n"/>
      <c r="H1783" s="9" t="n"/>
      <c r="I1783" s="9" t="n"/>
      <c r="J1783" s="9" t="n"/>
      <c r="K1783" s="9" t="n"/>
      <c r="L1783" s="9" t="n"/>
      <c r="M1783" s="9" t="n"/>
      <c r="N1783" s="9" t="n"/>
      <c r="O1783" s="9" t="n"/>
      <c r="P1783" s="9" t="n"/>
      <c r="Q1783" s="9" t="n"/>
      <c r="R1783" s="9" t="n"/>
      <c r="S1783" s="9" t="n"/>
      <c r="T1783" s="9" t="n"/>
      <c r="U1783" s="9" t="n"/>
      <c r="V1783" s="9" t="n"/>
      <c r="W1783" s="9" t="n"/>
      <c r="X1783" s="9" t="n"/>
      <c r="Y1783" s="9" t="n"/>
      <c r="Z1783" s="9" t="n"/>
    </row>
    <row r="1784" ht="14.25" customHeight="1" s="37">
      <c r="A1784" s="9">
        <f>IF(C1784="","","UM"&amp;TEXT(ROW()-1,"00000"))</f>
        <v/>
      </c>
      <c r="B1784" s="9" t="n"/>
      <c r="C1784" s="9" t="n"/>
      <c r="D1784" s="9" t="n"/>
      <c r="E1784" s="9" t="n"/>
      <c r="F1784" s="9">
        <f>IF(E1784="","",DATEDIF(E1784,DATE(2026,12,31),"Y"))</f>
        <v/>
      </c>
      <c r="G1784" s="9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  <c r="R1784" s="9" t="n"/>
      <c r="S1784" s="9" t="n"/>
      <c r="T1784" s="9" t="n"/>
      <c r="U1784" s="9" t="n"/>
      <c r="V1784" s="9" t="n"/>
      <c r="W1784" s="9" t="n"/>
      <c r="X1784" s="9" t="n"/>
      <c r="Y1784" s="9" t="n"/>
      <c r="Z1784" s="9" t="n"/>
    </row>
    <row r="1785" ht="14.25" customHeight="1" s="37">
      <c r="A1785" s="9">
        <f>IF(C1785="","","UM"&amp;TEXT(ROW()-1,"00000"))</f>
        <v/>
      </c>
      <c r="B1785" s="9" t="n"/>
      <c r="C1785" s="9" t="n"/>
      <c r="D1785" s="9" t="n"/>
      <c r="E1785" s="9" t="n"/>
      <c r="F1785" s="9">
        <f>IF(E1785="","",DATEDIF(E1785,DATE(2026,12,31),"Y"))</f>
        <v/>
      </c>
      <c r="G1785" s="9" t="n"/>
      <c r="H1785" s="9" t="n"/>
      <c r="I1785" s="9" t="n"/>
      <c r="J1785" s="9" t="n"/>
      <c r="K1785" s="9" t="n"/>
      <c r="L1785" s="9" t="n"/>
      <c r="M1785" s="9" t="n"/>
      <c r="N1785" s="9" t="n"/>
      <c r="O1785" s="9" t="n"/>
      <c r="P1785" s="9" t="n"/>
      <c r="Q1785" s="9" t="n"/>
      <c r="R1785" s="9" t="n"/>
      <c r="S1785" s="9" t="n"/>
      <c r="T1785" s="9" t="n"/>
      <c r="U1785" s="9" t="n"/>
      <c r="V1785" s="9" t="n"/>
      <c r="W1785" s="9" t="n"/>
      <c r="X1785" s="9" t="n"/>
      <c r="Y1785" s="9" t="n"/>
      <c r="Z1785" s="9" t="n"/>
    </row>
    <row r="1786" ht="14.25" customHeight="1" s="37">
      <c r="A1786" s="9">
        <f>IF(C1786="","","UM"&amp;TEXT(ROW()-1,"00000"))</f>
        <v/>
      </c>
      <c r="B1786" s="9" t="n"/>
      <c r="C1786" s="9" t="n"/>
      <c r="D1786" s="9" t="n"/>
      <c r="E1786" s="9" t="n"/>
      <c r="F1786" s="9">
        <f>IF(E1786="","",DATEDIF(E1786,DATE(2026,12,31),"Y"))</f>
        <v/>
      </c>
      <c r="G1786" s="9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  <c r="R1786" s="9" t="n"/>
      <c r="S1786" s="9" t="n"/>
      <c r="T1786" s="9" t="n"/>
      <c r="U1786" s="9" t="n"/>
      <c r="V1786" s="9" t="n"/>
      <c r="W1786" s="9" t="n"/>
      <c r="X1786" s="9" t="n"/>
      <c r="Y1786" s="9" t="n"/>
      <c r="Z1786" s="9" t="n"/>
    </row>
    <row r="1787" ht="14.25" customHeight="1" s="37">
      <c r="A1787" s="9">
        <f>IF(C1787="","","UM"&amp;TEXT(ROW()-1,"00000"))</f>
        <v/>
      </c>
      <c r="B1787" s="9" t="n"/>
      <c r="C1787" s="9" t="n"/>
      <c r="D1787" s="9" t="n"/>
      <c r="E1787" s="9" t="n"/>
      <c r="F1787" s="9">
        <f>IF(E1787="","",DATEDIF(E1787,DATE(2026,12,31),"Y"))</f>
        <v/>
      </c>
      <c r="G1787" s="9" t="n"/>
      <c r="H1787" s="9" t="n"/>
      <c r="I1787" s="9" t="n"/>
      <c r="J1787" s="9" t="n"/>
      <c r="K1787" s="9" t="n"/>
      <c r="L1787" s="9" t="n"/>
      <c r="M1787" s="9" t="n"/>
      <c r="N1787" s="9" t="n"/>
      <c r="O1787" s="9" t="n"/>
      <c r="P1787" s="9" t="n"/>
      <c r="Q1787" s="9" t="n"/>
      <c r="R1787" s="9" t="n"/>
      <c r="S1787" s="9" t="n"/>
      <c r="T1787" s="9" t="n"/>
      <c r="U1787" s="9" t="n"/>
      <c r="V1787" s="9" t="n"/>
      <c r="W1787" s="9" t="n"/>
      <c r="X1787" s="9" t="n"/>
      <c r="Y1787" s="9" t="n"/>
      <c r="Z1787" s="9" t="n"/>
    </row>
    <row r="1788" ht="14.25" customHeight="1" s="37">
      <c r="A1788" s="9">
        <f>IF(C1788="","","UM"&amp;TEXT(ROW()-1,"00000"))</f>
        <v/>
      </c>
      <c r="B1788" s="9" t="n"/>
      <c r="C1788" s="9" t="n"/>
      <c r="D1788" s="9" t="n"/>
      <c r="E1788" s="9" t="n"/>
      <c r="F1788" s="9">
        <f>IF(E1788="","",DATEDIF(E1788,DATE(2026,12,31),"Y"))</f>
        <v/>
      </c>
      <c r="G1788" s="9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  <c r="R1788" s="9" t="n"/>
      <c r="S1788" s="9" t="n"/>
      <c r="T1788" s="9" t="n"/>
      <c r="U1788" s="9" t="n"/>
      <c r="V1788" s="9" t="n"/>
      <c r="W1788" s="9" t="n"/>
      <c r="X1788" s="9" t="n"/>
      <c r="Y1788" s="9" t="n"/>
      <c r="Z1788" s="9" t="n"/>
    </row>
    <row r="1789" ht="14.25" customHeight="1" s="37">
      <c r="A1789" s="9">
        <f>IF(C1789="","","UM"&amp;TEXT(ROW()-1,"00000"))</f>
        <v/>
      </c>
      <c r="B1789" s="9" t="n"/>
      <c r="C1789" s="9" t="n"/>
      <c r="D1789" s="9" t="n"/>
      <c r="E1789" s="9" t="n"/>
      <c r="F1789" s="9">
        <f>IF(E1789="","",DATEDIF(E1789,DATE(2026,12,31),"Y"))</f>
        <v/>
      </c>
      <c r="G1789" s="9" t="n"/>
      <c r="H1789" s="9" t="n"/>
      <c r="I1789" s="9" t="n"/>
      <c r="J1789" s="9" t="n"/>
      <c r="K1789" s="9" t="n"/>
      <c r="L1789" s="9" t="n"/>
      <c r="M1789" s="9" t="n"/>
      <c r="N1789" s="9" t="n"/>
      <c r="O1789" s="9" t="n"/>
      <c r="P1789" s="9" t="n"/>
      <c r="Q1789" s="9" t="n"/>
      <c r="R1789" s="9" t="n"/>
      <c r="S1789" s="9" t="n"/>
      <c r="T1789" s="9" t="n"/>
      <c r="U1789" s="9" t="n"/>
      <c r="V1789" s="9" t="n"/>
      <c r="W1789" s="9" t="n"/>
      <c r="X1789" s="9" t="n"/>
      <c r="Y1789" s="9" t="n"/>
      <c r="Z1789" s="9" t="n"/>
    </row>
    <row r="1790" ht="14.25" customHeight="1" s="37">
      <c r="A1790" s="9">
        <f>IF(C1790="","","UM"&amp;TEXT(ROW()-1,"00000"))</f>
        <v/>
      </c>
      <c r="B1790" s="9" t="n"/>
      <c r="C1790" s="9" t="n"/>
      <c r="D1790" s="9" t="n"/>
      <c r="E1790" s="9" t="n"/>
      <c r="F1790" s="9">
        <f>IF(E1790="","",DATEDIF(E1790,DATE(2026,12,31),"Y"))</f>
        <v/>
      </c>
      <c r="G1790" s="9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  <c r="R1790" s="9" t="n"/>
      <c r="S1790" s="9" t="n"/>
      <c r="T1790" s="9" t="n"/>
      <c r="U1790" s="9" t="n"/>
      <c r="V1790" s="9" t="n"/>
      <c r="W1790" s="9" t="n"/>
      <c r="X1790" s="9" t="n"/>
      <c r="Y1790" s="9" t="n"/>
      <c r="Z1790" s="9" t="n"/>
    </row>
    <row r="1791" ht="14.25" customHeight="1" s="37">
      <c r="A1791" s="9">
        <f>IF(C1791="","","UM"&amp;TEXT(ROW()-1,"00000"))</f>
        <v/>
      </c>
      <c r="B1791" s="9" t="n"/>
      <c r="C1791" s="9" t="n"/>
      <c r="D1791" s="9" t="n"/>
      <c r="E1791" s="9" t="n"/>
      <c r="F1791" s="9">
        <f>IF(E1791="","",DATEDIF(E1791,DATE(2026,12,31),"Y"))</f>
        <v/>
      </c>
      <c r="G1791" s="9" t="n"/>
      <c r="H1791" s="9" t="n"/>
      <c r="I1791" s="9" t="n"/>
      <c r="J1791" s="9" t="n"/>
      <c r="K1791" s="9" t="n"/>
      <c r="L1791" s="9" t="n"/>
      <c r="M1791" s="9" t="n"/>
      <c r="N1791" s="9" t="n"/>
      <c r="O1791" s="9" t="n"/>
      <c r="P1791" s="9" t="n"/>
      <c r="Q1791" s="9" t="n"/>
      <c r="R1791" s="9" t="n"/>
      <c r="S1791" s="9" t="n"/>
      <c r="T1791" s="9" t="n"/>
      <c r="U1791" s="9" t="n"/>
      <c r="V1791" s="9" t="n"/>
      <c r="W1791" s="9" t="n"/>
      <c r="X1791" s="9" t="n"/>
      <c r="Y1791" s="9" t="n"/>
      <c r="Z1791" s="9" t="n"/>
    </row>
    <row r="1792" ht="14.25" customHeight="1" s="37">
      <c r="A1792" s="9">
        <f>IF(C1792="","","UM"&amp;TEXT(ROW()-1,"00000"))</f>
        <v/>
      </c>
      <c r="B1792" s="9" t="n"/>
      <c r="C1792" s="9" t="n"/>
      <c r="D1792" s="9" t="n"/>
      <c r="E1792" s="9" t="n"/>
      <c r="F1792" s="9">
        <f>IF(E1792="","",DATEDIF(E1792,DATE(2026,12,31),"Y"))</f>
        <v/>
      </c>
      <c r="G1792" s="9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  <c r="R1792" s="9" t="n"/>
      <c r="S1792" s="9" t="n"/>
      <c r="T1792" s="9" t="n"/>
      <c r="U1792" s="9" t="n"/>
      <c r="V1792" s="9" t="n"/>
      <c r="W1792" s="9" t="n"/>
      <c r="X1792" s="9" t="n"/>
      <c r="Y1792" s="9" t="n"/>
      <c r="Z1792" s="9" t="n"/>
    </row>
    <row r="1793" ht="14.25" customHeight="1" s="37">
      <c r="A1793" s="9">
        <f>IF(C1793="","","UM"&amp;TEXT(ROW()-1,"00000"))</f>
        <v/>
      </c>
      <c r="B1793" s="9" t="n"/>
      <c r="C1793" s="9" t="n"/>
      <c r="D1793" s="9" t="n"/>
      <c r="E1793" s="9" t="n"/>
      <c r="F1793" s="9">
        <f>IF(E1793="","",DATEDIF(E1793,DATE(2026,12,31),"Y"))</f>
        <v/>
      </c>
      <c r="G1793" s="9" t="n"/>
      <c r="H1793" s="9" t="n"/>
      <c r="I1793" s="9" t="n"/>
      <c r="J1793" s="9" t="n"/>
      <c r="K1793" s="9" t="n"/>
      <c r="L1793" s="9" t="n"/>
      <c r="M1793" s="9" t="n"/>
      <c r="N1793" s="9" t="n"/>
      <c r="O1793" s="9" t="n"/>
      <c r="P1793" s="9" t="n"/>
      <c r="Q1793" s="9" t="n"/>
      <c r="R1793" s="9" t="n"/>
      <c r="S1793" s="9" t="n"/>
      <c r="T1793" s="9" t="n"/>
      <c r="U1793" s="9" t="n"/>
      <c r="V1793" s="9" t="n"/>
      <c r="W1793" s="9" t="n"/>
      <c r="X1793" s="9" t="n"/>
      <c r="Y1793" s="9" t="n"/>
      <c r="Z1793" s="9" t="n"/>
    </row>
    <row r="1794" ht="14.25" customHeight="1" s="37">
      <c r="A1794" s="9">
        <f>IF(C1794="","","UM"&amp;TEXT(ROW()-1,"00000"))</f>
        <v/>
      </c>
      <c r="B1794" s="9" t="n"/>
      <c r="C1794" s="9" t="n"/>
      <c r="D1794" s="9" t="n"/>
      <c r="E1794" s="9" t="n"/>
      <c r="F1794" s="9">
        <f>IF(E1794="","",DATEDIF(E1794,DATE(2026,12,31),"Y"))</f>
        <v/>
      </c>
      <c r="G1794" s="9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  <c r="R1794" s="9" t="n"/>
      <c r="S1794" s="9" t="n"/>
      <c r="T1794" s="9" t="n"/>
      <c r="U1794" s="9" t="n"/>
      <c r="V1794" s="9" t="n"/>
      <c r="W1794" s="9" t="n"/>
      <c r="X1794" s="9" t="n"/>
      <c r="Y1794" s="9" t="n"/>
      <c r="Z1794" s="9" t="n"/>
    </row>
    <row r="1795" ht="14.25" customHeight="1" s="37">
      <c r="A1795" s="9">
        <f>IF(C1795="","","UM"&amp;TEXT(ROW()-1,"00000"))</f>
        <v/>
      </c>
      <c r="B1795" s="9" t="n"/>
      <c r="C1795" s="9" t="n"/>
      <c r="D1795" s="9" t="n"/>
      <c r="E1795" s="9" t="n"/>
      <c r="F1795" s="9">
        <f>IF(E1795="","",DATEDIF(E1795,DATE(2026,12,31),"Y"))</f>
        <v/>
      </c>
      <c r="G1795" s="9" t="n"/>
      <c r="H1795" s="9" t="n"/>
      <c r="I1795" s="9" t="n"/>
      <c r="J1795" s="9" t="n"/>
      <c r="K1795" s="9" t="n"/>
      <c r="L1795" s="9" t="n"/>
      <c r="M1795" s="9" t="n"/>
      <c r="N1795" s="9" t="n"/>
      <c r="O1795" s="9" t="n"/>
      <c r="P1795" s="9" t="n"/>
      <c r="Q1795" s="9" t="n"/>
      <c r="R1795" s="9" t="n"/>
      <c r="S1795" s="9" t="n"/>
      <c r="T1795" s="9" t="n"/>
      <c r="U1795" s="9" t="n"/>
      <c r="V1795" s="9" t="n"/>
      <c r="W1795" s="9" t="n"/>
      <c r="X1795" s="9" t="n"/>
      <c r="Y1795" s="9" t="n"/>
      <c r="Z1795" s="9" t="n"/>
    </row>
    <row r="1796" ht="14.25" customHeight="1" s="37">
      <c r="A1796" s="9">
        <f>IF(C1796="","","UM"&amp;TEXT(ROW()-1,"00000"))</f>
        <v/>
      </c>
      <c r="B1796" s="9" t="n"/>
      <c r="C1796" s="9" t="n"/>
      <c r="D1796" s="9" t="n"/>
      <c r="E1796" s="9" t="n"/>
      <c r="F1796" s="9">
        <f>IF(E1796="","",DATEDIF(E1796,DATE(2026,12,31),"Y"))</f>
        <v/>
      </c>
      <c r="G1796" s="9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  <c r="R1796" s="9" t="n"/>
      <c r="S1796" s="9" t="n"/>
      <c r="T1796" s="9" t="n"/>
      <c r="U1796" s="9" t="n"/>
      <c r="V1796" s="9" t="n"/>
      <c r="W1796" s="9" t="n"/>
      <c r="X1796" s="9" t="n"/>
      <c r="Y1796" s="9" t="n"/>
      <c r="Z1796" s="9" t="n"/>
    </row>
    <row r="1797" ht="14.25" customHeight="1" s="37">
      <c r="A1797" s="9">
        <f>IF(C1797="","","UM"&amp;TEXT(ROW()-1,"00000"))</f>
        <v/>
      </c>
      <c r="B1797" s="9" t="n"/>
      <c r="C1797" s="9" t="n"/>
      <c r="D1797" s="9" t="n"/>
      <c r="E1797" s="9" t="n"/>
      <c r="F1797" s="9">
        <f>IF(E1797="","",DATEDIF(E1797,DATE(2026,12,31),"Y"))</f>
        <v/>
      </c>
      <c r="G1797" s="9" t="n"/>
      <c r="H1797" s="9" t="n"/>
      <c r="I1797" s="9" t="n"/>
      <c r="J1797" s="9" t="n"/>
      <c r="K1797" s="9" t="n"/>
      <c r="L1797" s="9" t="n"/>
      <c r="M1797" s="9" t="n"/>
      <c r="N1797" s="9" t="n"/>
      <c r="O1797" s="9" t="n"/>
      <c r="P1797" s="9" t="n"/>
      <c r="Q1797" s="9" t="n"/>
      <c r="R1797" s="9" t="n"/>
      <c r="S1797" s="9" t="n"/>
      <c r="T1797" s="9" t="n"/>
      <c r="U1797" s="9" t="n"/>
      <c r="V1797" s="9" t="n"/>
      <c r="W1797" s="9" t="n"/>
      <c r="X1797" s="9" t="n"/>
      <c r="Y1797" s="9" t="n"/>
      <c r="Z1797" s="9" t="n"/>
    </row>
    <row r="1798" ht="14.25" customHeight="1" s="37">
      <c r="A1798" s="9">
        <f>IF(C1798="","","UM"&amp;TEXT(ROW()-1,"00000"))</f>
        <v/>
      </c>
      <c r="B1798" s="9" t="n"/>
      <c r="C1798" s="9" t="n"/>
      <c r="D1798" s="9" t="n"/>
      <c r="E1798" s="9" t="n"/>
      <c r="F1798" s="9">
        <f>IF(E1798="","",DATEDIF(E1798,DATE(2026,12,31),"Y"))</f>
        <v/>
      </c>
      <c r="G1798" s="9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  <c r="R1798" s="9" t="n"/>
      <c r="S1798" s="9" t="n"/>
      <c r="T1798" s="9" t="n"/>
      <c r="U1798" s="9" t="n"/>
      <c r="V1798" s="9" t="n"/>
      <c r="W1798" s="9" t="n"/>
      <c r="X1798" s="9" t="n"/>
      <c r="Y1798" s="9" t="n"/>
      <c r="Z1798" s="9" t="n"/>
    </row>
    <row r="1799" ht="14.25" customHeight="1" s="37">
      <c r="A1799" s="9">
        <f>IF(C1799="","","UM"&amp;TEXT(ROW()-1,"00000"))</f>
        <v/>
      </c>
      <c r="B1799" s="9" t="n"/>
      <c r="C1799" s="9" t="n"/>
      <c r="D1799" s="9" t="n"/>
      <c r="E1799" s="9" t="n"/>
      <c r="F1799" s="9">
        <f>IF(E1799="","",DATEDIF(E1799,DATE(2026,12,31),"Y"))</f>
        <v/>
      </c>
      <c r="G1799" s="9" t="n"/>
      <c r="H1799" s="9" t="n"/>
      <c r="I1799" s="9" t="n"/>
      <c r="J1799" s="9" t="n"/>
      <c r="K1799" s="9" t="n"/>
      <c r="L1799" s="9" t="n"/>
      <c r="M1799" s="9" t="n"/>
      <c r="N1799" s="9" t="n"/>
      <c r="O1799" s="9" t="n"/>
      <c r="P1799" s="9" t="n"/>
      <c r="Q1799" s="9" t="n"/>
      <c r="R1799" s="9" t="n"/>
      <c r="S1799" s="9" t="n"/>
      <c r="T1799" s="9" t="n"/>
      <c r="U1799" s="9" t="n"/>
      <c r="V1799" s="9" t="n"/>
      <c r="W1799" s="9" t="n"/>
      <c r="X1799" s="9" t="n"/>
      <c r="Y1799" s="9" t="n"/>
      <c r="Z1799" s="9" t="n"/>
    </row>
    <row r="1800" ht="14.25" customHeight="1" s="37">
      <c r="A1800" s="9">
        <f>IF(C1800="","","UM"&amp;TEXT(ROW()-1,"00000"))</f>
        <v/>
      </c>
      <c r="B1800" s="9" t="n"/>
      <c r="C1800" s="9" t="n"/>
      <c r="D1800" s="9" t="n"/>
      <c r="E1800" s="9" t="n"/>
      <c r="F1800" s="9">
        <f>IF(E1800="","",DATEDIF(E1800,DATE(2026,12,31),"Y"))</f>
        <v/>
      </c>
      <c r="G1800" s="9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  <c r="R1800" s="9" t="n"/>
      <c r="S1800" s="9" t="n"/>
      <c r="T1800" s="9" t="n"/>
      <c r="U1800" s="9" t="n"/>
      <c r="V1800" s="9" t="n"/>
      <c r="W1800" s="9" t="n"/>
      <c r="X1800" s="9" t="n"/>
      <c r="Y1800" s="9" t="n"/>
      <c r="Z1800" s="9" t="n"/>
    </row>
    <row r="1801" ht="14.25" customHeight="1" s="37">
      <c r="A1801" s="9">
        <f>IF(C1801="","","UM"&amp;TEXT(ROW()-1,"00000"))</f>
        <v/>
      </c>
      <c r="B1801" s="9" t="n"/>
      <c r="C1801" s="9" t="n"/>
      <c r="D1801" s="9" t="n"/>
      <c r="E1801" s="9" t="n"/>
      <c r="F1801" s="9">
        <f>IF(E1801="","",DATEDIF(E1801,DATE(2026,12,31),"Y"))</f>
        <v/>
      </c>
      <c r="G1801" s="9" t="n"/>
      <c r="H1801" s="9" t="n"/>
      <c r="I1801" s="9" t="n"/>
      <c r="J1801" s="9" t="n"/>
      <c r="K1801" s="9" t="n"/>
      <c r="L1801" s="9" t="n"/>
      <c r="M1801" s="9" t="n"/>
      <c r="N1801" s="9" t="n"/>
      <c r="O1801" s="9" t="n"/>
      <c r="P1801" s="9" t="n"/>
      <c r="Q1801" s="9" t="n"/>
      <c r="R1801" s="9" t="n"/>
      <c r="S1801" s="9" t="n"/>
      <c r="T1801" s="9" t="n"/>
      <c r="U1801" s="9" t="n"/>
      <c r="V1801" s="9" t="n"/>
      <c r="W1801" s="9" t="n"/>
      <c r="X1801" s="9" t="n"/>
      <c r="Y1801" s="9" t="n"/>
      <c r="Z1801" s="9" t="n"/>
    </row>
    <row r="1802" ht="14.25" customHeight="1" s="37">
      <c r="A1802" s="9">
        <f>IF(C1802="","","UM"&amp;TEXT(ROW()-1,"00000"))</f>
        <v/>
      </c>
      <c r="B1802" s="9" t="n"/>
      <c r="C1802" s="9" t="n"/>
      <c r="D1802" s="9" t="n"/>
      <c r="E1802" s="9" t="n"/>
      <c r="F1802" s="9">
        <f>IF(E1802="","",DATEDIF(E1802,DATE(2026,12,31),"Y"))</f>
        <v/>
      </c>
      <c r="G1802" s="9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  <c r="R1802" s="9" t="n"/>
      <c r="S1802" s="9" t="n"/>
      <c r="T1802" s="9" t="n"/>
      <c r="U1802" s="9" t="n"/>
      <c r="V1802" s="9" t="n"/>
      <c r="W1802" s="9" t="n"/>
      <c r="X1802" s="9" t="n"/>
      <c r="Y1802" s="9" t="n"/>
      <c r="Z1802" s="9" t="n"/>
    </row>
    <row r="1803" ht="14.25" customHeight="1" s="37">
      <c r="A1803" s="9">
        <f>IF(C1803="","","UM"&amp;TEXT(ROW()-1,"00000"))</f>
        <v/>
      </c>
      <c r="B1803" s="9" t="n"/>
      <c r="C1803" s="9" t="n"/>
      <c r="D1803" s="9" t="n"/>
      <c r="E1803" s="9" t="n"/>
      <c r="F1803" s="9">
        <f>IF(E1803="","",DATEDIF(E1803,DATE(2026,12,31),"Y"))</f>
        <v/>
      </c>
      <c r="G1803" s="9" t="n"/>
      <c r="H1803" s="9" t="n"/>
      <c r="I1803" s="9" t="n"/>
      <c r="J1803" s="9" t="n"/>
      <c r="K1803" s="9" t="n"/>
      <c r="L1803" s="9" t="n"/>
      <c r="M1803" s="9" t="n"/>
      <c r="N1803" s="9" t="n"/>
      <c r="O1803" s="9" t="n"/>
      <c r="P1803" s="9" t="n"/>
      <c r="Q1803" s="9" t="n"/>
      <c r="R1803" s="9" t="n"/>
      <c r="S1803" s="9" t="n"/>
      <c r="T1803" s="9" t="n"/>
      <c r="U1803" s="9" t="n"/>
      <c r="V1803" s="9" t="n"/>
      <c r="W1803" s="9" t="n"/>
      <c r="X1803" s="9" t="n"/>
      <c r="Y1803" s="9" t="n"/>
      <c r="Z1803" s="9" t="n"/>
    </row>
    <row r="1804" ht="14.25" customHeight="1" s="37">
      <c r="A1804" s="9">
        <f>IF(C1804="","","UM"&amp;TEXT(ROW()-1,"00000"))</f>
        <v/>
      </c>
      <c r="B1804" s="9" t="n"/>
      <c r="C1804" s="9" t="n"/>
      <c r="D1804" s="9" t="n"/>
      <c r="E1804" s="9" t="n"/>
      <c r="F1804" s="9">
        <f>IF(E1804="","",DATEDIF(E1804,DATE(2026,12,31),"Y"))</f>
        <v/>
      </c>
      <c r="G1804" s="9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  <c r="R1804" s="9" t="n"/>
      <c r="S1804" s="9" t="n"/>
      <c r="T1804" s="9" t="n"/>
      <c r="U1804" s="9" t="n"/>
      <c r="V1804" s="9" t="n"/>
      <c r="W1804" s="9" t="n"/>
      <c r="X1804" s="9" t="n"/>
      <c r="Y1804" s="9" t="n"/>
      <c r="Z1804" s="9" t="n"/>
    </row>
    <row r="1805" ht="14.25" customHeight="1" s="37">
      <c r="A1805" s="9">
        <f>IF(C1805="","","UM"&amp;TEXT(ROW()-1,"00000"))</f>
        <v/>
      </c>
      <c r="B1805" s="9" t="n"/>
      <c r="C1805" s="9" t="n"/>
      <c r="D1805" s="9" t="n"/>
      <c r="E1805" s="9" t="n"/>
      <c r="F1805" s="9">
        <f>IF(E1805="","",DATEDIF(E1805,DATE(2026,12,31),"Y"))</f>
        <v/>
      </c>
      <c r="G1805" s="9" t="n"/>
      <c r="H1805" s="9" t="n"/>
      <c r="I1805" s="9" t="n"/>
      <c r="J1805" s="9" t="n"/>
      <c r="K1805" s="9" t="n"/>
      <c r="L1805" s="9" t="n"/>
      <c r="M1805" s="9" t="n"/>
      <c r="N1805" s="9" t="n"/>
      <c r="O1805" s="9" t="n"/>
      <c r="P1805" s="9" t="n"/>
      <c r="Q1805" s="9" t="n"/>
      <c r="R1805" s="9" t="n"/>
      <c r="S1805" s="9" t="n"/>
      <c r="T1805" s="9" t="n"/>
      <c r="U1805" s="9" t="n"/>
      <c r="V1805" s="9" t="n"/>
      <c r="W1805" s="9" t="n"/>
      <c r="X1805" s="9" t="n"/>
      <c r="Y1805" s="9" t="n"/>
      <c r="Z1805" s="9" t="n"/>
    </row>
    <row r="1806" ht="14.25" customHeight="1" s="37">
      <c r="A1806" s="9">
        <f>IF(C1806="","","UM"&amp;TEXT(ROW()-1,"00000"))</f>
        <v/>
      </c>
      <c r="B1806" s="9" t="n"/>
      <c r="C1806" s="9" t="n"/>
      <c r="D1806" s="9" t="n"/>
      <c r="E1806" s="9" t="n"/>
      <c r="F1806" s="9">
        <f>IF(E1806="","",DATEDIF(E1806,DATE(2026,12,31),"Y"))</f>
        <v/>
      </c>
      <c r="G1806" s="9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  <c r="R1806" s="9" t="n"/>
      <c r="S1806" s="9" t="n"/>
      <c r="T1806" s="9" t="n"/>
      <c r="U1806" s="9" t="n"/>
      <c r="V1806" s="9" t="n"/>
      <c r="W1806" s="9" t="n"/>
      <c r="X1806" s="9" t="n"/>
      <c r="Y1806" s="9" t="n"/>
      <c r="Z1806" s="9" t="n"/>
    </row>
    <row r="1807" ht="14.25" customHeight="1" s="37">
      <c r="A1807" s="9">
        <f>IF(C1807="","","UM"&amp;TEXT(ROW()-1,"00000"))</f>
        <v/>
      </c>
      <c r="B1807" s="9" t="n"/>
      <c r="C1807" s="9" t="n"/>
      <c r="D1807" s="9" t="n"/>
      <c r="E1807" s="9" t="n"/>
      <c r="F1807" s="9">
        <f>IF(E1807="","",DATEDIF(E1807,DATE(2026,12,31),"Y"))</f>
        <v/>
      </c>
      <c r="G1807" s="9" t="n"/>
      <c r="H1807" s="9" t="n"/>
      <c r="I1807" s="9" t="n"/>
      <c r="J1807" s="9" t="n"/>
      <c r="K1807" s="9" t="n"/>
      <c r="L1807" s="9" t="n"/>
      <c r="M1807" s="9" t="n"/>
      <c r="N1807" s="9" t="n"/>
      <c r="O1807" s="9" t="n"/>
      <c r="P1807" s="9" t="n"/>
      <c r="Q1807" s="9" t="n"/>
      <c r="R1807" s="9" t="n"/>
      <c r="S1807" s="9" t="n"/>
      <c r="T1807" s="9" t="n"/>
      <c r="U1807" s="9" t="n"/>
      <c r="V1807" s="9" t="n"/>
      <c r="W1807" s="9" t="n"/>
      <c r="X1807" s="9" t="n"/>
      <c r="Y1807" s="9" t="n"/>
      <c r="Z1807" s="9" t="n"/>
    </row>
    <row r="1808" ht="14.25" customHeight="1" s="37">
      <c r="A1808" s="9">
        <f>IF(C1808="","","UM"&amp;TEXT(ROW()-1,"00000"))</f>
        <v/>
      </c>
      <c r="B1808" s="9" t="n"/>
      <c r="C1808" s="9" t="n"/>
      <c r="D1808" s="9" t="n"/>
      <c r="E1808" s="9" t="n"/>
      <c r="F1808" s="9">
        <f>IF(E1808="","",DATEDIF(E1808,DATE(2026,12,31),"Y"))</f>
        <v/>
      </c>
      <c r="G1808" s="9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  <c r="R1808" s="9" t="n"/>
      <c r="S1808" s="9" t="n"/>
      <c r="T1808" s="9" t="n"/>
      <c r="U1808" s="9" t="n"/>
      <c r="V1808" s="9" t="n"/>
      <c r="W1808" s="9" t="n"/>
      <c r="X1808" s="9" t="n"/>
      <c r="Y1808" s="9" t="n"/>
      <c r="Z1808" s="9" t="n"/>
    </row>
    <row r="1809" ht="14.25" customHeight="1" s="37">
      <c r="A1809" s="9">
        <f>IF(C1809="","","UM"&amp;TEXT(ROW()-1,"00000"))</f>
        <v/>
      </c>
      <c r="B1809" s="9" t="n"/>
      <c r="C1809" s="9" t="n"/>
      <c r="D1809" s="9" t="n"/>
      <c r="E1809" s="9" t="n"/>
      <c r="F1809" s="9">
        <f>IF(E1809="","",DATEDIF(E1809,DATE(2026,12,31),"Y"))</f>
        <v/>
      </c>
      <c r="G1809" s="9" t="n"/>
      <c r="H1809" s="9" t="n"/>
      <c r="I1809" s="9" t="n"/>
      <c r="J1809" s="9" t="n"/>
      <c r="K1809" s="9" t="n"/>
      <c r="L1809" s="9" t="n"/>
      <c r="M1809" s="9" t="n"/>
      <c r="N1809" s="9" t="n"/>
      <c r="O1809" s="9" t="n"/>
      <c r="P1809" s="9" t="n"/>
      <c r="Q1809" s="9" t="n"/>
      <c r="R1809" s="9" t="n"/>
      <c r="S1809" s="9" t="n"/>
      <c r="T1809" s="9" t="n"/>
      <c r="U1809" s="9" t="n"/>
      <c r="V1809" s="9" t="n"/>
      <c r="W1809" s="9" t="n"/>
      <c r="X1809" s="9" t="n"/>
      <c r="Y1809" s="9" t="n"/>
      <c r="Z1809" s="9" t="n"/>
    </row>
    <row r="1810" ht="14.25" customHeight="1" s="37">
      <c r="A1810" s="9">
        <f>IF(C1810="","","UM"&amp;TEXT(ROW()-1,"00000"))</f>
        <v/>
      </c>
      <c r="B1810" s="9" t="n"/>
      <c r="C1810" s="9" t="n"/>
      <c r="D1810" s="9" t="n"/>
      <c r="E1810" s="9" t="n"/>
      <c r="F1810" s="9">
        <f>IF(E1810="","",DATEDIF(E1810,DATE(2026,12,31),"Y"))</f>
        <v/>
      </c>
      <c r="G1810" s="9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  <c r="R1810" s="9" t="n"/>
      <c r="S1810" s="9" t="n"/>
      <c r="T1810" s="9" t="n"/>
      <c r="U1810" s="9" t="n"/>
      <c r="V1810" s="9" t="n"/>
      <c r="W1810" s="9" t="n"/>
      <c r="X1810" s="9" t="n"/>
      <c r="Y1810" s="9" t="n"/>
      <c r="Z1810" s="9" t="n"/>
    </row>
    <row r="1811" ht="14.25" customHeight="1" s="37">
      <c r="A1811" s="9">
        <f>IF(C1811="","","UM"&amp;TEXT(ROW()-1,"00000"))</f>
        <v/>
      </c>
      <c r="B1811" s="9" t="n"/>
      <c r="C1811" s="9" t="n"/>
      <c r="D1811" s="9" t="n"/>
      <c r="E1811" s="9" t="n"/>
      <c r="F1811" s="9">
        <f>IF(E1811="","",DATEDIF(E1811,DATE(2026,12,31),"Y"))</f>
        <v/>
      </c>
      <c r="G1811" s="9" t="n"/>
      <c r="H1811" s="9" t="n"/>
      <c r="I1811" s="9" t="n"/>
      <c r="J1811" s="9" t="n"/>
      <c r="K1811" s="9" t="n"/>
      <c r="L1811" s="9" t="n"/>
      <c r="M1811" s="9" t="n"/>
      <c r="N1811" s="9" t="n"/>
      <c r="O1811" s="9" t="n"/>
      <c r="P1811" s="9" t="n"/>
      <c r="Q1811" s="9" t="n"/>
      <c r="R1811" s="9" t="n"/>
      <c r="S1811" s="9" t="n"/>
      <c r="T1811" s="9" t="n"/>
      <c r="U1811" s="9" t="n"/>
      <c r="V1811" s="9" t="n"/>
      <c r="W1811" s="9" t="n"/>
      <c r="X1811" s="9" t="n"/>
      <c r="Y1811" s="9" t="n"/>
      <c r="Z1811" s="9" t="n"/>
    </row>
    <row r="1812" ht="14.25" customHeight="1" s="37">
      <c r="A1812" s="9">
        <f>IF(C1812="","","UM"&amp;TEXT(ROW()-1,"00000"))</f>
        <v/>
      </c>
      <c r="B1812" s="9" t="n"/>
      <c r="C1812" s="9" t="n"/>
      <c r="D1812" s="9" t="n"/>
      <c r="E1812" s="9" t="n"/>
      <c r="F1812" s="9">
        <f>IF(E1812="","",DATEDIF(E1812,DATE(2026,12,31),"Y"))</f>
        <v/>
      </c>
      <c r="G1812" s="9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  <c r="R1812" s="9" t="n"/>
      <c r="S1812" s="9" t="n"/>
      <c r="T1812" s="9" t="n"/>
      <c r="U1812" s="9" t="n"/>
      <c r="V1812" s="9" t="n"/>
      <c r="W1812" s="9" t="n"/>
      <c r="X1812" s="9" t="n"/>
      <c r="Y1812" s="9" t="n"/>
      <c r="Z1812" s="9" t="n"/>
    </row>
    <row r="1813" ht="14.25" customHeight="1" s="37">
      <c r="A1813" s="9">
        <f>IF(C1813="","","UM"&amp;TEXT(ROW()-1,"00000"))</f>
        <v/>
      </c>
      <c r="B1813" s="9" t="n"/>
      <c r="C1813" s="9" t="n"/>
      <c r="D1813" s="9" t="n"/>
      <c r="E1813" s="9" t="n"/>
      <c r="F1813" s="9">
        <f>IF(E1813="","",DATEDIF(E1813,DATE(2026,12,31),"Y"))</f>
        <v/>
      </c>
      <c r="G1813" s="9" t="n"/>
      <c r="H1813" s="9" t="n"/>
      <c r="I1813" s="9" t="n"/>
      <c r="J1813" s="9" t="n"/>
      <c r="K1813" s="9" t="n"/>
      <c r="L1813" s="9" t="n"/>
      <c r="M1813" s="9" t="n"/>
      <c r="N1813" s="9" t="n"/>
      <c r="O1813" s="9" t="n"/>
      <c r="P1813" s="9" t="n"/>
      <c r="Q1813" s="9" t="n"/>
      <c r="R1813" s="9" t="n"/>
      <c r="S1813" s="9" t="n"/>
      <c r="T1813" s="9" t="n"/>
      <c r="U1813" s="9" t="n"/>
      <c r="V1813" s="9" t="n"/>
      <c r="W1813" s="9" t="n"/>
      <c r="X1813" s="9" t="n"/>
      <c r="Y1813" s="9" t="n"/>
      <c r="Z1813" s="9" t="n"/>
    </row>
    <row r="1814" ht="14.25" customHeight="1" s="37">
      <c r="A1814" s="9">
        <f>IF(C1814="","","UM"&amp;TEXT(ROW()-1,"00000"))</f>
        <v/>
      </c>
      <c r="B1814" s="9" t="n"/>
      <c r="C1814" s="9" t="n"/>
      <c r="D1814" s="9" t="n"/>
      <c r="E1814" s="9" t="n"/>
      <c r="F1814" s="9">
        <f>IF(E1814="","",DATEDIF(E1814,DATE(2026,12,31),"Y"))</f>
        <v/>
      </c>
      <c r="G1814" s="9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  <c r="R1814" s="9" t="n"/>
      <c r="S1814" s="9" t="n"/>
      <c r="T1814" s="9" t="n"/>
      <c r="U1814" s="9" t="n"/>
      <c r="V1814" s="9" t="n"/>
      <c r="W1814" s="9" t="n"/>
      <c r="X1814" s="9" t="n"/>
      <c r="Y1814" s="9" t="n"/>
      <c r="Z1814" s="9" t="n"/>
    </row>
    <row r="1815" ht="14.25" customHeight="1" s="37">
      <c r="A1815" s="9">
        <f>IF(C1815="","","UM"&amp;TEXT(ROW()-1,"00000"))</f>
        <v/>
      </c>
      <c r="B1815" s="9" t="n"/>
      <c r="C1815" s="9" t="n"/>
      <c r="D1815" s="9" t="n"/>
      <c r="E1815" s="9" t="n"/>
      <c r="F1815" s="9">
        <f>IF(E1815="","",DATEDIF(E1815,DATE(2026,12,31),"Y"))</f>
        <v/>
      </c>
      <c r="G1815" s="9" t="n"/>
      <c r="H1815" s="9" t="n"/>
      <c r="I1815" s="9" t="n"/>
      <c r="J1815" s="9" t="n"/>
      <c r="K1815" s="9" t="n"/>
      <c r="L1815" s="9" t="n"/>
      <c r="M1815" s="9" t="n"/>
      <c r="N1815" s="9" t="n"/>
      <c r="O1815" s="9" t="n"/>
      <c r="P1815" s="9" t="n"/>
      <c r="Q1815" s="9" t="n"/>
      <c r="R1815" s="9" t="n"/>
      <c r="S1815" s="9" t="n"/>
      <c r="T1815" s="9" t="n"/>
      <c r="U1815" s="9" t="n"/>
      <c r="V1815" s="9" t="n"/>
      <c r="W1815" s="9" t="n"/>
      <c r="X1815" s="9" t="n"/>
      <c r="Y1815" s="9" t="n"/>
      <c r="Z1815" s="9" t="n"/>
    </row>
    <row r="1816" ht="14.25" customHeight="1" s="37">
      <c r="A1816" s="9">
        <f>IF(C1816="","","UM"&amp;TEXT(ROW()-1,"00000"))</f>
        <v/>
      </c>
      <c r="B1816" s="9" t="n"/>
      <c r="C1816" s="9" t="n"/>
      <c r="D1816" s="9" t="n"/>
      <c r="E1816" s="9" t="n"/>
      <c r="F1816" s="9">
        <f>IF(E1816="","",DATEDIF(E1816,DATE(2026,12,31),"Y"))</f>
        <v/>
      </c>
      <c r="G1816" s="9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  <c r="R1816" s="9" t="n"/>
      <c r="S1816" s="9" t="n"/>
      <c r="T1816" s="9" t="n"/>
      <c r="U1816" s="9" t="n"/>
      <c r="V1816" s="9" t="n"/>
      <c r="W1816" s="9" t="n"/>
      <c r="X1816" s="9" t="n"/>
      <c r="Y1816" s="9" t="n"/>
      <c r="Z1816" s="9" t="n"/>
    </row>
    <row r="1817" ht="14.25" customHeight="1" s="37">
      <c r="A1817" s="9">
        <f>IF(C1817="","","UM"&amp;TEXT(ROW()-1,"00000"))</f>
        <v/>
      </c>
      <c r="B1817" s="9" t="n"/>
      <c r="C1817" s="9" t="n"/>
      <c r="D1817" s="9" t="n"/>
      <c r="E1817" s="9" t="n"/>
      <c r="F1817" s="9">
        <f>IF(E1817="","",DATEDIF(E1817,DATE(2026,12,31),"Y"))</f>
        <v/>
      </c>
      <c r="G1817" s="9" t="n"/>
      <c r="H1817" s="9" t="n"/>
      <c r="I1817" s="9" t="n"/>
      <c r="J1817" s="9" t="n"/>
      <c r="K1817" s="9" t="n"/>
      <c r="L1817" s="9" t="n"/>
      <c r="M1817" s="9" t="n"/>
      <c r="N1817" s="9" t="n"/>
      <c r="O1817" s="9" t="n"/>
      <c r="P1817" s="9" t="n"/>
      <c r="Q1817" s="9" t="n"/>
      <c r="R1817" s="9" t="n"/>
      <c r="S1817" s="9" t="n"/>
      <c r="T1817" s="9" t="n"/>
      <c r="U1817" s="9" t="n"/>
      <c r="V1817" s="9" t="n"/>
      <c r="W1817" s="9" t="n"/>
      <c r="X1817" s="9" t="n"/>
      <c r="Y1817" s="9" t="n"/>
      <c r="Z1817" s="9" t="n"/>
    </row>
    <row r="1818" ht="14.25" customHeight="1" s="37">
      <c r="A1818" s="9">
        <f>IF(C1818="","","UM"&amp;TEXT(ROW()-1,"00000"))</f>
        <v/>
      </c>
      <c r="B1818" s="9" t="n"/>
      <c r="C1818" s="9" t="n"/>
      <c r="D1818" s="9" t="n"/>
      <c r="E1818" s="9" t="n"/>
      <c r="F1818" s="9">
        <f>IF(E1818="","",DATEDIF(E1818,DATE(2026,12,31),"Y"))</f>
        <v/>
      </c>
      <c r="G1818" s="9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  <c r="R1818" s="9" t="n"/>
      <c r="S1818" s="9" t="n"/>
      <c r="T1818" s="9" t="n"/>
      <c r="U1818" s="9" t="n"/>
      <c r="V1818" s="9" t="n"/>
      <c r="W1818" s="9" t="n"/>
      <c r="X1818" s="9" t="n"/>
      <c r="Y1818" s="9" t="n"/>
      <c r="Z1818" s="9" t="n"/>
    </row>
    <row r="1819" ht="14.25" customHeight="1" s="37">
      <c r="A1819" s="9">
        <f>IF(C1819="","","UM"&amp;TEXT(ROW()-1,"00000"))</f>
        <v/>
      </c>
      <c r="B1819" s="9" t="n"/>
      <c r="C1819" s="9" t="n"/>
      <c r="D1819" s="9" t="n"/>
      <c r="E1819" s="9" t="n"/>
      <c r="F1819" s="9">
        <f>IF(E1819="","",DATEDIF(E1819,DATE(2026,12,31),"Y"))</f>
        <v/>
      </c>
      <c r="G1819" s="9" t="n"/>
      <c r="H1819" s="9" t="n"/>
      <c r="I1819" s="9" t="n"/>
      <c r="J1819" s="9" t="n"/>
      <c r="K1819" s="9" t="n"/>
      <c r="L1819" s="9" t="n"/>
      <c r="M1819" s="9" t="n"/>
      <c r="N1819" s="9" t="n"/>
      <c r="O1819" s="9" t="n"/>
      <c r="P1819" s="9" t="n"/>
      <c r="Q1819" s="9" t="n"/>
      <c r="R1819" s="9" t="n"/>
      <c r="S1819" s="9" t="n"/>
      <c r="T1819" s="9" t="n"/>
      <c r="U1819" s="9" t="n"/>
      <c r="V1819" s="9" t="n"/>
      <c r="W1819" s="9" t="n"/>
      <c r="X1819" s="9" t="n"/>
      <c r="Y1819" s="9" t="n"/>
      <c r="Z1819" s="9" t="n"/>
    </row>
    <row r="1820" ht="14.25" customHeight="1" s="37">
      <c r="A1820" s="9">
        <f>IF(C1820="","","UM"&amp;TEXT(ROW()-1,"00000"))</f>
        <v/>
      </c>
      <c r="B1820" s="9" t="n"/>
      <c r="C1820" s="9" t="n"/>
      <c r="D1820" s="9" t="n"/>
      <c r="E1820" s="9" t="n"/>
      <c r="F1820" s="9">
        <f>IF(E1820="","",DATEDIF(E1820,DATE(2026,12,31),"Y"))</f>
        <v/>
      </c>
      <c r="G1820" s="9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  <c r="R1820" s="9" t="n"/>
      <c r="S1820" s="9" t="n"/>
      <c r="T1820" s="9" t="n"/>
      <c r="U1820" s="9" t="n"/>
      <c r="V1820" s="9" t="n"/>
      <c r="W1820" s="9" t="n"/>
      <c r="X1820" s="9" t="n"/>
      <c r="Y1820" s="9" t="n"/>
      <c r="Z1820" s="9" t="n"/>
    </row>
    <row r="1821" ht="14.25" customHeight="1" s="37">
      <c r="A1821" s="9">
        <f>IF(C1821="","","UM"&amp;TEXT(ROW()-1,"00000"))</f>
        <v/>
      </c>
      <c r="B1821" s="9" t="n"/>
      <c r="C1821" s="9" t="n"/>
      <c r="D1821" s="9" t="n"/>
      <c r="E1821" s="9" t="n"/>
      <c r="F1821" s="9">
        <f>IF(E1821="","",DATEDIF(E1821,DATE(2026,12,31),"Y"))</f>
        <v/>
      </c>
      <c r="G1821" s="9" t="n"/>
      <c r="H1821" s="9" t="n"/>
      <c r="I1821" s="9" t="n"/>
      <c r="J1821" s="9" t="n"/>
      <c r="K1821" s="9" t="n"/>
      <c r="L1821" s="9" t="n"/>
      <c r="M1821" s="9" t="n"/>
      <c r="N1821" s="9" t="n"/>
      <c r="O1821" s="9" t="n"/>
      <c r="P1821" s="9" t="n"/>
      <c r="Q1821" s="9" t="n"/>
      <c r="R1821" s="9" t="n"/>
      <c r="S1821" s="9" t="n"/>
      <c r="T1821" s="9" t="n"/>
      <c r="U1821" s="9" t="n"/>
      <c r="V1821" s="9" t="n"/>
      <c r="W1821" s="9" t="n"/>
      <c r="X1821" s="9" t="n"/>
      <c r="Y1821" s="9" t="n"/>
      <c r="Z1821" s="9" t="n"/>
    </row>
    <row r="1822" ht="14.25" customHeight="1" s="37">
      <c r="A1822" s="9">
        <f>IF(C1822="","","UM"&amp;TEXT(ROW()-1,"00000"))</f>
        <v/>
      </c>
      <c r="B1822" s="9" t="n"/>
      <c r="C1822" s="9" t="n"/>
      <c r="D1822" s="9" t="n"/>
      <c r="E1822" s="9" t="n"/>
      <c r="F1822" s="9">
        <f>IF(E1822="","",DATEDIF(E1822,DATE(2026,12,31),"Y"))</f>
        <v/>
      </c>
      <c r="G1822" s="9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  <c r="R1822" s="9" t="n"/>
      <c r="S1822" s="9" t="n"/>
      <c r="T1822" s="9" t="n"/>
      <c r="U1822" s="9" t="n"/>
      <c r="V1822" s="9" t="n"/>
      <c r="W1822" s="9" t="n"/>
      <c r="X1822" s="9" t="n"/>
      <c r="Y1822" s="9" t="n"/>
      <c r="Z1822" s="9" t="n"/>
    </row>
    <row r="1823" ht="14.25" customHeight="1" s="37">
      <c r="A1823" s="9">
        <f>IF(C1823="","","UM"&amp;TEXT(ROW()-1,"00000"))</f>
        <v/>
      </c>
      <c r="B1823" s="9" t="n"/>
      <c r="C1823" s="9" t="n"/>
      <c r="D1823" s="9" t="n"/>
      <c r="E1823" s="9" t="n"/>
      <c r="F1823" s="9">
        <f>IF(E1823="","",DATEDIF(E1823,DATE(2026,12,31),"Y"))</f>
        <v/>
      </c>
      <c r="G1823" s="9" t="n"/>
      <c r="H1823" s="9" t="n"/>
      <c r="I1823" s="9" t="n"/>
      <c r="J1823" s="9" t="n"/>
      <c r="K1823" s="9" t="n"/>
      <c r="L1823" s="9" t="n"/>
      <c r="M1823" s="9" t="n"/>
      <c r="N1823" s="9" t="n"/>
      <c r="O1823" s="9" t="n"/>
      <c r="P1823" s="9" t="n"/>
      <c r="Q1823" s="9" t="n"/>
      <c r="R1823" s="9" t="n"/>
      <c r="S1823" s="9" t="n"/>
      <c r="T1823" s="9" t="n"/>
      <c r="U1823" s="9" t="n"/>
      <c r="V1823" s="9" t="n"/>
      <c r="W1823" s="9" t="n"/>
      <c r="X1823" s="9" t="n"/>
      <c r="Y1823" s="9" t="n"/>
      <c r="Z1823" s="9" t="n"/>
    </row>
    <row r="1824" ht="14.25" customHeight="1" s="37">
      <c r="A1824" s="9">
        <f>IF(C1824="","","UM"&amp;TEXT(ROW()-1,"00000"))</f>
        <v/>
      </c>
      <c r="B1824" s="9" t="n"/>
      <c r="C1824" s="9" t="n"/>
      <c r="D1824" s="9" t="n"/>
      <c r="E1824" s="9" t="n"/>
      <c r="F1824" s="9">
        <f>IF(E1824="","",DATEDIF(E1824,DATE(2026,12,31),"Y"))</f>
        <v/>
      </c>
      <c r="G1824" s="9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  <c r="R1824" s="9" t="n"/>
      <c r="S1824" s="9" t="n"/>
      <c r="T1824" s="9" t="n"/>
      <c r="U1824" s="9" t="n"/>
      <c r="V1824" s="9" t="n"/>
      <c r="W1824" s="9" t="n"/>
      <c r="X1824" s="9" t="n"/>
      <c r="Y1824" s="9" t="n"/>
      <c r="Z1824" s="9" t="n"/>
    </row>
    <row r="1825" ht="14.25" customHeight="1" s="37">
      <c r="A1825" s="9">
        <f>IF(C1825="","","UM"&amp;TEXT(ROW()-1,"00000"))</f>
        <v/>
      </c>
      <c r="B1825" s="9" t="n"/>
      <c r="C1825" s="9" t="n"/>
      <c r="D1825" s="9" t="n"/>
      <c r="E1825" s="9" t="n"/>
      <c r="F1825" s="9">
        <f>IF(E1825="","",DATEDIF(E1825,DATE(2026,12,31),"Y"))</f>
        <v/>
      </c>
      <c r="G1825" s="9" t="n"/>
      <c r="H1825" s="9" t="n"/>
      <c r="I1825" s="9" t="n"/>
      <c r="J1825" s="9" t="n"/>
      <c r="K1825" s="9" t="n"/>
      <c r="L1825" s="9" t="n"/>
      <c r="M1825" s="9" t="n"/>
      <c r="N1825" s="9" t="n"/>
      <c r="O1825" s="9" t="n"/>
      <c r="P1825" s="9" t="n"/>
      <c r="Q1825" s="9" t="n"/>
      <c r="R1825" s="9" t="n"/>
      <c r="S1825" s="9" t="n"/>
      <c r="T1825" s="9" t="n"/>
      <c r="U1825" s="9" t="n"/>
      <c r="V1825" s="9" t="n"/>
      <c r="W1825" s="9" t="n"/>
      <c r="X1825" s="9" t="n"/>
      <c r="Y1825" s="9" t="n"/>
      <c r="Z1825" s="9" t="n"/>
    </row>
    <row r="1826" ht="14.25" customHeight="1" s="37">
      <c r="A1826" s="9">
        <f>IF(C1826="","","UM"&amp;TEXT(ROW()-1,"00000"))</f>
        <v/>
      </c>
      <c r="B1826" s="9" t="n"/>
      <c r="C1826" s="9" t="n"/>
      <c r="D1826" s="9" t="n"/>
      <c r="E1826" s="9" t="n"/>
      <c r="F1826" s="9">
        <f>IF(E1826="","",DATEDIF(E1826,DATE(2026,12,31),"Y"))</f>
        <v/>
      </c>
      <c r="G1826" s="9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  <c r="R1826" s="9" t="n"/>
      <c r="S1826" s="9" t="n"/>
      <c r="T1826" s="9" t="n"/>
      <c r="U1826" s="9" t="n"/>
      <c r="V1826" s="9" t="n"/>
      <c r="W1826" s="9" t="n"/>
      <c r="X1826" s="9" t="n"/>
      <c r="Y1826" s="9" t="n"/>
      <c r="Z1826" s="9" t="n"/>
    </row>
    <row r="1827" ht="14.25" customHeight="1" s="37">
      <c r="A1827" s="9">
        <f>IF(C1827="","","UM"&amp;TEXT(ROW()-1,"00000"))</f>
        <v/>
      </c>
      <c r="B1827" s="9" t="n"/>
      <c r="C1827" s="9" t="n"/>
      <c r="D1827" s="9" t="n"/>
      <c r="E1827" s="9" t="n"/>
      <c r="F1827" s="9">
        <f>IF(E1827="","",DATEDIF(E1827,DATE(2026,12,31),"Y"))</f>
        <v/>
      </c>
      <c r="G1827" s="9" t="n"/>
      <c r="H1827" s="9" t="n"/>
      <c r="I1827" s="9" t="n"/>
      <c r="J1827" s="9" t="n"/>
      <c r="K1827" s="9" t="n"/>
      <c r="L1827" s="9" t="n"/>
      <c r="M1827" s="9" t="n"/>
      <c r="N1827" s="9" t="n"/>
      <c r="O1827" s="9" t="n"/>
      <c r="P1827" s="9" t="n"/>
      <c r="Q1827" s="9" t="n"/>
      <c r="R1827" s="9" t="n"/>
      <c r="S1827" s="9" t="n"/>
      <c r="T1827" s="9" t="n"/>
      <c r="U1827" s="9" t="n"/>
      <c r="V1827" s="9" t="n"/>
      <c r="W1827" s="9" t="n"/>
      <c r="X1827" s="9" t="n"/>
      <c r="Y1827" s="9" t="n"/>
      <c r="Z1827" s="9" t="n"/>
    </row>
    <row r="1828" ht="14.25" customHeight="1" s="37">
      <c r="A1828" s="9">
        <f>IF(C1828="","","UM"&amp;TEXT(ROW()-1,"00000"))</f>
        <v/>
      </c>
      <c r="B1828" s="9" t="n"/>
      <c r="C1828" s="9" t="n"/>
      <c r="D1828" s="9" t="n"/>
      <c r="E1828" s="9" t="n"/>
      <c r="F1828" s="9">
        <f>IF(E1828="","",DATEDIF(E1828,DATE(2026,12,31),"Y"))</f>
        <v/>
      </c>
      <c r="G1828" s="9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  <c r="R1828" s="9" t="n"/>
      <c r="S1828" s="9" t="n"/>
      <c r="T1828" s="9" t="n"/>
      <c r="U1828" s="9" t="n"/>
      <c r="V1828" s="9" t="n"/>
      <c r="W1828" s="9" t="n"/>
      <c r="X1828" s="9" t="n"/>
      <c r="Y1828" s="9" t="n"/>
      <c r="Z1828" s="9" t="n"/>
    </row>
    <row r="1829" ht="14.25" customHeight="1" s="37">
      <c r="A1829" s="9">
        <f>IF(C1829="","","UM"&amp;TEXT(ROW()-1,"00000"))</f>
        <v/>
      </c>
      <c r="B1829" s="9" t="n"/>
      <c r="C1829" s="9" t="n"/>
      <c r="D1829" s="9" t="n"/>
      <c r="E1829" s="9" t="n"/>
      <c r="F1829" s="9">
        <f>IF(E1829="","",DATEDIF(E1829,DATE(2026,12,31),"Y"))</f>
        <v/>
      </c>
      <c r="G1829" s="9" t="n"/>
      <c r="H1829" s="9" t="n"/>
      <c r="I1829" s="9" t="n"/>
      <c r="J1829" s="9" t="n"/>
      <c r="K1829" s="9" t="n"/>
      <c r="L1829" s="9" t="n"/>
      <c r="M1829" s="9" t="n"/>
      <c r="N1829" s="9" t="n"/>
      <c r="O1829" s="9" t="n"/>
      <c r="P1829" s="9" t="n"/>
      <c r="Q1829" s="9" t="n"/>
      <c r="R1829" s="9" t="n"/>
      <c r="S1829" s="9" t="n"/>
      <c r="T1829" s="9" t="n"/>
      <c r="U1829" s="9" t="n"/>
      <c r="V1829" s="9" t="n"/>
      <c r="W1829" s="9" t="n"/>
      <c r="X1829" s="9" t="n"/>
      <c r="Y1829" s="9" t="n"/>
      <c r="Z1829" s="9" t="n"/>
    </row>
    <row r="1830" ht="14.25" customHeight="1" s="37">
      <c r="A1830" s="9">
        <f>IF(C1830="","","UM"&amp;TEXT(ROW()-1,"00000"))</f>
        <v/>
      </c>
      <c r="B1830" s="9" t="n"/>
      <c r="C1830" s="9" t="n"/>
      <c r="D1830" s="9" t="n"/>
      <c r="E1830" s="9" t="n"/>
      <c r="F1830" s="9">
        <f>IF(E1830="","",DATEDIF(E1830,DATE(2026,12,31),"Y"))</f>
        <v/>
      </c>
      <c r="G1830" s="9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  <c r="R1830" s="9" t="n"/>
      <c r="S1830" s="9" t="n"/>
      <c r="T1830" s="9" t="n"/>
      <c r="U1830" s="9" t="n"/>
      <c r="V1830" s="9" t="n"/>
      <c r="W1830" s="9" t="n"/>
      <c r="X1830" s="9" t="n"/>
      <c r="Y1830" s="9" t="n"/>
      <c r="Z1830" s="9" t="n"/>
    </row>
    <row r="1831" ht="14.25" customHeight="1" s="37">
      <c r="A1831" s="9">
        <f>IF(C1831="","","UM"&amp;TEXT(ROW()-1,"00000"))</f>
        <v/>
      </c>
      <c r="B1831" s="9" t="n"/>
      <c r="C1831" s="9" t="n"/>
      <c r="D1831" s="9" t="n"/>
      <c r="E1831" s="9" t="n"/>
      <c r="F1831" s="9">
        <f>IF(E1831="","",DATEDIF(E1831,DATE(2026,12,31),"Y"))</f>
        <v/>
      </c>
      <c r="G1831" s="9" t="n"/>
      <c r="H1831" s="9" t="n"/>
      <c r="I1831" s="9" t="n"/>
      <c r="J1831" s="9" t="n"/>
      <c r="K1831" s="9" t="n"/>
      <c r="L1831" s="9" t="n"/>
      <c r="M1831" s="9" t="n"/>
      <c r="N1831" s="9" t="n"/>
      <c r="O1831" s="9" t="n"/>
      <c r="P1831" s="9" t="n"/>
      <c r="Q1831" s="9" t="n"/>
      <c r="R1831" s="9" t="n"/>
      <c r="S1831" s="9" t="n"/>
      <c r="T1831" s="9" t="n"/>
      <c r="U1831" s="9" t="n"/>
      <c r="V1831" s="9" t="n"/>
      <c r="W1831" s="9" t="n"/>
      <c r="X1831" s="9" t="n"/>
      <c r="Y1831" s="9" t="n"/>
      <c r="Z1831" s="9" t="n"/>
    </row>
    <row r="1832" ht="14.25" customHeight="1" s="37">
      <c r="A1832" s="9">
        <f>IF(C1832="","","UM"&amp;TEXT(ROW()-1,"00000"))</f>
        <v/>
      </c>
      <c r="B1832" s="9" t="n"/>
      <c r="C1832" s="9" t="n"/>
      <c r="D1832" s="9" t="n"/>
      <c r="E1832" s="9" t="n"/>
      <c r="F1832" s="9">
        <f>IF(E1832="","",DATEDIF(E1832,DATE(2026,12,31),"Y"))</f>
        <v/>
      </c>
      <c r="G1832" s="9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  <c r="R1832" s="9" t="n"/>
      <c r="S1832" s="9" t="n"/>
      <c r="T1832" s="9" t="n"/>
      <c r="U1832" s="9" t="n"/>
      <c r="V1832" s="9" t="n"/>
      <c r="W1832" s="9" t="n"/>
      <c r="X1832" s="9" t="n"/>
      <c r="Y1832" s="9" t="n"/>
      <c r="Z1832" s="9" t="n"/>
    </row>
    <row r="1833" ht="14.25" customHeight="1" s="37">
      <c r="A1833" s="9">
        <f>IF(C1833="","","UM"&amp;TEXT(ROW()-1,"00000"))</f>
        <v/>
      </c>
      <c r="B1833" s="9" t="n"/>
      <c r="C1833" s="9" t="n"/>
      <c r="D1833" s="9" t="n"/>
      <c r="E1833" s="9" t="n"/>
      <c r="F1833" s="9">
        <f>IF(E1833="","",DATEDIF(E1833,DATE(2026,12,31),"Y"))</f>
        <v/>
      </c>
      <c r="G1833" s="9" t="n"/>
      <c r="H1833" s="9" t="n"/>
      <c r="I1833" s="9" t="n"/>
      <c r="J1833" s="9" t="n"/>
      <c r="K1833" s="9" t="n"/>
      <c r="L1833" s="9" t="n"/>
      <c r="M1833" s="9" t="n"/>
      <c r="N1833" s="9" t="n"/>
      <c r="O1833" s="9" t="n"/>
      <c r="P1833" s="9" t="n"/>
      <c r="Q1833" s="9" t="n"/>
      <c r="R1833" s="9" t="n"/>
      <c r="S1833" s="9" t="n"/>
      <c r="T1833" s="9" t="n"/>
      <c r="U1833" s="9" t="n"/>
      <c r="V1833" s="9" t="n"/>
      <c r="W1833" s="9" t="n"/>
      <c r="X1833" s="9" t="n"/>
      <c r="Y1833" s="9" t="n"/>
      <c r="Z1833" s="9" t="n"/>
    </row>
    <row r="1834" ht="14.25" customHeight="1" s="37">
      <c r="A1834" s="9">
        <f>IF(C1834="","","UM"&amp;TEXT(ROW()-1,"00000"))</f>
        <v/>
      </c>
      <c r="B1834" s="9" t="n"/>
      <c r="C1834" s="9" t="n"/>
      <c r="D1834" s="9" t="n"/>
      <c r="E1834" s="9" t="n"/>
      <c r="F1834" s="9">
        <f>IF(E1834="","",DATEDIF(E1834,DATE(2026,12,31),"Y"))</f>
        <v/>
      </c>
      <c r="G1834" s="9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  <c r="R1834" s="9" t="n"/>
      <c r="S1834" s="9" t="n"/>
      <c r="T1834" s="9" t="n"/>
      <c r="U1834" s="9" t="n"/>
      <c r="V1834" s="9" t="n"/>
      <c r="W1834" s="9" t="n"/>
      <c r="X1834" s="9" t="n"/>
      <c r="Y1834" s="9" t="n"/>
      <c r="Z1834" s="9" t="n"/>
    </row>
    <row r="1835" ht="14.25" customHeight="1" s="37">
      <c r="A1835" s="9">
        <f>IF(C1835="","","UM"&amp;TEXT(ROW()-1,"00000"))</f>
        <v/>
      </c>
      <c r="B1835" s="9" t="n"/>
      <c r="C1835" s="9" t="n"/>
      <c r="D1835" s="9" t="n"/>
      <c r="E1835" s="9" t="n"/>
      <c r="F1835" s="9">
        <f>IF(E1835="","",DATEDIF(E1835,DATE(2026,12,31),"Y"))</f>
        <v/>
      </c>
      <c r="G1835" s="9" t="n"/>
      <c r="H1835" s="9" t="n"/>
      <c r="I1835" s="9" t="n"/>
      <c r="J1835" s="9" t="n"/>
      <c r="K1835" s="9" t="n"/>
      <c r="L1835" s="9" t="n"/>
      <c r="M1835" s="9" t="n"/>
      <c r="N1835" s="9" t="n"/>
      <c r="O1835" s="9" t="n"/>
      <c r="P1835" s="9" t="n"/>
      <c r="Q1835" s="9" t="n"/>
      <c r="R1835" s="9" t="n"/>
      <c r="S1835" s="9" t="n"/>
      <c r="T1835" s="9" t="n"/>
      <c r="U1835" s="9" t="n"/>
      <c r="V1835" s="9" t="n"/>
      <c r="W1835" s="9" t="n"/>
      <c r="X1835" s="9" t="n"/>
      <c r="Y1835" s="9" t="n"/>
      <c r="Z1835" s="9" t="n"/>
    </row>
    <row r="1836" ht="14.25" customHeight="1" s="37">
      <c r="A1836" s="9">
        <f>IF(C1836="","","UM"&amp;TEXT(ROW()-1,"00000"))</f>
        <v/>
      </c>
      <c r="B1836" s="9" t="n"/>
      <c r="C1836" s="9" t="n"/>
      <c r="D1836" s="9" t="n"/>
      <c r="E1836" s="9" t="n"/>
      <c r="F1836" s="9">
        <f>IF(E1836="","",DATEDIF(E1836,DATE(2026,12,31),"Y"))</f>
        <v/>
      </c>
      <c r="G1836" s="9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  <c r="R1836" s="9" t="n"/>
      <c r="S1836" s="9" t="n"/>
      <c r="T1836" s="9" t="n"/>
      <c r="U1836" s="9" t="n"/>
      <c r="V1836" s="9" t="n"/>
      <c r="W1836" s="9" t="n"/>
      <c r="X1836" s="9" t="n"/>
      <c r="Y1836" s="9" t="n"/>
      <c r="Z1836" s="9" t="n"/>
    </row>
    <row r="1837" ht="14.25" customHeight="1" s="37">
      <c r="A1837" s="9">
        <f>IF(C1837="","","UM"&amp;TEXT(ROW()-1,"00000"))</f>
        <v/>
      </c>
      <c r="B1837" s="9" t="n"/>
      <c r="C1837" s="9" t="n"/>
      <c r="D1837" s="9" t="n"/>
      <c r="E1837" s="9" t="n"/>
      <c r="F1837" s="9">
        <f>IF(E1837="","",DATEDIF(E1837,DATE(2026,12,31),"Y"))</f>
        <v/>
      </c>
      <c r="G1837" s="9" t="n"/>
      <c r="H1837" s="9" t="n"/>
      <c r="I1837" s="9" t="n"/>
      <c r="J1837" s="9" t="n"/>
      <c r="K1837" s="9" t="n"/>
      <c r="L1837" s="9" t="n"/>
      <c r="M1837" s="9" t="n"/>
      <c r="N1837" s="9" t="n"/>
      <c r="O1837" s="9" t="n"/>
      <c r="P1837" s="9" t="n"/>
      <c r="Q1837" s="9" t="n"/>
      <c r="R1837" s="9" t="n"/>
      <c r="S1837" s="9" t="n"/>
      <c r="T1837" s="9" t="n"/>
      <c r="U1837" s="9" t="n"/>
      <c r="V1837" s="9" t="n"/>
      <c r="W1837" s="9" t="n"/>
      <c r="X1837" s="9" t="n"/>
      <c r="Y1837" s="9" t="n"/>
      <c r="Z1837" s="9" t="n"/>
    </row>
    <row r="1838" ht="14.25" customHeight="1" s="37">
      <c r="A1838" s="9">
        <f>IF(C1838="","","UM"&amp;TEXT(ROW()-1,"00000"))</f>
        <v/>
      </c>
      <c r="B1838" s="9" t="n"/>
      <c r="C1838" s="9" t="n"/>
      <c r="D1838" s="9" t="n"/>
      <c r="E1838" s="9" t="n"/>
      <c r="F1838" s="9">
        <f>IF(E1838="","",DATEDIF(E1838,DATE(2026,12,31),"Y"))</f>
        <v/>
      </c>
      <c r="G1838" s="9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  <c r="R1838" s="9" t="n"/>
      <c r="S1838" s="9" t="n"/>
      <c r="T1838" s="9" t="n"/>
      <c r="U1838" s="9" t="n"/>
      <c r="V1838" s="9" t="n"/>
      <c r="W1838" s="9" t="n"/>
      <c r="X1838" s="9" t="n"/>
      <c r="Y1838" s="9" t="n"/>
      <c r="Z1838" s="9" t="n"/>
    </row>
    <row r="1839" ht="14.25" customHeight="1" s="37">
      <c r="A1839" s="9">
        <f>IF(C1839="","","UM"&amp;TEXT(ROW()-1,"00000"))</f>
        <v/>
      </c>
      <c r="B1839" s="9" t="n"/>
      <c r="C1839" s="9" t="n"/>
      <c r="D1839" s="9" t="n"/>
      <c r="E1839" s="9" t="n"/>
      <c r="F1839" s="9">
        <f>IF(E1839="","",DATEDIF(E1839,DATE(2026,12,31),"Y"))</f>
        <v/>
      </c>
      <c r="G1839" s="9" t="n"/>
      <c r="H1839" s="9" t="n"/>
      <c r="I1839" s="9" t="n"/>
      <c r="J1839" s="9" t="n"/>
      <c r="K1839" s="9" t="n"/>
      <c r="L1839" s="9" t="n"/>
      <c r="M1839" s="9" t="n"/>
      <c r="N1839" s="9" t="n"/>
      <c r="O1839" s="9" t="n"/>
      <c r="P1839" s="9" t="n"/>
      <c r="Q1839" s="9" t="n"/>
      <c r="R1839" s="9" t="n"/>
      <c r="S1839" s="9" t="n"/>
      <c r="T1839" s="9" t="n"/>
      <c r="U1839" s="9" t="n"/>
      <c r="V1839" s="9" t="n"/>
      <c r="W1839" s="9" t="n"/>
      <c r="X1839" s="9" t="n"/>
      <c r="Y1839" s="9" t="n"/>
      <c r="Z1839" s="9" t="n"/>
    </row>
    <row r="1840" ht="14.25" customHeight="1" s="37">
      <c r="A1840" s="9">
        <f>IF(C1840="","","UM"&amp;TEXT(ROW()-1,"00000"))</f>
        <v/>
      </c>
      <c r="B1840" s="9" t="n"/>
      <c r="C1840" s="9" t="n"/>
      <c r="D1840" s="9" t="n"/>
      <c r="E1840" s="9" t="n"/>
      <c r="F1840" s="9">
        <f>IF(E1840="","",DATEDIF(E1840,DATE(2026,12,31),"Y"))</f>
        <v/>
      </c>
      <c r="G1840" s="9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  <c r="R1840" s="9" t="n"/>
      <c r="S1840" s="9" t="n"/>
      <c r="T1840" s="9" t="n"/>
      <c r="U1840" s="9" t="n"/>
      <c r="V1840" s="9" t="n"/>
      <c r="W1840" s="9" t="n"/>
      <c r="X1840" s="9" t="n"/>
      <c r="Y1840" s="9" t="n"/>
      <c r="Z1840" s="9" t="n"/>
    </row>
    <row r="1841" ht="14.25" customHeight="1" s="37">
      <c r="A1841" s="9">
        <f>IF(C1841="","","UM"&amp;TEXT(ROW()-1,"00000"))</f>
        <v/>
      </c>
      <c r="B1841" s="9" t="n"/>
      <c r="C1841" s="9" t="n"/>
      <c r="D1841" s="9" t="n"/>
      <c r="E1841" s="9" t="n"/>
      <c r="F1841" s="9">
        <f>IF(E1841="","",DATEDIF(E1841,DATE(2026,12,31),"Y"))</f>
        <v/>
      </c>
      <c r="G1841" s="9" t="n"/>
      <c r="H1841" s="9" t="n"/>
      <c r="I1841" s="9" t="n"/>
      <c r="J1841" s="9" t="n"/>
      <c r="K1841" s="9" t="n"/>
      <c r="L1841" s="9" t="n"/>
      <c r="M1841" s="9" t="n"/>
      <c r="N1841" s="9" t="n"/>
      <c r="O1841" s="9" t="n"/>
      <c r="P1841" s="9" t="n"/>
      <c r="Q1841" s="9" t="n"/>
      <c r="R1841" s="9" t="n"/>
      <c r="S1841" s="9" t="n"/>
      <c r="T1841" s="9" t="n"/>
      <c r="U1841" s="9" t="n"/>
      <c r="V1841" s="9" t="n"/>
      <c r="W1841" s="9" t="n"/>
      <c r="X1841" s="9" t="n"/>
      <c r="Y1841" s="9" t="n"/>
      <c r="Z1841" s="9" t="n"/>
    </row>
    <row r="1842" ht="14.25" customHeight="1" s="37">
      <c r="A1842" s="9">
        <f>IF(C1842="","","UM"&amp;TEXT(ROW()-1,"00000"))</f>
        <v/>
      </c>
      <c r="B1842" s="9" t="n"/>
      <c r="C1842" s="9" t="n"/>
      <c r="D1842" s="9" t="n"/>
      <c r="E1842" s="9" t="n"/>
      <c r="F1842" s="9">
        <f>IF(E1842="","",DATEDIF(E1842,DATE(2026,12,31),"Y"))</f>
        <v/>
      </c>
      <c r="G1842" s="9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  <c r="R1842" s="9" t="n"/>
      <c r="S1842" s="9" t="n"/>
      <c r="T1842" s="9" t="n"/>
      <c r="U1842" s="9" t="n"/>
      <c r="V1842" s="9" t="n"/>
      <c r="W1842" s="9" t="n"/>
      <c r="X1842" s="9" t="n"/>
      <c r="Y1842" s="9" t="n"/>
      <c r="Z1842" s="9" t="n"/>
    </row>
    <row r="1843" ht="14.25" customHeight="1" s="37">
      <c r="A1843" s="9">
        <f>IF(C1843="","","UM"&amp;TEXT(ROW()-1,"00000"))</f>
        <v/>
      </c>
      <c r="B1843" s="9" t="n"/>
      <c r="C1843" s="9" t="n"/>
      <c r="D1843" s="9" t="n"/>
      <c r="E1843" s="9" t="n"/>
      <c r="F1843" s="9">
        <f>IF(E1843="","",DATEDIF(E1843,DATE(2026,12,31),"Y"))</f>
        <v/>
      </c>
      <c r="G1843" s="9" t="n"/>
      <c r="H1843" s="9" t="n"/>
      <c r="I1843" s="9" t="n"/>
      <c r="J1843" s="9" t="n"/>
      <c r="K1843" s="9" t="n"/>
      <c r="L1843" s="9" t="n"/>
      <c r="M1843" s="9" t="n"/>
      <c r="N1843" s="9" t="n"/>
      <c r="O1843" s="9" t="n"/>
      <c r="P1843" s="9" t="n"/>
      <c r="Q1843" s="9" t="n"/>
      <c r="R1843" s="9" t="n"/>
      <c r="S1843" s="9" t="n"/>
      <c r="T1843" s="9" t="n"/>
      <c r="U1843" s="9" t="n"/>
      <c r="V1843" s="9" t="n"/>
      <c r="W1843" s="9" t="n"/>
      <c r="X1843" s="9" t="n"/>
      <c r="Y1843" s="9" t="n"/>
      <c r="Z1843" s="9" t="n"/>
    </row>
    <row r="1844" ht="14.25" customHeight="1" s="37">
      <c r="A1844" s="9">
        <f>IF(C1844="","","UM"&amp;TEXT(ROW()-1,"00000"))</f>
        <v/>
      </c>
      <c r="B1844" s="9" t="n"/>
      <c r="C1844" s="9" t="n"/>
      <c r="D1844" s="9" t="n"/>
      <c r="E1844" s="9" t="n"/>
      <c r="F1844" s="9">
        <f>IF(E1844="","",DATEDIF(E1844,DATE(2026,12,31),"Y"))</f>
        <v/>
      </c>
      <c r="G1844" s="9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  <c r="R1844" s="9" t="n"/>
      <c r="S1844" s="9" t="n"/>
      <c r="T1844" s="9" t="n"/>
      <c r="U1844" s="9" t="n"/>
      <c r="V1844" s="9" t="n"/>
      <c r="W1844" s="9" t="n"/>
      <c r="X1844" s="9" t="n"/>
      <c r="Y1844" s="9" t="n"/>
      <c r="Z1844" s="9" t="n"/>
    </row>
    <row r="1845" ht="14.25" customHeight="1" s="37">
      <c r="A1845" s="9">
        <f>IF(C1845="","","UM"&amp;TEXT(ROW()-1,"00000"))</f>
        <v/>
      </c>
      <c r="B1845" s="9" t="n"/>
      <c r="C1845" s="9" t="n"/>
      <c r="D1845" s="9" t="n"/>
      <c r="E1845" s="9" t="n"/>
      <c r="F1845" s="9">
        <f>IF(E1845="","",DATEDIF(E1845,DATE(2026,12,31),"Y"))</f>
        <v/>
      </c>
      <c r="G1845" s="9" t="n"/>
      <c r="H1845" s="9" t="n"/>
      <c r="I1845" s="9" t="n"/>
      <c r="J1845" s="9" t="n"/>
      <c r="K1845" s="9" t="n"/>
      <c r="L1845" s="9" t="n"/>
      <c r="M1845" s="9" t="n"/>
      <c r="N1845" s="9" t="n"/>
      <c r="O1845" s="9" t="n"/>
      <c r="P1845" s="9" t="n"/>
      <c r="Q1845" s="9" t="n"/>
      <c r="R1845" s="9" t="n"/>
      <c r="S1845" s="9" t="n"/>
      <c r="T1845" s="9" t="n"/>
      <c r="U1845" s="9" t="n"/>
      <c r="V1845" s="9" t="n"/>
      <c r="W1845" s="9" t="n"/>
      <c r="X1845" s="9" t="n"/>
      <c r="Y1845" s="9" t="n"/>
      <c r="Z1845" s="9" t="n"/>
    </row>
    <row r="1846" ht="14.25" customHeight="1" s="37">
      <c r="A1846" s="9">
        <f>IF(C1846="","","UM"&amp;TEXT(ROW()-1,"00000"))</f>
        <v/>
      </c>
      <c r="B1846" s="9" t="n"/>
      <c r="C1846" s="9" t="n"/>
      <c r="D1846" s="9" t="n"/>
      <c r="E1846" s="9" t="n"/>
      <c r="F1846" s="9">
        <f>IF(E1846="","",DATEDIF(E1846,DATE(2026,12,31),"Y"))</f>
        <v/>
      </c>
      <c r="G1846" s="9" t="n"/>
      <c r="H1846" s="9" t="n"/>
      <c r="I1846" s="9" t="n"/>
      <c r="J1846" s="9" t="n"/>
      <c r="K1846" s="9" t="n"/>
      <c r="L1846" s="9" t="n"/>
      <c r="M1846" s="9" t="n"/>
      <c r="N1846" s="9" t="n"/>
      <c r="O1846" s="9" t="n"/>
      <c r="P1846" s="9" t="n"/>
      <c r="Q1846" s="9" t="n"/>
      <c r="R1846" s="9" t="n"/>
      <c r="S1846" s="9" t="n"/>
      <c r="T1846" s="9" t="n"/>
      <c r="U1846" s="9" t="n"/>
      <c r="V1846" s="9" t="n"/>
      <c r="W1846" s="9" t="n"/>
      <c r="X1846" s="9" t="n"/>
      <c r="Y1846" s="9" t="n"/>
      <c r="Z1846" s="9" t="n"/>
    </row>
    <row r="1847" ht="14.25" customHeight="1" s="37">
      <c r="A1847" s="9">
        <f>IF(C1847="","","UM"&amp;TEXT(ROW()-1,"00000"))</f>
        <v/>
      </c>
      <c r="B1847" s="9" t="n"/>
      <c r="C1847" s="9" t="n"/>
      <c r="D1847" s="9" t="n"/>
      <c r="E1847" s="9" t="n"/>
      <c r="F1847" s="9">
        <f>IF(E1847="","",DATEDIF(E1847,DATE(2026,12,31),"Y"))</f>
        <v/>
      </c>
      <c r="G1847" s="9" t="n"/>
      <c r="H1847" s="9" t="n"/>
      <c r="I1847" s="9" t="n"/>
      <c r="J1847" s="9" t="n"/>
      <c r="K1847" s="9" t="n"/>
      <c r="L1847" s="9" t="n"/>
      <c r="M1847" s="9" t="n"/>
      <c r="N1847" s="9" t="n"/>
      <c r="O1847" s="9" t="n"/>
      <c r="P1847" s="9" t="n"/>
      <c r="Q1847" s="9" t="n"/>
      <c r="R1847" s="9" t="n"/>
      <c r="S1847" s="9" t="n"/>
      <c r="T1847" s="9" t="n"/>
      <c r="U1847" s="9" t="n"/>
      <c r="V1847" s="9" t="n"/>
      <c r="W1847" s="9" t="n"/>
      <c r="X1847" s="9" t="n"/>
      <c r="Y1847" s="9" t="n"/>
      <c r="Z1847" s="9" t="n"/>
    </row>
    <row r="1848" ht="14.25" customHeight="1" s="37">
      <c r="A1848" s="9">
        <f>IF(C1848="","","UM"&amp;TEXT(ROW()-1,"00000"))</f>
        <v/>
      </c>
      <c r="B1848" s="9" t="n"/>
      <c r="C1848" s="9" t="n"/>
      <c r="D1848" s="9" t="n"/>
      <c r="E1848" s="9" t="n"/>
      <c r="F1848" s="9">
        <f>IF(E1848="","",DATEDIF(E1848,DATE(2026,12,31),"Y"))</f>
        <v/>
      </c>
      <c r="G1848" s="9" t="n"/>
      <c r="H1848" s="9" t="n"/>
      <c r="I1848" s="9" t="n"/>
      <c r="J1848" s="9" t="n"/>
      <c r="K1848" s="9" t="n"/>
      <c r="L1848" s="9" t="n"/>
      <c r="M1848" s="9" t="n"/>
      <c r="N1848" s="9" t="n"/>
      <c r="O1848" s="9" t="n"/>
      <c r="P1848" s="9" t="n"/>
      <c r="Q1848" s="9" t="n"/>
      <c r="R1848" s="9" t="n"/>
      <c r="S1848" s="9" t="n"/>
      <c r="T1848" s="9" t="n"/>
      <c r="U1848" s="9" t="n"/>
      <c r="V1848" s="9" t="n"/>
      <c r="W1848" s="9" t="n"/>
      <c r="X1848" s="9" t="n"/>
      <c r="Y1848" s="9" t="n"/>
      <c r="Z1848" s="9" t="n"/>
    </row>
    <row r="1849" ht="14.25" customHeight="1" s="37">
      <c r="A1849" s="9">
        <f>IF(C1849="","","UM"&amp;TEXT(ROW()-1,"00000"))</f>
        <v/>
      </c>
      <c r="B1849" s="9" t="n"/>
      <c r="C1849" s="9" t="n"/>
      <c r="D1849" s="9" t="n"/>
      <c r="E1849" s="9" t="n"/>
      <c r="F1849" s="9">
        <f>IF(E1849="","",DATEDIF(E1849,DATE(2026,12,31),"Y"))</f>
        <v/>
      </c>
      <c r="G1849" s="9" t="n"/>
      <c r="H1849" s="9" t="n"/>
      <c r="I1849" s="9" t="n"/>
      <c r="J1849" s="9" t="n"/>
      <c r="K1849" s="9" t="n"/>
      <c r="L1849" s="9" t="n"/>
      <c r="M1849" s="9" t="n"/>
      <c r="N1849" s="9" t="n"/>
      <c r="O1849" s="9" t="n"/>
      <c r="P1849" s="9" t="n"/>
      <c r="Q1849" s="9" t="n"/>
      <c r="R1849" s="9" t="n"/>
      <c r="S1849" s="9" t="n"/>
      <c r="T1849" s="9" t="n"/>
      <c r="U1849" s="9" t="n"/>
      <c r="V1849" s="9" t="n"/>
      <c r="W1849" s="9" t="n"/>
      <c r="X1849" s="9" t="n"/>
      <c r="Y1849" s="9" t="n"/>
      <c r="Z1849" s="9" t="n"/>
    </row>
    <row r="1850" ht="14.25" customHeight="1" s="37">
      <c r="A1850" s="9">
        <f>IF(C1850="","","UM"&amp;TEXT(ROW()-1,"00000"))</f>
        <v/>
      </c>
      <c r="B1850" s="9" t="n"/>
      <c r="C1850" s="9" t="n"/>
      <c r="D1850" s="9" t="n"/>
      <c r="E1850" s="9" t="n"/>
      <c r="F1850" s="9">
        <f>IF(E1850="","",DATEDIF(E1850,DATE(2026,12,31),"Y"))</f>
        <v/>
      </c>
      <c r="G1850" s="9" t="n"/>
      <c r="H1850" s="9" t="n"/>
      <c r="I1850" s="9" t="n"/>
      <c r="J1850" s="9" t="n"/>
      <c r="K1850" s="9" t="n"/>
      <c r="L1850" s="9" t="n"/>
      <c r="M1850" s="9" t="n"/>
      <c r="N1850" s="9" t="n"/>
      <c r="O1850" s="9" t="n"/>
      <c r="P1850" s="9" t="n"/>
      <c r="Q1850" s="9" t="n"/>
      <c r="R1850" s="9" t="n"/>
      <c r="S1850" s="9" t="n"/>
      <c r="T1850" s="9" t="n"/>
      <c r="U1850" s="9" t="n"/>
      <c r="V1850" s="9" t="n"/>
      <c r="W1850" s="9" t="n"/>
      <c r="X1850" s="9" t="n"/>
      <c r="Y1850" s="9" t="n"/>
      <c r="Z1850" s="9" t="n"/>
    </row>
    <row r="1851" ht="14.25" customHeight="1" s="37">
      <c r="A1851" s="9">
        <f>IF(C1851="","","UM"&amp;TEXT(ROW()-1,"00000"))</f>
        <v/>
      </c>
      <c r="B1851" s="9" t="n"/>
      <c r="C1851" s="9" t="n"/>
      <c r="D1851" s="9" t="n"/>
      <c r="E1851" s="9" t="n"/>
      <c r="F1851" s="9">
        <f>IF(E1851="","",DATEDIF(E1851,DATE(2026,12,31),"Y"))</f>
        <v/>
      </c>
      <c r="G1851" s="9" t="n"/>
      <c r="H1851" s="9" t="n"/>
      <c r="I1851" s="9" t="n"/>
      <c r="J1851" s="9" t="n"/>
      <c r="K1851" s="9" t="n"/>
      <c r="L1851" s="9" t="n"/>
      <c r="M1851" s="9" t="n"/>
      <c r="N1851" s="9" t="n"/>
      <c r="O1851" s="9" t="n"/>
      <c r="P1851" s="9" t="n"/>
      <c r="Q1851" s="9" t="n"/>
      <c r="R1851" s="9" t="n"/>
      <c r="S1851" s="9" t="n"/>
      <c r="T1851" s="9" t="n"/>
      <c r="U1851" s="9" t="n"/>
      <c r="V1851" s="9" t="n"/>
      <c r="W1851" s="9" t="n"/>
      <c r="X1851" s="9" t="n"/>
      <c r="Y1851" s="9" t="n"/>
      <c r="Z1851" s="9" t="n"/>
    </row>
    <row r="1852" ht="14.25" customHeight="1" s="37">
      <c r="A1852" s="9">
        <f>IF(C1852="","","UM"&amp;TEXT(ROW()-1,"00000"))</f>
        <v/>
      </c>
      <c r="B1852" s="9" t="n"/>
      <c r="C1852" s="9" t="n"/>
      <c r="D1852" s="9" t="n"/>
      <c r="E1852" s="9" t="n"/>
      <c r="F1852" s="9">
        <f>IF(E1852="","",DATEDIF(E1852,DATE(2026,12,31),"Y"))</f>
        <v/>
      </c>
      <c r="G1852" s="9" t="n"/>
      <c r="H1852" s="9" t="n"/>
      <c r="I1852" s="9" t="n"/>
      <c r="J1852" s="9" t="n"/>
      <c r="K1852" s="9" t="n"/>
      <c r="L1852" s="9" t="n"/>
      <c r="M1852" s="9" t="n"/>
      <c r="N1852" s="9" t="n"/>
      <c r="O1852" s="9" t="n"/>
      <c r="P1852" s="9" t="n"/>
      <c r="Q1852" s="9" t="n"/>
      <c r="R1852" s="9" t="n"/>
      <c r="S1852" s="9" t="n"/>
      <c r="T1852" s="9" t="n"/>
      <c r="U1852" s="9" t="n"/>
      <c r="V1852" s="9" t="n"/>
      <c r="W1852" s="9" t="n"/>
      <c r="X1852" s="9" t="n"/>
      <c r="Y1852" s="9" t="n"/>
      <c r="Z1852" s="9" t="n"/>
    </row>
    <row r="1853" ht="14.25" customHeight="1" s="37">
      <c r="A1853" s="9">
        <f>IF(C1853="","","UM"&amp;TEXT(ROW()-1,"00000"))</f>
        <v/>
      </c>
      <c r="B1853" s="9" t="n"/>
      <c r="C1853" s="9" t="n"/>
      <c r="D1853" s="9" t="n"/>
      <c r="E1853" s="9" t="n"/>
      <c r="F1853" s="9">
        <f>IF(E1853="","",DATEDIF(E1853,DATE(2026,12,31),"Y"))</f>
        <v/>
      </c>
      <c r="G1853" s="9" t="n"/>
      <c r="H1853" s="9" t="n"/>
      <c r="I1853" s="9" t="n"/>
      <c r="J1853" s="9" t="n"/>
      <c r="K1853" s="9" t="n"/>
      <c r="L1853" s="9" t="n"/>
      <c r="M1853" s="9" t="n"/>
      <c r="N1853" s="9" t="n"/>
      <c r="O1853" s="9" t="n"/>
      <c r="P1853" s="9" t="n"/>
      <c r="Q1853" s="9" t="n"/>
      <c r="R1853" s="9" t="n"/>
      <c r="S1853" s="9" t="n"/>
      <c r="T1853" s="9" t="n"/>
      <c r="U1853" s="9" t="n"/>
      <c r="V1853" s="9" t="n"/>
      <c r="W1853" s="9" t="n"/>
      <c r="X1853" s="9" t="n"/>
      <c r="Y1853" s="9" t="n"/>
      <c r="Z1853" s="9" t="n"/>
    </row>
    <row r="1854" ht="14.25" customHeight="1" s="37">
      <c r="A1854" s="9">
        <f>IF(C1854="","","UM"&amp;TEXT(ROW()-1,"00000"))</f>
        <v/>
      </c>
      <c r="B1854" s="9" t="n"/>
      <c r="C1854" s="9" t="n"/>
      <c r="D1854" s="9" t="n"/>
      <c r="E1854" s="9" t="n"/>
      <c r="F1854" s="9">
        <f>IF(E1854="","",DATEDIF(E1854,DATE(2026,12,31),"Y"))</f>
        <v/>
      </c>
      <c r="G1854" s="9" t="n"/>
      <c r="H1854" s="9" t="n"/>
      <c r="I1854" s="9" t="n"/>
      <c r="J1854" s="9" t="n"/>
      <c r="K1854" s="9" t="n"/>
      <c r="L1854" s="9" t="n"/>
      <c r="M1854" s="9" t="n"/>
      <c r="N1854" s="9" t="n"/>
      <c r="O1854" s="9" t="n"/>
      <c r="P1854" s="9" t="n"/>
      <c r="Q1854" s="9" t="n"/>
      <c r="R1854" s="9" t="n"/>
      <c r="S1854" s="9" t="n"/>
      <c r="T1854" s="9" t="n"/>
      <c r="U1854" s="9" t="n"/>
      <c r="V1854" s="9" t="n"/>
      <c r="W1854" s="9" t="n"/>
      <c r="X1854" s="9" t="n"/>
      <c r="Y1854" s="9" t="n"/>
      <c r="Z1854" s="9" t="n"/>
    </row>
    <row r="1855" ht="14.25" customHeight="1" s="37">
      <c r="A1855" s="9">
        <f>IF(C1855="","","UM"&amp;TEXT(ROW()-1,"00000"))</f>
        <v/>
      </c>
      <c r="B1855" s="9" t="n"/>
      <c r="C1855" s="9" t="n"/>
      <c r="D1855" s="9" t="n"/>
      <c r="E1855" s="9" t="n"/>
      <c r="F1855" s="9">
        <f>IF(E1855="","",DATEDIF(E1855,DATE(2026,12,31),"Y"))</f>
        <v/>
      </c>
      <c r="G1855" s="9" t="n"/>
      <c r="H1855" s="9" t="n"/>
      <c r="I1855" s="9" t="n"/>
      <c r="J1855" s="9" t="n"/>
      <c r="K1855" s="9" t="n"/>
      <c r="L1855" s="9" t="n"/>
      <c r="M1855" s="9" t="n"/>
      <c r="N1855" s="9" t="n"/>
      <c r="O1855" s="9" t="n"/>
      <c r="P1855" s="9" t="n"/>
      <c r="Q1855" s="9" t="n"/>
      <c r="R1855" s="9" t="n"/>
      <c r="S1855" s="9" t="n"/>
      <c r="T1855" s="9" t="n"/>
      <c r="U1855" s="9" t="n"/>
      <c r="V1855" s="9" t="n"/>
      <c r="W1855" s="9" t="n"/>
      <c r="X1855" s="9" t="n"/>
      <c r="Y1855" s="9" t="n"/>
      <c r="Z1855" s="9" t="n"/>
    </row>
    <row r="1856" ht="14.25" customHeight="1" s="37">
      <c r="A1856" s="9">
        <f>IF(C1856="","","UM"&amp;TEXT(ROW()-1,"00000"))</f>
        <v/>
      </c>
      <c r="B1856" s="9" t="n"/>
      <c r="C1856" s="9" t="n"/>
      <c r="D1856" s="9" t="n"/>
      <c r="E1856" s="9" t="n"/>
      <c r="F1856" s="9">
        <f>IF(E1856="","",DATEDIF(E1856,DATE(2026,12,31),"Y"))</f>
        <v/>
      </c>
      <c r="G1856" s="9" t="n"/>
      <c r="H1856" s="9" t="n"/>
      <c r="I1856" s="9" t="n"/>
      <c r="J1856" s="9" t="n"/>
      <c r="K1856" s="9" t="n"/>
      <c r="L1856" s="9" t="n"/>
      <c r="M1856" s="9" t="n"/>
      <c r="N1856" s="9" t="n"/>
      <c r="O1856" s="9" t="n"/>
      <c r="P1856" s="9" t="n"/>
      <c r="Q1856" s="9" t="n"/>
      <c r="R1856" s="9" t="n"/>
      <c r="S1856" s="9" t="n"/>
      <c r="T1856" s="9" t="n"/>
      <c r="U1856" s="9" t="n"/>
      <c r="V1856" s="9" t="n"/>
      <c r="W1856" s="9" t="n"/>
      <c r="X1856" s="9" t="n"/>
      <c r="Y1856" s="9" t="n"/>
      <c r="Z1856" s="9" t="n"/>
    </row>
    <row r="1857" ht="14.25" customHeight="1" s="37">
      <c r="A1857" s="9">
        <f>IF(C1857="","","UM"&amp;TEXT(ROW()-1,"00000"))</f>
        <v/>
      </c>
      <c r="B1857" s="9" t="n"/>
      <c r="C1857" s="9" t="n"/>
      <c r="D1857" s="9" t="n"/>
      <c r="E1857" s="9" t="n"/>
      <c r="F1857" s="9">
        <f>IF(E1857="","",DATEDIF(E1857,DATE(2026,12,31),"Y"))</f>
        <v/>
      </c>
      <c r="G1857" s="9" t="n"/>
      <c r="H1857" s="9" t="n"/>
      <c r="I1857" s="9" t="n"/>
      <c r="J1857" s="9" t="n"/>
      <c r="K1857" s="9" t="n"/>
      <c r="L1857" s="9" t="n"/>
      <c r="M1857" s="9" t="n"/>
      <c r="N1857" s="9" t="n"/>
      <c r="O1857" s="9" t="n"/>
      <c r="P1857" s="9" t="n"/>
      <c r="Q1857" s="9" t="n"/>
      <c r="R1857" s="9" t="n"/>
      <c r="S1857" s="9" t="n"/>
      <c r="T1857" s="9" t="n"/>
      <c r="U1857" s="9" t="n"/>
      <c r="V1857" s="9" t="n"/>
      <c r="W1857" s="9" t="n"/>
      <c r="X1857" s="9" t="n"/>
      <c r="Y1857" s="9" t="n"/>
      <c r="Z1857" s="9" t="n"/>
    </row>
    <row r="1858" ht="14.25" customHeight="1" s="37">
      <c r="A1858" s="9">
        <f>IF(C1858="","","UM"&amp;TEXT(ROW()-1,"00000"))</f>
        <v/>
      </c>
      <c r="B1858" s="9" t="n"/>
      <c r="C1858" s="9" t="n"/>
      <c r="D1858" s="9" t="n"/>
      <c r="E1858" s="9" t="n"/>
      <c r="F1858" s="9">
        <f>IF(E1858="","",DATEDIF(E1858,DATE(2026,12,31),"Y"))</f>
        <v/>
      </c>
      <c r="G1858" s="9" t="n"/>
      <c r="H1858" s="9" t="n"/>
      <c r="I1858" s="9" t="n"/>
      <c r="J1858" s="9" t="n"/>
      <c r="K1858" s="9" t="n"/>
      <c r="L1858" s="9" t="n"/>
      <c r="M1858" s="9" t="n"/>
      <c r="N1858" s="9" t="n"/>
      <c r="O1858" s="9" t="n"/>
      <c r="P1858" s="9" t="n"/>
      <c r="Q1858" s="9" t="n"/>
      <c r="R1858" s="9" t="n"/>
      <c r="S1858" s="9" t="n"/>
      <c r="T1858" s="9" t="n"/>
      <c r="U1858" s="9" t="n"/>
      <c r="V1858" s="9" t="n"/>
      <c r="W1858" s="9" t="n"/>
      <c r="X1858" s="9" t="n"/>
      <c r="Y1858" s="9" t="n"/>
      <c r="Z1858" s="9" t="n"/>
    </row>
    <row r="1859" ht="14.25" customHeight="1" s="37">
      <c r="A1859" s="9">
        <f>IF(C1859="","","UM"&amp;TEXT(ROW()-1,"00000"))</f>
        <v/>
      </c>
      <c r="B1859" s="9" t="n"/>
      <c r="C1859" s="9" t="n"/>
      <c r="D1859" s="9" t="n"/>
      <c r="E1859" s="9" t="n"/>
      <c r="F1859" s="9">
        <f>IF(E1859="","",DATEDIF(E1859,DATE(2026,12,31),"Y"))</f>
        <v/>
      </c>
      <c r="G1859" s="9" t="n"/>
      <c r="H1859" s="9" t="n"/>
      <c r="I1859" s="9" t="n"/>
      <c r="J1859" s="9" t="n"/>
      <c r="K1859" s="9" t="n"/>
      <c r="L1859" s="9" t="n"/>
      <c r="M1859" s="9" t="n"/>
      <c r="N1859" s="9" t="n"/>
      <c r="O1859" s="9" t="n"/>
      <c r="P1859" s="9" t="n"/>
      <c r="Q1859" s="9" t="n"/>
      <c r="R1859" s="9" t="n"/>
      <c r="S1859" s="9" t="n"/>
      <c r="T1859" s="9" t="n"/>
      <c r="U1859" s="9" t="n"/>
      <c r="V1859" s="9" t="n"/>
      <c r="W1859" s="9" t="n"/>
      <c r="X1859" s="9" t="n"/>
      <c r="Y1859" s="9" t="n"/>
      <c r="Z1859" s="9" t="n"/>
    </row>
    <row r="1860" ht="14.25" customHeight="1" s="37">
      <c r="A1860" s="9">
        <f>IF(C1860="","","UM"&amp;TEXT(ROW()-1,"00000"))</f>
        <v/>
      </c>
      <c r="B1860" s="9" t="n"/>
      <c r="C1860" s="9" t="n"/>
      <c r="D1860" s="9" t="n"/>
      <c r="E1860" s="9" t="n"/>
      <c r="F1860" s="9">
        <f>IF(E1860="","",DATEDIF(E1860,DATE(2026,12,31),"Y"))</f>
        <v/>
      </c>
      <c r="G1860" s="9" t="n"/>
      <c r="H1860" s="9" t="n"/>
      <c r="I1860" s="9" t="n"/>
      <c r="J1860" s="9" t="n"/>
      <c r="K1860" s="9" t="n"/>
      <c r="L1860" s="9" t="n"/>
      <c r="M1860" s="9" t="n"/>
      <c r="N1860" s="9" t="n"/>
      <c r="O1860" s="9" t="n"/>
      <c r="P1860" s="9" t="n"/>
      <c r="Q1860" s="9" t="n"/>
      <c r="R1860" s="9" t="n"/>
      <c r="S1860" s="9" t="n"/>
      <c r="T1860" s="9" t="n"/>
      <c r="U1860" s="9" t="n"/>
      <c r="V1860" s="9" t="n"/>
      <c r="W1860" s="9" t="n"/>
      <c r="X1860" s="9" t="n"/>
      <c r="Y1860" s="9" t="n"/>
      <c r="Z1860" s="9" t="n"/>
    </row>
    <row r="1861" ht="14.25" customHeight="1" s="37">
      <c r="A1861" s="9">
        <f>IF(C1861="","","UM"&amp;TEXT(ROW()-1,"00000"))</f>
        <v/>
      </c>
      <c r="B1861" s="9" t="n"/>
      <c r="C1861" s="9" t="n"/>
      <c r="D1861" s="9" t="n"/>
      <c r="E1861" s="9" t="n"/>
      <c r="F1861" s="9">
        <f>IF(E1861="","",DATEDIF(E1861,DATE(2026,12,31),"Y"))</f>
        <v/>
      </c>
      <c r="G1861" s="9" t="n"/>
      <c r="H1861" s="9" t="n"/>
      <c r="I1861" s="9" t="n"/>
      <c r="J1861" s="9" t="n"/>
      <c r="K1861" s="9" t="n"/>
      <c r="L1861" s="9" t="n"/>
      <c r="M1861" s="9" t="n"/>
      <c r="N1861" s="9" t="n"/>
      <c r="O1861" s="9" t="n"/>
      <c r="P1861" s="9" t="n"/>
      <c r="Q1861" s="9" t="n"/>
      <c r="R1861" s="9" t="n"/>
      <c r="S1861" s="9" t="n"/>
      <c r="T1861" s="9" t="n"/>
      <c r="U1861" s="9" t="n"/>
      <c r="V1861" s="9" t="n"/>
      <c r="W1861" s="9" t="n"/>
      <c r="X1861" s="9" t="n"/>
      <c r="Y1861" s="9" t="n"/>
      <c r="Z1861" s="9" t="n"/>
    </row>
    <row r="1862" ht="14.25" customHeight="1" s="37">
      <c r="A1862" s="9">
        <f>IF(C1862="","","UM"&amp;TEXT(ROW()-1,"00000"))</f>
        <v/>
      </c>
      <c r="B1862" s="9" t="n"/>
      <c r="C1862" s="9" t="n"/>
      <c r="D1862" s="9" t="n"/>
      <c r="E1862" s="9" t="n"/>
      <c r="F1862" s="9">
        <f>IF(E1862="","",DATEDIF(E1862,DATE(2026,12,31),"Y"))</f>
        <v/>
      </c>
      <c r="G1862" s="9" t="n"/>
      <c r="H1862" s="9" t="n"/>
      <c r="I1862" s="9" t="n"/>
      <c r="J1862" s="9" t="n"/>
      <c r="K1862" s="9" t="n"/>
      <c r="L1862" s="9" t="n"/>
      <c r="M1862" s="9" t="n"/>
      <c r="N1862" s="9" t="n"/>
      <c r="O1862" s="9" t="n"/>
      <c r="P1862" s="9" t="n"/>
      <c r="Q1862" s="9" t="n"/>
      <c r="R1862" s="9" t="n"/>
      <c r="S1862" s="9" t="n"/>
      <c r="T1862" s="9" t="n"/>
      <c r="U1862" s="9" t="n"/>
      <c r="V1862" s="9" t="n"/>
      <c r="W1862" s="9" t="n"/>
      <c r="X1862" s="9" t="n"/>
      <c r="Y1862" s="9" t="n"/>
      <c r="Z1862" s="9" t="n"/>
    </row>
    <row r="1863" ht="14.25" customHeight="1" s="37">
      <c r="A1863" s="9">
        <f>IF(C1863="","","UM"&amp;TEXT(ROW()-1,"00000"))</f>
        <v/>
      </c>
      <c r="B1863" s="9" t="n"/>
      <c r="C1863" s="9" t="n"/>
      <c r="D1863" s="9" t="n"/>
      <c r="E1863" s="9" t="n"/>
      <c r="F1863" s="9">
        <f>IF(E1863="","",DATEDIF(E1863,DATE(2026,12,31),"Y"))</f>
        <v/>
      </c>
      <c r="G1863" s="9" t="n"/>
      <c r="H1863" s="9" t="n"/>
      <c r="I1863" s="9" t="n"/>
      <c r="J1863" s="9" t="n"/>
      <c r="K1863" s="9" t="n"/>
      <c r="L1863" s="9" t="n"/>
      <c r="M1863" s="9" t="n"/>
      <c r="N1863" s="9" t="n"/>
      <c r="O1863" s="9" t="n"/>
      <c r="P1863" s="9" t="n"/>
      <c r="Q1863" s="9" t="n"/>
      <c r="R1863" s="9" t="n"/>
      <c r="S1863" s="9" t="n"/>
      <c r="T1863" s="9" t="n"/>
      <c r="U1863" s="9" t="n"/>
      <c r="V1863" s="9" t="n"/>
      <c r="W1863" s="9" t="n"/>
      <c r="X1863" s="9" t="n"/>
      <c r="Y1863" s="9" t="n"/>
      <c r="Z1863" s="9" t="n"/>
    </row>
    <row r="1864" ht="14.25" customHeight="1" s="37">
      <c r="A1864" s="9">
        <f>IF(C1864="","","UM"&amp;TEXT(ROW()-1,"00000"))</f>
        <v/>
      </c>
      <c r="B1864" s="9" t="n"/>
      <c r="C1864" s="9" t="n"/>
      <c r="D1864" s="9" t="n"/>
      <c r="E1864" s="9" t="n"/>
      <c r="F1864" s="9">
        <f>IF(E1864="","",DATEDIF(E1864,DATE(2026,12,31),"Y"))</f>
        <v/>
      </c>
      <c r="G1864" s="9" t="n"/>
      <c r="H1864" s="9" t="n"/>
      <c r="I1864" s="9" t="n"/>
      <c r="J1864" s="9" t="n"/>
      <c r="K1864" s="9" t="n"/>
      <c r="L1864" s="9" t="n"/>
      <c r="M1864" s="9" t="n"/>
      <c r="N1864" s="9" t="n"/>
      <c r="O1864" s="9" t="n"/>
      <c r="P1864" s="9" t="n"/>
      <c r="Q1864" s="9" t="n"/>
      <c r="R1864" s="9" t="n"/>
      <c r="S1864" s="9" t="n"/>
      <c r="T1864" s="9" t="n"/>
      <c r="U1864" s="9" t="n"/>
      <c r="V1864" s="9" t="n"/>
      <c r="W1864" s="9" t="n"/>
      <c r="X1864" s="9" t="n"/>
      <c r="Y1864" s="9" t="n"/>
      <c r="Z1864" s="9" t="n"/>
    </row>
    <row r="1865" ht="14.25" customHeight="1" s="37">
      <c r="A1865" s="9">
        <f>IF(C1865="","","UM"&amp;TEXT(ROW()-1,"00000"))</f>
        <v/>
      </c>
      <c r="B1865" s="9" t="n"/>
      <c r="C1865" s="9" t="n"/>
      <c r="D1865" s="9" t="n"/>
      <c r="E1865" s="9" t="n"/>
      <c r="F1865" s="9">
        <f>IF(E1865="","",DATEDIF(E1865,DATE(2026,12,31),"Y"))</f>
        <v/>
      </c>
      <c r="G1865" s="9" t="n"/>
      <c r="H1865" s="9" t="n"/>
      <c r="I1865" s="9" t="n"/>
      <c r="J1865" s="9" t="n"/>
      <c r="K1865" s="9" t="n"/>
      <c r="L1865" s="9" t="n"/>
      <c r="M1865" s="9" t="n"/>
      <c r="N1865" s="9" t="n"/>
      <c r="O1865" s="9" t="n"/>
      <c r="P1865" s="9" t="n"/>
      <c r="Q1865" s="9" t="n"/>
      <c r="R1865" s="9" t="n"/>
      <c r="S1865" s="9" t="n"/>
      <c r="T1865" s="9" t="n"/>
      <c r="U1865" s="9" t="n"/>
      <c r="V1865" s="9" t="n"/>
      <c r="W1865" s="9" t="n"/>
      <c r="X1865" s="9" t="n"/>
      <c r="Y1865" s="9" t="n"/>
      <c r="Z1865" s="9" t="n"/>
    </row>
    <row r="1866" ht="14.25" customHeight="1" s="37">
      <c r="A1866" s="9">
        <f>IF(C1866="","","UM"&amp;TEXT(ROW()-1,"00000"))</f>
        <v/>
      </c>
      <c r="B1866" s="9" t="n"/>
      <c r="C1866" s="9" t="n"/>
      <c r="D1866" s="9" t="n"/>
      <c r="E1866" s="9" t="n"/>
      <c r="F1866" s="9">
        <f>IF(E1866="","",DATEDIF(E1866,DATE(2026,12,31),"Y"))</f>
        <v/>
      </c>
      <c r="G1866" s="9" t="n"/>
      <c r="H1866" s="9" t="n"/>
      <c r="I1866" s="9" t="n"/>
      <c r="J1866" s="9" t="n"/>
      <c r="K1866" s="9" t="n"/>
      <c r="L1866" s="9" t="n"/>
      <c r="M1866" s="9" t="n"/>
      <c r="N1866" s="9" t="n"/>
      <c r="O1866" s="9" t="n"/>
      <c r="P1866" s="9" t="n"/>
      <c r="Q1866" s="9" t="n"/>
      <c r="R1866" s="9" t="n"/>
      <c r="S1866" s="9" t="n"/>
      <c r="T1866" s="9" t="n"/>
      <c r="U1866" s="9" t="n"/>
      <c r="V1866" s="9" t="n"/>
      <c r="W1866" s="9" t="n"/>
      <c r="X1866" s="9" t="n"/>
      <c r="Y1866" s="9" t="n"/>
      <c r="Z1866" s="9" t="n"/>
    </row>
    <row r="1867" ht="14.25" customHeight="1" s="37">
      <c r="A1867" s="9">
        <f>IF(C1867="","","UM"&amp;TEXT(ROW()-1,"00000"))</f>
        <v/>
      </c>
      <c r="B1867" s="9" t="n"/>
      <c r="C1867" s="9" t="n"/>
      <c r="D1867" s="9" t="n"/>
      <c r="E1867" s="9" t="n"/>
      <c r="F1867" s="9">
        <f>IF(E1867="","",DATEDIF(E1867,DATE(2026,12,31),"Y"))</f>
        <v/>
      </c>
      <c r="G1867" s="9" t="n"/>
      <c r="H1867" s="9" t="n"/>
      <c r="I1867" s="9" t="n"/>
      <c r="J1867" s="9" t="n"/>
      <c r="K1867" s="9" t="n"/>
      <c r="L1867" s="9" t="n"/>
      <c r="M1867" s="9" t="n"/>
      <c r="N1867" s="9" t="n"/>
      <c r="O1867" s="9" t="n"/>
      <c r="P1867" s="9" t="n"/>
      <c r="Q1867" s="9" t="n"/>
      <c r="R1867" s="9" t="n"/>
      <c r="S1867" s="9" t="n"/>
      <c r="T1867" s="9" t="n"/>
      <c r="U1867" s="9" t="n"/>
      <c r="V1867" s="9" t="n"/>
      <c r="W1867" s="9" t="n"/>
      <c r="X1867" s="9" t="n"/>
      <c r="Y1867" s="9" t="n"/>
      <c r="Z1867" s="9" t="n"/>
    </row>
    <row r="1868" ht="14.25" customHeight="1" s="37">
      <c r="A1868" s="9">
        <f>IF(C1868="","","UM"&amp;TEXT(ROW()-1,"00000"))</f>
        <v/>
      </c>
      <c r="B1868" s="9" t="n"/>
      <c r="C1868" s="9" t="n"/>
      <c r="D1868" s="9" t="n"/>
      <c r="E1868" s="9" t="n"/>
      <c r="F1868" s="9">
        <f>IF(E1868="","",DATEDIF(E1868,DATE(2026,12,31),"Y"))</f>
        <v/>
      </c>
      <c r="G1868" s="9" t="n"/>
      <c r="H1868" s="9" t="n"/>
      <c r="I1868" s="9" t="n"/>
      <c r="J1868" s="9" t="n"/>
      <c r="K1868" s="9" t="n"/>
      <c r="L1868" s="9" t="n"/>
      <c r="M1868" s="9" t="n"/>
      <c r="N1868" s="9" t="n"/>
      <c r="O1868" s="9" t="n"/>
      <c r="P1868" s="9" t="n"/>
      <c r="Q1868" s="9" t="n"/>
      <c r="R1868" s="9" t="n"/>
      <c r="S1868" s="9" t="n"/>
      <c r="T1868" s="9" t="n"/>
      <c r="U1868" s="9" t="n"/>
      <c r="V1868" s="9" t="n"/>
      <c r="W1868" s="9" t="n"/>
      <c r="X1868" s="9" t="n"/>
      <c r="Y1868" s="9" t="n"/>
      <c r="Z1868" s="9" t="n"/>
    </row>
    <row r="1869" ht="14.25" customHeight="1" s="37">
      <c r="A1869" s="9">
        <f>IF(C1869="","","UM"&amp;TEXT(ROW()-1,"00000"))</f>
        <v/>
      </c>
      <c r="B1869" s="9" t="n"/>
      <c r="C1869" s="9" t="n"/>
      <c r="D1869" s="9" t="n"/>
      <c r="E1869" s="9" t="n"/>
      <c r="F1869" s="9">
        <f>IF(E1869="","",DATEDIF(E1869,DATE(2026,12,31),"Y"))</f>
        <v/>
      </c>
      <c r="G1869" s="9" t="n"/>
      <c r="H1869" s="9" t="n"/>
      <c r="I1869" s="9" t="n"/>
      <c r="J1869" s="9" t="n"/>
      <c r="K1869" s="9" t="n"/>
      <c r="L1869" s="9" t="n"/>
      <c r="M1869" s="9" t="n"/>
      <c r="N1869" s="9" t="n"/>
      <c r="O1869" s="9" t="n"/>
      <c r="P1869" s="9" t="n"/>
      <c r="Q1869" s="9" t="n"/>
      <c r="R1869" s="9" t="n"/>
      <c r="S1869" s="9" t="n"/>
      <c r="T1869" s="9" t="n"/>
      <c r="U1869" s="9" t="n"/>
      <c r="V1869" s="9" t="n"/>
      <c r="W1869" s="9" t="n"/>
      <c r="X1869" s="9" t="n"/>
      <c r="Y1869" s="9" t="n"/>
      <c r="Z1869" s="9" t="n"/>
    </row>
    <row r="1870" ht="14.25" customHeight="1" s="37">
      <c r="A1870" s="9">
        <f>IF(C1870="","","UM"&amp;TEXT(ROW()-1,"00000"))</f>
        <v/>
      </c>
      <c r="B1870" s="9" t="n"/>
      <c r="C1870" s="9" t="n"/>
      <c r="D1870" s="9" t="n"/>
      <c r="E1870" s="9" t="n"/>
      <c r="F1870" s="9">
        <f>IF(E1870="","",DATEDIF(E1870,DATE(2026,12,31),"Y"))</f>
        <v/>
      </c>
      <c r="G1870" s="9" t="n"/>
      <c r="H1870" s="9" t="n"/>
      <c r="I1870" s="9" t="n"/>
      <c r="J1870" s="9" t="n"/>
      <c r="K1870" s="9" t="n"/>
      <c r="L1870" s="9" t="n"/>
      <c r="M1870" s="9" t="n"/>
      <c r="N1870" s="9" t="n"/>
      <c r="O1870" s="9" t="n"/>
      <c r="P1870" s="9" t="n"/>
      <c r="Q1870" s="9" t="n"/>
      <c r="R1870" s="9" t="n"/>
      <c r="S1870" s="9" t="n"/>
      <c r="T1870" s="9" t="n"/>
      <c r="U1870" s="9" t="n"/>
      <c r="V1870" s="9" t="n"/>
      <c r="W1870" s="9" t="n"/>
      <c r="X1870" s="9" t="n"/>
      <c r="Y1870" s="9" t="n"/>
      <c r="Z1870" s="9" t="n"/>
    </row>
    <row r="1871" ht="14.25" customHeight="1" s="37">
      <c r="A1871" s="9">
        <f>IF(C1871="","","UM"&amp;TEXT(ROW()-1,"00000"))</f>
        <v/>
      </c>
      <c r="B1871" s="9" t="n"/>
      <c r="C1871" s="9" t="n"/>
      <c r="D1871" s="9" t="n"/>
      <c r="E1871" s="9" t="n"/>
      <c r="F1871" s="9">
        <f>IF(E1871="","",DATEDIF(E1871,DATE(2026,12,31),"Y"))</f>
        <v/>
      </c>
      <c r="G1871" s="9" t="n"/>
      <c r="H1871" s="9" t="n"/>
      <c r="I1871" s="9" t="n"/>
      <c r="J1871" s="9" t="n"/>
      <c r="K1871" s="9" t="n"/>
      <c r="L1871" s="9" t="n"/>
      <c r="M1871" s="9" t="n"/>
      <c r="N1871" s="9" t="n"/>
      <c r="O1871" s="9" t="n"/>
      <c r="P1871" s="9" t="n"/>
      <c r="Q1871" s="9" t="n"/>
      <c r="R1871" s="9" t="n"/>
      <c r="S1871" s="9" t="n"/>
      <c r="T1871" s="9" t="n"/>
      <c r="U1871" s="9" t="n"/>
      <c r="V1871" s="9" t="n"/>
      <c r="W1871" s="9" t="n"/>
      <c r="X1871" s="9" t="n"/>
      <c r="Y1871" s="9" t="n"/>
      <c r="Z1871" s="9" t="n"/>
    </row>
    <row r="1872" ht="14.25" customHeight="1" s="37">
      <c r="A1872" s="9">
        <f>IF(C1872="","","UM"&amp;TEXT(ROW()-1,"00000"))</f>
        <v/>
      </c>
      <c r="B1872" s="9" t="n"/>
      <c r="C1872" s="9" t="n"/>
      <c r="D1872" s="9" t="n"/>
      <c r="E1872" s="9" t="n"/>
      <c r="F1872" s="9">
        <f>IF(E1872="","",DATEDIF(E1872,DATE(2026,12,31),"Y"))</f>
        <v/>
      </c>
      <c r="G1872" s="9" t="n"/>
      <c r="H1872" s="9" t="n"/>
      <c r="I1872" s="9" t="n"/>
      <c r="J1872" s="9" t="n"/>
      <c r="K1872" s="9" t="n"/>
      <c r="L1872" s="9" t="n"/>
      <c r="M1872" s="9" t="n"/>
      <c r="N1872" s="9" t="n"/>
      <c r="O1872" s="9" t="n"/>
      <c r="P1872" s="9" t="n"/>
      <c r="Q1872" s="9" t="n"/>
      <c r="R1872" s="9" t="n"/>
      <c r="S1872" s="9" t="n"/>
      <c r="T1872" s="9" t="n"/>
      <c r="U1872" s="9" t="n"/>
      <c r="V1872" s="9" t="n"/>
      <c r="W1872" s="9" t="n"/>
      <c r="X1872" s="9" t="n"/>
      <c r="Y1872" s="9" t="n"/>
      <c r="Z1872" s="9" t="n"/>
    </row>
    <row r="1873" ht="14.25" customHeight="1" s="37">
      <c r="A1873" s="9">
        <f>IF(C1873="","","UM"&amp;TEXT(ROW()-1,"00000"))</f>
        <v/>
      </c>
      <c r="B1873" s="9" t="n"/>
      <c r="C1873" s="9" t="n"/>
      <c r="D1873" s="9" t="n"/>
      <c r="E1873" s="9" t="n"/>
      <c r="F1873" s="9">
        <f>IF(E1873="","",DATEDIF(E1873,DATE(2026,12,31),"Y"))</f>
        <v/>
      </c>
      <c r="G1873" s="9" t="n"/>
      <c r="H1873" s="9" t="n"/>
      <c r="I1873" s="9" t="n"/>
      <c r="J1873" s="9" t="n"/>
      <c r="K1873" s="9" t="n"/>
      <c r="L1873" s="9" t="n"/>
      <c r="M1873" s="9" t="n"/>
      <c r="N1873" s="9" t="n"/>
      <c r="O1873" s="9" t="n"/>
      <c r="P1873" s="9" t="n"/>
      <c r="Q1873" s="9" t="n"/>
      <c r="R1873" s="9" t="n"/>
      <c r="S1873" s="9" t="n"/>
      <c r="T1873" s="9" t="n"/>
      <c r="U1873" s="9" t="n"/>
      <c r="V1873" s="9" t="n"/>
      <c r="W1873" s="9" t="n"/>
      <c r="X1873" s="9" t="n"/>
      <c r="Y1873" s="9" t="n"/>
      <c r="Z1873" s="9" t="n"/>
    </row>
    <row r="1874" ht="14.25" customHeight="1" s="37">
      <c r="A1874" s="9">
        <f>IF(C1874="","","UM"&amp;TEXT(ROW()-1,"00000"))</f>
        <v/>
      </c>
      <c r="B1874" s="9" t="n"/>
      <c r="C1874" s="9" t="n"/>
      <c r="D1874" s="9" t="n"/>
      <c r="E1874" s="9" t="n"/>
      <c r="F1874" s="9">
        <f>IF(E1874="","",DATEDIF(E1874,DATE(2026,12,31),"Y"))</f>
        <v/>
      </c>
      <c r="G1874" s="9" t="n"/>
      <c r="H1874" s="9" t="n"/>
      <c r="I1874" s="9" t="n"/>
      <c r="J1874" s="9" t="n"/>
      <c r="K1874" s="9" t="n"/>
      <c r="L1874" s="9" t="n"/>
      <c r="M1874" s="9" t="n"/>
      <c r="N1874" s="9" t="n"/>
      <c r="O1874" s="9" t="n"/>
      <c r="P1874" s="9" t="n"/>
      <c r="Q1874" s="9" t="n"/>
      <c r="R1874" s="9" t="n"/>
      <c r="S1874" s="9" t="n"/>
      <c r="T1874" s="9" t="n"/>
      <c r="U1874" s="9" t="n"/>
      <c r="V1874" s="9" t="n"/>
      <c r="W1874" s="9" t="n"/>
      <c r="X1874" s="9" t="n"/>
      <c r="Y1874" s="9" t="n"/>
      <c r="Z1874" s="9" t="n"/>
    </row>
    <row r="1875" ht="14.25" customHeight="1" s="37">
      <c r="A1875" s="9">
        <f>IF(C1875="","","UM"&amp;TEXT(ROW()-1,"00000"))</f>
        <v/>
      </c>
      <c r="B1875" s="9" t="n"/>
      <c r="C1875" s="9" t="n"/>
      <c r="D1875" s="9" t="n"/>
      <c r="E1875" s="9" t="n"/>
      <c r="F1875" s="9">
        <f>IF(E1875="","",DATEDIF(E1875,DATE(2026,12,31),"Y"))</f>
        <v/>
      </c>
      <c r="G1875" s="9" t="n"/>
      <c r="H1875" s="9" t="n"/>
      <c r="I1875" s="9" t="n"/>
      <c r="J1875" s="9" t="n"/>
      <c r="K1875" s="9" t="n"/>
      <c r="L1875" s="9" t="n"/>
      <c r="M1875" s="9" t="n"/>
      <c r="N1875" s="9" t="n"/>
      <c r="O1875" s="9" t="n"/>
      <c r="P1875" s="9" t="n"/>
      <c r="Q1875" s="9" t="n"/>
      <c r="R1875" s="9" t="n"/>
      <c r="S1875" s="9" t="n"/>
      <c r="T1875" s="9" t="n"/>
      <c r="U1875" s="9" t="n"/>
      <c r="V1875" s="9" t="n"/>
      <c r="W1875" s="9" t="n"/>
      <c r="X1875" s="9" t="n"/>
      <c r="Y1875" s="9" t="n"/>
      <c r="Z1875" s="9" t="n"/>
    </row>
    <row r="1876" ht="14.25" customHeight="1" s="37">
      <c r="A1876" s="9">
        <f>IF(C1876="","","UM"&amp;TEXT(ROW()-1,"00000"))</f>
        <v/>
      </c>
      <c r="B1876" s="9" t="n"/>
      <c r="C1876" s="9" t="n"/>
      <c r="D1876" s="9" t="n"/>
      <c r="E1876" s="9" t="n"/>
      <c r="F1876" s="9">
        <f>IF(E1876="","",DATEDIF(E1876,DATE(2026,12,31),"Y"))</f>
        <v/>
      </c>
      <c r="G1876" s="9" t="n"/>
      <c r="H1876" s="9" t="n"/>
      <c r="I1876" s="9" t="n"/>
      <c r="J1876" s="9" t="n"/>
      <c r="K1876" s="9" t="n"/>
      <c r="L1876" s="9" t="n"/>
      <c r="M1876" s="9" t="n"/>
      <c r="N1876" s="9" t="n"/>
      <c r="O1876" s="9" t="n"/>
      <c r="P1876" s="9" t="n"/>
      <c r="Q1876" s="9" t="n"/>
      <c r="R1876" s="9" t="n"/>
      <c r="S1876" s="9" t="n"/>
      <c r="T1876" s="9" t="n"/>
      <c r="U1876" s="9" t="n"/>
      <c r="V1876" s="9" t="n"/>
      <c r="W1876" s="9" t="n"/>
      <c r="X1876" s="9" t="n"/>
      <c r="Y1876" s="9" t="n"/>
      <c r="Z1876" s="9" t="n"/>
    </row>
    <row r="1877" ht="14.25" customHeight="1" s="37">
      <c r="A1877" s="9">
        <f>IF(C1877="","","UM"&amp;TEXT(ROW()-1,"00000"))</f>
        <v/>
      </c>
      <c r="B1877" s="9" t="n"/>
      <c r="C1877" s="9" t="n"/>
      <c r="D1877" s="9" t="n"/>
      <c r="E1877" s="9" t="n"/>
      <c r="F1877" s="9">
        <f>IF(E1877="","",DATEDIF(E1877,DATE(2026,12,31),"Y"))</f>
        <v/>
      </c>
      <c r="G1877" s="9" t="n"/>
      <c r="H1877" s="9" t="n"/>
      <c r="I1877" s="9" t="n"/>
      <c r="J1877" s="9" t="n"/>
      <c r="K1877" s="9" t="n"/>
      <c r="L1877" s="9" t="n"/>
      <c r="M1877" s="9" t="n"/>
      <c r="N1877" s="9" t="n"/>
      <c r="O1877" s="9" t="n"/>
      <c r="P1877" s="9" t="n"/>
      <c r="Q1877" s="9" t="n"/>
      <c r="R1877" s="9" t="n"/>
      <c r="S1877" s="9" t="n"/>
      <c r="T1877" s="9" t="n"/>
      <c r="U1877" s="9" t="n"/>
      <c r="V1877" s="9" t="n"/>
      <c r="W1877" s="9" t="n"/>
      <c r="X1877" s="9" t="n"/>
      <c r="Y1877" s="9" t="n"/>
      <c r="Z1877" s="9" t="n"/>
    </row>
    <row r="1878" ht="14.25" customHeight="1" s="37">
      <c r="A1878" s="9">
        <f>IF(C1878="","","UM"&amp;TEXT(ROW()-1,"00000"))</f>
        <v/>
      </c>
      <c r="B1878" s="9" t="n"/>
      <c r="C1878" s="9" t="n"/>
      <c r="D1878" s="9" t="n"/>
      <c r="E1878" s="9" t="n"/>
      <c r="F1878" s="9">
        <f>IF(E1878="","",DATEDIF(E1878,DATE(2026,12,31),"Y"))</f>
        <v/>
      </c>
      <c r="G1878" s="9" t="n"/>
      <c r="H1878" s="9" t="n"/>
      <c r="I1878" s="9" t="n"/>
      <c r="J1878" s="9" t="n"/>
      <c r="K1878" s="9" t="n"/>
      <c r="L1878" s="9" t="n"/>
      <c r="M1878" s="9" t="n"/>
      <c r="N1878" s="9" t="n"/>
      <c r="O1878" s="9" t="n"/>
      <c r="P1878" s="9" t="n"/>
      <c r="Q1878" s="9" t="n"/>
      <c r="R1878" s="9" t="n"/>
      <c r="S1878" s="9" t="n"/>
      <c r="T1878" s="9" t="n"/>
      <c r="U1878" s="9" t="n"/>
      <c r="V1878" s="9" t="n"/>
      <c r="W1878" s="9" t="n"/>
      <c r="X1878" s="9" t="n"/>
      <c r="Y1878" s="9" t="n"/>
      <c r="Z1878" s="9" t="n"/>
    </row>
    <row r="1879" ht="14.25" customHeight="1" s="37">
      <c r="A1879" s="9">
        <f>IF(C1879="","","UM"&amp;TEXT(ROW()-1,"00000"))</f>
        <v/>
      </c>
      <c r="B1879" s="9" t="n"/>
      <c r="C1879" s="9" t="n"/>
      <c r="D1879" s="9" t="n"/>
      <c r="E1879" s="9" t="n"/>
      <c r="F1879" s="9">
        <f>IF(E1879="","",DATEDIF(E1879,DATE(2026,12,31),"Y"))</f>
        <v/>
      </c>
      <c r="G1879" s="9" t="n"/>
      <c r="H1879" s="9" t="n"/>
      <c r="I1879" s="9" t="n"/>
      <c r="J1879" s="9" t="n"/>
      <c r="K1879" s="9" t="n"/>
      <c r="L1879" s="9" t="n"/>
      <c r="M1879" s="9" t="n"/>
      <c r="N1879" s="9" t="n"/>
      <c r="O1879" s="9" t="n"/>
      <c r="P1879" s="9" t="n"/>
      <c r="Q1879" s="9" t="n"/>
      <c r="R1879" s="9" t="n"/>
      <c r="S1879" s="9" t="n"/>
      <c r="T1879" s="9" t="n"/>
      <c r="U1879" s="9" t="n"/>
      <c r="V1879" s="9" t="n"/>
      <c r="W1879" s="9" t="n"/>
      <c r="X1879" s="9" t="n"/>
      <c r="Y1879" s="9" t="n"/>
      <c r="Z1879" s="9" t="n"/>
    </row>
    <row r="1880" ht="14.25" customHeight="1" s="37">
      <c r="A1880" s="9">
        <f>IF(C1880="","","UM"&amp;TEXT(ROW()-1,"00000"))</f>
        <v/>
      </c>
      <c r="B1880" s="9" t="n"/>
      <c r="C1880" s="9" t="n"/>
      <c r="D1880" s="9" t="n"/>
      <c r="E1880" s="9" t="n"/>
      <c r="F1880" s="9">
        <f>IF(E1880="","",DATEDIF(E1880,DATE(2026,12,31),"Y"))</f>
        <v/>
      </c>
      <c r="G1880" s="9" t="n"/>
      <c r="H1880" s="9" t="n"/>
      <c r="I1880" s="9" t="n"/>
      <c r="J1880" s="9" t="n"/>
      <c r="K1880" s="9" t="n"/>
      <c r="L1880" s="9" t="n"/>
      <c r="M1880" s="9" t="n"/>
      <c r="N1880" s="9" t="n"/>
      <c r="O1880" s="9" t="n"/>
      <c r="P1880" s="9" t="n"/>
      <c r="Q1880" s="9" t="n"/>
      <c r="R1880" s="9" t="n"/>
      <c r="S1880" s="9" t="n"/>
      <c r="T1880" s="9" t="n"/>
      <c r="U1880" s="9" t="n"/>
      <c r="V1880" s="9" t="n"/>
      <c r="W1880" s="9" t="n"/>
      <c r="X1880" s="9" t="n"/>
      <c r="Y1880" s="9" t="n"/>
      <c r="Z1880" s="9" t="n"/>
    </row>
    <row r="1881" ht="14.25" customHeight="1" s="37">
      <c r="A1881" s="9">
        <f>IF(C1881="","","UM"&amp;TEXT(ROW()-1,"00000"))</f>
        <v/>
      </c>
      <c r="B1881" s="9" t="n"/>
      <c r="C1881" s="9" t="n"/>
      <c r="D1881" s="9" t="n"/>
      <c r="E1881" s="9" t="n"/>
      <c r="F1881" s="9">
        <f>IF(E1881="","",DATEDIF(E1881,DATE(2026,12,31),"Y"))</f>
        <v/>
      </c>
      <c r="G1881" s="9" t="n"/>
      <c r="H1881" s="9" t="n"/>
      <c r="I1881" s="9" t="n"/>
      <c r="J1881" s="9" t="n"/>
      <c r="K1881" s="9" t="n"/>
      <c r="L1881" s="9" t="n"/>
      <c r="M1881" s="9" t="n"/>
      <c r="N1881" s="9" t="n"/>
      <c r="O1881" s="9" t="n"/>
      <c r="P1881" s="9" t="n"/>
      <c r="Q1881" s="9" t="n"/>
      <c r="R1881" s="9" t="n"/>
      <c r="S1881" s="9" t="n"/>
      <c r="T1881" s="9" t="n"/>
      <c r="U1881" s="9" t="n"/>
      <c r="V1881" s="9" t="n"/>
      <c r="W1881" s="9" t="n"/>
      <c r="X1881" s="9" t="n"/>
      <c r="Y1881" s="9" t="n"/>
      <c r="Z1881" s="9" t="n"/>
    </row>
    <row r="1882" ht="14.25" customHeight="1" s="37">
      <c r="A1882" s="9">
        <f>IF(C1882="","","UM"&amp;TEXT(ROW()-1,"00000"))</f>
        <v/>
      </c>
      <c r="B1882" s="9" t="n"/>
      <c r="C1882" s="9" t="n"/>
      <c r="D1882" s="9" t="n"/>
      <c r="E1882" s="9" t="n"/>
      <c r="F1882" s="9">
        <f>IF(E1882="","",DATEDIF(E1882,DATE(2026,12,31),"Y"))</f>
        <v/>
      </c>
      <c r="G1882" s="9" t="n"/>
      <c r="H1882" s="9" t="n"/>
      <c r="I1882" s="9" t="n"/>
      <c r="J1882" s="9" t="n"/>
      <c r="K1882" s="9" t="n"/>
      <c r="L1882" s="9" t="n"/>
      <c r="M1882" s="9" t="n"/>
      <c r="N1882" s="9" t="n"/>
      <c r="O1882" s="9" t="n"/>
      <c r="P1882" s="9" t="n"/>
      <c r="Q1882" s="9" t="n"/>
      <c r="R1882" s="9" t="n"/>
      <c r="S1882" s="9" t="n"/>
      <c r="T1882" s="9" t="n"/>
      <c r="U1882" s="9" t="n"/>
      <c r="V1882" s="9" t="n"/>
      <c r="W1882" s="9" t="n"/>
      <c r="X1882" s="9" t="n"/>
      <c r="Y1882" s="9" t="n"/>
      <c r="Z1882" s="9" t="n"/>
    </row>
    <row r="1883" ht="14.25" customHeight="1" s="37">
      <c r="A1883" s="9">
        <f>IF(C1883="","","UM"&amp;TEXT(ROW()-1,"00000"))</f>
        <v/>
      </c>
      <c r="B1883" s="9" t="n"/>
      <c r="C1883" s="9" t="n"/>
      <c r="D1883" s="9" t="n"/>
      <c r="E1883" s="9" t="n"/>
      <c r="F1883" s="9">
        <f>IF(E1883="","",DATEDIF(E1883,DATE(2026,12,31),"Y"))</f>
        <v/>
      </c>
      <c r="G1883" s="9" t="n"/>
      <c r="H1883" s="9" t="n"/>
      <c r="I1883" s="9" t="n"/>
      <c r="J1883" s="9" t="n"/>
      <c r="K1883" s="9" t="n"/>
      <c r="L1883" s="9" t="n"/>
      <c r="M1883" s="9" t="n"/>
      <c r="N1883" s="9" t="n"/>
      <c r="O1883" s="9" t="n"/>
      <c r="P1883" s="9" t="n"/>
      <c r="Q1883" s="9" t="n"/>
      <c r="R1883" s="9" t="n"/>
      <c r="S1883" s="9" t="n"/>
      <c r="T1883" s="9" t="n"/>
      <c r="U1883" s="9" t="n"/>
      <c r="V1883" s="9" t="n"/>
      <c r="W1883" s="9" t="n"/>
      <c r="X1883" s="9" t="n"/>
      <c r="Y1883" s="9" t="n"/>
      <c r="Z1883" s="9" t="n"/>
    </row>
    <row r="1884" ht="14.25" customHeight="1" s="37">
      <c r="A1884" s="9">
        <f>IF(C1884="","","UM"&amp;TEXT(ROW()-1,"00000"))</f>
        <v/>
      </c>
      <c r="B1884" s="9" t="n"/>
      <c r="C1884" s="9" t="n"/>
      <c r="D1884" s="9" t="n"/>
      <c r="E1884" s="9" t="n"/>
      <c r="F1884" s="9">
        <f>IF(E1884="","",DATEDIF(E1884,DATE(2026,12,31),"Y"))</f>
        <v/>
      </c>
      <c r="G1884" s="9" t="n"/>
      <c r="H1884" s="9" t="n"/>
      <c r="I1884" s="9" t="n"/>
      <c r="J1884" s="9" t="n"/>
      <c r="K1884" s="9" t="n"/>
      <c r="L1884" s="9" t="n"/>
      <c r="M1884" s="9" t="n"/>
      <c r="N1884" s="9" t="n"/>
      <c r="O1884" s="9" t="n"/>
      <c r="P1884" s="9" t="n"/>
      <c r="Q1884" s="9" t="n"/>
      <c r="R1884" s="9" t="n"/>
      <c r="S1884" s="9" t="n"/>
      <c r="T1884" s="9" t="n"/>
      <c r="U1884" s="9" t="n"/>
      <c r="V1884" s="9" t="n"/>
      <c r="W1884" s="9" t="n"/>
      <c r="X1884" s="9" t="n"/>
      <c r="Y1884" s="9" t="n"/>
      <c r="Z1884" s="9" t="n"/>
    </row>
    <row r="1885" ht="14.25" customHeight="1" s="37">
      <c r="A1885" s="9">
        <f>IF(C1885="","","UM"&amp;TEXT(ROW()-1,"00000"))</f>
        <v/>
      </c>
      <c r="B1885" s="9" t="n"/>
      <c r="C1885" s="9" t="n"/>
      <c r="D1885" s="9" t="n"/>
      <c r="E1885" s="9" t="n"/>
      <c r="F1885" s="9">
        <f>IF(E1885="","",DATEDIF(E1885,DATE(2026,12,31),"Y"))</f>
        <v/>
      </c>
      <c r="G1885" s="9" t="n"/>
      <c r="H1885" s="9" t="n"/>
      <c r="I1885" s="9" t="n"/>
      <c r="J1885" s="9" t="n"/>
      <c r="K1885" s="9" t="n"/>
      <c r="L1885" s="9" t="n"/>
      <c r="M1885" s="9" t="n"/>
      <c r="N1885" s="9" t="n"/>
      <c r="O1885" s="9" t="n"/>
      <c r="P1885" s="9" t="n"/>
      <c r="Q1885" s="9" t="n"/>
      <c r="R1885" s="9" t="n"/>
      <c r="S1885" s="9" t="n"/>
      <c r="T1885" s="9" t="n"/>
      <c r="U1885" s="9" t="n"/>
      <c r="V1885" s="9" t="n"/>
      <c r="W1885" s="9" t="n"/>
      <c r="X1885" s="9" t="n"/>
      <c r="Y1885" s="9" t="n"/>
      <c r="Z1885" s="9" t="n"/>
    </row>
    <row r="1886" ht="14.25" customHeight="1" s="37">
      <c r="A1886" s="9">
        <f>IF(C1886="","","UM"&amp;TEXT(ROW()-1,"00000"))</f>
        <v/>
      </c>
      <c r="B1886" s="9" t="n"/>
      <c r="C1886" s="9" t="n"/>
      <c r="D1886" s="9" t="n"/>
      <c r="E1886" s="9" t="n"/>
      <c r="F1886" s="9">
        <f>IF(E1886="","",DATEDIF(E1886,DATE(2026,12,31),"Y"))</f>
        <v/>
      </c>
      <c r="G1886" s="9" t="n"/>
      <c r="H1886" s="9" t="n"/>
      <c r="I1886" s="9" t="n"/>
      <c r="J1886" s="9" t="n"/>
      <c r="K1886" s="9" t="n"/>
      <c r="L1886" s="9" t="n"/>
      <c r="M1886" s="9" t="n"/>
      <c r="N1886" s="9" t="n"/>
      <c r="O1886" s="9" t="n"/>
      <c r="P1886" s="9" t="n"/>
      <c r="Q1886" s="9" t="n"/>
      <c r="R1886" s="9" t="n"/>
      <c r="S1886" s="9" t="n"/>
      <c r="T1886" s="9" t="n"/>
      <c r="U1886" s="9" t="n"/>
      <c r="V1886" s="9" t="n"/>
      <c r="W1886" s="9" t="n"/>
      <c r="X1886" s="9" t="n"/>
      <c r="Y1886" s="9" t="n"/>
      <c r="Z1886" s="9" t="n"/>
    </row>
    <row r="1887" ht="14.25" customHeight="1" s="37">
      <c r="A1887" s="9">
        <f>IF(C1887="","","UM"&amp;TEXT(ROW()-1,"00000"))</f>
        <v/>
      </c>
      <c r="B1887" s="9" t="n"/>
      <c r="C1887" s="9" t="n"/>
      <c r="D1887" s="9" t="n"/>
      <c r="E1887" s="9" t="n"/>
      <c r="F1887" s="9">
        <f>IF(E1887="","",DATEDIF(E1887,DATE(2026,12,31),"Y"))</f>
        <v/>
      </c>
      <c r="G1887" s="9" t="n"/>
      <c r="H1887" s="9" t="n"/>
      <c r="I1887" s="9" t="n"/>
      <c r="J1887" s="9" t="n"/>
      <c r="K1887" s="9" t="n"/>
      <c r="L1887" s="9" t="n"/>
      <c r="M1887" s="9" t="n"/>
      <c r="N1887" s="9" t="n"/>
      <c r="O1887" s="9" t="n"/>
      <c r="P1887" s="9" t="n"/>
      <c r="Q1887" s="9" t="n"/>
      <c r="R1887" s="9" t="n"/>
      <c r="S1887" s="9" t="n"/>
      <c r="T1887" s="9" t="n"/>
      <c r="U1887" s="9" t="n"/>
      <c r="V1887" s="9" t="n"/>
      <c r="W1887" s="9" t="n"/>
      <c r="X1887" s="9" t="n"/>
      <c r="Y1887" s="9" t="n"/>
      <c r="Z1887" s="9" t="n"/>
    </row>
    <row r="1888" ht="14.25" customHeight="1" s="37">
      <c r="A1888" s="9">
        <f>IF(C1888="","","UM"&amp;TEXT(ROW()-1,"00000"))</f>
        <v/>
      </c>
      <c r="B1888" s="9" t="n"/>
      <c r="C1888" s="9" t="n"/>
      <c r="D1888" s="9" t="n"/>
      <c r="E1888" s="9" t="n"/>
      <c r="F1888" s="9">
        <f>IF(E1888="","",DATEDIF(E1888,DATE(2026,12,31),"Y"))</f>
        <v/>
      </c>
      <c r="G1888" s="9" t="n"/>
      <c r="H1888" s="9" t="n"/>
      <c r="I1888" s="9" t="n"/>
      <c r="J1888" s="9" t="n"/>
      <c r="K1888" s="9" t="n"/>
      <c r="L1888" s="9" t="n"/>
      <c r="M1888" s="9" t="n"/>
      <c r="N1888" s="9" t="n"/>
      <c r="O1888" s="9" t="n"/>
      <c r="P1888" s="9" t="n"/>
      <c r="Q1888" s="9" t="n"/>
      <c r="R1888" s="9" t="n"/>
      <c r="S1888" s="9" t="n"/>
      <c r="T1888" s="9" t="n"/>
      <c r="U1888" s="9" t="n"/>
      <c r="V1888" s="9" t="n"/>
      <c r="W1888" s="9" t="n"/>
      <c r="X1888" s="9" t="n"/>
      <c r="Y1888" s="9" t="n"/>
      <c r="Z1888" s="9" t="n"/>
    </row>
    <row r="1889" ht="14.25" customHeight="1" s="37">
      <c r="A1889" s="9">
        <f>IF(C1889="","","UM"&amp;TEXT(ROW()-1,"00000"))</f>
        <v/>
      </c>
      <c r="B1889" s="9" t="n"/>
      <c r="C1889" s="9" t="n"/>
      <c r="D1889" s="9" t="n"/>
      <c r="E1889" s="9" t="n"/>
      <c r="F1889" s="9">
        <f>IF(E1889="","",DATEDIF(E1889,DATE(2026,12,31),"Y"))</f>
        <v/>
      </c>
      <c r="G1889" s="9" t="n"/>
      <c r="H1889" s="9" t="n"/>
      <c r="I1889" s="9" t="n"/>
      <c r="J1889" s="9" t="n"/>
      <c r="K1889" s="9" t="n"/>
      <c r="L1889" s="9" t="n"/>
      <c r="M1889" s="9" t="n"/>
      <c r="N1889" s="9" t="n"/>
      <c r="O1889" s="9" t="n"/>
      <c r="P1889" s="9" t="n"/>
      <c r="Q1889" s="9" t="n"/>
      <c r="R1889" s="9" t="n"/>
      <c r="S1889" s="9" t="n"/>
      <c r="T1889" s="9" t="n"/>
      <c r="U1889" s="9" t="n"/>
      <c r="V1889" s="9" t="n"/>
      <c r="W1889" s="9" t="n"/>
      <c r="X1889" s="9" t="n"/>
      <c r="Y1889" s="9" t="n"/>
      <c r="Z1889" s="9" t="n"/>
    </row>
    <row r="1890" ht="14.25" customHeight="1" s="37">
      <c r="A1890" s="9">
        <f>IF(C1890="","","UM"&amp;TEXT(ROW()-1,"00000"))</f>
        <v/>
      </c>
      <c r="B1890" s="9" t="n"/>
      <c r="C1890" s="9" t="n"/>
      <c r="D1890" s="9" t="n"/>
      <c r="E1890" s="9" t="n"/>
      <c r="F1890" s="9">
        <f>IF(E1890="","",DATEDIF(E1890,DATE(2026,12,31),"Y"))</f>
        <v/>
      </c>
      <c r="G1890" s="9" t="n"/>
      <c r="H1890" s="9" t="n"/>
      <c r="I1890" s="9" t="n"/>
      <c r="J1890" s="9" t="n"/>
      <c r="K1890" s="9" t="n"/>
      <c r="L1890" s="9" t="n"/>
      <c r="M1890" s="9" t="n"/>
      <c r="N1890" s="9" t="n"/>
      <c r="O1890" s="9" t="n"/>
      <c r="P1890" s="9" t="n"/>
      <c r="Q1890" s="9" t="n"/>
      <c r="R1890" s="9" t="n"/>
      <c r="S1890" s="9" t="n"/>
      <c r="T1890" s="9" t="n"/>
      <c r="U1890" s="9" t="n"/>
      <c r="V1890" s="9" t="n"/>
      <c r="W1890" s="9" t="n"/>
      <c r="X1890" s="9" t="n"/>
      <c r="Y1890" s="9" t="n"/>
      <c r="Z1890" s="9" t="n"/>
    </row>
    <row r="1891" ht="14.25" customHeight="1" s="37">
      <c r="A1891" s="9">
        <f>IF(C1891="","","UM"&amp;TEXT(ROW()-1,"00000"))</f>
        <v/>
      </c>
      <c r="B1891" s="9" t="n"/>
      <c r="C1891" s="9" t="n"/>
      <c r="D1891" s="9" t="n"/>
      <c r="E1891" s="9" t="n"/>
      <c r="F1891" s="9">
        <f>IF(E1891="","",DATEDIF(E1891,DATE(2026,12,31),"Y"))</f>
        <v/>
      </c>
      <c r="G1891" s="9" t="n"/>
      <c r="H1891" s="9" t="n"/>
      <c r="I1891" s="9" t="n"/>
      <c r="J1891" s="9" t="n"/>
      <c r="K1891" s="9" t="n"/>
      <c r="L1891" s="9" t="n"/>
      <c r="M1891" s="9" t="n"/>
      <c r="N1891" s="9" t="n"/>
      <c r="O1891" s="9" t="n"/>
      <c r="P1891" s="9" t="n"/>
      <c r="Q1891" s="9" t="n"/>
      <c r="R1891" s="9" t="n"/>
      <c r="S1891" s="9" t="n"/>
      <c r="T1891" s="9" t="n"/>
      <c r="U1891" s="9" t="n"/>
      <c r="V1891" s="9" t="n"/>
      <c r="W1891" s="9" t="n"/>
      <c r="X1891" s="9" t="n"/>
      <c r="Y1891" s="9" t="n"/>
      <c r="Z1891" s="9" t="n"/>
    </row>
    <row r="1892" ht="14.25" customHeight="1" s="37">
      <c r="A1892" s="9">
        <f>IF(C1892="","","UM"&amp;TEXT(ROW()-1,"00000"))</f>
        <v/>
      </c>
      <c r="B1892" s="9" t="n"/>
      <c r="C1892" s="9" t="n"/>
      <c r="D1892" s="9" t="n"/>
      <c r="E1892" s="9" t="n"/>
      <c r="F1892" s="9">
        <f>IF(E1892="","",DATEDIF(E1892,DATE(2026,12,31),"Y"))</f>
        <v/>
      </c>
      <c r="G1892" s="9" t="n"/>
      <c r="H1892" s="9" t="n"/>
      <c r="I1892" s="9" t="n"/>
      <c r="J1892" s="9" t="n"/>
      <c r="K1892" s="9" t="n"/>
      <c r="L1892" s="9" t="n"/>
      <c r="M1892" s="9" t="n"/>
      <c r="N1892" s="9" t="n"/>
      <c r="O1892" s="9" t="n"/>
      <c r="P1892" s="9" t="n"/>
      <c r="Q1892" s="9" t="n"/>
      <c r="R1892" s="9" t="n"/>
      <c r="S1892" s="9" t="n"/>
      <c r="T1892" s="9" t="n"/>
      <c r="U1892" s="9" t="n"/>
      <c r="V1892" s="9" t="n"/>
      <c r="W1892" s="9" t="n"/>
      <c r="X1892" s="9" t="n"/>
      <c r="Y1892" s="9" t="n"/>
      <c r="Z1892" s="9" t="n"/>
    </row>
    <row r="1893" ht="14.25" customHeight="1" s="37">
      <c r="A1893" s="9">
        <f>IF(C1893="","","UM"&amp;TEXT(ROW()-1,"00000"))</f>
        <v/>
      </c>
      <c r="B1893" s="9" t="n"/>
      <c r="C1893" s="9" t="n"/>
      <c r="D1893" s="9" t="n"/>
      <c r="E1893" s="9" t="n"/>
      <c r="F1893" s="9">
        <f>IF(E1893="","",DATEDIF(E1893,DATE(2026,12,31),"Y"))</f>
        <v/>
      </c>
      <c r="G1893" s="9" t="n"/>
      <c r="H1893" s="9" t="n"/>
      <c r="I1893" s="9" t="n"/>
      <c r="J1893" s="9" t="n"/>
      <c r="K1893" s="9" t="n"/>
      <c r="L1893" s="9" t="n"/>
      <c r="M1893" s="9" t="n"/>
      <c r="N1893" s="9" t="n"/>
      <c r="O1893" s="9" t="n"/>
      <c r="P1893" s="9" t="n"/>
      <c r="Q1893" s="9" t="n"/>
      <c r="R1893" s="9" t="n"/>
      <c r="S1893" s="9" t="n"/>
      <c r="T1893" s="9" t="n"/>
      <c r="U1893" s="9" t="n"/>
      <c r="V1893" s="9" t="n"/>
      <c r="W1893" s="9" t="n"/>
      <c r="X1893" s="9" t="n"/>
      <c r="Y1893" s="9" t="n"/>
      <c r="Z1893" s="9" t="n"/>
    </row>
    <row r="1894" ht="14.25" customHeight="1" s="37">
      <c r="A1894" s="9">
        <f>IF(C1894="","","UM"&amp;TEXT(ROW()-1,"00000"))</f>
        <v/>
      </c>
      <c r="B1894" s="9" t="n"/>
      <c r="C1894" s="9" t="n"/>
      <c r="D1894" s="9" t="n"/>
      <c r="E1894" s="9" t="n"/>
      <c r="F1894" s="9">
        <f>IF(E1894="","",DATEDIF(E1894,DATE(2026,12,31),"Y"))</f>
        <v/>
      </c>
      <c r="G1894" s="9" t="n"/>
      <c r="H1894" s="9" t="n"/>
      <c r="I1894" s="9" t="n"/>
      <c r="J1894" s="9" t="n"/>
      <c r="K1894" s="9" t="n"/>
      <c r="L1894" s="9" t="n"/>
      <c r="M1894" s="9" t="n"/>
      <c r="N1894" s="9" t="n"/>
      <c r="O1894" s="9" t="n"/>
      <c r="P1894" s="9" t="n"/>
      <c r="Q1894" s="9" t="n"/>
      <c r="R1894" s="9" t="n"/>
      <c r="S1894" s="9" t="n"/>
      <c r="T1894" s="9" t="n"/>
      <c r="U1894" s="9" t="n"/>
      <c r="V1894" s="9" t="n"/>
      <c r="W1894" s="9" t="n"/>
      <c r="X1894" s="9" t="n"/>
      <c r="Y1894" s="9" t="n"/>
      <c r="Z1894" s="9" t="n"/>
    </row>
    <row r="1895" ht="14.25" customHeight="1" s="37">
      <c r="A1895" s="9">
        <f>IF(C1895="","","UM"&amp;TEXT(ROW()-1,"00000"))</f>
        <v/>
      </c>
      <c r="B1895" s="9" t="n"/>
      <c r="C1895" s="9" t="n"/>
      <c r="D1895" s="9" t="n"/>
      <c r="E1895" s="9" t="n"/>
      <c r="F1895" s="9">
        <f>IF(E1895="","",DATEDIF(E1895,DATE(2026,12,31),"Y"))</f>
        <v/>
      </c>
      <c r="G1895" s="9" t="n"/>
      <c r="H1895" s="9" t="n"/>
      <c r="I1895" s="9" t="n"/>
      <c r="J1895" s="9" t="n"/>
      <c r="K1895" s="9" t="n"/>
      <c r="L1895" s="9" t="n"/>
      <c r="M1895" s="9" t="n"/>
      <c r="N1895" s="9" t="n"/>
      <c r="O1895" s="9" t="n"/>
      <c r="P1895" s="9" t="n"/>
      <c r="Q1895" s="9" t="n"/>
      <c r="R1895" s="9" t="n"/>
      <c r="S1895" s="9" t="n"/>
      <c r="T1895" s="9" t="n"/>
      <c r="U1895" s="9" t="n"/>
      <c r="V1895" s="9" t="n"/>
      <c r="W1895" s="9" t="n"/>
      <c r="X1895" s="9" t="n"/>
      <c r="Y1895" s="9" t="n"/>
      <c r="Z1895" s="9" t="n"/>
    </row>
    <row r="1896" ht="14.25" customHeight="1" s="37">
      <c r="A1896" s="9">
        <f>IF(C1896="","","UM"&amp;TEXT(ROW()-1,"00000"))</f>
        <v/>
      </c>
      <c r="B1896" s="9" t="n"/>
      <c r="C1896" s="9" t="n"/>
      <c r="D1896" s="9" t="n"/>
      <c r="E1896" s="9" t="n"/>
      <c r="F1896" s="9">
        <f>IF(E1896="","",DATEDIF(E1896,DATE(2026,12,31),"Y"))</f>
        <v/>
      </c>
      <c r="G1896" s="9" t="n"/>
      <c r="H1896" s="9" t="n"/>
      <c r="I1896" s="9" t="n"/>
      <c r="J1896" s="9" t="n"/>
      <c r="K1896" s="9" t="n"/>
      <c r="L1896" s="9" t="n"/>
      <c r="M1896" s="9" t="n"/>
      <c r="N1896" s="9" t="n"/>
      <c r="O1896" s="9" t="n"/>
      <c r="P1896" s="9" t="n"/>
      <c r="Q1896" s="9" t="n"/>
      <c r="R1896" s="9" t="n"/>
      <c r="S1896" s="9" t="n"/>
      <c r="T1896" s="9" t="n"/>
      <c r="U1896" s="9" t="n"/>
      <c r="V1896" s="9" t="n"/>
      <c r="W1896" s="9" t="n"/>
      <c r="X1896" s="9" t="n"/>
      <c r="Y1896" s="9" t="n"/>
      <c r="Z1896" s="9" t="n"/>
    </row>
    <row r="1897" ht="14.25" customHeight="1" s="37">
      <c r="A1897" s="9">
        <f>IF(C1897="","","UM"&amp;TEXT(ROW()-1,"00000"))</f>
        <v/>
      </c>
      <c r="B1897" s="9" t="n"/>
      <c r="C1897" s="9" t="n"/>
      <c r="D1897" s="9" t="n"/>
      <c r="E1897" s="9" t="n"/>
      <c r="F1897" s="9">
        <f>IF(E1897="","",DATEDIF(E1897,DATE(2026,12,31),"Y"))</f>
        <v/>
      </c>
      <c r="G1897" s="9" t="n"/>
      <c r="H1897" s="9" t="n"/>
      <c r="I1897" s="9" t="n"/>
      <c r="J1897" s="9" t="n"/>
      <c r="K1897" s="9" t="n"/>
      <c r="L1897" s="9" t="n"/>
      <c r="M1897" s="9" t="n"/>
      <c r="N1897" s="9" t="n"/>
      <c r="O1897" s="9" t="n"/>
      <c r="P1897" s="9" t="n"/>
      <c r="Q1897" s="9" t="n"/>
      <c r="R1897" s="9" t="n"/>
      <c r="S1897" s="9" t="n"/>
      <c r="T1897" s="9" t="n"/>
      <c r="U1897" s="9" t="n"/>
      <c r="V1897" s="9" t="n"/>
      <c r="W1897" s="9" t="n"/>
      <c r="X1897" s="9" t="n"/>
      <c r="Y1897" s="9" t="n"/>
      <c r="Z1897" s="9" t="n"/>
    </row>
    <row r="1898" ht="14.25" customHeight="1" s="37">
      <c r="A1898" s="9">
        <f>IF(C1898="","","UM"&amp;TEXT(ROW()-1,"00000"))</f>
        <v/>
      </c>
      <c r="B1898" s="9" t="n"/>
      <c r="C1898" s="9" t="n"/>
      <c r="D1898" s="9" t="n"/>
      <c r="E1898" s="9" t="n"/>
      <c r="F1898" s="9">
        <f>IF(E1898="","",DATEDIF(E1898,DATE(2026,12,31),"Y"))</f>
        <v/>
      </c>
      <c r="G1898" s="9" t="n"/>
      <c r="H1898" s="9" t="n"/>
      <c r="I1898" s="9" t="n"/>
      <c r="J1898" s="9" t="n"/>
      <c r="K1898" s="9" t="n"/>
      <c r="L1898" s="9" t="n"/>
      <c r="M1898" s="9" t="n"/>
      <c r="N1898" s="9" t="n"/>
      <c r="O1898" s="9" t="n"/>
      <c r="P1898" s="9" t="n"/>
      <c r="Q1898" s="9" t="n"/>
      <c r="R1898" s="9" t="n"/>
      <c r="S1898" s="9" t="n"/>
      <c r="T1898" s="9" t="n"/>
      <c r="U1898" s="9" t="n"/>
      <c r="V1898" s="9" t="n"/>
      <c r="W1898" s="9" t="n"/>
      <c r="X1898" s="9" t="n"/>
      <c r="Y1898" s="9" t="n"/>
      <c r="Z1898" s="9" t="n"/>
    </row>
    <row r="1899" ht="14.25" customHeight="1" s="37">
      <c r="A1899" s="9">
        <f>IF(C1899="","","UM"&amp;TEXT(ROW()-1,"00000"))</f>
        <v/>
      </c>
      <c r="B1899" s="9" t="n"/>
      <c r="C1899" s="9" t="n"/>
      <c r="D1899" s="9" t="n"/>
      <c r="E1899" s="9" t="n"/>
      <c r="F1899" s="9">
        <f>IF(E1899="","",DATEDIF(E1899,DATE(2026,12,31),"Y"))</f>
        <v/>
      </c>
      <c r="G1899" s="9" t="n"/>
      <c r="H1899" s="9" t="n"/>
      <c r="I1899" s="9" t="n"/>
      <c r="J1899" s="9" t="n"/>
      <c r="K1899" s="9" t="n"/>
      <c r="L1899" s="9" t="n"/>
      <c r="M1899" s="9" t="n"/>
      <c r="N1899" s="9" t="n"/>
      <c r="O1899" s="9" t="n"/>
      <c r="P1899" s="9" t="n"/>
      <c r="Q1899" s="9" t="n"/>
      <c r="R1899" s="9" t="n"/>
      <c r="S1899" s="9" t="n"/>
      <c r="T1899" s="9" t="n"/>
      <c r="U1899" s="9" t="n"/>
      <c r="V1899" s="9" t="n"/>
      <c r="W1899" s="9" t="n"/>
      <c r="X1899" s="9" t="n"/>
      <c r="Y1899" s="9" t="n"/>
      <c r="Z1899" s="9" t="n"/>
    </row>
    <row r="1900" ht="14.25" customHeight="1" s="37">
      <c r="A1900" s="9">
        <f>IF(C1900="","","UM"&amp;TEXT(ROW()-1,"00000"))</f>
        <v/>
      </c>
      <c r="B1900" s="9" t="n"/>
      <c r="C1900" s="9" t="n"/>
      <c r="D1900" s="9" t="n"/>
      <c r="E1900" s="9" t="n"/>
      <c r="F1900" s="9">
        <f>IF(E1900="","",DATEDIF(E1900,DATE(2026,12,31),"Y"))</f>
        <v/>
      </c>
      <c r="G1900" s="9" t="n"/>
      <c r="H1900" s="9" t="n"/>
      <c r="I1900" s="9" t="n"/>
      <c r="J1900" s="9" t="n"/>
      <c r="K1900" s="9" t="n"/>
      <c r="L1900" s="9" t="n"/>
      <c r="M1900" s="9" t="n"/>
      <c r="N1900" s="9" t="n"/>
      <c r="O1900" s="9" t="n"/>
      <c r="P1900" s="9" t="n"/>
      <c r="Q1900" s="9" t="n"/>
      <c r="R1900" s="9" t="n"/>
      <c r="S1900" s="9" t="n"/>
      <c r="T1900" s="9" t="n"/>
      <c r="U1900" s="9" t="n"/>
      <c r="V1900" s="9" t="n"/>
      <c r="W1900" s="9" t="n"/>
      <c r="X1900" s="9" t="n"/>
      <c r="Y1900" s="9" t="n"/>
      <c r="Z1900" s="9" t="n"/>
    </row>
    <row r="1901" ht="14.25" customHeight="1" s="37">
      <c r="A1901" s="9">
        <f>IF(C1901="","","UM"&amp;TEXT(ROW()-1,"00000"))</f>
        <v/>
      </c>
      <c r="B1901" s="9" t="n"/>
      <c r="C1901" s="9" t="n"/>
      <c r="D1901" s="9" t="n"/>
      <c r="E1901" s="9" t="n"/>
      <c r="F1901" s="9">
        <f>IF(E1901="","",DATEDIF(E1901,DATE(2026,12,31),"Y"))</f>
        <v/>
      </c>
      <c r="G1901" s="9" t="n"/>
      <c r="H1901" s="9" t="n"/>
      <c r="I1901" s="9" t="n"/>
      <c r="J1901" s="9" t="n"/>
      <c r="K1901" s="9" t="n"/>
      <c r="L1901" s="9" t="n"/>
      <c r="M1901" s="9" t="n"/>
      <c r="N1901" s="9" t="n"/>
      <c r="O1901" s="9" t="n"/>
      <c r="P1901" s="9" t="n"/>
      <c r="Q1901" s="9" t="n"/>
      <c r="R1901" s="9" t="n"/>
      <c r="S1901" s="9" t="n"/>
      <c r="T1901" s="9" t="n"/>
      <c r="U1901" s="9" t="n"/>
      <c r="V1901" s="9" t="n"/>
      <c r="W1901" s="9" t="n"/>
      <c r="X1901" s="9" t="n"/>
      <c r="Y1901" s="9" t="n"/>
      <c r="Z1901" s="9" t="n"/>
    </row>
    <row r="1902" ht="14.25" customHeight="1" s="37">
      <c r="A1902" s="9">
        <f>IF(C1902="","","UM"&amp;TEXT(ROW()-1,"00000"))</f>
        <v/>
      </c>
      <c r="B1902" s="9" t="n"/>
      <c r="C1902" s="9" t="n"/>
      <c r="D1902" s="9" t="n"/>
      <c r="E1902" s="9" t="n"/>
      <c r="F1902" s="9">
        <f>IF(E1902="","",DATEDIF(E1902,DATE(2026,12,31),"Y"))</f>
        <v/>
      </c>
      <c r="G1902" s="9" t="n"/>
      <c r="H1902" s="9" t="n"/>
      <c r="I1902" s="9" t="n"/>
      <c r="J1902" s="9" t="n"/>
      <c r="K1902" s="9" t="n"/>
      <c r="L1902" s="9" t="n"/>
      <c r="M1902" s="9" t="n"/>
      <c r="N1902" s="9" t="n"/>
      <c r="O1902" s="9" t="n"/>
      <c r="P1902" s="9" t="n"/>
      <c r="Q1902" s="9" t="n"/>
      <c r="R1902" s="9" t="n"/>
      <c r="S1902" s="9" t="n"/>
      <c r="T1902" s="9" t="n"/>
      <c r="U1902" s="9" t="n"/>
      <c r="V1902" s="9" t="n"/>
      <c r="W1902" s="9" t="n"/>
      <c r="X1902" s="9" t="n"/>
      <c r="Y1902" s="9" t="n"/>
      <c r="Z1902" s="9" t="n"/>
    </row>
    <row r="1903" ht="14.25" customHeight="1" s="37">
      <c r="A1903" s="9">
        <f>IF(C1903="","","UM"&amp;TEXT(ROW()-1,"00000"))</f>
        <v/>
      </c>
      <c r="B1903" s="9" t="n"/>
      <c r="C1903" s="9" t="n"/>
      <c r="D1903" s="9" t="n"/>
      <c r="E1903" s="9" t="n"/>
      <c r="F1903" s="9">
        <f>IF(E1903="","",DATEDIF(E1903,DATE(2026,12,31),"Y"))</f>
        <v/>
      </c>
      <c r="G1903" s="9" t="n"/>
      <c r="H1903" s="9" t="n"/>
      <c r="I1903" s="9" t="n"/>
      <c r="J1903" s="9" t="n"/>
      <c r="K1903" s="9" t="n"/>
      <c r="L1903" s="9" t="n"/>
      <c r="M1903" s="9" t="n"/>
      <c r="N1903" s="9" t="n"/>
      <c r="O1903" s="9" t="n"/>
      <c r="P1903" s="9" t="n"/>
      <c r="Q1903" s="9" t="n"/>
      <c r="R1903" s="9" t="n"/>
      <c r="S1903" s="9" t="n"/>
      <c r="T1903" s="9" t="n"/>
      <c r="U1903" s="9" t="n"/>
      <c r="V1903" s="9" t="n"/>
      <c r="W1903" s="9" t="n"/>
      <c r="X1903" s="9" t="n"/>
      <c r="Y1903" s="9" t="n"/>
      <c r="Z1903" s="9" t="n"/>
    </row>
    <row r="1904" ht="14.25" customHeight="1" s="37">
      <c r="A1904" s="9">
        <f>IF(C1904="","","UM"&amp;TEXT(ROW()-1,"00000"))</f>
        <v/>
      </c>
      <c r="B1904" s="9" t="n"/>
      <c r="C1904" s="9" t="n"/>
      <c r="D1904" s="9" t="n"/>
      <c r="E1904" s="9" t="n"/>
      <c r="F1904" s="9">
        <f>IF(E1904="","",DATEDIF(E1904,DATE(2026,12,31),"Y"))</f>
        <v/>
      </c>
      <c r="G1904" s="9" t="n"/>
      <c r="H1904" s="9" t="n"/>
      <c r="I1904" s="9" t="n"/>
      <c r="J1904" s="9" t="n"/>
      <c r="K1904" s="9" t="n"/>
      <c r="L1904" s="9" t="n"/>
      <c r="M1904" s="9" t="n"/>
      <c r="N1904" s="9" t="n"/>
      <c r="O1904" s="9" t="n"/>
      <c r="P1904" s="9" t="n"/>
      <c r="Q1904" s="9" t="n"/>
      <c r="R1904" s="9" t="n"/>
      <c r="S1904" s="9" t="n"/>
      <c r="T1904" s="9" t="n"/>
      <c r="U1904" s="9" t="n"/>
      <c r="V1904" s="9" t="n"/>
      <c r="W1904" s="9" t="n"/>
      <c r="X1904" s="9" t="n"/>
      <c r="Y1904" s="9" t="n"/>
      <c r="Z1904" s="9" t="n"/>
    </row>
    <row r="1905" ht="14.25" customHeight="1" s="37">
      <c r="A1905" s="9">
        <f>IF(C1905="","","UM"&amp;TEXT(ROW()-1,"00000"))</f>
        <v/>
      </c>
      <c r="B1905" s="9" t="n"/>
      <c r="C1905" s="9" t="n"/>
      <c r="D1905" s="9" t="n"/>
      <c r="E1905" s="9" t="n"/>
      <c r="F1905" s="9">
        <f>IF(E1905="","",DATEDIF(E1905,DATE(2026,12,31),"Y"))</f>
        <v/>
      </c>
      <c r="G1905" s="9" t="n"/>
      <c r="H1905" s="9" t="n"/>
      <c r="I1905" s="9" t="n"/>
      <c r="J1905" s="9" t="n"/>
      <c r="K1905" s="9" t="n"/>
      <c r="L1905" s="9" t="n"/>
      <c r="M1905" s="9" t="n"/>
      <c r="N1905" s="9" t="n"/>
      <c r="O1905" s="9" t="n"/>
      <c r="P1905" s="9" t="n"/>
      <c r="Q1905" s="9" t="n"/>
      <c r="R1905" s="9" t="n"/>
      <c r="S1905" s="9" t="n"/>
      <c r="T1905" s="9" t="n"/>
      <c r="U1905" s="9" t="n"/>
      <c r="V1905" s="9" t="n"/>
      <c r="W1905" s="9" t="n"/>
      <c r="X1905" s="9" t="n"/>
      <c r="Y1905" s="9" t="n"/>
      <c r="Z1905" s="9" t="n"/>
    </row>
    <row r="1906" ht="14.25" customHeight="1" s="37">
      <c r="A1906" s="9">
        <f>IF(C1906="","","UM"&amp;TEXT(ROW()-1,"00000"))</f>
        <v/>
      </c>
      <c r="B1906" s="9" t="n"/>
      <c r="C1906" s="9" t="n"/>
      <c r="D1906" s="9" t="n"/>
      <c r="E1906" s="9" t="n"/>
      <c r="F1906" s="9">
        <f>IF(E1906="","",DATEDIF(E1906,DATE(2026,12,31),"Y"))</f>
        <v/>
      </c>
      <c r="G1906" s="9" t="n"/>
      <c r="H1906" s="9" t="n"/>
      <c r="I1906" s="9" t="n"/>
      <c r="J1906" s="9" t="n"/>
      <c r="K1906" s="9" t="n"/>
      <c r="L1906" s="9" t="n"/>
      <c r="M1906" s="9" t="n"/>
      <c r="N1906" s="9" t="n"/>
      <c r="O1906" s="9" t="n"/>
      <c r="P1906" s="9" t="n"/>
      <c r="Q1906" s="9" t="n"/>
      <c r="R1906" s="9" t="n"/>
      <c r="S1906" s="9" t="n"/>
      <c r="T1906" s="9" t="n"/>
      <c r="U1906" s="9" t="n"/>
      <c r="V1906" s="9" t="n"/>
      <c r="W1906" s="9" t="n"/>
      <c r="X1906" s="9" t="n"/>
      <c r="Y1906" s="9" t="n"/>
      <c r="Z1906" s="9" t="n"/>
    </row>
    <row r="1907" ht="14.25" customHeight="1" s="37">
      <c r="A1907" s="9">
        <f>IF(C1907="","","UM"&amp;TEXT(ROW()-1,"00000"))</f>
        <v/>
      </c>
      <c r="B1907" s="9" t="n"/>
      <c r="C1907" s="9" t="n"/>
      <c r="D1907" s="9" t="n"/>
      <c r="E1907" s="9" t="n"/>
      <c r="F1907" s="9">
        <f>IF(E1907="","",DATEDIF(E1907,DATE(2026,12,31),"Y"))</f>
        <v/>
      </c>
      <c r="G1907" s="9" t="n"/>
      <c r="H1907" s="9" t="n"/>
      <c r="I1907" s="9" t="n"/>
      <c r="J1907" s="9" t="n"/>
      <c r="K1907" s="9" t="n"/>
      <c r="L1907" s="9" t="n"/>
      <c r="M1907" s="9" t="n"/>
      <c r="N1907" s="9" t="n"/>
      <c r="O1907" s="9" t="n"/>
      <c r="P1907" s="9" t="n"/>
      <c r="Q1907" s="9" t="n"/>
      <c r="R1907" s="9" t="n"/>
      <c r="S1907" s="9" t="n"/>
      <c r="T1907" s="9" t="n"/>
      <c r="U1907" s="9" t="n"/>
      <c r="V1907" s="9" t="n"/>
      <c r="W1907" s="9" t="n"/>
      <c r="X1907" s="9" t="n"/>
      <c r="Y1907" s="9" t="n"/>
      <c r="Z1907" s="9" t="n"/>
    </row>
    <row r="1908" ht="14.25" customHeight="1" s="37">
      <c r="A1908" s="9">
        <f>IF(C1908="","","UM"&amp;TEXT(ROW()-1,"00000"))</f>
        <v/>
      </c>
      <c r="B1908" s="9" t="n"/>
      <c r="C1908" s="9" t="n"/>
      <c r="D1908" s="9" t="n"/>
      <c r="E1908" s="9" t="n"/>
      <c r="F1908" s="9">
        <f>IF(E1908="","",DATEDIF(E1908,DATE(2026,12,31),"Y"))</f>
        <v/>
      </c>
      <c r="G1908" s="9" t="n"/>
      <c r="H1908" s="9" t="n"/>
      <c r="I1908" s="9" t="n"/>
      <c r="J1908" s="9" t="n"/>
      <c r="K1908" s="9" t="n"/>
      <c r="L1908" s="9" t="n"/>
      <c r="M1908" s="9" t="n"/>
      <c r="N1908" s="9" t="n"/>
      <c r="O1908" s="9" t="n"/>
      <c r="P1908" s="9" t="n"/>
      <c r="Q1908" s="9" t="n"/>
      <c r="R1908" s="9" t="n"/>
      <c r="S1908" s="9" t="n"/>
      <c r="T1908" s="9" t="n"/>
      <c r="U1908" s="9" t="n"/>
      <c r="V1908" s="9" t="n"/>
      <c r="W1908" s="9" t="n"/>
      <c r="X1908" s="9" t="n"/>
      <c r="Y1908" s="9" t="n"/>
      <c r="Z1908" s="9" t="n"/>
    </row>
    <row r="1909" ht="14.25" customHeight="1" s="37">
      <c r="A1909" s="9">
        <f>IF(C1909="","","UM"&amp;TEXT(ROW()-1,"00000"))</f>
        <v/>
      </c>
      <c r="B1909" s="9" t="n"/>
      <c r="C1909" s="9" t="n"/>
      <c r="D1909" s="9" t="n"/>
      <c r="E1909" s="9" t="n"/>
      <c r="F1909" s="9">
        <f>IF(E1909="","",DATEDIF(E1909,DATE(2026,12,31),"Y"))</f>
        <v/>
      </c>
      <c r="G1909" s="9" t="n"/>
      <c r="H1909" s="9" t="n"/>
      <c r="I1909" s="9" t="n"/>
      <c r="J1909" s="9" t="n"/>
      <c r="K1909" s="9" t="n"/>
      <c r="L1909" s="9" t="n"/>
      <c r="M1909" s="9" t="n"/>
      <c r="N1909" s="9" t="n"/>
      <c r="O1909" s="9" t="n"/>
      <c r="P1909" s="9" t="n"/>
      <c r="Q1909" s="9" t="n"/>
      <c r="R1909" s="9" t="n"/>
      <c r="S1909" s="9" t="n"/>
      <c r="T1909" s="9" t="n"/>
      <c r="U1909" s="9" t="n"/>
      <c r="V1909" s="9" t="n"/>
      <c r="W1909" s="9" t="n"/>
      <c r="X1909" s="9" t="n"/>
      <c r="Y1909" s="9" t="n"/>
      <c r="Z1909" s="9" t="n"/>
    </row>
    <row r="1910" ht="14.25" customHeight="1" s="37">
      <c r="A1910" s="9">
        <f>IF(C1910="","","UM"&amp;TEXT(ROW()-1,"00000"))</f>
        <v/>
      </c>
      <c r="B1910" s="9" t="n"/>
      <c r="C1910" s="9" t="n"/>
      <c r="D1910" s="9" t="n"/>
      <c r="E1910" s="9" t="n"/>
      <c r="F1910" s="9">
        <f>IF(E1910="","",DATEDIF(E1910,DATE(2026,12,31),"Y"))</f>
        <v/>
      </c>
      <c r="G1910" s="9" t="n"/>
      <c r="H1910" s="9" t="n"/>
      <c r="I1910" s="9" t="n"/>
      <c r="J1910" s="9" t="n"/>
      <c r="K1910" s="9" t="n"/>
      <c r="L1910" s="9" t="n"/>
      <c r="M1910" s="9" t="n"/>
      <c r="N1910" s="9" t="n"/>
      <c r="O1910" s="9" t="n"/>
      <c r="P1910" s="9" t="n"/>
      <c r="Q1910" s="9" t="n"/>
      <c r="R1910" s="9" t="n"/>
      <c r="S1910" s="9" t="n"/>
      <c r="T1910" s="9" t="n"/>
      <c r="U1910" s="9" t="n"/>
      <c r="V1910" s="9" t="n"/>
      <c r="W1910" s="9" t="n"/>
      <c r="X1910" s="9" t="n"/>
      <c r="Y1910" s="9" t="n"/>
      <c r="Z1910" s="9" t="n"/>
    </row>
    <row r="1911" ht="14.25" customHeight="1" s="37">
      <c r="A1911" s="9">
        <f>IF(C1911="","","UM"&amp;TEXT(ROW()-1,"00000"))</f>
        <v/>
      </c>
      <c r="B1911" s="9" t="n"/>
      <c r="C1911" s="9" t="n"/>
      <c r="D1911" s="9" t="n"/>
      <c r="E1911" s="9" t="n"/>
      <c r="F1911" s="9">
        <f>IF(E1911="","",DATEDIF(E1911,DATE(2026,12,31),"Y"))</f>
        <v/>
      </c>
      <c r="G1911" s="9" t="n"/>
      <c r="H1911" s="9" t="n"/>
      <c r="I1911" s="9" t="n"/>
      <c r="J1911" s="9" t="n"/>
      <c r="K1911" s="9" t="n"/>
      <c r="L1911" s="9" t="n"/>
      <c r="M1911" s="9" t="n"/>
      <c r="N1911" s="9" t="n"/>
      <c r="O1911" s="9" t="n"/>
      <c r="P1911" s="9" t="n"/>
      <c r="Q1911" s="9" t="n"/>
      <c r="R1911" s="9" t="n"/>
      <c r="S1911" s="9" t="n"/>
      <c r="T1911" s="9" t="n"/>
      <c r="U1911" s="9" t="n"/>
      <c r="V1911" s="9" t="n"/>
      <c r="W1911" s="9" t="n"/>
      <c r="X1911" s="9" t="n"/>
      <c r="Y1911" s="9" t="n"/>
      <c r="Z1911" s="9" t="n"/>
    </row>
    <row r="1912" ht="14.25" customHeight="1" s="37">
      <c r="A1912" s="9">
        <f>IF(C1912="","","UM"&amp;TEXT(ROW()-1,"00000"))</f>
        <v/>
      </c>
      <c r="B1912" s="9" t="n"/>
      <c r="C1912" s="9" t="n"/>
      <c r="D1912" s="9" t="n"/>
      <c r="E1912" s="9" t="n"/>
      <c r="F1912" s="9">
        <f>IF(E1912="","",DATEDIF(E1912,DATE(2026,12,31),"Y"))</f>
        <v/>
      </c>
      <c r="G1912" s="9" t="n"/>
      <c r="H1912" s="9" t="n"/>
      <c r="I1912" s="9" t="n"/>
      <c r="J1912" s="9" t="n"/>
      <c r="K1912" s="9" t="n"/>
      <c r="L1912" s="9" t="n"/>
      <c r="M1912" s="9" t="n"/>
      <c r="N1912" s="9" t="n"/>
      <c r="O1912" s="9" t="n"/>
      <c r="P1912" s="9" t="n"/>
      <c r="Q1912" s="9" t="n"/>
      <c r="R1912" s="9" t="n"/>
      <c r="S1912" s="9" t="n"/>
      <c r="T1912" s="9" t="n"/>
      <c r="U1912" s="9" t="n"/>
      <c r="V1912" s="9" t="n"/>
      <c r="W1912" s="9" t="n"/>
      <c r="X1912" s="9" t="n"/>
      <c r="Y1912" s="9" t="n"/>
      <c r="Z1912" s="9" t="n"/>
    </row>
    <row r="1913" ht="14.25" customHeight="1" s="37">
      <c r="A1913" s="9">
        <f>IF(C1913="","","UM"&amp;TEXT(ROW()-1,"00000"))</f>
        <v/>
      </c>
      <c r="B1913" s="9" t="n"/>
      <c r="C1913" s="9" t="n"/>
      <c r="D1913" s="9" t="n"/>
      <c r="E1913" s="9" t="n"/>
      <c r="F1913" s="9">
        <f>IF(E1913="","",DATEDIF(E1913,DATE(2026,12,31),"Y"))</f>
        <v/>
      </c>
      <c r="G1913" s="9" t="n"/>
      <c r="H1913" s="9" t="n"/>
      <c r="I1913" s="9" t="n"/>
      <c r="J1913" s="9" t="n"/>
      <c r="K1913" s="9" t="n"/>
      <c r="L1913" s="9" t="n"/>
      <c r="M1913" s="9" t="n"/>
      <c r="N1913" s="9" t="n"/>
      <c r="O1913" s="9" t="n"/>
      <c r="P1913" s="9" t="n"/>
      <c r="Q1913" s="9" t="n"/>
      <c r="R1913" s="9" t="n"/>
      <c r="S1913" s="9" t="n"/>
      <c r="T1913" s="9" t="n"/>
      <c r="U1913" s="9" t="n"/>
      <c r="V1913" s="9" t="n"/>
      <c r="W1913" s="9" t="n"/>
      <c r="X1913" s="9" t="n"/>
      <c r="Y1913" s="9" t="n"/>
      <c r="Z1913" s="9" t="n"/>
    </row>
    <row r="1914" ht="14.25" customHeight="1" s="37">
      <c r="A1914" s="9">
        <f>IF(C1914="","","UM"&amp;TEXT(ROW()-1,"00000"))</f>
        <v/>
      </c>
      <c r="B1914" s="9" t="n"/>
      <c r="C1914" s="9" t="n"/>
      <c r="D1914" s="9" t="n"/>
      <c r="E1914" s="9" t="n"/>
      <c r="F1914" s="9">
        <f>IF(E1914="","",DATEDIF(E1914,DATE(2026,12,31),"Y"))</f>
        <v/>
      </c>
      <c r="G1914" s="9" t="n"/>
      <c r="H1914" s="9" t="n"/>
      <c r="I1914" s="9" t="n"/>
      <c r="J1914" s="9" t="n"/>
      <c r="K1914" s="9" t="n"/>
      <c r="L1914" s="9" t="n"/>
      <c r="M1914" s="9" t="n"/>
      <c r="N1914" s="9" t="n"/>
      <c r="O1914" s="9" t="n"/>
      <c r="P1914" s="9" t="n"/>
      <c r="Q1914" s="9" t="n"/>
      <c r="R1914" s="9" t="n"/>
      <c r="S1914" s="9" t="n"/>
      <c r="T1914" s="9" t="n"/>
      <c r="U1914" s="9" t="n"/>
      <c r="V1914" s="9" t="n"/>
      <c r="W1914" s="9" t="n"/>
      <c r="X1914" s="9" t="n"/>
      <c r="Y1914" s="9" t="n"/>
      <c r="Z1914" s="9" t="n"/>
    </row>
    <row r="1915" ht="14.25" customHeight="1" s="37">
      <c r="A1915" s="9">
        <f>IF(C1915="","","UM"&amp;TEXT(ROW()-1,"00000"))</f>
        <v/>
      </c>
      <c r="B1915" s="9" t="n"/>
      <c r="C1915" s="9" t="n"/>
      <c r="D1915" s="9" t="n"/>
      <c r="E1915" s="9" t="n"/>
      <c r="F1915" s="9">
        <f>IF(E1915="","",DATEDIF(E1915,DATE(2026,12,31),"Y"))</f>
        <v/>
      </c>
      <c r="G1915" s="9" t="n"/>
      <c r="H1915" s="9" t="n"/>
      <c r="I1915" s="9" t="n"/>
      <c r="J1915" s="9" t="n"/>
      <c r="K1915" s="9" t="n"/>
      <c r="L1915" s="9" t="n"/>
      <c r="M1915" s="9" t="n"/>
      <c r="N1915" s="9" t="n"/>
      <c r="O1915" s="9" t="n"/>
      <c r="P1915" s="9" t="n"/>
      <c r="Q1915" s="9" t="n"/>
      <c r="R1915" s="9" t="n"/>
      <c r="S1915" s="9" t="n"/>
      <c r="T1915" s="9" t="n"/>
      <c r="U1915" s="9" t="n"/>
      <c r="V1915" s="9" t="n"/>
      <c r="W1915" s="9" t="n"/>
      <c r="X1915" s="9" t="n"/>
      <c r="Y1915" s="9" t="n"/>
      <c r="Z1915" s="9" t="n"/>
    </row>
    <row r="1916" ht="14.25" customHeight="1" s="37">
      <c r="A1916" s="9">
        <f>IF(C1916="","","UM"&amp;TEXT(ROW()-1,"00000"))</f>
        <v/>
      </c>
      <c r="B1916" s="9" t="n"/>
      <c r="C1916" s="9" t="n"/>
      <c r="D1916" s="9" t="n"/>
      <c r="E1916" s="9" t="n"/>
      <c r="F1916" s="9">
        <f>IF(E1916="","",DATEDIF(E1916,DATE(2026,12,31),"Y"))</f>
        <v/>
      </c>
      <c r="G1916" s="9" t="n"/>
      <c r="H1916" s="9" t="n"/>
      <c r="I1916" s="9" t="n"/>
      <c r="J1916" s="9" t="n"/>
      <c r="K1916" s="9" t="n"/>
      <c r="L1916" s="9" t="n"/>
      <c r="M1916" s="9" t="n"/>
      <c r="N1916" s="9" t="n"/>
      <c r="O1916" s="9" t="n"/>
      <c r="P1916" s="9" t="n"/>
      <c r="Q1916" s="9" t="n"/>
      <c r="R1916" s="9" t="n"/>
      <c r="S1916" s="9" t="n"/>
      <c r="T1916" s="9" t="n"/>
      <c r="U1916" s="9" t="n"/>
      <c r="V1916" s="9" t="n"/>
      <c r="W1916" s="9" t="n"/>
      <c r="X1916" s="9" t="n"/>
      <c r="Y1916" s="9" t="n"/>
      <c r="Z1916" s="9" t="n"/>
    </row>
    <row r="1917" ht="14.25" customHeight="1" s="37">
      <c r="A1917" s="9">
        <f>IF(C1917="","","UM"&amp;TEXT(ROW()-1,"00000"))</f>
        <v/>
      </c>
      <c r="B1917" s="9" t="n"/>
      <c r="C1917" s="9" t="n"/>
      <c r="D1917" s="9" t="n"/>
      <c r="E1917" s="9" t="n"/>
      <c r="F1917" s="9">
        <f>IF(E1917="","",DATEDIF(E1917,DATE(2026,12,31),"Y"))</f>
        <v/>
      </c>
      <c r="G1917" s="9" t="n"/>
      <c r="H1917" s="9" t="n"/>
      <c r="I1917" s="9" t="n"/>
      <c r="J1917" s="9" t="n"/>
      <c r="K1917" s="9" t="n"/>
      <c r="L1917" s="9" t="n"/>
      <c r="M1917" s="9" t="n"/>
      <c r="N1917" s="9" t="n"/>
      <c r="O1917" s="9" t="n"/>
      <c r="P1917" s="9" t="n"/>
      <c r="Q1917" s="9" t="n"/>
      <c r="R1917" s="9" t="n"/>
      <c r="S1917" s="9" t="n"/>
      <c r="T1917" s="9" t="n"/>
      <c r="U1917" s="9" t="n"/>
      <c r="V1917" s="9" t="n"/>
      <c r="W1917" s="9" t="n"/>
      <c r="X1917" s="9" t="n"/>
      <c r="Y1917" s="9" t="n"/>
      <c r="Z1917" s="9" t="n"/>
    </row>
    <row r="1918" ht="14.25" customHeight="1" s="37">
      <c r="A1918" s="9">
        <f>IF(C1918="","","UM"&amp;TEXT(ROW()-1,"00000"))</f>
        <v/>
      </c>
      <c r="B1918" s="9" t="n"/>
      <c r="C1918" s="9" t="n"/>
      <c r="D1918" s="9" t="n"/>
      <c r="E1918" s="9" t="n"/>
      <c r="F1918" s="9">
        <f>IF(E1918="","",DATEDIF(E1918,DATE(2026,12,31),"Y"))</f>
        <v/>
      </c>
      <c r="G1918" s="9" t="n"/>
      <c r="H1918" s="9" t="n"/>
      <c r="I1918" s="9" t="n"/>
      <c r="J1918" s="9" t="n"/>
      <c r="K1918" s="9" t="n"/>
      <c r="L1918" s="9" t="n"/>
      <c r="M1918" s="9" t="n"/>
      <c r="N1918" s="9" t="n"/>
      <c r="O1918" s="9" t="n"/>
      <c r="P1918" s="9" t="n"/>
      <c r="Q1918" s="9" t="n"/>
      <c r="R1918" s="9" t="n"/>
      <c r="S1918" s="9" t="n"/>
      <c r="T1918" s="9" t="n"/>
      <c r="U1918" s="9" t="n"/>
      <c r="V1918" s="9" t="n"/>
      <c r="W1918" s="9" t="n"/>
      <c r="X1918" s="9" t="n"/>
      <c r="Y1918" s="9" t="n"/>
      <c r="Z1918" s="9" t="n"/>
    </row>
    <row r="1919" ht="14.25" customHeight="1" s="37">
      <c r="A1919" s="9">
        <f>IF(C1919="","","UM"&amp;TEXT(ROW()-1,"00000"))</f>
        <v/>
      </c>
      <c r="B1919" s="9" t="n"/>
      <c r="C1919" s="9" t="n"/>
      <c r="D1919" s="9" t="n"/>
      <c r="E1919" s="9" t="n"/>
      <c r="F1919" s="9">
        <f>IF(E1919="","",DATEDIF(E1919,DATE(2026,12,31),"Y"))</f>
        <v/>
      </c>
      <c r="G1919" s="9" t="n"/>
      <c r="H1919" s="9" t="n"/>
      <c r="I1919" s="9" t="n"/>
      <c r="J1919" s="9" t="n"/>
      <c r="K1919" s="9" t="n"/>
      <c r="L1919" s="9" t="n"/>
      <c r="M1919" s="9" t="n"/>
      <c r="N1919" s="9" t="n"/>
      <c r="O1919" s="9" t="n"/>
      <c r="P1919" s="9" t="n"/>
      <c r="Q1919" s="9" t="n"/>
      <c r="R1919" s="9" t="n"/>
      <c r="S1919" s="9" t="n"/>
      <c r="T1919" s="9" t="n"/>
      <c r="U1919" s="9" t="n"/>
      <c r="V1919" s="9" t="n"/>
      <c r="W1919" s="9" t="n"/>
      <c r="X1919" s="9" t="n"/>
      <c r="Y1919" s="9" t="n"/>
      <c r="Z1919" s="9" t="n"/>
    </row>
    <row r="1920" ht="14.25" customHeight="1" s="37">
      <c r="A1920" s="9">
        <f>IF(C1920="","","UM"&amp;TEXT(ROW()-1,"00000"))</f>
        <v/>
      </c>
      <c r="B1920" s="9" t="n"/>
      <c r="C1920" s="9" t="n"/>
      <c r="D1920" s="9" t="n"/>
      <c r="E1920" s="9" t="n"/>
      <c r="F1920" s="9">
        <f>IF(E1920="","",DATEDIF(E1920,DATE(2026,12,31),"Y"))</f>
        <v/>
      </c>
      <c r="G1920" s="9" t="n"/>
      <c r="H1920" s="9" t="n"/>
      <c r="I1920" s="9" t="n"/>
      <c r="J1920" s="9" t="n"/>
      <c r="K1920" s="9" t="n"/>
      <c r="L1920" s="9" t="n"/>
      <c r="M1920" s="9" t="n"/>
      <c r="N1920" s="9" t="n"/>
      <c r="O1920" s="9" t="n"/>
      <c r="P1920" s="9" t="n"/>
      <c r="Q1920" s="9" t="n"/>
      <c r="R1920" s="9" t="n"/>
      <c r="S1920" s="9" t="n"/>
      <c r="T1920" s="9" t="n"/>
      <c r="U1920" s="9" t="n"/>
      <c r="V1920" s="9" t="n"/>
      <c r="W1920" s="9" t="n"/>
      <c r="X1920" s="9" t="n"/>
      <c r="Y1920" s="9" t="n"/>
      <c r="Z1920" s="9" t="n"/>
    </row>
    <row r="1921" ht="14.25" customHeight="1" s="37">
      <c r="A1921" s="9">
        <f>IF(C1921="","","UM"&amp;TEXT(ROW()-1,"00000"))</f>
        <v/>
      </c>
      <c r="B1921" s="9" t="n"/>
      <c r="C1921" s="9" t="n"/>
      <c r="D1921" s="9" t="n"/>
      <c r="E1921" s="9" t="n"/>
      <c r="F1921" s="9">
        <f>IF(E1921="","",DATEDIF(E1921,DATE(2026,12,31),"Y"))</f>
        <v/>
      </c>
      <c r="G1921" s="9" t="n"/>
      <c r="H1921" s="9" t="n"/>
      <c r="I1921" s="9" t="n"/>
      <c r="J1921" s="9" t="n"/>
      <c r="K1921" s="9" t="n"/>
      <c r="L1921" s="9" t="n"/>
      <c r="M1921" s="9" t="n"/>
      <c r="N1921" s="9" t="n"/>
      <c r="O1921" s="9" t="n"/>
      <c r="P1921" s="9" t="n"/>
      <c r="Q1921" s="9" t="n"/>
      <c r="R1921" s="9" t="n"/>
      <c r="S1921" s="9" t="n"/>
      <c r="T1921" s="9" t="n"/>
      <c r="U1921" s="9" t="n"/>
      <c r="V1921" s="9" t="n"/>
      <c r="W1921" s="9" t="n"/>
      <c r="X1921" s="9" t="n"/>
      <c r="Y1921" s="9" t="n"/>
      <c r="Z1921" s="9" t="n"/>
    </row>
    <row r="1922" ht="14.25" customHeight="1" s="37">
      <c r="A1922" s="9">
        <f>IF(C1922="","","UM"&amp;TEXT(ROW()-1,"00000"))</f>
        <v/>
      </c>
      <c r="B1922" s="9" t="n"/>
      <c r="C1922" s="9" t="n"/>
      <c r="D1922" s="9" t="n"/>
      <c r="E1922" s="9" t="n"/>
      <c r="F1922" s="9">
        <f>IF(E1922="","",DATEDIF(E1922,DATE(2026,12,31),"Y"))</f>
        <v/>
      </c>
      <c r="G1922" s="9" t="n"/>
      <c r="H1922" s="9" t="n"/>
      <c r="I1922" s="9" t="n"/>
      <c r="J1922" s="9" t="n"/>
      <c r="K1922" s="9" t="n"/>
      <c r="L1922" s="9" t="n"/>
      <c r="M1922" s="9" t="n"/>
      <c r="N1922" s="9" t="n"/>
      <c r="O1922" s="9" t="n"/>
      <c r="P1922" s="9" t="n"/>
      <c r="Q1922" s="9" t="n"/>
      <c r="R1922" s="9" t="n"/>
      <c r="S1922" s="9" t="n"/>
      <c r="T1922" s="9" t="n"/>
      <c r="U1922" s="9" t="n"/>
      <c r="V1922" s="9" t="n"/>
      <c r="W1922" s="9" t="n"/>
      <c r="X1922" s="9" t="n"/>
      <c r="Y1922" s="9" t="n"/>
      <c r="Z1922" s="9" t="n"/>
    </row>
    <row r="1923" ht="14.25" customHeight="1" s="37">
      <c r="A1923" s="9">
        <f>IF(C1923="","","UM"&amp;TEXT(ROW()-1,"00000"))</f>
        <v/>
      </c>
      <c r="B1923" s="9" t="n"/>
      <c r="C1923" s="9" t="n"/>
      <c r="D1923" s="9" t="n"/>
      <c r="E1923" s="9" t="n"/>
      <c r="F1923" s="9">
        <f>IF(E1923="","",DATEDIF(E1923,DATE(2026,12,31),"Y"))</f>
        <v/>
      </c>
      <c r="G1923" s="9" t="n"/>
      <c r="H1923" s="9" t="n"/>
      <c r="I1923" s="9" t="n"/>
      <c r="J1923" s="9" t="n"/>
      <c r="K1923" s="9" t="n"/>
      <c r="L1923" s="9" t="n"/>
      <c r="M1923" s="9" t="n"/>
      <c r="N1923" s="9" t="n"/>
      <c r="O1923" s="9" t="n"/>
      <c r="P1923" s="9" t="n"/>
      <c r="Q1923" s="9" t="n"/>
      <c r="R1923" s="9" t="n"/>
      <c r="S1923" s="9" t="n"/>
      <c r="T1923" s="9" t="n"/>
      <c r="U1923" s="9" t="n"/>
      <c r="V1923" s="9" t="n"/>
      <c r="W1923" s="9" t="n"/>
      <c r="X1923" s="9" t="n"/>
      <c r="Y1923" s="9" t="n"/>
      <c r="Z1923" s="9" t="n"/>
    </row>
    <row r="1924" ht="14.25" customHeight="1" s="37">
      <c r="A1924" s="9">
        <f>IF(C1924="","","UM"&amp;TEXT(ROW()-1,"00000"))</f>
        <v/>
      </c>
      <c r="B1924" s="9" t="n"/>
      <c r="C1924" s="9" t="n"/>
      <c r="D1924" s="9" t="n"/>
      <c r="E1924" s="9" t="n"/>
      <c r="F1924" s="9">
        <f>IF(E1924="","",DATEDIF(E1924,DATE(2026,12,31),"Y"))</f>
        <v/>
      </c>
      <c r="G1924" s="9" t="n"/>
      <c r="H1924" s="9" t="n"/>
      <c r="I1924" s="9" t="n"/>
      <c r="J1924" s="9" t="n"/>
      <c r="K1924" s="9" t="n"/>
      <c r="L1924" s="9" t="n"/>
      <c r="M1924" s="9" t="n"/>
      <c r="N1924" s="9" t="n"/>
      <c r="O1924" s="9" t="n"/>
      <c r="P1924" s="9" t="n"/>
      <c r="Q1924" s="9" t="n"/>
      <c r="R1924" s="9" t="n"/>
      <c r="S1924" s="9" t="n"/>
      <c r="T1924" s="9" t="n"/>
      <c r="U1924" s="9" t="n"/>
      <c r="V1924" s="9" t="n"/>
      <c r="W1924" s="9" t="n"/>
      <c r="X1924" s="9" t="n"/>
      <c r="Y1924" s="9" t="n"/>
      <c r="Z1924" s="9" t="n"/>
    </row>
    <row r="1925" ht="14.25" customHeight="1" s="37">
      <c r="A1925" s="9">
        <f>IF(C1925="","","UM"&amp;TEXT(ROW()-1,"00000"))</f>
        <v/>
      </c>
      <c r="B1925" s="9" t="n"/>
      <c r="C1925" s="9" t="n"/>
      <c r="D1925" s="9" t="n"/>
      <c r="E1925" s="9" t="n"/>
      <c r="F1925" s="9">
        <f>IF(E1925="","",DATEDIF(E1925,DATE(2026,12,31),"Y"))</f>
        <v/>
      </c>
      <c r="G1925" s="9" t="n"/>
      <c r="H1925" s="9" t="n"/>
      <c r="I1925" s="9" t="n"/>
      <c r="J1925" s="9" t="n"/>
      <c r="K1925" s="9" t="n"/>
      <c r="L1925" s="9" t="n"/>
      <c r="M1925" s="9" t="n"/>
      <c r="N1925" s="9" t="n"/>
      <c r="O1925" s="9" t="n"/>
      <c r="P1925" s="9" t="n"/>
      <c r="Q1925" s="9" t="n"/>
      <c r="R1925" s="9" t="n"/>
      <c r="S1925" s="9" t="n"/>
      <c r="T1925" s="9" t="n"/>
      <c r="U1925" s="9" t="n"/>
      <c r="V1925" s="9" t="n"/>
      <c r="W1925" s="9" t="n"/>
      <c r="X1925" s="9" t="n"/>
      <c r="Y1925" s="9" t="n"/>
      <c r="Z1925" s="9" t="n"/>
    </row>
    <row r="1926" ht="14.25" customHeight="1" s="37">
      <c r="A1926" s="9">
        <f>IF(C1926="","","UM"&amp;TEXT(ROW()-1,"00000"))</f>
        <v/>
      </c>
      <c r="B1926" s="9" t="n"/>
      <c r="C1926" s="9" t="n"/>
      <c r="D1926" s="9" t="n"/>
      <c r="E1926" s="9" t="n"/>
      <c r="F1926" s="9">
        <f>IF(E1926="","",DATEDIF(E1926,DATE(2026,12,31),"Y"))</f>
        <v/>
      </c>
      <c r="G1926" s="9" t="n"/>
      <c r="H1926" s="9" t="n"/>
      <c r="I1926" s="9" t="n"/>
      <c r="J1926" s="9" t="n"/>
      <c r="K1926" s="9" t="n"/>
      <c r="L1926" s="9" t="n"/>
      <c r="M1926" s="9" t="n"/>
      <c r="N1926" s="9" t="n"/>
      <c r="O1926" s="9" t="n"/>
      <c r="P1926" s="9" t="n"/>
      <c r="Q1926" s="9" t="n"/>
      <c r="R1926" s="9" t="n"/>
      <c r="S1926" s="9" t="n"/>
      <c r="T1926" s="9" t="n"/>
      <c r="U1926" s="9" t="n"/>
      <c r="V1926" s="9" t="n"/>
      <c r="W1926" s="9" t="n"/>
      <c r="X1926" s="9" t="n"/>
      <c r="Y1926" s="9" t="n"/>
      <c r="Z1926" s="9" t="n"/>
    </row>
    <row r="1927" ht="14.25" customHeight="1" s="37">
      <c r="A1927" s="9">
        <f>IF(C1927="","","UM"&amp;TEXT(ROW()-1,"00000"))</f>
        <v/>
      </c>
      <c r="B1927" s="9" t="n"/>
      <c r="C1927" s="9" t="n"/>
      <c r="D1927" s="9" t="n"/>
      <c r="E1927" s="9" t="n"/>
      <c r="F1927" s="9">
        <f>IF(E1927="","",DATEDIF(E1927,DATE(2026,12,31),"Y"))</f>
        <v/>
      </c>
      <c r="G1927" s="9" t="n"/>
      <c r="H1927" s="9" t="n"/>
      <c r="I1927" s="9" t="n"/>
      <c r="J1927" s="9" t="n"/>
      <c r="K1927" s="9" t="n"/>
      <c r="L1927" s="9" t="n"/>
      <c r="M1927" s="9" t="n"/>
      <c r="N1927" s="9" t="n"/>
      <c r="O1927" s="9" t="n"/>
      <c r="P1927" s="9" t="n"/>
      <c r="Q1927" s="9" t="n"/>
      <c r="R1927" s="9" t="n"/>
      <c r="S1927" s="9" t="n"/>
      <c r="T1927" s="9" t="n"/>
      <c r="U1927" s="9" t="n"/>
      <c r="V1927" s="9" t="n"/>
      <c r="W1927" s="9" t="n"/>
      <c r="X1927" s="9" t="n"/>
      <c r="Y1927" s="9" t="n"/>
      <c r="Z1927" s="9" t="n"/>
    </row>
    <row r="1928" ht="14.25" customHeight="1" s="37">
      <c r="A1928" s="9">
        <f>IF(C1928="","","UM"&amp;TEXT(ROW()-1,"00000"))</f>
        <v/>
      </c>
      <c r="B1928" s="9" t="n"/>
      <c r="C1928" s="9" t="n"/>
      <c r="D1928" s="9" t="n"/>
      <c r="E1928" s="9" t="n"/>
      <c r="F1928" s="9">
        <f>IF(E1928="","",DATEDIF(E1928,DATE(2026,12,31),"Y"))</f>
        <v/>
      </c>
      <c r="G1928" s="9" t="n"/>
      <c r="H1928" s="9" t="n"/>
      <c r="I1928" s="9" t="n"/>
      <c r="J1928" s="9" t="n"/>
      <c r="K1928" s="9" t="n"/>
      <c r="L1928" s="9" t="n"/>
      <c r="M1928" s="9" t="n"/>
      <c r="N1928" s="9" t="n"/>
      <c r="O1928" s="9" t="n"/>
      <c r="P1928" s="9" t="n"/>
      <c r="Q1928" s="9" t="n"/>
      <c r="R1928" s="9" t="n"/>
      <c r="S1928" s="9" t="n"/>
      <c r="T1928" s="9" t="n"/>
      <c r="U1928" s="9" t="n"/>
      <c r="V1928" s="9" t="n"/>
      <c r="W1928" s="9" t="n"/>
      <c r="X1928" s="9" t="n"/>
      <c r="Y1928" s="9" t="n"/>
      <c r="Z1928" s="9" t="n"/>
    </row>
    <row r="1929" ht="14.25" customHeight="1" s="37">
      <c r="A1929" s="9">
        <f>IF(C1929="","","UM"&amp;TEXT(ROW()-1,"00000"))</f>
        <v/>
      </c>
      <c r="B1929" s="9" t="n"/>
      <c r="C1929" s="9" t="n"/>
      <c r="D1929" s="9" t="n"/>
      <c r="E1929" s="9" t="n"/>
      <c r="F1929" s="9">
        <f>IF(E1929="","",DATEDIF(E1929,DATE(2026,12,31),"Y"))</f>
        <v/>
      </c>
      <c r="G1929" s="9" t="n"/>
      <c r="H1929" s="9" t="n"/>
      <c r="I1929" s="9" t="n"/>
      <c r="J1929" s="9" t="n"/>
      <c r="K1929" s="9" t="n"/>
      <c r="L1929" s="9" t="n"/>
      <c r="M1929" s="9" t="n"/>
      <c r="N1929" s="9" t="n"/>
      <c r="O1929" s="9" t="n"/>
      <c r="P1929" s="9" t="n"/>
      <c r="Q1929" s="9" t="n"/>
      <c r="R1929" s="9" t="n"/>
      <c r="S1929" s="9" t="n"/>
      <c r="T1929" s="9" t="n"/>
      <c r="U1929" s="9" t="n"/>
      <c r="V1929" s="9" t="n"/>
      <c r="W1929" s="9" t="n"/>
      <c r="X1929" s="9" t="n"/>
      <c r="Y1929" s="9" t="n"/>
      <c r="Z1929" s="9" t="n"/>
    </row>
    <row r="1930" ht="14.25" customHeight="1" s="37">
      <c r="A1930" s="9">
        <f>IF(C1930="","","UM"&amp;TEXT(ROW()-1,"00000"))</f>
        <v/>
      </c>
      <c r="B1930" s="9" t="n"/>
      <c r="C1930" s="9" t="n"/>
      <c r="D1930" s="9" t="n"/>
      <c r="E1930" s="9" t="n"/>
      <c r="F1930" s="9">
        <f>IF(E1930="","",DATEDIF(E1930,DATE(2026,12,31),"Y"))</f>
        <v/>
      </c>
      <c r="G1930" s="9" t="n"/>
      <c r="H1930" s="9" t="n"/>
      <c r="I1930" s="9" t="n"/>
      <c r="J1930" s="9" t="n"/>
      <c r="K1930" s="9" t="n"/>
      <c r="L1930" s="9" t="n"/>
      <c r="M1930" s="9" t="n"/>
      <c r="N1930" s="9" t="n"/>
      <c r="O1930" s="9" t="n"/>
      <c r="P1930" s="9" t="n"/>
      <c r="Q1930" s="9" t="n"/>
      <c r="R1930" s="9" t="n"/>
      <c r="S1930" s="9" t="n"/>
      <c r="T1930" s="9" t="n"/>
      <c r="U1930" s="9" t="n"/>
      <c r="V1930" s="9" t="n"/>
      <c r="W1930" s="9" t="n"/>
      <c r="X1930" s="9" t="n"/>
      <c r="Y1930" s="9" t="n"/>
      <c r="Z1930" s="9" t="n"/>
    </row>
    <row r="1931" ht="14.25" customHeight="1" s="37">
      <c r="A1931" s="9">
        <f>IF(C1931="","","UM"&amp;TEXT(ROW()-1,"00000"))</f>
        <v/>
      </c>
      <c r="B1931" s="9" t="n"/>
      <c r="C1931" s="9" t="n"/>
      <c r="D1931" s="9" t="n"/>
      <c r="E1931" s="9" t="n"/>
      <c r="F1931" s="9">
        <f>IF(E1931="","",DATEDIF(E1931,DATE(2026,12,31),"Y"))</f>
        <v/>
      </c>
      <c r="G1931" s="9" t="n"/>
      <c r="H1931" s="9" t="n"/>
      <c r="I1931" s="9" t="n"/>
      <c r="J1931" s="9" t="n"/>
      <c r="K1931" s="9" t="n"/>
      <c r="L1931" s="9" t="n"/>
      <c r="M1931" s="9" t="n"/>
      <c r="N1931" s="9" t="n"/>
      <c r="O1931" s="9" t="n"/>
      <c r="P1931" s="9" t="n"/>
      <c r="Q1931" s="9" t="n"/>
      <c r="R1931" s="9" t="n"/>
      <c r="S1931" s="9" t="n"/>
      <c r="T1931" s="9" t="n"/>
      <c r="U1931" s="9" t="n"/>
      <c r="V1931" s="9" t="n"/>
      <c r="W1931" s="9" t="n"/>
      <c r="X1931" s="9" t="n"/>
      <c r="Y1931" s="9" t="n"/>
      <c r="Z1931" s="9" t="n"/>
    </row>
    <row r="1932" ht="14.25" customHeight="1" s="37">
      <c r="A1932" s="9">
        <f>IF(C1932="","","UM"&amp;TEXT(ROW()-1,"00000"))</f>
        <v/>
      </c>
      <c r="B1932" s="9" t="n"/>
      <c r="C1932" s="9" t="n"/>
      <c r="D1932" s="9" t="n"/>
      <c r="E1932" s="9" t="n"/>
      <c r="F1932" s="9">
        <f>IF(E1932="","",DATEDIF(E1932,DATE(2026,12,31),"Y"))</f>
        <v/>
      </c>
      <c r="G1932" s="9" t="n"/>
      <c r="H1932" s="9" t="n"/>
      <c r="I1932" s="9" t="n"/>
      <c r="J1932" s="9" t="n"/>
      <c r="K1932" s="9" t="n"/>
      <c r="L1932" s="9" t="n"/>
      <c r="M1932" s="9" t="n"/>
      <c r="N1932" s="9" t="n"/>
      <c r="O1932" s="9" t="n"/>
      <c r="P1932" s="9" t="n"/>
      <c r="Q1932" s="9" t="n"/>
      <c r="R1932" s="9" t="n"/>
      <c r="S1932" s="9" t="n"/>
      <c r="T1932" s="9" t="n"/>
      <c r="U1932" s="9" t="n"/>
      <c r="V1932" s="9" t="n"/>
      <c r="W1932" s="9" t="n"/>
      <c r="X1932" s="9" t="n"/>
      <c r="Y1932" s="9" t="n"/>
      <c r="Z1932" s="9" t="n"/>
    </row>
    <row r="1933" ht="14.25" customHeight="1" s="37">
      <c r="A1933" s="9">
        <f>IF(C1933="","","UM"&amp;TEXT(ROW()-1,"00000"))</f>
        <v/>
      </c>
      <c r="B1933" s="9" t="n"/>
      <c r="C1933" s="9" t="n"/>
      <c r="D1933" s="9" t="n"/>
      <c r="E1933" s="9" t="n"/>
      <c r="F1933" s="9">
        <f>IF(E1933="","",DATEDIF(E1933,DATE(2026,12,31),"Y"))</f>
        <v/>
      </c>
      <c r="G1933" s="9" t="n"/>
      <c r="H1933" s="9" t="n"/>
      <c r="I1933" s="9" t="n"/>
      <c r="J1933" s="9" t="n"/>
      <c r="K1933" s="9" t="n"/>
      <c r="L1933" s="9" t="n"/>
      <c r="M1933" s="9" t="n"/>
      <c r="N1933" s="9" t="n"/>
      <c r="O1933" s="9" t="n"/>
      <c r="P1933" s="9" t="n"/>
      <c r="Q1933" s="9" t="n"/>
      <c r="R1933" s="9" t="n"/>
      <c r="S1933" s="9" t="n"/>
      <c r="T1933" s="9" t="n"/>
      <c r="U1933" s="9" t="n"/>
      <c r="V1933" s="9" t="n"/>
      <c r="W1933" s="9" t="n"/>
      <c r="X1933" s="9" t="n"/>
      <c r="Y1933" s="9" t="n"/>
      <c r="Z1933" s="9" t="n"/>
    </row>
    <row r="1934" ht="14.25" customHeight="1" s="37">
      <c r="A1934" s="9">
        <f>IF(C1934="","","UM"&amp;TEXT(ROW()-1,"00000"))</f>
        <v/>
      </c>
      <c r="B1934" s="9" t="n"/>
      <c r="C1934" s="9" t="n"/>
      <c r="D1934" s="9" t="n"/>
      <c r="E1934" s="9" t="n"/>
      <c r="F1934" s="9">
        <f>IF(E1934="","",DATEDIF(E1934,DATE(2026,12,31),"Y"))</f>
        <v/>
      </c>
      <c r="G1934" s="9" t="n"/>
      <c r="H1934" s="9" t="n"/>
      <c r="I1934" s="9" t="n"/>
      <c r="J1934" s="9" t="n"/>
      <c r="K1934" s="9" t="n"/>
      <c r="L1934" s="9" t="n"/>
      <c r="M1934" s="9" t="n"/>
      <c r="N1934" s="9" t="n"/>
      <c r="O1934" s="9" t="n"/>
      <c r="P1934" s="9" t="n"/>
      <c r="Q1934" s="9" t="n"/>
      <c r="R1934" s="9" t="n"/>
      <c r="S1934" s="9" t="n"/>
      <c r="T1934" s="9" t="n"/>
      <c r="U1934" s="9" t="n"/>
      <c r="V1934" s="9" t="n"/>
      <c r="W1934" s="9" t="n"/>
      <c r="X1934" s="9" t="n"/>
      <c r="Y1934" s="9" t="n"/>
      <c r="Z1934" s="9" t="n"/>
    </row>
    <row r="1935" ht="14.25" customHeight="1" s="37">
      <c r="A1935" s="9">
        <f>IF(C1935="","","UM"&amp;TEXT(ROW()-1,"00000"))</f>
        <v/>
      </c>
      <c r="B1935" s="9" t="n"/>
      <c r="C1935" s="9" t="n"/>
      <c r="D1935" s="9" t="n"/>
      <c r="E1935" s="9" t="n"/>
      <c r="F1935" s="9">
        <f>IF(E1935="","",DATEDIF(E1935,DATE(2026,12,31),"Y"))</f>
        <v/>
      </c>
      <c r="G1935" s="9" t="n"/>
      <c r="H1935" s="9" t="n"/>
      <c r="I1935" s="9" t="n"/>
      <c r="J1935" s="9" t="n"/>
      <c r="K1935" s="9" t="n"/>
      <c r="L1935" s="9" t="n"/>
      <c r="M1935" s="9" t="n"/>
      <c r="N1935" s="9" t="n"/>
      <c r="O1935" s="9" t="n"/>
      <c r="P1935" s="9" t="n"/>
      <c r="Q1935" s="9" t="n"/>
      <c r="R1935" s="9" t="n"/>
      <c r="S1935" s="9" t="n"/>
      <c r="T1935" s="9" t="n"/>
      <c r="U1935" s="9" t="n"/>
      <c r="V1935" s="9" t="n"/>
      <c r="W1935" s="9" t="n"/>
      <c r="X1935" s="9" t="n"/>
      <c r="Y1935" s="9" t="n"/>
      <c r="Z1935" s="9" t="n"/>
    </row>
    <row r="1936" ht="14.25" customHeight="1" s="37">
      <c r="A1936" s="9">
        <f>IF(C1936="","","UM"&amp;TEXT(ROW()-1,"00000"))</f>
        <v/>
      </c>
      <c r="B1936" s="9" t="n"/>
      <c r="C1936" s="9" t="n"/>
      <c r="D1936" s="9" t="n"/>
      <c r="E1936" s="9" t="n"/>
      <c r="F1936" s="9">
        <f>IF(E1936="","",DATEDIF(E1936,DATE(2026,12,31),"Y"))</f>
        <v/>
      </c>
      <c r="G1936" s="9" t="n"/>
      <c r="H1936" s="9" t="n"/>
      <c r="I1936" s="9" t="n"/>
      <c r="J1936" s="9" t="n"/>
      <c r="K1936" s="9" t="n"/>
      <c r="L1936" s="9" t="n"/>
      <c r="M1936" s="9" t="n"/>
      <c r="N1936" s="9" t="n"/>
      <c r="O1936" s="9" t="n"/>
      <c r="P1936" s="9" t="n"/>
      <c r="Q1936" s="9" t="n"/>
      <c r="R1936" s="9" t="n"/>
      <c r="S1936" s="9" t="n"/>
      <c r="T1936" s="9" t="n"/>
      <c r="U1936" s="9" t="n"/>
      <c r="V1936" s="9" t="n"/>
      <c r="W1936" s="9" t="n"/>
      <c r="X1936" s="9" t="n"/>
      <c r="Y1936" s="9" t="n"/>
      <c r="Z1936" s="9" t="n"/>
    </row>
    <row r="1937" ht="14.25" customHeight="1" s="37">
      <c r="A1937" s="9">
        <f>IF(C1937="","","UM"&amp;TEXT(ROW()-1,"00000"))</f>
        <v/>
      </c>
      <c r="B1937" s="9" t="n"/>
      <c r="C1937" s="9" t="n"/>
      <c r="D1937" s="9" t="n"/>
      <c r="E1937" s="9" t="n"/>
      <c r="F1937" s="9">
        <f>IF(E1937="","",DATEDIF(E1937,DATE(2026,12,31),"Y"))</f>
        <v/>
      </c>
      <c r="G1937" s="9" t="n"/>
      <c r="H1937" s="9" t="n"/>
      <c r="I1937" s="9" t="n"/>
      <c r="J1937" s="9" t="n"/>
      <c r="K1937" s="9" t="n"/>
      <c r="L1937" s="9" t="n"/>
      <c r="M1937" s="9" t="n"/>
      <c r="N1937" s="9" t="n"/>
      <c r="O1937" s="9" t="n"/>
      <c r="P1937" s="9" t="n"/>
      <c r="Q1937" s="9" t="n"/>
      <c r="R1937" s="9" t="n"/>
      <c r="S1937" s="9" t="n"/>
      <c r="T1937" s="9" t="n"/>
      <c r="U1937" s="9" t="n"/>
      <c r="V1937" s="9" t="n"/>
      <c r="W1937" s="9" t="n"/>
      <c r="X1937" s="9" t="n"/>
      <c r="Y1937" s="9" t="n"/>
      <c r="Z1937" s="9" t="n"/>
    </row>
    <row r="1938" ht="14.25" customHeight="1" s="37">
      <c r="A1938" s="9">
        <f>IF(C1938="","","UM"&amp;TEXT(ROW()-1,"00000"))</f>
        <v/>
      </c>
      <c r="B1938" s="9" t="n"/>
      <c r="C1938" s="9" t="n"/>
      <c r="D1938" s="9" t="n"/>
      <c r="E1938" s="9" t="n"/>
      <c r="F1938" s="9">
        <f>IF(E1938="","",DATEDIF(E1938,DATE(2026,12,31),"Y"))</f>
        <v/>
      </c>
      <c r="G1938" s="9" t="n"/>
      <c r="H1938" s="9" t="n"/>
      <c r="I1938" s="9" t="n"/>
      <c r="J1938" s="9" t="n"/>
      <c r="K1938" s="9" t="n"/>
      <c r="L1938" s="9" t="n"/>
      <c r="M1938" s="9" t="n"/>
      <c r="N1938" s="9" t="n"/>
      <c r="O1938" s="9" t="n"/>
      <c r="P1938" s="9" t="n"/>
      <c r="Q1938" s="9" t="n"/>
      <c r="R1938" s="9" t="n"/>
      <c r="S1938" s="9" t="n"/>
      <c r="T1938" s="9" t="n"/>
      <c r="U1938" s="9" t="n"/>
      <c r="V1938" s="9" t="n"/>
      <c r="W1938" s="9" t="n"/>
      <c r="X1938" s="9" t="n"/>
      <c r="Y1938" s="9" t="n"/>
      <c r="Z1938" s="9" t="n"/>
    </row>
    <row r="1939" ht="14.25" customHeight="1" s="37">
      <c r="A1939" s="9">
        <f>IF(C1939="","","UM"&amp;TEXT(ROW()-1,"00000"))</f>
        <v/>
      </c>
      <c r="B1939" s="9" t="n"/>
      <c r="C1939" s="9" t="n"/>
      <c r="D1939" s="9" t="n"/>
      <c r="E1939" s="9" t="n"/>
      <c r="F1939" s="9">
        <f>IF(E1939="","",DATEDIF(E1939,DATE(2026,12,31),"Y"))</f>
        <v/>
      </c>
      <c r="G1939" s="9" t="n"/>
      <c r="H1939" s="9" t="n"/>
      <c r="I1939" s="9" t="n"/>
      <c r="J1939" s="9" t="n"/>
      <c r="K1939" s="9" t="n"/>
      <c r="L1939" s="9" t="n"/>
      <c r="M1939" s="9" t="n"/>
      <c r="N1939" s="9" t="n"/>
      <c r="O1939" s="9" t="n"/>
      <c r="P1939" s="9" t="n"/>
      <c r="Q1939" s="9" t="n"/>
      <c r="R1939" s="9" t="n"/>
      <c r="S1939" s="9" t="n"/>
      <c r="T1939" s="9" t="n"/>
      <c r="U1939" s="9" t="n"/>
      <c r="V1939" s="9" t="n"/>
      <c r="W1939" s="9" t="n"/>
      <c r="X1939" s="9" t="n"/>
      <c r="Y1939" s="9" t="n"/>
      <c r="Z1939" s="9" t="n"/>
    </row>
    <row r="1940" ht="14.25" customHeight="1" s="37">
      <c r="A1940" s="9">
        <f>IF(C1940="","","UM"&amp;TEXT(ROW()-1,"00000"))</f>
        <v/>
      </c>
      <c r="B1940" s="9" t="n"/>
      <c r="C1940" s="9" t="n"/>
      <c r="D1940" s="9" t="n"/>
      <c r="E1940" s="9" t="n"/>
      <c r="F1940" s="9">
        <f>IF(E1940="","",DATEDIF(E1940,DATE(2026,12,31),"Y"))</f>
        <v/>
      </c>
      <c r="G1940" s="9" t="n"/>
      <c r="H1940" s="9" t="n"/>
      <c r="I1940" s="9" t="n"/>
      <c r="J1940" s="9" t="n"/>
      <c r="K1940" s="9" t="n"/>
      <c r="L1940" s="9" t="n"/>
      <c r="M1940" s="9" t="n"/>
      <c r="N1940" s="9" t="n"/>
      <c r="O1940" s="9" t="n"/>
      <c r="P1940" s="9" t="n"/>
      <c r="Q1940" s="9" t="n"/>
      <c r="R1940" s="9" t="n"/>
      <c r="S1940" s="9" t="n"/>
      <c r="T1940" s="9" t="n"/>
      <c r="U1940" s="9" t="n"/>
      <c r="V1940" s="9" t="n"/>
      <c r="W1940" s="9" t="n"/>
      <c r="X1940" s="9" t="n"/>
      <c r="Y1940" s="9" t="n"/>
      <c r="Z1940" s="9" t="n"/>
    </row>
    <row r="1941" ht="14.25" customHeight="1" s="37">
      <c r="A1941" s="9">
        <f>IF(C1941="","","UM"&amp;TEXT(ROW()-1,"00000"))</f>
        <v/>
      </c>
      <c r="B1941" s="9" t="n"/>
      <c r="C1941" s="9" t="n"/>
      <c r="D1941" s="9" t="n"/>
      <c r="E1941" s="9" t="n"/>
      <c r="F1941" s="9">
        <f>IF(E1941="","",DATEDIF(E1941,DATE(2026,12,31),"Y"))</f>
        <v/>
      </c>
      <c r="G1941" s="9" t="n"/>
      <c r="H1941" s="9" t="n"/>
      <c r="I1941" s="9" t="n"/>
      <c r="J1941" s="9" t="n"/>
      <c r="K1941" s="9" t="n"/>
      <c r="L1941" s="9" t="n"/>
      <c r="M1941" s="9" t="n"/>
      <c r="N1941" s="9" t="n"/>
      <c r="O1941" s="9" t="n"/>
      <c r="P1941" s="9" t="n"/>
      <c r="Q1941" s="9" t="n"/>
      <c r="R1941" s="9" t="n"/>
      <c r="S1941" s="9" t="n"/>
      <c r="T1941" s="9" t="n"/>
      <c r="U1941" s="9" t="n"/>
      <c r="V1941" s="9" t="n"/>
      <c r="W1941" s="9" t="n"/>
      <c r="X1941" s="9" t="n"/>
      <c r="Y1941" s="9" t="n"/>
      <c r="Z1941" s="9" t="n"/>
    </row>
    <row r="1942" ht="14.25" customHeight="1" s="37">
      <c r="A1942" s="9">
        <f>IF(C1942="","","UM"&amp;TEXT(ROW()-1,"00000"))</f>
        <v/>
      </c>
      <c r="B1942" s="9" t="n"/>
      <c r="C1942" s="9" t="n"/>
      <c r="D1942" s="9" t="n"/>
      <c r="E1942" s="9" t="n"/>
      <c r="F1942" s="9">
        <f>IF(E1942="","",DATEDIF(E1942,DATE(2026,12,31),"Y"))</f>
        <v/>
      </c>
      <c r="G1942" s="9" t="n"/>
      <c r="H1942" s="9" t="n"/>
      <c r="I1942" s="9" t="n"/>
      <c r="J1942" s="9" t="n"/>
      <c r="K1942" s="9" t="n"/>
      <c r="L1942" s="9" t="n"/>
      <c r="M1942" s="9" t="n"/>
      <c r="N1942" s="9" t="n"/>
      <c r="O1942" s="9" t="n"/>
      <c r="P1942" s="9" t="n"/>
      <c r="Q1942" s="9" t="n"/>
      <c r="R1942" s="9" t="n"/>
      <c r="S1942" s="9" t="n"/>
      <c r="T1942" s="9" t="n"/>
      <c r="U1942" s="9" t="n"/>
      <c r="V1942" s="9" t="n"/>
      <c r="W1942" s="9" t="n"/>
      <c r="X1942" s="9" t="n"/>
      <c r="Y1942" s="9" t="n"/>
      <c r="Z1942" s="9" t="n"/>
    </row>
    <row r="1943" ht="14.25" customHeight="1" s="37">
      <c r="A1943" s="9">
        <f>IF(C1943="","","UM"&amp;TEXT(ROW()-1,"00000"))</f>
        <v/>
      </c>
      <c r="B1943" s="9" t="n"/>
      <c r="C1943" s="9" t="n"/>
      <c r="D1943" s="9" t="n"/>
      <c r="E1943" s="9" t="n"/>
      <c r="F1943" s="9">
        <f>IF(E1943="","",DATEDIF(E1943,DATE(2026,12,31),"Y"))</f>
        <v/>
      </c>
      <c r="G1943" s="9" t="n"/>
      <c r="H1943" s="9" t="n"/>
      <c r="I1943" s="9" t="n"/>
      <c r="J1943" s="9" t="n"/>
      <c r="K1943" s="9" t="n"/>
      <c r="L1943" s="9" t="n"/>
      <c r="M1943" s="9" t="n"/>
      <c r="N1943" s="9" t="n"/>
      <c r="O1943" s="9" t="n"/>
      <c r="P1943" s="9" t="n"/>
      <c r="Q1943" s="9" t="n"/>
      <c r="R1943" s="9" t="n"/>
      <c r="S1943" s="9" t="n"/>
      <c r="T1943" s="9" t="n"/>
      <c r="U1943" s="9" t="n"/>
      <c r="V1943" s="9" t="n"/>
      <c r="W1943" s="9" t="n"/>
      <c r="X1943" s="9" t="n"/>
      <c r="Y1943" s="9" t="n"/>
      <c r="Z1943" s="9" t="n"/>
    </row>
    <row r="1944" ht="14.25" customHeight="1" s="37">
      <c r="A1944" s="9">
        <f>IF(C1944="","","UM"&amp;TEXT(ROW()-1,"00000"))</f>
        <v/>
      </c>
      <c r="B1944" s="9" t="n"/>
      <c r="C1944" s="9" t="n"/>
      <c r="D1944" s="9" t="n"/>
      <c r="E1944" s="9" t="n"/>
      <c r="F1944" s="9">
        <f>IF(E1944="","",DATEDIF(E1944,DATE(2026,12,31),"Y"))</f>
        <v/>
      </c>
      <c r="G1944" s="9" t="n"/>
      <c r="H1944" s="9" t="n"/>
      <c r="I1944" s="9" t="n"/>
      <c r="J1944" s="9" t="n"/>
      <c r="K1944" s="9" t="n"/>
      <c r="L1944" s="9" t="n"/>
      <c r="M1944" s="9" t="n"/>
      <c r="N1944" s="9" t="n"/>
      <c r="O1944" s="9" t="n"/>
      <c r="P1944" s="9" t="n"/>
      <c r="Q1944" s="9" t="n"/>
      <c r="R1944" s="9" t="n"/>
      <c r="S1944" s="9" t="n"/>
      <c r="T1944" s="9" t="n"/>
      <c r="U1944" s="9" t="n"/>
      <c r="V1944" s="9" t="n"/>
      <c r="W1944" s="9" t="n"/>
      <c r="X1944" s="9" t="n"/>
      <c r="Y1944" s="9" t="n"/>
      <c r="Z1944" s="9" t="n"/>
    </row>
    <row r="1945" ht="14.25" customHeight="1" s="37">
      <c r="A1945" s="9">
        <f>IF(C1945="","","UM"&amp;TEXT(ROW()-1,"00000"))</f>
        <v/>
      </c>
      <c r="B1945" s="9" t="n"/>
      <c r="C1945" s="9" t="n"/>
      <c r="D1945" s="9" t="n"/>
      <c r="E1945" s="9" t="n"/>
      <c r="F1945" s="9">
        <f>IF(E1945="","",DATEDIF(E1945,DATE(2026,12,31),"Y"))</f>
        <v/>
      </c>
      <c r="G1945" s="9" t="n"/>
      <c r="H1945" s="9" t="n"/>
      <c r="I1945" s="9" t="n"/>
      <c r="J1945" s="9" t="n"/>
      <c r="K1945" s="9" t="n"/>
      <c r="L1945" s="9" t="n"/>
      <c r="M1945" s="9" t="n"/>
      <c r="N1945" s="9" t="n"/>
      <c r="O1945" s="9" t="n"/>
      <c r="P1945" s="9" t="n"/>
      <c r="Q1945" s="9" t="n"/>
      <c r="R1945" s="9" t="n"/>
      <c r="S1945" s="9" t="n"/>
      <c r="T1945" s="9" t="n"/>
      <c r="U1945" s="9" t="n"/>
      <c r="V1945" s="9" t="n"/>
      <c r="W1945" s="9" t="n"/>
      <c r="X1945" s="9" t="n"/>
      <c r="Y1945" s="9" t="n"/>
      <c r="Z1945" s="9" t="n"/>
    </row>
    <row r="1946" ht="14.25" customHeight="1" s="37">
      <c r="A1946" s="9">
        <f>IF(C1946="","","UM"&amp;TEXT(ROW()-1,"00000"))</f>
        <v/>
      </c>
      <c r="B1946" s="9" t="n"/>
      <c r="C1946" s="9" t="n"/>
      <c r="D1946" s="9" t="n"/>
      <c r="E1946" s="9" t="n"/>
      <c r="F1946" s="9">
        <f>IF(E1946="","",DATEDIF(E1946,DATE(2026,12,31),"Y"))</f>
        <v/>
      </c>
      <c r="G1946" s="9" t="n"/>
      <c r="H1946" s="9" t="n"/>
      <c r="I1946" s="9" t="n"/>
      <c r="J1946" s="9" t="n"/>
      <c r="K1946" s="9" t="n"/>
      <c r="L1946" s="9" t="n"/>
      <c r="M1946" s="9" t="n"/>
      <c r="N1946" s="9" t="n"/>
      <c r="O1946" s="9" t="n"/>
      <c r="P1946" s="9" t="n"/>
      <c r="Q1946" s="9" t="n"/>
      <c r="R1946" s="9" t="n"/>
      <c r="S1946" s="9" t="n"/>
      <c r="T1946" s="9" t="n"/>
      <c r="U1946" s="9" t="n"/>
      <c r="V1946" s="9" t="n"/>
      <c r="W1946" s="9" t="n"/>
      <c r="X1946" s="9" t="n"/>
      <c r="Y1946" s="9" t="n"/>
      <c r="Z1946" s="9" t="n"/>
    </row>
    <row r="1947" ht="14.25" customHeight="1" s="37">
      <c r="A1947" s="9">
        <f>IF(C1947="","","UM"&amp;TEXT(ROW()-1,"00000"))</f>
        <v/>
      </c>
      <c r="B1947" s="9" t="n"/>
      <c r="C1947" s="9" t="n"/>
      <c r="D1947" s="9" t="n"/>
      <c r="E1947" s="9" t="n"/>
      <c r="F1947" s="9">
        <f>IF(E1947="","",DATEDIF(E1947,DATE(2026,12,31),"Y"))</f>
        <v/>
      </c>
      <c r="G1947" s="9" t="n"/>
      <c r="H1947" s="9" t="n"/>
      <c r="I1947" s="9" t="n"/>
      <c r="J1947" s="9" t="n"/>
      <c r="K1947" s="9" t="n"/>
      <c r="L1947" s="9" t="n"/>
      <c r="M1947" s="9" t="n"/>
      <c r="N1947" s="9" t="n"/>
      <c r="O1947" s="9" t="n"/>
      <c r="P1947" s="9" t="n"/>
      <c r="Q1947" s="9" t="n"/>
      <c r="R1947" s="9" t="n"/>
      <c r="S1947" s="9" t="n"/>
      <c r="T1947" s="9" t="n"/>
      <c r="U1947" s="9" t="n"/>
      <c r="V1947" s="9" t="n"/>
      <c r="W1947" s="9" t="n"/>
      <c r="X1947" s="9" t="n"/>
      <c r="Y1947" s="9" t="n"/>
      <c r="Z1947" s="9" t="n"/>
    </row>
    <row r="1948" ht="14.25" customHeight="1" s="37">
      <c r="A1948" s="9">
        <f>IF(C1948="","","UM"&amp;TEXT(ROW()-1,"00000"))</f>
        <v/>
      </c>
      <c r="B1948" s="9" t="n"/>
      <c r="C1948" s="9" t="n"/>
      <c r="D1948" s="9" t="n"/>
      <c r="E1948" s="9" t="n"/>
      <c r="F1948" s="9">
        <f>IF(E1948="","",DATEDIF(E1948,DATE(2026,12,31),"Y"))</f>
        <v/>
      </c>
      <c r="G1948" s="9" t="n"/>
      <c r="H1948" s="9" t="n"/>
      <c r="I1948" s="9" t="n"/>
      <c r="J1948" s="9" t="n"/>
      <c r="K1948" s="9" t="n"/>
      <c r="L1948" s="9" t="n"/>
      <c r="M1948" s="9" t="n"/>
      <c r="N1948" s="9" t="n"/>
      <c r="O1948" s="9" t="n"/>
      <c r="P1948" s="9" t="n"/>
      <c r="Q1948" s="9" t="n"/>
      <c r="R1948" s="9" t="n"/>
      <c r="S1948" s="9" t="n"/>
      <c r="T1948" s="9" t="n"/>
      <c r="U1948" s="9" t="n"/>
      <c r="V1948" s="9" t="n"/>
      <c r="W1948" s="9" t="n"/>
      <c r="X1948" s="9" t="n"/>
      <c r="Y1948" s="9" t="n"/>
      <c r="Z1948" s="9" t="n"/>
    </row>
    <row r="1949" ht="14.25" customHeight="1" s="37">
      <c r="A1949" s="9">
        <f>IF(C1949="","","UM"&amp;TEXT(ROW()-1,"00000"))</f>
        <v/>
      </c>
      <c r="B1949" s="9" t="n"/>
      <c r="C1949" s="9" t="n"/>
      <c r="D1949" s="9" t="n"/>
      <c r="E1949" s="9" t="n"/>
      <c r="F1949" s="9">
        <f>IF(E1949="","",DATEDIF(E1949,DATE(2026,12,31),"Y"))</f>
        <v/>
      </c>
      <c r="G1949" s="9" t="n"/>
      <c r="H1949" s="9" t="n"/>
      <c r="I1949" s="9" t="n"/>
      <c r="J1949" s="9" t="n"/>
      <c r="K1949" s="9" t="n"/>
      <c r="L1949" s="9" t="n"/>
      <c r="M1949" s="9" t="n"/>
      <c r="N1949" s="9" t="n"/>
      <c r="O1949" s="9" t="n"/>
      <c r="P1949" s="9" t="n"/>
      <c r="Q1949" s="9" t="n"/>
      <c r="R1949" s="9" t="n"/>
      <c r="S1949" s="9" t="n"/>
      <c r="T1949" s="9" t="n"/>
      <c r="U1949" s="9" t="n"/>
      <c r="V1949" s="9" t="n"/>
      <c r="W1949" s="9" t="n"/>
      <c r="X1949" s="9" t="n"/>
      <c r="Y1949" s="9" t="n"/>
      <c r="Z1949" s="9" t="n"/>
    </row>
    <row r="1950" ht="14.25" customHeight="1" s="37">
      <c r="A1950" s="9">
        <f>IF(C1950="","","UM"&amp;TEXT(ROW()-1,"00000"))</f>
        <v/>
      </c>
      <c r="B1950" s="9" t="n"/>
      <c r="C1950" s="9" t="n"/>
      <c r="D1950" s="9" t="n"/>
      <c r="E1950" s="9" t="n"/>
      <c r="F1950" s="9">
        <f>IF(E1950="","",DATEDIF(E1950,DATE(2026,12,31),"Y"))</f>
        <v/>
      </c>
      <c r="G1950" s="9" t="n"/>
      <c r="H1950" s="9" t="n"/>
      <c r="I1950" s="9" t="n"/>
      <c r="J1950" s="9" t="n"/>
      <c r="K1950" s="9" t="n"/>
      <c r="L1950" s="9" t="n"/>
      <c r="M1950" s="9" t="n"/>
      <c r="N1950" s="9" t="n"/>
      <c r="O1950" s="9" t="n"/>
      <c r="P1950" s="9" t="n"/>
      <c r="Q1950" s="9" t="n"/>
      <c r="R1950" s="9" t="n"/>
      <c r="S1950" s="9" t="n"/>
      <c r="T1950" s="9" t="n"/>
      <c r="U1950" s="9" t="n"/>
      <c r="V1950" s="9" t="n"/>
      <c r="W1950" s="9" t="n"/>
      <c r="X1950" s="9" t="n"/>
      <c r="Y1950" s="9" t="n"/>
      <c r="Z1950" s="9" t="n"/>
    </row>
    <row r="1951" ht="14.25" customHeight="1" s="37">
      <c r="A1951" s="9">
        <f>IF(C1951="","","UM"&amp;TEXT(ROW()-1,"00000"))</f>
        <v/>
      </c>
      <c r="B1951" s="9" t="n"/>
      <c r="C1951" s="9" t="n"/>
      <c r="D1951" s="9" t="n"/>
      <c r="E1951" s="9" t="n"/>
      <c r="F1951" s="9">
        <f>IF(E1951="","",DATEDIF(E1951,DATE(2026,12,31),"Y"))</f>
        <v/>
      </c>
      <c r="G1951" s="9" t="n"/>
      <c r="H1951" s="9" t="n"/>
      <c r="I1951" s="9" t="n"/>
      <c r="J1951" s="9" t="n"/>
      <c r="K1951" s="9" t="n"/>
      <c r="L1951" s="9" t="n"/>
      <c r="M1951" s="9" t="n"/>
      <c r="N1951" s="9" t="n"/>
      <c r="O1951" s="9" t="n"/>
      <c r="P1951" s="9" t="n"/>
      <c r="Q1951" s="9" t="n"/>
      <c r="R1951" s="9" t="n"/>
      <c r="S1951" s="9" t="n"/>
      <c r="T1951" s="9" t="n"/>
      <c r="U1951" s="9" t="n"/>
      <c r="V1951" s="9" t="n"/>
      <c r="W1951" s="9" t="n"/>
      <c r="X1951" s="9" t="n"/>
      <c r="Y1951" s="9" t="n"/>
      <c r="Z1951" s="9" t="n"/>
    </row>
    <row r="1952" ht="14.25" customHeight="1" s="37">
      <c r="A1952" s="9">
        <f>IF(C1952="","","UM"&amp;TEXT(ROW()-1,"00000"))</f>
        <v/>
      </c>
      <c r="B1952" s="9" t="n"/>
      <c r="C1952" s="9" t="n"/>
      <c r="D1952" s="9" t="n"/>
      <c r="E1952" s="9" t="n"/>
      <c r="F1952" s="9">
        <f>IF(E1952="","",DATEDIF(E1952,DATE(2026,12,31),"Y"))</f>
        <v/>
      </c>
      <c r="G1952" s="9" t="n"/>
      <c r="H1952" s="9" t="n"/>
      <c r="I1952" s="9" t="n"/>
      <c r="J1952" s="9" t="n"/>
      <c r="K1952" s="9" t="n"/>
      <c r="L1952" s="9" t="n"/>
      <c r="M1952" s="9" t="n"/>
      <c r="N1952" s="9" t="n"/>
      <c r="O1952" s="9" t="n"/>
      <c r="P1952" s="9" t="n"/>
      <c r="Q1952" s="9" t="n"/>
      <c r="R1952" s="9" t="n"/>
      <c r="S1952" s="9" t="n"/>
      <c r="T1952" s="9" t="n"/>
      <c r="U1952" s="9" t="n"/>
      <c r="V1952" s="9" t="n"/>
      <c r="W1952" s="9" t="n"/>
      <c r="X1952" s="9" t="n"/>
      <c r="Y1952" s="9" t="n"/>
      <c r="Z1952" s="9" t="n"/>
    </row>
    <row r="1953" ht="14.25" customHeight="1" s="37">
      <c r="A1953" s="9">
        <f>IF(C1953="","","UM"&amp;TEXT(ROW()-1,"00000"))</f>
        <v/>
      </c>
      <c r="B1953" s="9" t="n"/>
      <c r="C1953" s="9" t="n"/>
      <c r="D1953" s="9" t="n"/>
      <c r="E1953" s="9" t="n"/>
      <c r="F1953" s="9">
        <f>IF(E1953="","",DATEDIF(E1953,DATE(2026,12,31),"Y"))</f>
        <v/>
      </c>
      <c r="G1953" s="9" t="n"/>
      <c r="H1953" s="9" t="n"/>
      <c r="I1953" s="9" t="n"/>
      <c r="J1953" s="9" t="n"/>
      <c r="K1953" s="9" t="n"/>
      <c r="L1953" s="9" t="n"/>
      <c r="M1953" s="9" t="n"/>
      <c r="N1953" s="9" t="n"/>
      <c r="O1953" s="9" t="n"/>
      <c r="P1953" s="9" t="n"/>
      <c r="Q1953" s="9" t="n"/>
      <c r="R1953" s="9" t="n"/>
      <c r="S1953" s="9" t="n"/>
      <c r="T1953" s="9" t="n"/>
      <c r="U1953" s="9" t="n"/>
      <c r="V1953" s="9" t="n"/>
      <c r="W1953" s="9" t="n"/>
      <c r="X1953" s="9" t="n"/>
      <c r="Y1953" s="9" t="n"/>
      <c r="Z1953" s="9" t="n"/>
    </row>
    <row r="1954" ht="14.25" customHeight="1" s="37">
      <c r="A1954" s="9">
        <f>IF(C1954="","","UM"&amp;TEXT(ROW()-1,"00000"))</f>
        <v/>
      </c>
      <c r="B1954" s="9" t="n"/>
      <c r="C1954" s="9" t="n"/>
      <c r="D1954" s="9" t="n"/>
      <c r="E1954" s="9" t="n"/>
      <c r="F1954" s="9">
        <f>IF(E1954="","",DATEDIF(E1954,DATE(2026,12,31),"Y"))</f>
        <v/>
      </c>
      <c r="G1954" s="9" t="n"/>
      <c r="H1954" s="9" t="n"/>
      <c r="I1954" s="9" t="n"/>
      <c r="J1954" s="9" t="n"/>
      <c r="K1954" s="9" t="n"/>
      <c r="L1954" s="9" t="n"/>
      <c r="M1954" s="9" t="n"/>
      <c r="N1954" s="9" t="n"/>
      <c r="O1954" s="9" t="n"/>
      <c r="P1954" s="9" t="n"/>
      <c r="Q1954" s="9" t="n"/>
      <c r="R1954" s="9" t="n"/>
      <c r="S1954" s="9" t="n"/>
      <c r="T1954" s="9" t="n"/>
      <c r="U1954" s="9" t="n"/>
      <c r="V1954" s="9" t="n"/>
      <c r="W1954" s="9" t="n"/>
      <c r="X1954" s="9" t="n"/>
      <c r="Y1954" s="9" t="n"/>
      <c r="Z1954" s="9" t="n"/>
    </row>
    <row r="1955" ht="14.25" customHeight="1" s="37">
      <c r="A1955" s="9">
        <f>IF(C1955="","","UM"&amp;TEXT(ROW()-1,"00000"))</f>
        <v/>
      </c>
      <c r="B1955" s="9" t="n"/>
      <c r="C1955" s="9" t="n"/>
      <c r="D1955" s="9" t="n"/>
      <c r="E1955" s="9" t="n"/>
      <c r="F1955" s="9">
        <f>IF(E1955="","",DATEDIF(E1955,DATE(2026,12,31),"Y"))</f>
        <v/>
      </c>
      <c r="G1955" s="9" t="n"/>
      <c r="H1955" s="9" t="n"/>
      <c r="I1955" s="9" t="n"/>
      <c r="J1955" s="9" t="n"/>
      <c r="K1955" s="9" t="n"/>
      <c r="L1955" s="9" t="n"/>
      <c r="M1955" s="9" t="n"/>
      <c r="N1955" s="9" t="n"/>
      <c r="O1955" s="9" t="n"/>
      <c r="P1955" s="9" t="n"/>
      <c r="Q1955" s="9" t="n"/>
      <c r="R1955" s="9" t="n"/>
      <c r="S1955" s="9" t="n"/>
      <c r="T1955" s="9" t="n"/>
      <c r="U1955" s="9" t="n"/>
      <c r="V1955" s="9" t="n"/>
      <c r="W1955" s="9" t="n"/>
      <c r="X1955" s="9" t="n"/>
      <c r="Y1955" s="9" t="n"/>
      <c r="Z1955" s="9" t="n"/>
    </row>
    <row r="1956" ht="14.25" customHeight="1" s="37">
      <c r="A1956" s="9">
        <f>IF(C1956="","","UM"&amp;TEXT(ROW()-1,"00000"))</f>
        <v/>
      </c>
      <c r="B1956" s="9" t="n"/>
      <c r="C1956" s="9" t="n"/>
      <c r="D1956" s="9" t="n"/>
      <c r="E1956" s="9" t="n"/>
      <c r="F1956" s="9">
        <f>IF(E1956="","",DATEDIF(E1956,DATE(2026,12,31),"Y"))</f>
        <v/>
      </c>
      <c r="G1956" s="9" t="n"/>
      <c r="H1956" s="9" t="n"/>
      <c r="I1956" s="9" t="n"/>
      <c r="J1956" s="9" t="n"/>
      <c r="K1956" s="9" t="n"/>
      <c r="L1956" s="9" t="n"/>
      <c r="M1956" s="9" t="n"/>
      <c r="N1956" s="9" t="n"/>
      <c r="O1956" s="9" t="n"/>
      <c r="P1956" s="9" t="n"/>
      <c r="Q1956" s="9" t="n"/>
      <c r="R1956" s="9" t="n"/>
      <c r="S1956" s="9" t="n"/>
      <c r="T1956" s="9" t="n"/>
      <c r="U1956" s="9" t="n"/>
      <c r="V1956" s="9" t="n"/>
      <c r="W1956" s="9" t="n"/>
      <c r="X1956" s="9" t="n"/>
      <c r="Y1956" s="9" t="n"/>
      <c r="Z1956" s="9" t="n"/>
    </row>
    <row r="1957" ht="14.25" customHeight="1" s="37">
      <c r="A1957" s="9">
        <f>IF(C1957="","","UM"&amp;TEXT(ROW()-1,"00000"))</f>
        <v/>
      </c>
      <c r="B1957" s="9" t="n"/>
      <c r="C1957" s="9" t="n"/>
      <c r="D1957" s="9" t="n"/>
      <c r="E1957" s="9" t="n"/>
      <c r="F1957" s="9">
        <f>IF(E1957="","",DATEDIF(E1957,DATE(2026,12,31),"Y"))</f>
        <v/>
      </c>
      <c r="G1957" s="9" t="n"/>
      <c r="H1957" s="9" t="n"/>
      <c r="I1957" s="9" t="n"/>
      <c r="J1957" s="9" t="n"/>
      <c r="K1957" s="9" t="n"/>
      <c r="L1957" s="9" t="n"/>
      <c r="M1957" s="9" t="n"/>
      <c r="N1957" s="9" t="n"/>
      <c r="O1957" s="9" t="n"/>
      <c r="P1957" s="9" t="n"/>
      <c r="Q1957" s="9" t="n"/>
      <c r="R1957" s="9" t="n"/>
      <c r="S1957" s="9" t="n"/>
      <c r="T1957" s="9" t="n"/>
      <c r="U1957" s="9" t="n"/>
      <c r="V1957" s="9" t="n"/>
      <c r="W1957" s="9" t="n"/>
      <c r="X1957" s="9" t="n"/>
      <c r="Y1957" s="9" t="n"/>
      <c r="Z1957" s="9" t="n"/>
    </row>
    <row r="1958" ht="14.25" customHeight="1" s="37">
      <c r="A1958" s="9">
        <f>IF(C1958="","","UM"&amp;TEXT(ROW()-1,"00000"))</f>
        <v/>
      </c>
      <c r="B1958" s="9" t="n"/>
      <c r="C1958" s="9" t="n"/>
      <c r="D1958" s="9" t="n"/>
      <c r="E1958" s="9" t="n"/>
      <c r="F1958" s="9">
        <f>IF(E1958="","",DATEDIF(E1958,DATE(2026,12,31),"Y"))</f>
        <v/>
      </c>
      <c r="G1958" s="9" t="n"/>
      <c r="H1958" s="9" t="n"/>
      <c r="I1958" s="9" t="n"/>
      <c r="J1958" s="9" t="n"/>
      <c r="K1958" s="9" t="n"/>
      <c r="L1958" s="9" t="n"/>
      <c r="M1958" s="9" t="n"/>
      <c r="N1958" s="9" t="n"/>
      <c r="O1958" s="9" t="n"/>
      <c r="P1958" s="9" t="n"/>
      <c r="Q1958" s="9" t="n"/>
      <c r="R1958" s="9" t="n"/>
      <c r="S1958" s="9" t="n"/>
      <c r="T1958" s="9" t="n"/>
      <c r="U1958" s="9" t="n"/>
      <c r="V1958" s="9" t="n"/>
      <c r="W1958" s="9" t="n"/>
      <c r="X1958" s="9" t="n"/>
      <c r="Y1958" s="9" t="n"/>
      <c r="Z1958" s="9" t="n"/>
    </row>
    <row r="1959" ht="14.25" customHeight="1" s="37">
      <c r="A1959" s="9">
        <f>IF(C1959="","","UM"&amp;TEXT(ROW()-1,"00000"))</f>
        <v/>
      </c>
      <c r="B1959" s="9" t="n"/>
      <c r="C1959" s="9" t="n"/>
      <c r="D1959" s="9" t="n"/>
      <c r="E1959" s="9" t="n"/>
      <c r="F1959" s="9">
        <f>IF(E1959="","",DATEDIF(E1959,DATE(2026,12,31),"Y"))</f>
        <v/>
      </c>
      <c r="G1959" s="9" t="n"/>
      <c r="H1959" s="9" t="n"/>
      <c r="I1959" s="9" t="n"/>
      <c r="J1959" s="9" t="n"/>
      <c r="K1959" s="9" t="n"/>
      <c r="L1959" s="9" t="n"/>
      <c r="M1959" s="9" t="n"/>
      <c r="N1959" s="9" t="n"/>
      <c r="O1959" s="9" t="n"/>
      <c r="P1959" s="9" t="n"/>
      <c r="Q1959" s="9" t="n"/>
      <c r="R1959" s="9" t="n"/>
      <c r="S1959" s="9" t="n"/>
      <c r="T1959" s="9" t="n"/>
      <c r="U1959" s="9" t="n"/>
      <c r="V1959" s="9" t="n"/>
      <c r="W1959" s="9" t="n"/>
      <c r="X1959" s="9" t="n"/>
      <c r="Y1959" s="9" t="n"/>
      <c r="Z1959" s="9" t="n"/>
    </row>
    <row r="1960" ht="14.25" customHeight="1" s="37">
      <c r="A1960" s="9">
        <f>IF(C1960="","","UM"&amp;TEXT(ROW()-1,"00000"))</f>
        <v/>
      </c>
      <c r="B1960" s="9" t="n"/>
      <c r="C1960" s="9" t="n"/>
      <c r="D1960" s="9" t="n"/>
      <c r="E1960" s="9" t="n"/>
      <c r="F1960" s="9">
        <f>IF(E1960="","",DATEDIF(E1960,DATE(2026,12,31),"Y"))</f>
        <v/>
      </c>
      <c r="G1960" s="9" t="n"/>
      <c r="H1960" s="9" t="n"/>
      <c r="I1960" s="9" t="n"/>
      <c r="J1960" s="9" t="n"/>
      <c r="K1960" s="9" t="n"/>
      <c r="L1960" s="9" t="n"/>
      <c r="M1960" s="9" t="n"/>
      <c r="N1960" s="9" t="n"/>
      <c r="O1960" s="9" t="n"/>
      <c r="P1960" s="9" t="n"/>
      <c r="Q1960" s="9" t="n"/>
      <c r="R1960" s="9" t="n"/>
      <c r="S1960" s="9" t="n"/>
      <c r="T1960" s="9" t="n"/>
      <c r="U1960" s="9" t="n"/>
      <c r="V1960" s="9" t="n"/>
      <c r="W1960" s="9" t="n"/>
      <c r="X1960" s="9" t="n"/>
      <c r="Y1960" s="9" t="n"/>
      <c r="Z1960" s="9" t="n"/>
    </row>
    <row r="1961" ht="14.25" customHeight="1" s="37">
      <c r="A1961" s="9">
        <f>IF(C1961="","","UM"&amp;TEXT(ROW()-1,"00000"))</f>
        <v/>
      </c>
      <c r="B1961" s="9" t="n"/>
      <c r="C1961" s="9" t="n"/>
      <c r="D1961" s="9" t="n"/>
      <c r="E1961" s="9" t="n"/>
      <c r="F1961" s="9">
        <f>IF(E1961="","",DATEDIF(E1961,DATE(2026,12,31),"Y"))</f>
        <v/>
      </c>
      <c r="G1961" s="9" t="n"/>
      <c r="H1961" s="9" t="n"/>
      <c r="I1961" s="9" t="n"/>
      <c r="J1961" s="9" t="n"/>
      <c r="K1961" s="9" t="n"/>
      <c r="L1961" s="9" t="n"/>
      <c r="M1961" s="9" t="n"/>
      <c r="N1961" s="9" t="n"/>
      <c r="O1961" s="9" t="n"/>
      <c r="P1961" s="9" t="n"/>
      <c r="Q1961" s="9" t="n"/>
      <c r="R1961" s="9" t="n"/>
      <c r="S1961" s="9" t="n"/>
      <c r="T1961" s="9" t="n"/>
      <c r="U1961" s="9" t="n"/>
      <c r="V1961" s="9" t="n"/>
      <c r="W1961" s="9" t="n"/>
      <c r="X1961" s="9" t="n"/>
      <c r="Y1961" s="9" t="n"/>
      <c r="Z1961" s="9" t="n"/>
    </row>
    <row r="1962" ht="14.25" customHeight="1" s="37">
      <c r="A1962" s="9">
        <f>IF(C1962="","","UM"&amp;TEXT(ROW()-1,"00000"))</f>
        <v/>
      </c>
      <c r="B1962" s="9" t="n"/>
      <c r="C1962" s="9" t="n"/>
      <c r="D1962" s="9" t="n"/>
      <c r="E1962" s="9" t="n"/>
      <c r="F1962" s="9">
        <f>IF(E1962="","",DATEDIF(E1962,DATE(2026,12,31),"Y"))</f>
        <v/>
      </c>
      <c r="G1962" s="9" t="n"/>
      <c r="H1962" s="9" t="n"/>
      <c r="I1962" s="9" t="n"/>
      <c r="J1962" s="9" t="n"/>
      <c r="K1962" s="9" t="n"/>
      <c r="L1962" s="9" t="n"/>
      <c r="M1962" s="9" t="n"/>
      <c r="N1962" s="9" t="n"/>
      <c r="O1962" s="9" t="n"/>
      <c r="P1962" s="9" t="n"/>
      <c r="Q1962" s="9" t="n"/>
      <c r="R1962" s="9" t="n"/>
      <c r="S1962" s="9" t="n"/>
      <c r="T1962" s="9" t="n"/>
      <c r="U1962" s="9" t="n"/>
      <c r="V1962" s="9" t="n"/>
      <c r="W1962" s="9" t="n"/>
      <c r="X1962" s="9" t="n"/>
      <c r="Y1962" s="9" t="n"/>
      <c r="Z1962" s="9" t="n"/>
    </row>
    <row r="1963" ht="14.25" customHeight="1" s="37">
      <c r="A1963" s="9">
        <f>IF(C1963="","","UM"&amp;TEXT(ROW()-1,"00000"))</f>
        <v/>
      </c>
      <c r="B1963" s="9" t="n"/>
      <c r="C1963" s="9" t="n"/>
      <c r="D1963" s="9" t="n"/>
      <c r="E1963" s="9" t="n"/>
      <c r="F1963" s="9">
        <f>IF(E1963="","",DATEDIF(E1963,DATE(2026,12,31),"Y"))</f>
        <v/>
      </c>
      <c r="G1963" s="9" t="n"/>
      <c r="H1963" s="9" t="n"/>
      <c r="I1963" s="9" t="n"/>
      <c r="J1963" s="9" t="n"/>
      <c r="K1963" s="9" t="n"/>
      <c r="L1963" s="9" t="n"/>
      <c r="M1963" s="9" t="n"/>
      <c r="N1963" s="9" t="n"/>
      <c r="O1963" s="9" t="n"/>
      <c r="P1963" s="9" t="n"/>
      <c r="Q1963" s="9" t="n"/>
      <c r="R1963" s="9" t="n"/>
      <c r="S1963" s="9" t="n"/>
      <c r="T1963" s="9" t="n"/>
      <c r="U1963" s="9" t="n"/>
      <c r="V1963" s="9" t="n"/>
      <c r="W1963" s="9" t="n"/>
      <c r="X1963" s="9" t="n"/>
      <c r="Y1963" s="9" t="n"/>
      <c r="Z1963" s="9" t="n"/>
    </row>
    <row r="1964" ht="14.25" customHeight="1" s="37">
      <c r="A1964" s="9">
        <f>IF(C1964="","","UM"&amp;TEXT(ROW()-1,"00000"))</f>
        <v/>
      </c>
      <c r="B1964" s="9" t="n"/>
      <c r="C1964" s="9" t="n"/>
      <c r="D1964" s="9" t="n"/>
      <c r="E1964" s="9" t="n"/>
      <c r="F1964" s="9">
        <f>IF(E1964="","",DATEDIF(E1964,DATE(2026,12,31),"Y"))</f>
        <v/>
      </c>
      <c r="G1964" s="9" t="n"/>
      <c r="H1964" s="9" t="n"/>
      <c r="I1964" s="9" t="n"/>
      <c r="J1964" s="9" t="n"/>
      <c r="K1964" s="9" t="n"/>
      <c r="L1964" s="9" t="n"/>
      <c r="M1964" s="9" t="n"/>
      <c r="N1964" s="9" t="n"/>
      <c r="O1964" s="9" t="n"/>
      <c r="P1964" s="9" t="n"/>
      <c r="Q1964" s="9" t="n"/>
      <c r="R1964" s="9" t="n"/>
      <c r="S1964" s="9" t="n"/>
      <c r="T1964" s="9" t="n"/>
      <c r="U1964" s="9" t="n"/>
      <c r="V1964" s="9" t="n"/>
      <c r="W1964" s="9" t="n"/>
      <c r="X1964" s="9" t="n"/>
      <c r="Y1964" s="9" t="n"/>
      <c r="Z1964" s="9" t="n"/>
    </row>
    <row r="1965" ht="14.25" customHeight="1" s="37">
      <c r="A1965" s="9">
        <f>IF(C1965="","","UM"&amp;TEXT(ROW()-1,"00000"))</f>
        <v/>
      </c>
      <c r="B1965" s="9" t="n"/>
      <c r="C1965" s="9" t="n"/>
      <c r="D1965" s="9" t="n"/>
      <c r="E1965" s="9" t="n"/>
      <c r="F1965" s="9">
        <f>IF(E1965="","",DATEDIF(E1965,DATE(2026,12,31),"Y"))</f>
        <v/>
      </c>
      <c r="G1965" s="9" t="n"/>
      <c r="H1965" s="9" t="n"/>
      <c r="I1965" s="9" t="n"/>
      <c r="J1965" s="9" t="n"/>
      <c r="K1965" s="9" t="n"/>
      <c r="L1965" s="9" t="n"/>
      <c r="M1965" s="9" t="n"/>
      <c r="N1965" s="9" t="n"/>
      <c r="O1965" s="9" t="n"/>
      <c r="P1965" s="9" t="n"/>
      <c r="Q1965" s="9" t="n"/>
      <c r="R1965" s="9" t="n"/>
      <c r="S1965" s="9" t="n"/>
      <c r="T1965" s="9" t="n"/>
      <c r="U1965" s="9" t="n"/>
      <c r="V1965" s="9" t="n"/>
      <c r="W1965" s="9" t="n"/>
      <c r="X1965" s="9" t="n"/>
      <c r="Y1965" s="9" t="n"/>
      <c r="Z1965" s="9" t="n"/>
    </row>
    <row r="1966" ht="14.25" customHeight="1" s="37">
      <c r="A1966" s="9">
        <f>IF(C1966="","","UM"&amp;TEXT(ROW()-1,"00000"))</f>
        <v/>
      </c>
      <c r="B1966" s="9" t="n"/>
      <c r="C1966" s="9" t="n"/>
      <c r="D1966" s="9" t="n"/>
      <c r="E1966" s="9" t="n"/>
      <c r="F1966" s="9">
        <f>IF(E1966="","",DATEDIF(E1966,DATE(2026,12,31),"Y"))</f>
        <v/>
      </c>
      <c r="G1966" s="9" t="n"/>
      <c r="H1966" s="9" t="n"/>
      <c r="I1966" s="9" t="n"/>
      <c r="J1966" s="9" t="n"/>
      <c r="K1966" s="9" t="n"/>
      <c r="L1966" s="9" t="n"/>
      <c r="M1966" s="9" t="n"/>
      <c r="N1966" s="9" t="n"/>
      <c r="O1966" s="9" t="n"/>
      <c r="P1966" s="9" t="n"/>
      <c r="Q1966" s="9" t="n"/>
      <c r="R1966" s="9" t="n"/>
      <c r="S1966" s="9" t="n"/>
      <c r="T1966" s="9" t="n"/>
      <c r="U1966" s="9" t="n"/>
      <c r="V1966" s="9" t="n"/>
      <c r="W1966" s="9" t="n"/>
      <c r="X1966" s="9" t="n"/>
      <c r="Y1966" s="9" t="n"/>
      <c r="Z1966" s="9" t="n"/>
    </row>
    <row r="1967" ht="14.25" customHeight="1" s="37">
      <c r="A1967" s="9">
        <f>IF(C1967="","","UM"&amp;TEXT(ROW()-1,"00000"))</f>
        <v/>
      </c>
      <c r="B1967" s="9" t="n"/>
      <c r="C1967" s="9" t="n"/>
      <c r="D1967" s="9" t="n"/>
      <c r="E1967" s="9" t="n"/>
      <c r="F1967" s="9">
        <f>IF(E1967="","",DATEDIF(E1967,DATE(2026,12,31),"Y"))</f>
        <v/>
      </c>
      <c r="G1967" s="9" t="n"/>
      <c r="H1967" s="9" t="n"/>
      <c r="I1967" s="9" t="n"/>
      <c r="J1967" s="9" t="n"/>
      <c r="K1967" s="9" t="n"/>
      <c r="L1967" s="9" t="n"/>
      <c r="M1967" s="9" t="n"/>
      <c r="N1967" s="9" t="n"/>
      <c r="O1967" s="9" t="n"/>
      <c r="P1967" s="9" t="n"/>
      <c r="Q1967" s="9" t="n"/>
      <c r="R1967" s="9" t="n"/>
      <c r="S1967" s="9" t="n"/>
      <c r="T1967" s="9" t="n"/>
      <c r="U1967" s="9" t="n"/>
      <c r="V1967" s="9" t="n"/>
      <c r="W1967" s="9" t="n"/>
      <c r="X1967" s="9" t="n"/>
      <c r="Y1967" s="9" t="n"/>
      <c r="Z1967" s="9" t="n"/>
    </row>
    <row r="1968" ht="14.25" customHeight="1" s="37">
      <c r="A1968" s="9">
        <f>IF(C1968="","","UM"&amp;TEXT(ROW()-1,"00000"))</f>
        <v/>
      </c>
      <c r="B1968" s="9" t="n"/>
      <c r="C1968" s="9" t="n"/>
      <c r="D1968" s="9" t="n"/>
      <c r="E1968" s="9" t="n"/>
      <c r="F1968" s="9">
        <f>IF(E1968="","",DATEDIF(E1968,DATE(2026,12,31),"Y"))</f>
        <v/>
      </c>
      <c r="G1968" s="9" t="n"/>
      <c r="H1968" s="9" t="n"/>
      <c r="I1968" s="9" t="n"/>
      <c r="J1968" s="9" t="n"/>
      <c r="K1968" s="9" t="n"/>
      <c r="L1968" s="9" t="n"/>
      <c r="M1968" s="9" t="n"/>
      <c r="N1968" s="9" t="n"/>
      <c r="O1968" s="9" t="n"/>
      <c r="P1968" s="9" t="n"/>
      <c r="Q1968" s="9" t="n"/>
      <c r="R1968" s="9" t="n"/>
      <c r="S1968" s="9" t="n"/>
      <c r="T1968" s="9" t="n"/>
      <c r="U1968" s="9" t="n"/>
      <c r="V1968" s="9" t="n"/>
      <c r="W1968" s="9" t="n"/>
      <c r="X1968" s="9" t="n"/>
      <c r="Y1968" s="9" t="n"/>
      <c r="Z1968" s="9" t="n"/>
    </row>
    <row r="1969" ht="14.25" customHeight="1" s="37">
      <c r="A1969" s="9">
        <f>IF(C1969="","","UM"&amp;TEXT(ROW()-1,"00000"))</f>
        <v/>
      </c>
      <c r="B1969" s="9" t="n"/>
      <c r="C1969" s="9" t="n"/>
      <c r="D1969" s="9" t="n"/>
      <c r="E1969" s="9" t="n"/>
      <c r="F1969" s="9">
        <f>IF(E1969="","",DATEDIF(E1969,DATE(2026,12,31),"Y"))</f>
        <v/>
      </c>
      <c r="G1969" s="9" t="n"/>
      <c r="H1969" s="9" t="n"/>
      <c r="I1969" s="9" t="n"/>
      <c r="J1969" s="9" t="n"/>
      <c r="K1969" s="9" t="n"/>
      <c r="L1969" s="9" t="n"/>
      <c r="M1969" s="9" t="n"/>
      <c r="N1969" s="9" t="n"/>
      <c r="O1969" s="9" t="n"/>
      <c r="P1969" s="9" t="n"/>
      <c r="Q1969" s="9" t="n"/>
      <c r="R1969" s="9" t="n"/>
      <c r="S1969" s="9" t="n"/>
      <c r="T1969" s="9" t="n"/>
      <c r="U1969" s="9" t="n"/>
      <c r="V1969" s="9" t="n"/>
      <c r="W1969" s="9" t="n"/>
      <c r="X1969" s="9" t="n"/>
      <c r="Y1969" s="9" t="n"/>
      <c r="Z1969" s="9" t="n"/>
    </row>
    <row r="1970" ht="14.25" customHeight="1" s="37">
      <c r="A1970" s="9">
        <f>IF(C1970="","","UM"&amp;TEXT(ROW()-1,"00000"))</f>
        <v/>
      </c>
      <c r="B1970" s="9" t="n"/>
      <c r="C1970" s="9" t="n"/>
      <c r="D1970" s="9" t="n"/>
      <c r="E1970" s="9" t="n"/>
      <c r="F1970" s="9">
        <f>IF(E1970="","",DATEDIF(E1970,DATE(2026,12,31),"Y"))</f>
        <v/>
      </c>
      <c r="G1970" s="9" t="n"/>
      <c r="H1970" s="9" t="n"/>
      <c r="I1970" s="9" t="n"/>
      <c r="J1970" s="9" t="n"/>
      <c r="K1970" s="9" t="n"/>
      <c r="L1970" s="9" t="n"/>
      <c r="M1970" s="9" t="n"/>
      <c r="N1970" s="9" t="n"/>
      <c r="O1970" s="9" t="n"/>
      <c r="P1970" s="9" t="n"/>
      <c r="Q1970" s="9" t="n"/>
      <c r="R1970" s="9" t="n"/>
      <c r="S1970" s="9" t="n"/>
      <c r="T1970" s="9" t="n"/>
      <c r="U1970" s="9" t="n"/>
      <c r="V1970" s="9" t="n"/>
      <c r="W1970" s="9" t="n"/>
      <c r="X1970" s="9" t="n"/>
      <c r="Y1970" s="9" t="n"/>
      <c r="Z1970" s="9" t="n"/>
    </row>
    <row r="1971" ht="14.25" customHeight="1" s="37">
      <c r="A1971" s="9">
        <f>IF(C1971="","","UM"&amp;TEXT(ROW()-1,"00000"))</f>
        <v/>
      </c>
      <c r="B1971" s="9" t="n"/>
      <c r="C1971" s="9" t="n"/>
      <c r="D1971" s="9" t="n"/>
      <c r="E1971" s="9" t="n"/>
      <c r="F1971" s="9">
        <f>IF(E1971="","",DATEDIF(E1971,DATE(2026,12,31),"Y"))</f>
        <v/>
      </c>
      <c r="G1971" s="9" t="n"/>
      <c r="H1971" s="9" t="n"/>
      <c r="I1971" s="9" t="n"/>
      <c r="J1971" s="9" t="n"/>
      <c r="K1971" s="9" t="n"/>
      <c r="L1971" s="9" t="n"/>
      <c r="M1971" s="9" t="n"/>
      <c r="N1971" s="9" t="n"/>
      <c r="O1971" s="9" t="n"/>
      <c r="P1971" s="9" t="n"/>
      <c r="Q1971" s="9" t="n"/>
      <c r="R1971" s="9" t="n"/>
      <c r="S1971" s="9" t="n"/>
      <c r="T1971" s="9" t="n"/>
      <c r="U1971" s="9" t="n"/>
      <c r="V1971" s="9" t="n"/>
      <c r="W1971" s="9" t="n"/>
      <c r="X1971" s="9" t="n"/>
      <c r="Y1971" s="9" t="n"/>
      <c r="Z1971" s="9" t="n"/>
    </row>
    <row r="1972" ht="14.25" customHeight="1" s="37">
      <c r="A1972" s="9">
        <f>IF(C1972="","","UM"&amp;TEXT(ROW()-1,"00000"))</f>
        <v/>
      </c>
      <c r="B1972" s="9" t="n"/>
      <c r="C1972" s="9" t="n"/>
      <c r="D1972" s="9" t="n"/>
      <c r="E1972" s="9" t="n"/>
      <c r="F1972" s="9">
        <f>IF(E1972="","",DATEDIF(E1972,DATE(2026,12,31),"Y"))</f>
        <v/>
      </c>
      <c r="G1972" s="9" t="n"/>
      <c r="H1972" s="9" t="n"/>
      <c r="I1972" s="9" t="n"/>
      <c r="J1972" s="9" t="n"/>
      <c r="K1972" s="9" t="n"/>
      <c r="L1972" s="9" t="n"/>
      <c r="M1972" s="9" t="n"/>
      <c r="N1972" s="9" t="n"/>
      <c r="O1972" s="9" t="n"/>
      <c r="P1972" s="9" t="n"/>
      <c r="Q1972" s="9" t="n"/>
      <c r="R1972" s="9" t="n"/>
      <c r="S1972" s="9" t="n"/>
      <c r="T1972" s="9" t="n"/>
      <c r="U1972" s="9" t="n"/>
      <c r="V1972" s="9" t="n"/>
      <c r="W1972" s="9" t="n"/>
      <c r="X1972" s="9" t="n"/>
      <c r="Y1972" s="9" t="n"/>
      <c r="Z1972" s="9" t="n"/>
    </row>
    <row r="1973" ht="14.25" customHeight="1" s="37">
      <c r="A1973" s="9">
        <f>IF(C1973="","","UM"&amp;TEXT(ROW()-1,"00000"))</f>
        <v/>
      </c>
      <c r="B1973" s="9" t="n"/>
      <c r="C1973" s="9" t="n"/>
      <c r="D1973" s="9" t="n"/>
      <c r="E1973" s="9" t="n"/>
      <c r="F1973" s="9">
        <f>IF(E1973="","",DATEDIF(E1973,DATE(2026,12,31),"Y"))</f>
        <v/>
      </c>
      <c r="G1973" s="9" t="n"/>
      <c r="H1973" s="9" t="n"/>
      <c r="I1973" s="9" t="n"/>
      <c r="J1973" s="9" t="n"/>
      <c r="K1973" s="9" t="n"/>
      <c r="L1973" s="9" t="n"/>
      <c r="M1973" s="9" t="n"/>
      <c r="N1973" s="9" t="n"/>
      <c r="O1973" s="9" t="n"/>
      <c r="P1973" s="9" t="n"/>
      <c r="Q1973" s="9" t="n"/>
      <c r="R1973" s="9" t="n"/>
      <c r="S1973" s="9" t="n"/>
      <c r="T1973" s="9" t="n"/>
      <c r="U1973" s="9" t="n"/>
      <c r="V1973" s="9" t="n"/>
      <c r="W1973" s="9" t="n"/>
      <c r="X1973" s="9" t="n"/>
      <c r="Y1973" s="9" t="n"/>
      <c r="Z1973" s="9" t="n"/>
    </row>
    <row r="1974" ht="14.25" customHeight="1" s="37">
      <c r="A1974" s="9">
        <f>IF(C1974="","","UM"&amp;TEXT(ROW()-1,"00000"))</f>
        <v/>
      </c>
      <c r="B1974" s="9" t="n"/>
      <c r="C1974" s="9" t="n"/>
      <c r="D1974" s="9" t="n"/>
      <c r="E1974" s="9" t="n"/>
      <c r="F1974" s="9">
        <f>IF(E1974="","",DATEDIF(E1974,DATE(2026,12,31),"Y"))</f>
        <v/>
      </c>
      <c r="G1974" s="9" t="n"/>
      <c r="H1974" s="9" t="n"/>
      <c r="I1974" s="9" t="n"/>
      <c r="J1974" s="9" t="n"/>
      <c r="K1974" s="9" t="n"/>
      <c r="L1974" s="9" t="n"/>
      <c r="M1974" s="9" t="n"/>
      <c r="N1974" s="9" t="n"/>
      <c r="O1974" s="9" t="n"/>
      <c r="P1974" s="9" t="n"/>
      <c r="Q1974" s="9" t="n"/>
      <c r="R1974" s="9" t="n"/>
      <c r="S1974" s="9" t="n"/>
      <c r="T1974" s="9" t="n"/>
      <c r="U1974" s="9" t="n"/>
      <c r="V1974" s="9" t="n"/>
      <c r="W1974" s="9" t="n"/>
      <c r="X1974" s="9" t="n"/>
      <c r="Y1974" s="9" t="n"/>
      <c r="Z1974" s="9" t="n"/>
    </row>
    <row r="1975" ht="14.25" customHeight="1" s="37">
      <c r="A1975" s="9">
        <f>IF(C1975="","","UM"&amp;TEXT(ROW()-1,"00000"))</f>
        <v/>
      </c>
      <c r="B1975" s="9" t="n"/>
      <c r="C1975" s="9" t="n"/>
      <c r="D1975" s="9" t="n"/>
      <c r="E1975" s="9" t="n"/>
      <c r="F1975" s="9">
        <f>IF(E1975="","",DATEDIF(E1975,DATE(2026,12,31),"Y"))</f>
        <v/>
      </c>
      <c r="G1975" s="9" t="n"/>
      <c r="H1975" s="9" t="n"/>
      <c r="I1975" s="9" t="n"/>
      <c r="J1975" s="9" t="n"/>
      <c r="K1975" s="9" t="n"/>
      <c r="L1975" s="9" t="n"/>
      <c r="M1975" s="9" t="n"/>
      <c r="N1975" s="9" t="n"/>
      <c r="O1975" s="9" t="n"/>
      <c r="P1975" s="9" t="n"/>
      <c r="Q1975" s="9" t="n"/>
      <c r="R1975" s="9" t="n"/>
      <c r="S1975" s="9" t="n"/>
      <c r="T1975" s="9" t="n"/>
      <c r="U1975" s="9" t="n"/>
      <c r="V1975" s="9" t="n"/>
      <c r="W1975" s="9" t="n"/>
      <c r="X1975" s="9" t="n"/>
      <c r="Y1975" s="9" t="n"/>
      <c r="Z1975" s="9" t="n"/>
    </row>
    <row r="1976" ht="14.25" customHeight="1" s="37">
      <c r="A1976" s="9">
        <f>IF(C1976="","","UM"&amp;TEXT(ROW()-1,"00000"))</f>
        <v/>
      </c>
      <c r="B1976" s="9" t="n"/>
      <c r="C1976" s="9" t="n"/>
      <c r="D1976" s="9" t="n"/>
      <c r="E1976" s="9" t="n"/>
      <c r="F1976" s="9">
        <f>IF(E1976="","",DATEDIF(E1976,DATE(2026,12,31),"Y"))</f>
        <v/>
      </c>
      <c r="G1976" s="9" t="n"/>
      <c r="H1976" s="9" t="n"/>
      <c r="I1976" s="9" t="n"/>
      <c r="J1976" s="9" t="n"/>
      <c r="K1976" s="9" t="n"/>
      <c r="L1976" s="9" t="n"/>
      <c r="M1976" s="9" t="n"/>
      <c r="N1976" s="9" t="n"/>
      <c r="O1976" s="9" t="n"/>
      <c r="P1976" s="9" t="n"/>
      <c r="Q1976" s="9" t="n"/>
      <c r="R1976" s="9" t="n"/>
      <c r="S1976" s="9" t="n"/>
      <c r="T1976" s="9" t="n"/>
      <c r="U1976" s="9" t="n"/>
      <c r="V1976" s="9" t="n"/>
      <c r="W1976" s="9" t="n"/>
      <c r="X1976" s="9" t="n"/>
      <c r="Y1976" s="9" t="n"/>
      <c r="Z1976" s="9" t="n"/>
    </row>
    <row r="1977" ht="14.25" customHeight="1" s="37">
      <c r="A1977" s="9">
        <f>IF(C1977="","","UM"&amp;TEXT(ROW()-1,"00000"))</f>
        <v/>
      </c>
      <c r="B1977" s="9" t="n"/>
      <c r="C1977" s="9" t="n"/>
      <c r="D1977" s="9" t="n"/>
      <c r="E1977" s="9" t="n"/>
      <c r="F1977" s="9">
        <f>IF(E1977="","",DATEDIF(E1977,DATE(2026,12,31),"Y"))</f>
        <v/>
      </c>
      <c r="G1977" s="9" t="n"/>
      <c r="H1977" s="9" t="n"/>
      <c r="I1977" s="9" t="n"/>
      <c r="J1977" s="9" t="n"/>
      <c r="K1977" s="9" t="n"/>
      <c r="L1977" s="9" t="n"/>
      <c r="M1977" s="9" t="n"/>
      <c r="N1977" s="9" t="n"/>
      <c r="O1977" s="9" t="n"/>
      <c r="P1977" s="9" t="n"/>
      <c r="Q1977" s="9" t="n"/>
      <c r="R1977" s="9" t="n"/>
      <c r="S1977" s="9" t="n"/>
      <c r="T1977" s="9" t="n"/>
      <c r="U1977" s="9" t="n"/>
      <c r="V1977" s="9" t="n"/>
      <c r="W1977" s="9" t="n"/>
      <c r="X1977" s="9" t="n"/>
      <c r="Y1977" s="9" t="n"/>
      <c r="Z1977" s="9" t="n"/>
    </row>
    <row r="1978" ht="14.25" customHeight="1" s="37">
      <c r="A1978" s="9">
        <f>IF(C1978="","","UM"&amp;TEXT(ROW()-1,"00000"))</f>
        <v/>
      </c>
      <c r="B1978" s="9" t="n"/>
      <c r="C1978" s="9" t="n"/>
      <c r="D1978" s="9" t="n"/>
      <c r="E1978" s="9" t="n"/>
      <c r="F1978" s="9">
        <f>IF(E1978="","",DATEDIF(E1978,DATE(2026,12,31),"Y"))</f>
        <v/>
      </c>
      <c r="G1978" s="9" t="n"/>
      <c r="H1978" s="9" t="n"/>
      <c r="I1978" s="9" t="n"/>
      <c r="J1978" s="9" t="n"/>
      <c r="K1978" s="9" t="n"/>
      <c r="L1978" s="9" t="n"/>
      <c r="M1978" s="9" t="n"/>
      <c r="N1978" s="9" t="n"/>
      <c r="O1978" s="9" t="n"/>
      <c r="P1978" s="9" t="n"/>
      <c r="Q1978" s="9" t="n"/>
      <c r="R1978" s="9" t="n"/>
      <c r="S1978" s="9" t="n"/>
      <c r="T1978" s="9" t="n"/>
      <c r="U1978" s="9" t="n"/>
      <c r="V1978" s="9" t="n"/>
      <c r="W1978" s="9" t="n"/>
      <c r="X1978" s="9" t="n"/>
      <c r="Y1978" s="9" t="n"/>
      <c r="Z1978" s="9" t="n"/>
    </row>
    <row r="1979" ht="14.25" customHeight="1" s="37">
      <c r="A1979" s="9">
        <f>IF(C1979="","","UM"&amp;TEXT(ROW()-1,"00000"))</f>
        <v/>
      </c>
      <c r="B1979" s="9" t="n"/>
      <c r="C1979" s="9" t="n"/>
      <c r="D1979" s="9" t="n"/>
      <c r="E1979" s="9" t="n"/>
      <c r="F1979" s="9">
        <f>IF(E1979="","",DATEDIF(E1979,DATE(2026,12,31),"Y"))</f>
        <v/>
      </c>
      <c r="G1979" s="9" t="n"/>
      <c r="H1979" s="9" t="n"/>
      <c r="I1979" s="9" t="n"/>
      <c r="J1979" s="9" t="n"/>
      <c r="K1979" s="9" t="n"/>
      <c r="L1979" s="9" t="n"/>
      <c r="M1979" s="9" t="n"/>
      <c r="N1979" s="9" t="n"/>
      <c r="O1979" s="9" t="n"/>
      <c r="P1979" s="9" t="n"/>
      <c r="Q1979" s="9" t="n"/>
      <c r="R1979" s="9" t="n"/>
      <c r="S1979" s="9" t="n"/>
      <c r="T1979" s="9" t="n"/>
      <c r="U1979" s="9" t="n"/>
      <c r="V1979" s="9" t="n"/>
      <c r="W1979" s="9" t="n"/>
      <c r="X1979" s="9" t="n"/>
      <c r="Y1979" s="9" t="n"/>
      <c r="Z1979" s="9" t="n"/>
    </row>
    <row r="1980" ht="14.25" customHeight="1" s="37">
      <c r="A1980" s="9">
        <f>IF(C1980="","","UM"&amp;TEXT(ROW()-1,"00000"))</f>
        <v/>
      </c>
      <c r="B1980" s="9" t="n"/>
      <c r="C1980" s="9" t="n"/>
      <c r="D1980" s="9" t="n"/>
      <c r="E1980" s="9" t="n"/>
      <c r="F1980" s="9">
        <f>IF(E1980="","",DATEDIF(E1980,DATE(2026,12,31),"Y"))</f>
        <v/>
      </c>
      <c r="G1980" s="9" t="n"/>
      <c r="H1980" s="9" t="n"/>
      <c r="I1980" s="9" t="n"/>
      <c r="J1980" s="9" t="n"/>
      <c r="K1980" s="9" t="n"/>
      <c r="L1980" s="9" t="n"/>
      <c r="M1980" s="9" t="n"/>
      <c r="N1980" s="9" t="n"/>
      <c r="O1980" s="9" t="n"/>
      <c r="P1980" s="9" t="n"/>
      <c r="Q1980" s="9" t="n"/>
      <c r="R1980" s="9" t="n"/>
      <c r="S1980" s="9" t="n"/>
      <c r="T1980" s="9" t="n"/>
      <c r="U1980" s="9" t="n"/>
      <c r="V1980" s="9" t="n"/>
      <c r="W1980" s="9" t="n"/>
      <c r="X1980" s="9" t="n"/>
      <c r="Y1980" s="9" t="n"/>
      <c r="Z1980" s="9" t="n"/>
    </row>
    <row r="1981" ht="14.25" customHeight="1" s="37">
      <c r="A1981" s="9">
        <f>IF(C1981="","","UM"&amp;TEXT(ROW()-1,"00000"))</f>
        <v/>
      </c>
      <c r="B1981" s="9" t="n"/>
      <c r="C1981" s="9" t="n"/>
      <c r="D1981" s="9" t="n"/>
      <c r="E1981" s="9" t="n"/>
      <c r="F1981" s="9">
        <f>IF(E1981="","",DATEDIF(E1981,DATE(2026,12,31),"Y"))</f>
        <v/>
      </c>
      <c r="G1981" s="9" t="n"/>
      <c r="H1981" s="9" t="n"/>
      <c r="I1981" s="9" t="n"/>
      <c r="J1981" s="9" t="n"/>
      <c r="K1981" s="9" t="n"/>
      <c r="L1981" s="9" t="n"/>
      <c r="M1981" s="9" t="n"/>
      <c r="N1981" s="9" t="n"/>
      <c r="O1981" s="9" t="n"/>
      <c r="P1981" s="9" t="n"/>
      <c r="Q1981" s="9" t="n"/>
      <c r="R1981" s="9" t="n"/>
      <c r="S1981" s="9" t="n"/>
      <c r="T1981" s="9" t="n"/>
      <c r="U1981" s="9" t="n"/>
      <c r="V1981" s="9" t="n"/>
      <c r="W1981" s="9" t="n"/>
      <c r="X1981" s="9" t="n"/>
      <c r="Y1981" s="9" t="n"/>
      <c r="Z1981" s="9" t="n"/>
    </row>
    <row r="1982" ht="14.25" customHeight="1" s="37">
      <c r="A1982" s="9">
        <f>IF(C1982="","","UM"&amp;TEXT(ROW()-1,"00000"))</f>
        <v/>
      </c>
      <c r="B1982" s="9" t="n"/>
      <c r="C1982" s="9" t="n"/>
      <c r="D1982" s="9" t="n"/>
      <c r="E1982" s="9" t="n"/>
      <c r="F1982" s="9">
        <f>IF(E1982="","",DATEDIF(E1982,DATE(2026,12,31),"Y"))</f>
        <v/>
      </c>
      <c r="G1982" s="9" t="n"/>
      <c r="H1982" s="9" t="n"/>
      <c r="I1982" s="9" t="n"/>
      <c r="J1982" s="9" t="n"/>
      <c r="K1982" s="9" t="n"/>
      <c r="L1982" s="9" t="n"/>
      <c r="M1982" s="9" t="n"/>
      <c r="N1982" s="9" t="n"/>
      <c r="O1982" s="9" t="n"/>
      <c r="P1982" s="9" t="n"/>
      <c r="Q1982" s="9" t="n"/>
      <c r="R1982" s="9" t="n"/>
      <c r="S1982" s="9" t="n"/>
      <c r="T1982" s="9" t="n"/>
      <c r="U1982" s="9" t="n"/>
      <c r="V1982" s="9" t="n"/>
      <c r="W1982" s="9" t="n"/>
      <c r="X1982" s="9" t="n"/>
      <c r="Y1982" s="9" t="n"/>
      <c r="Z1982" s="9" t="n"/>
    </row>
    <row r="1983" ht="14.25" customHeight="1" s="37">
      <c r="A1983" s="9">
        <f>IF(C1983="","","UM"&amp;TEXT(ROW()-1,"00000"))</f>
        <v/>
      </c>
      <c r="B1983" s="9" t="n"/>
      <c r="C1983" s="9" t="n"/>
      <c r="D1983" s="9" t="n"/>
      <c r="E1983" s="9" t="n"/>
      <c r="F1983" s="9">
        <f>IF(E1983="","",DATEDIF(E1983,DATE(2026,12,31),"Y"))</f>
        <v/>
      </c>
      <c r="G1983" s="9" t="n"/>
      <c r="H1983" s="9" t="n"/>
      <c r="I1983" s="9" t="n"/>
      <c r="J1983" s="9" t="n"/>
      <c r="K1983" s="9" t="n"/>
      <c r="L1983" s="9" t="n"/>
      <c r="M1983" s="9" t="n"/>
      <c r="N1983" s="9" t="n"/>
      <c r="O1983" s="9" t="n"/>
      <c r="P1983" s="9" t="n"/>
      <c r="Q1983" s="9" t="n"/>
      <c r="R1983" s="9" t="n"/>
      <c r="S1983" s="9" t="n"/>
      <c r="T1983" s="9" t="n"/>
      <c r="U1983" s="9" t="n"/>
      <c r="V1983" s="9" t="n"/>
      <c r="W1983" s="9" t="n"/>
      <c r="X1983" s="9" t="n"/>
      <c r="Y1983" s="9" t="n"/>
      <c r="Z1983" s="9" t="n"/>
    </row>
    <row r="1984" ht="14.25" customHeight="1" s="37">
      <c r="A1984" s="9">
        <f>IF(C1984="","","UM"&amp;TEXT(ROW()-1,"00000"))</f>
        <v/>
      </c>
      <c r="B1984" s="9" t="n"/>
      <c r="C1984" s="9" t="n"/>
      <c r="D1984" s="9" t="n"/>
      <c r="E1984" s="9" t="n"/>
      <c r="F1984" s="9">
        <f>IF(E1984="","",DATEDIF(E1984,DATE(2026,12,31),"Y"))</f>
        <v/>
      </c>
      <c r="G1984" s="9" t="n"/>
      <c r="H1984" s="9" t="n"/>
      <c r="I1984" s="9" t="n"/>
      <c r="J1984" s="9" t="n"/>
      <c r="K1984" s="9" t="n"/>
      <c r="L1984" s="9" t="n"/>
      <c r="M1984" s="9" t="n"/>
      <c r="N1984" s="9" t="n"/>
      <c r="O1984" s="9" t="n"/>
      <c r="P1984" s="9" t="n"/>
      <c r="Q1984" s="9" t="n"/>
      <c r="R1984" s="9" t="n"/>
      <c r="S1984" s="9" t="n"/>
      <c r="T1984" s="9" t="n"/>
      <c r="U1984" s="9" t="n"/>
      <c r="V1984" s="9" t="n"/>
      <c r="W1984" s="9" t="n"/>
      <c r="X1984" s="9" t="n"/>
      <c r="Y1984" s="9" t="n"/>
      <c r="Z1984" s="9" t="n"/>
    </row>
    <row r="1985" ht="14.25" customHeight="1" s="37">
      <c r="A1985" s="9">
        <f>IF(C1985="","","UM"&amp;TEXT(ROW()-1,"00000"))</f>
        <v/>
      </c>
      <c r="B1985" s="9" t="n"/>
      <c r="C1985" s="9" t="n"/>
      <c r="D1985" s="9" t="n"/>
      <c r="E1985" s="9" t="n"/>
      <c r="F1985" s="9">
        <f>IF(E1985="","",DATEDIF(E1985,DATE(2026,12,31),"Y"))</f>
        <v/>
      </c>
      <c r="G1985" s="9" t="n"/>
      <c r="H1985" s="9" t="n"/>
      <c r="I1985" s="9" t="n"/>
      <c r="J1985" s="9" t="n"/>
      <c r="K1985" s="9" t="n"/>
      <c r="L1985" s="9" t="n"/>
      <c r="M1985" s="9" t="n"/>
      <c r="N1985" s="9" t="n"/>
      <c r="O1985" s="9" t="n"/>
      <c r="P1985" s="9" t="n"/>
      <c r="Q1985" s="9" t="n"/>
      <c r="R1985" s="9" t="n"/>
      <c r="S1985" s="9" t="n"/>
      <c r="T1985" s="9" t="n"/>
      <c r="U1985" s="9" t="n"/>
      <c r="V1985" s="9" t="n"/>
      <c r="W1985" s="9" t="n"/>
      <c r="X1985" s="9" t="n"/>
      <c r="Y1985" s="9" t="n"/>
      <c r="Z1985" s="9" t="n"/>
    </row>
    <row r="1986" ht="14.25" customHeight="1" s="37">
      <c r="A1986" s="9">
        <f>IF(C1986="","","UM"&amp;TEXT(ROW()-1,"00000"))</f>
        <v/>
      </c>
      <c r="B1986" s="9" t="n"/>
      <c r="C1986" s="9" t="n"/>
      <c r="D1986" s="9" t="n"/>
      <c r="E1986" s="9" t="n"/>
      <c r="F1986" s="9">
        <f>IF(E1986="","",DATEDIF(E1986,DATE(2026,12,31),"Y"))</f>
        <v/>
      </c>
      <c r="G1986" s="9" t="n"/>
      <c r="H1986" s="9" t="n"/>
      <c r="I1986" s="9" t="n"/>
      <c r="J1986" s="9" t="n"/>
      <c r="K1986" s="9" t="n"/>
      <c r="L1986" s="9" t="n"/>
      <c r="M1986" s="9" t="n"/>
      <c r="N1986" s="9" t="n"/>
      <c r="O1986" s="9" t="n"/>
      <c r="P1986" s="9" t="n"/>
      <c r="Q1986" s="9" t="n"/>
      <c r="R1986" s="9" t="n"/>
      <c r="S1986" s="9" t="n"/>
      <c r="T1986" s="9" t="n"/>
      <c r="U1986" s="9" t="n"/>
      <c r="V1986" s="9" t="n"/>
      <c r="W1986" s="9" t="n"/>
      <c r="X1986" s="9" t="n"/>
      <c r="Y1986" s="9" t="n"/>
      <c r="Z1986" s="9" t="n"/>
    </row>
    <row r="1987" ht="14.25" customHeight="1" s="37">
      <c r="A1987" s="9">
        <f>IF(C1987="","","UM"&amp;TEXT(ROW()-1,"00000"))</f>
        <v/>
      </c>
      <c r="B1987" s="9" t="n"/>
      <c r="C1987" s="9" t="n"/>
      <c r="D1987" s="9" t="n"/>
      <c r="E1987" s="9" t="n"/>
      <c r="F1987" s="9">
        <f>IF(E1987="","",DATEDIF(E1987,DATE(2026,12,31),"Y"))</f>
        <v/>
      </c>
      <c r="G1987" s="9" t="n"/>
      <c r="H1987" s="9" t="n"/>
      <c r="I1987" s="9" t="n"/>
      <c r="J1987" s="9" t="n"/>
      <c r="K1987" s="9" t="n"/>
      <c r="L1987" s="9" t="n"/>
      <c r="M1987" s="9" t="n"/>
      <c r="N1987" s="9" t="n"/>
      <c r="O1987" s="9" t="n"/>
      <c r="P1987" s="9" t="n"/>
      <c r="Q1987" s="9" t="n"/>
      <c r="R1987" s="9" t="n"/>
      <c r="S1987" s="9" t="n"/>
      <c r="T1987" s="9" t="n"/>
      <c r="U1987" s="9" t="n"/>
      <c r="V1987" s="9" t="n"/>
      <c r="W1987" s="9" t="n"/>
      <c r="X1987" s="9" t="n"/>
      <c r="Y1987" s="9" t="n"/>
      <c r="Z1987" s="9" t="n"/>
    </row>
    <row r="1988" ht="14.25" customHeight="1" s="37">
      <c r="A1988" s="9">
        <f>IF(C1988="","","UM"&amp;TEXT(ROW()-1,"00000"))</f>
        <v/>
      </c>
      <c r="B1988" s="9" t="n"/>
      <c r="C1988" s="9" t="n"/>
      <c r="D1988" s="9" t="n"/>
      <c r="E1988" s="9" t="n"/>
      <c r="F1988" s="9">
        <f>IF(E1988="","",DATEDIF(E1988,DATE(2026,12,31),"Y"))</f>
        <v/>
      </c>
      <c r="G1988" s="9" t="n"/>
      <c r="H1988" s="9" t="n"/>
      <c r="I1988" s="9" t="n"/>
      <c r="J1988" s="9" t="n"/>
      <c r="K1988" s="9" t="n"/>
      <c r="L1988" s="9" t="n"/>
      <c r="M1988" s="9" t="n"/>
      <c r="N1988" s="9" t="n"/>
      <c r="O1988" s="9" t="n"/>
      <c r="P1988" s="9" t="n"/>
      <c r="Q1988" s="9" t="n"/>
      <c r="R1988" s="9" t="n"/>
      <c r="S1988" s="9" t="n"/>
      <c r="T1988" s="9" t="n"/>
      <c r="U1988" s="9" t="n"/>
      <c r="V1988" s="9" t="n"/>
      <c r="W1988" s="9" t="n"/>
      <c r="X1988" s="9" t="n"/>
      <c r="Y1988" s="9" t="n"/>
      <c r="Z1988" s="9" t="n"/>
    </row>
    <row r="1989" ht="14.25" customHeight="1" s="37">
      <c r="A1989" s="9">
        <f>IF(C1989="","","UM"&amp;TEXT(ROW()-1,"00000"))</f>
        <v/>
      </c>
      <c r="B1989" s="9" t="n"/>
      <c r="C1989" s="9" t="n"/>
      <c r="D1989" s="9" t="n"/>
      <c r="E1989" s="9" t="n"/>
      <c r="F1989" s="9">
        <f>IF(E1989="","",DATEDIF(E1989,DATE(2026,12,31),"Y"))</f>
        <v/>
      </c>
      <c r="G1989" s="9" t="n"/>
      <c r="H1989" s="9" t="n"/>
      <c r="I1989" s="9" t="n"/>
      <c r="J1989" s="9" t="n"/>
      <c r="K1989" s="9" t="n"/>
      <c r="L1989" s="9" t="n"/>
      <c r="M1989" s="9" t="n"/>
      <c r="N1989" s="9" t="n"/>
      <c r="O1989" s="9" t="n"/>
      <c r="P1989" s="9" t="n"/>
      <c r="Q1989" s="9" t="n"/>
      <c r="R1989" s="9" t="n"/>
      <c r="S1989" s="9" t="n"/>
      <c r="T1989" s="9" t="n"/>
      <c r="U1989" s="9" t="n"/>
      <c r="V1989" s="9" t="n"/>
      <c r="W1989" s="9" t="n"/>
      <c r="X1989" s="9" t="n"/>
      <c r="Y1989" s="9" t="n"/>
      <c r="Z1989" s="9" t="n"/>
    </row>
    <row r="1990" ht="14.25" customHeight="1" s="37">
      <c r="A1990" s="9">
        <f>IF(C1990="","","UM"&amp;TEXT(ROW()-1,"00000"))</f>
        <v/>
      </c>
      <c r="B1990" s="9" t="n"/>
      <c r="C1990" s="9" t="n"/>
      <c r="D1990" s="9" t="n"/>
      <c r="E1990" s="9" t="n"/>
      <c r="F1990" s="9">
        <f>IF(E1990="","",DATEDIF(E1990,DATE(2026,12,31),"Y"))</f>
        <v/>
      </c>
      <c r="G1990" s="9" t="n"/>
      <c r="H1990" s="9" t="n"/>
      <c r="I1990" s="9" t="n"/>
      <c r="J1990" s="9" t="n"/>
      <c r="K1990" s="9" t="n"/>
      <c r="L1990" s="9" t="n"/>
      <c r="M1990" s="9" t="n"/>
      <c r="N1990" s="9" t="n"/>
      <c r="O1990" s="9" t="n"/>
      <c r="P1990" s="9" t="n"/>
      <c r="Q1990" s="9" t="n"/>
      <c r="R1990" s="9" t="n"/>
      <c r="S1990" s="9" t="n"/>
      <c r="T1990" s="9" t="n"/>
      <c r="U1990" s="9" t="n"/>
      <c r="V1990" s="9" t="n"/>
      <c r="W1990" s="9" t="n"/>
      <c r="X1990" s="9" t="n"/>
      <c r="Y1990" s="9" t="n"/>
      <c r="Z1990" s="9" t="n"/>
    </row>
    <row r="1991" ht="14.25" customHeight="1" s="37">
      <c r="A1991" s="9">
        <f>IF(C1991="","","UM"&amp;TEXT(ROW()-1,"00000"))</f>
        <v/>
      </c>
      <c r="B1991" s="9" t="n"/>
      <c r="C1991" s="9" t="n"/>
      <c r="D1991" s="9" t="n"/>
      <c r="E1991" s="9" t="n"/>
      <c r="F1991" s="9">
        <f>IF(E1991="","",DATEDIF(E1991,DATE(2026,12,31),"Y"))</f>
        <v/>
      </c>
      <c r="G1991" s="9" t="n"/>
      <c r="H1991" s="9" t="n"/>
      <c r="I1991" s="9" t="n"/>
      <c r="J1991" s="9" t="n"/>
      <c r="K1991" s="9" t="n"/>
      <c r="L1991" s="9" t="n"/>
      <c r="M1991" s="9" t="n"/>
      <c r="N1991" s="9" t="n"/>
      <c r="O1991" s="9" t="n"/>
      <c r="P1991" s="9" t="n"/>
      <c r="Q1991" s="9" t="n"/>
      <c r="R1991" s="9" t="n"/>
      <c r="S1991" s="9" t="n"/>
      <c r="T1991" s="9" t="n"/>
      <c r="U1991" s="9" t="n"/>
      <c r="V1991" s="9" t="n"/>
      <c r="W1991" s="9" t="n"/>
      <c r="X1991" s="9" t="n"/>
      <c r="Y1991" s="9" t="n"/>
      <c r="Z1991" s="9" t="n"/>
    </row>
    <row r="1992" ht="14.25" customHeight="1" s="37">
      <c r="A1992" s="9">
        <f>IF(C1992="","","UM"&amp;TEXT(ROW()-1,"00000"))</f>
        <v/>
      </c>
      <c r="B1992" s="9" t="n"/>
      <c r="C1992" s="9" t="n"/>
      <c r="D1992" s="9" t="n"/>
      <c r="E1992" s="9" t="n"/>
      <c r="F1992" s="9">
        <f>IF(E1992="","",DATEDIF(E1992,DATE(2026,12,31),"Y"))</f>
        <v/>
      </c>
      <c r="G1992" s="9" t="n"/>
      <c r="H1992" s="9" t="n"/>
      <c r="I1992" s="9" t="n"/>
      <c r="J1992" s="9" t="n"/>
      <c r="K1992" s="9" t="n"/>
      <c r="L1992" s="9" t="n"/>
      <c r="M1992" s="9" t="n"/>
      <c r="N1992" s="9" t="n"/>
      <c r="O1992" s="9" t="n"/>
      <c r="P1992" s="9" t="n"/>
      <c r="Q1992" s="9" t="n"/>
      <c r="R1992" s="9" t="n"/>
      <c r="S1992" s="9" t="n"/>
      <c r="T1992" s="9" t="n"/>
      <c r="U1992" s="9" t="n"/>
      <c r="V1992" s="9" t="n"/>
      <c r="W1992" s="9" t="n"/>
      <c r="X1992" s="9" t="n"/>
      <c r="Y1992" s="9" t="n"/>
      <c r="Z1992" s="9" t="n"/>
    </row>
    <row r="1993" ht="14.25" customHeight="1" s="37">
      <c r="A1993" s="9">
        <f>IF(C1993="","","UM"&amp;TEXT(ROW()-1,"00000"))</f>
        <v/>
      </c>
      <c r="B1993" s="9" t="n"/>
      <c r="C1993" s="9" t="n"/>
      <c r="D1993" s="9" t="n"/>
      <c r="E1993" s="9" t="n"/>
      <c r="F1993" s="9">
        <f>IF(E1993="","",DATEDIF(E1993,DATE(2026,12,31),"Y"))</f>
        <v/>
      </c>
      <c r="G1993" s="9" t="n"/>
      <c r="H1993" s="9" t="n"/>
      <c r="I1993" s="9" t="n"/>
      <c r="J1993" s="9" t="n"/>
      <c r="K1993" s="9" t="n"/>
      <c r="L1993" s="9" t="n"/>
      <c r="M1993" s="9" t="n"/>
      <c r="N1993" s="9" t="n"/>
      <c r="O1993" s="9" t="n"/>
      <c r="P1993" s="9" t="n"/>
      <c r="Q1993" s="9" t="n"/>
      <c r="R1993" s="9" t="n"/>
      <c r="S1993" s="9" t="n"/>
      <c r="T1993" s="9" t="n"/>
      <c r="U1993" s="9" t="n"/>
      <c r="V1993" s="9" t="n"/>
      <c r="W1993" s="9" t="n"/>
      <c r="X1993" s="9" t="n"/>
      <c r="Y1993" s="9" t="n"/>
      <c r="Z1993" s="9" t="n"/>
    </row>
    <row r="1994" ht="14.25" customHeight="1" s="37">
      <c r="A1994" s="9">
        <f>IF(C1994="","","UM"&amp;TEXT(ROW()-1,"00000"))</f>
        <v/>
      </c>
      <c r="B1994" s="9" t="n"/>
      <c r="C1994" s="9" t="n"/>
      <c r="D1994" s="9" t="n"/>
      <c r="E1994" s="9" t="n"/>
      <c r="F1994" s="9">
        <f>IF(E1994="","",DATEDIF(E1994,DATE(2026,12,31),"Y"))</f>
        <v/>
      </c>
      <c r="G1994" s="9" t="n"/>
      <c r="H1994" s="9" t="n"/>
      <c r="I1994" s="9" t="n"/>
      <c r="J1994" s="9" t="n"/>
      <c r="K1994" s="9" t="n"/>
      <c r="L1994" s="9" t="n"/>
      <c r="M1994" s="9" t="n"/>
      <c r="N1994" s="9" t="n"/>
      <c r="O1994" s="9" t="n"/>
      <c r="P1994" s="9" t="n"/>
      <c r="Q1994" s="9" t="n"/>
      <c r="R1994" s="9" t="n"/>
      <c r="S1994" s="9" t="n"/>
      <c r="T1994" s="9" t="n"/>
      <c r="U1994" s="9" t="n"/>
      <c r="V1994" s="9" t="n"/>
      <c r="W1994" s="9" t="n"/>
      <c r="X1994" s="9" t="n"/>
      <c r="Y1994" s="9" t="n"/>
      <c r="Z1994" s="9" t="n"/>
    </row>
    <row r="1995" ht="14.25" customHeight="1" s="37">
      <c r="A1995" s="9">
        <f>IF(C1995="","","UM"&amp;TEXT(ROW()-1,"00000"))</f>
        <v/>
      </c>
      <c r="B1995" s="9" t="n"/>
      <c r="C1995" s="9" t="n"/>
      <c r="D1995" s="9" t="n"/>
      <c r="E1995" s="9" t="n"/>
      <c r="F1995" s="9">
        <f>IF(E1995="","",DATEDIF(E1995,DATE(2026,12,31),"Y"))</f>
        <v/>
      </c>
      <c r="G1995" s="9" t="n"/>
      <c r="H1995" s="9" t="n"/>
      <c r="I1995" s="9" t="n"/>
      <c r="J1995" s="9" t="n"/>
      <c r="K1995" s="9" t="n"/>
      <c r="L1995" s="9" t="n"/>
      <c r="M1995" s="9" t="n"/>
      <c r="N1995" s="9" t="n"/>
      <c r="O1995" s="9" t="n"/>
      <c r="P1995" s="9" t="n"/>
      <c r="Q1995" s="9" t="n"/>
      <c r="R1995" s="9" t="n"/>
      <c r="S1995" s="9" t="n"/>
      <c r="T1995" s="9" t="n"/>
      <c r="U1995" s="9" t="n"/>
      <c r="V1995" s="9" t="n"/>
      <c r="W1995" s="9" t="n"/>
      <c r="X1995" s="9" t="n"/>
      <c r="Y1995" s="9" t="n"/>
      <c r="Z1995" s="9" t="n"/>
    </row>
    <row r="1996" ht="14.25" customHeight="1" s="37">
      <c r="A1996" s="9">
        <f>IF(C1996="","","UM"&amp;TEXT(ROW()-1,"00000"))</f>
        <v/>
      </c>
      <c r="B1996" s="9" t="n"/>
      <c r="C1996" s="9" t="n"/>
      <c r="D1996" s="9" t="n"/>
      <c r="E1996" s="9" t="n"/>
      <c r="F1996" s="9">
        <f>IF(E1996="","",DATEDIF(E1996,DATE(2026,12,31),"Y"))</f>
        <v/>
      </c>
      <c r="G1996" s="9" t="n"/>
      <c r="H1996" s="9" t="n"/>
      <c r="I1996" s="9" t="n"/>
      <c r="J1996" s="9" t="n"/>
      <c r="K1996" s="9" t="n"/>
      <c r="L1996" s="9" t="n"/>
      <c r="M1996" s="9" t="n"/>
      <c r="N1996" s="9" t="n"/>
      <c r="O1996" s="9" t="n"/>
      <c r="P1996" s="9" t="n"/>
      <c r="Q1996" s="9" t="n"/>
      <c r="R1996" s="9" t="n"/>
      <c r="S1996" s="9" t="n"/>
      <c r="T1996" s="9" t="n"/>
      <c r="U1996" s="9" t="n"/>
      <c r="V1996" s="9" t="n"/>
      <c r="W1996" s="9" t="n"/>
      <c r="X1996" s="9" t="n"/>
      <c r="Y1996" s="9" t="n"/>
      <c r="Z1996" s="9" t="n"/>
    </row>
    <row r="1997" ht="14.25" customHeight="1" s="37">
      <c r="A1997" s="9">
        <f>IF(C1997="","","UM"&amp;TEXT(ROW()-1,"00000"))</f>
        <v/>
      </c>
      <c r="B1997" s="9" t="n"/>
      <c r="C1997" s="9" t="n"/>
      <c r="D1997" s="9" t="n"/>
      <c r="E1997" s="9" t="n"/>
      <c r="F1997" s="9">
        <f>IF(E1997="","",DATEDIF(E1997,DATE(2026,12,31),"Y"))</f>
        <v/>
      </c>
      <c r="G1997" s="9" t="n"/>
      <c r="H1997" s="9" t="n"/>
      <c r="I1997" s="9" t="n"/>
      <c r="J1997" s="9" t="n"/>
      <c r="K1997" s="9" t="n"/>
      <c r="L1997" s="9" t="n"/>
      <c r="M1997" s="9" t="n"/>
      <c r="N1997" s="9" t="n"/>
      <c r="O1997" s="9" t="n"/>
      <c r="P1997" s="9" t="n"/>
      <c r="Q1997" s="9" t="n"/>
      <c r="R1997" s="9" t="n"/>
      <c r="S1997" s="9" t="n"/>
      <c r="T1997" s="9" t="n"/>
      <c r="U1997" s="9" t="n"/>
      <c r="V1997" s="9" t="n"/>
      <c r="W1997" s="9" t="n"/>
      <c r="X1997" s="9" t="n"/>
      <c r="Y1997" s="9" t="n"/>
      <c r="Z1997" s="9" t="n"/>
    </row>
    <row r="1998" ht="14.25" customHeight="1" s="37">
      <c r="A1998" s="9">
        <f>IF(C1998="","","UM"&amp;TEXT(ROW()-1,"00000"))</f>
        <v/>
      </c>
      <c r="B1998" s="9" t="n"/>
      <c r="C1998" s="9" t="n"/>
      <c r="D1998" s="9" t="n"/>
      <c r="E1998" s="9" t="n"/>
      <c r="F1998" s="9">
        <f>IF(E1998="","",DATEDIF(E1998,DATE(2026,12,31),"Y"))</f>
        <v/>
      </c>
      <c r="G1998" s="9" t="n"/>
      <c r="H1998" s="9" t="n"/>
      <c r="I1998" s="9" t="n"/>
      <c r="J1998" s="9" t="n"/>
      <c r="K1998" s="9" t="n"/>
      <c r="L1998" s="9" t="n"/>
      <c r="M1998" s="9" t="n"/>
      <c r="N1998" s="9" t="n"/>
      <c r="O1998" s="9" t="n"/>
      <c r="P1998" s="9" t="n"/>
      <c r="Q1998" s="9" t="n"/>
      <c r="R1998" s="9" t="n"/>
      <c r="S1998" s="9" t="n"/>
      <c r="T1998" s="9" t="n"/>
      <c r="U1998" s="9" t="n"/>
      <c r="V1998" s="9" t="n"/>
      <c r="W1998" s="9" t="n"/>
      <c r="X1998" s="9" t="n"/>
      <c r="Y1998" s="9" t="n"/>
      <c r="Z1998" s="9" t="n"/>
    </row>
    <row r="1999" ht="14.25" customHeight="1" s="37">
      <c r="A1999" s="9">
        <f>IF(C1999="","","UM"&amp;TEXT(ROW()-1,"00000"))</f>
        <v/>
      </c>
      <c r="B1999" s="9" t="n"/>
      <c r="C1999" s="9" t="n"/>
      <c r="D1999" s="9" t="n"/>
      <c r="E1999" s="9" t="n"/>
      <c r="F1999" s="9">
        <f>IF(E1999="","",DATEDIF(E1999,DATE(2026,12,31),"Y"))</f>
        <v/>
      </c>
      <c r="G1999" s="9" t="n"/>
      <c r="H1999" s="9" t="n"/>
      <c r="I1999" s="9" t="n"/>
      <c r="J1999" s="9" t="n"/>
      <c r="K1999" s="9" t="n"/>
      <c r="L1999" s="9" t="n"/>
      <c r="M1999" s="9" t="n"/>
      <c r="N1999" s="9" t="n"/>
      <c r="O1999" s="9" t="n"/>
      <c r="P1999" s="9" t="n"/>
      <c r="Q1999" s="9" t="n"/>
      <c r="R1999" s="9" t="n"/>
      <c r="S1999" s="9" t="n"/>
      <c r="T1999" s="9" t="n"/>
      <c r="U1999" s="9" t="n"/>
      <c r="V1999" s="9" t="n"/>
      <c r="W1999" s="9" t="n"/>
      <c r="X1999" s="9" t="n"/>
      <c r="Y1999" s="9" t="n"/>
      <c r="Z1999" s="9" t="n"/>
    </row>
    <row r="2000" ht="14.25" customHeight="1" s="37">
      <c r="A2000" s="9">
        <f>IF(C2000="","","UM"&amp;TEXT(ROW()-1,"00000"))</f>
        <v/>
      </c>
      <c r="B2000" s="9" t="n"/>
      <c r="C2000" s="9" t="n"/>
      <c r="D2000" s="9" t="n"/>
      <c r="E2000" s="9" t="n"/>
      <c r="F2000" s="9">
        <f>IF(E2000="","",DATEDIF(E2000,DATE(2026,12,31),"Y"))</f>
        <v/>
      </c>
      <c r="G2000" s="9" t="n"/>
      <c r="H2000" s="9" t="n"/>
      <c r="I2000" s="9" t="n"/>
      <c r="J2000" s="9" t="n"/>
      <c r="K2000" s="9" t="n"/>
      <c r="L2000" s="9" t="n"/>
      <c r="M2000" s="9" t="n"/>
      <c r="N2000" s="9" t="n"/>
      <c r="O2000" s="9" t="n"/>
      <c r="P2000" s="9" t="n"/>
      <c r="Q2000" s="9" t="n"/>
      <c r="R2000" s="9" t="n"/>
      <c r="S2000" s="9" t="n"/>
      <c r="T2000" s="9" t="n"/>
      <c r="U2000" s="9" t="n"/>
      <c r="V2000" s="9" t="n"/>
      <c r="W2000" s="9" t="n"/>
      <c r="X2000" s="9" t="n"/>
      <c r="Y2000" s="9" t="n"/>
      <c r="Z2000" s="9" t="n"/>
    </row>
    <row r="2001" ht="14.25" customHeight="1" s="37">
      <c r="A2001" s="9">
        <f>IF(C2001="","","UM"&amp;TEXT(ROW()-1,"00000"))</f>
        <v/>
      </c>
      <c r="B2001" s="9" t="n"/>
      <c r="C2001" s="9" t="n"/>
      <c r="D2001" s="9" t="n"/>
      <c r="E2001" s="9" t="n"/>
      <c r="F2001" s="9">
        <f>IF(E2001="","",DATEDIF(E2001,DATE(2026,12,31),"Y"))</f>
        <v/>
      </c>
      <c r="G2001" s="9" t="n"/>
      <c r="H2001" s="9" t="n"/>
      <c r="I2001" s="9" t="n"/>
      <c r="J2001" s="9" t="n"/>
      <c r="K2001" s="9" t="n"/>
      <c r="L2001" s="9" t="n"/>
      <c r="M2001" s="9" t="n"/>
      <c r="N2001" s="9" t="n"/>
      <c r="O2001" s="9" t="n"/>
      <c r="P2001" s="9" t="n"/>
      <c r="Q2001" s="9" t="n"/>
      <c r="R2001" s="9" t="n"/>
      <c r="S2001" s="9" t="n"/>
      <c r="T2001" s="9" t="n"/>
      <c r="U2001" s="9" t="n"/>
      <c r="V2001" s="9" t="n"/>
      <c r="W2001" s="9" t="n"/>
      <c r="X2001" s="9" t="n"/>
      <c r="Y2001" s="9" t="n"/>
      <c r="Z2001" s="9" t="n"/>
    </row>
  </sheetData>
  <autoFilter ref="$A$1:$Z$2001"/>
  <conditionalFormatting sqref="C2:C2001">
    <cfRule type="expression" priority="1" dxfId="5">
      <formula>AND($A2&lt;&gt;"",$C2="")</formula>
    </cfRule>
  </conditionalFormatting>
  <conditionalFormatting sqref="H2:H2001">
    <cfRule type="expression" priority="2" dxfId="5">
      <formula>AND($A2&lt;&gt;"",$H2="")</formula>
    </cfRule>
  </conditionalFormatting>
  <dataValidations count="5">
    <dataValidation sqref="K2:K2001" showDropDown="0" showInputMessage="0" showErrorMessage="0" allowBlank="1" type="list">
      <formula1>LIST!$C$2:$C$5</formula1>
    </dataValidation>
    <dataValidation sqref="B2" showDropDown="0" showInputMessage="0" showErrorMessage="1" allowBlank="1" type="list">
      <formula1>'DATA KK'!$A$2:$A$501</formula1>
    </dataValidation>
    <dataValidation sqref="G2:G2001" showDropDown="0" showInputMessage="0" showErrorMessage="0" allowBlank="1" type="list">
      <formula1>LIST!$B$2:$B$8</formula1>
    </dataValidation>
    <dataValidation sqref="H2" showDropDown="0" showInputMessage="0" showErrorMessage="1" allowBlank="1" type="list">
      <formula1>LIST!$B$11:$B$27</formula1>
    </dataValidation>
    <dataValidation sqref="D2:D2001" showDropDown="0" showInputMessage="0" showErrorMessage="0" allowBlank="1" type="list">
      <formula1>LIST!$A$2:$A$3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18" customWidth="1" style="37" min="4" max="4"/>
    <col width="15" customWidth="1" style="37" min="5" max="6"/>
    <col width="17" customWidth="1" style="37" min="7" max="7"/>
    <col width="30" customWidth="1" style="37" min="8" max="8"/>
    <col width="9" customWidth="1" style="37" min="9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Lahir</t>
        </is>
      </c>
      <c r="F1" s="7" t="inlineStr">
        <is>
          <t>Tanggal Baptis</t>
        </is>
      </c>
      <c r="G1" s="7" t="inlineStr">
        <is>
          <t>Umur Saat Baptis</t>
        </is>
      </c>
      <c r="H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inlineStr">
        <is>
          <t>Wanita/Perempuan</t>
        </is>
      </c>
      <c r="E2" s="44" t="n">
        <v>29749</v>
      </c>
      <c r="F2" s="9" t="n"/>
      <c r="G2" s="9">
        <f>IF(OR(E2="",F2=""),"",DATEDIF(E2,F2,"Y"))</f>
        <v/>
      </c>
      <c r="H2" s="9" t="inlineStr">
        <is>
          <t>Sumber: data sensus 2023</t>
        </is>
      </c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inlineStr">
        <is>
          <t>Wanita/Perempuan</t>
        </is>
      </c>
      <c r="E3" s="44" t="n">
        <v>41335</v>
      </c>
      <c r="F3" s="9" t="n"/>
      <c r="G3" s="9">
        <f>IF(OR(E3="",F3=""),"",DATEDIF(E3,F3,"Y"))</f>
        <v/>
      </c>
      <c r="H3" s="9" t="inlineStr">
        <is>
          <t>Sumber: data sensus 2023</t>
        </is>
      </c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inlineStr">
        <is>
          <t>Pria/Laki-laki</t>
        </is>
      </c>
      <c r="E4" s="44" t="n">
        <v>34569</v>
      </c>
      <c r="F4" s="9" t="n"/>
      <c r="G4" s="9">
        <f>IF(OR(E4="",F4=""),"",DATEDIF(E4,F4,"Y"))</f>
        <v/>
      </c>
      <c r="H4" s="9" t="inlineStr">
        <is>
          <t>Sumber: data sensus 2023</t>
        </is>
      </c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inlineStr">
        <is>
          <t>Wanita/Perempuan</t>
        </is>
      </c>
      <c r="E5" s="44" t="n">
        <v>37350</v>
      </c>
      <c r="F5" s="9" t="n"/>
      <c r="G5" s="9">
        <f>IF(OR(E5="",F5=""),"",DATEDIF(E5,F5,"Y"))</f>
        <v/>
      </c>
      <c r="H5" s="9" t="inlineStr">
        <is>
          <t>Sumber: data sensus 2023</t>
        </is>
      </c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inlineStr">
        <is>
          <t>Pria/Laki-laki</t>
        </is>
      </c>
      <c r="E6" s="44" t="n">
        <v>43935</v>
      </c>
      <c r="F6" s="44" t="n">
        <v>44969</v>
      </c>
      <c r="G6" s="9">
        <f>IF(OR(E6="",F6=""),"",DATEDIF(E6,F6,"Y"))</f>
        <v/>
      </c>
      <c r="H6" s="9" t="inlineStr">
        <is>
          <t>Dari: AGUSTINUS WASA-SURAT BAPTIS ANAK KEDUA.jpg | Paroki: St. Martinus Lanud Dhomber | No Buku: Liber I Pag. 205 No. 1687</t>
        </is>
      </c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inlineStr">
        <is>
          <t>Wanita/Perempuan</t>
        </is>
      </c>
      <c r="E7" s="44" t="n">
        <v>21040</v>
      </c>
      <c r="F7" s="9" t="n"/>
      <c r="G7" s="9">
        <f>IF(OR(E7="",F7=""),"",DATEDIF(E7,F7,"Y"))</f>
        <v/>
      </c>
      <c r="H7" s="9" t="inlineStr">
        <is>
          <t>Sumber: data sensus 2023</t>
        </is>
      </c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inlineStr">
        <is>
          <t>Pria/Laki-laki</t>
        </is>
      </c>
      <c r="E8" s="44" t="n">
        <v>26249</v>
      </c>
      <c r="F8" s="9" t="n"/>
      <c r="G8" s="9">
        <f>IF(OR(E8="",F8=""),"",DATEDIF(E8,F8,"Y"))</f>
        <v/>
      </c>
      <c r="H8" s="9" t="inlineStr">
        <is>
          <t>Sumber: data sensus 2023</t>
        </is>
      </c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inlineStr">
        <is>
          <t>Wanita/Perempuan</t>
        </is>
      </c>
      <c r="E9" s="44" t="n">
        <v>28855</v>
      </c>
      <c r="F9" s="9" t="n"/>
      <c r="G9" s="9">
        <f>IF(OR(E9="",F9=""),"",DATEDIF(E9,F9,"Y"))</f>
        <v/>
      </c>
      <c r="H9" s="9" t="inlineStr">
        <is>
          <t>Sumber: data sensus 2023</t>
        </is>
      </c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inlineStr">
        <is>
          <t>Wanita/Perempuan</t>
        </is>
      </c>
      <c r="E10" s="44" t="n">
        <v>37090</v>
      </c>
      <c r="F10" s="9" t="n"/>
      <c r="G10" s="9">
        <f>IF(OR(E10="",F10=""),"",DATEDIF(E10,F10,"Y"))</f>
        <v/>
      </c>
      <c r="H10" s="9" t="inlineStr">
        <is>
          <t>Sumber: data sensus 2023</t>
        </is>
      </c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inlineStr">
        <is>
          <t>Pria/Laki-laki</t>
        </is>
      </c>
      <c r="E11" s="44" t="n">
        <v>39568</v>
      </c>
      <c r="F11" s="9" t="n"/>
      <c r="G11" s="9">
        <f>IF(OR(E11="",F11=""),"",DATEDIF(E11,F11,"Y"))</f>
        <v/>
      </c>
      <c r="H11" s="9" t="inlineStr">
        <is>
          <t>Sumber: data sensus 2023</t>
        </is>
      </c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inlineStr">
        <is>
          <t>Pria/Laki-laki</t>
        </is>
      </c>
      <c r="E12" s="44" t="n">
        <v>35770</v>
      </c>
      <c r="F12" s="9" t="n"/>
      <c r="G12" s="9">
        <f>IF(OR(E12="",F12=""),"",DATEDIF(E12,F12,"Y"))</f>
        <v/>
      </c>
      <c r="H12" s="9" t="inlineStr">
        <is>
          <t>Sumber: data sensus 2023</t>
        </is>
      </c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inlineStr">
        <is>
          <t>Pria/Laki-laki</t>
        </is>
      </c>
      <c r="E13" s="44" t="n">
        <v>26206</v>
      </c>
      <c r="F13" s="9" t="n"/>
      <c r="G13" s="9">
        <f>IF(OR(E13="",F13=""),"",DATEDIF(E13,F13,"Y"))</f>
        <v/>
      </c>
      <c r="H13" s="9" t="inlineStr">
        <is>
          <t>Sumber: data sensus 2023</t>
        </is>
      </c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inlineStr">
        <is>
          <t>Wanita/Perempuan</t>
        </is>
      </c>
      <c r="E14" s="44" t="n">
        <v>28467</v>
      </c>
      <c r="F14" s="9" t="n"/>
      <c r="G14" s="9">
        <f>IF(OR(E14="",F14=""),"",DATEDIF(E14,F14,"Y"))</f>
        <v/>
      </c>
      <c r="H14" s="9" t="inlineStr">
        <is>
          <t>Sumber: data sensus 2023</t>
        </is>
      </c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inlineStr">
        <is>
          <t>Wanita/Perempuan</t>
        </is>
      </c>
      <c r="E15" s="44" t="n">
        <v>37751</v>
      </c>
      <c r="F15" s="9" t="n"/>
      <c r="G15" s="9">
        <f>IF(OR(E15="",F15=""),"",DATEDIF(E15,F15,"Y"))</f>
        <v/>
      </c>
      <c r="H15" s="9" t="inlineStr">
        <is>
          <t>Sumber: data sensus 2023</t>
        </is>
      </c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inlineStr">
        <is>
          <t>Wanita/Perempuan</t>
        </is>
      </c>
      <c r="E16" s="44" t="n">
        <v>39474</v>
      </c>
      <c r="F16" s="9" t="n"/>
      <c r="G16" s="9">
        <f>IF(OR(E16="",F16=""),"",DATEDIF(E16,F16,"Y"))</f>
        <v/>
      </c>
      <c r="H16" s="9" t="inlineStr">
        <is>
          <t>Sumber: data sensus 2023</t>
        </is>
      </c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44" t="n">
        <v>27885</v>
      </c>
      <c r="F17" s="9" t="n"/>
      <c r="G17" s="9">
        <f>IF(OR(E17="",F17=""),"",DATEDIF(E17,F17,"Y"))</f>
        <v/>
      </c>
      <c r="H17" s="9" t="inlineStr">
        <is>
          <t>Sumber: data sensus 2023</t>
        </is>
      </c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inlineStr">
        <is>
          <t>Wanita/Perempuan</t>
        </is>
      </c>
      <c r="E18" s="44" t="n">
        <v>28604</v>
      </c>
      <c r="F18" s="9" t="n"/>
      <c r="G18" s="9">
        <f>IF(OR(E18="",F18=""),"",DATEDIF(E18,F18,"Y"))</f>
        <v/>
      </c>
      <c r="H18" s="9" t="inlineStr">
        <is>
          <t>Sumber: data sensus 2023</t>
        </is>
      </c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inlineStr">
        <is>
          <t>Pria/Laki-laki</t>
        </is>
      </c>
      <c r="E19" s="44" t="n">
        <v>19797</v>
      </c>
      <c r="F19" s="9" t="n"/>
      <c r="G19" s="9">
        <f>IF(OR(E19="",F19=""),"",DATEDIF(E19,F19,"Y"))</f>
        <v/>
      </c>
      <c r="H19" s="9" t="inlineStr">
        <is>
          <t>Sumber: data sensus 2023</t>
        </is>
      </c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inlineStr">
        <is>
          <t>Wanita/Perempuan</t>
        </is>
      </c>
      <c r="E20" s="44" t="n">
        <v>22294</v>
      </c>
      <c r="F20" s="44" t="n">
        <v>24536</v>
      </c>
      <c r="G20" s="9">
        <f>IF(OR(E20="",F20=""),"",DATEDIF(E20,F20,"Y"))</f>
        <v/>
      </c>
      <c r="H20" s="9" t="inlineStr">
        <is>
          <t>Dari: MANGAPUL MANIK - SURAT BAPTIS ISTRI.jpg | Paroki: Pangururan | No Buku: LIBER III PAG. 149 NO. 2374</t>
        </is>
      </c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inlineStr">
        <is>
          <t>Pria/Laki-laki</t>
        </is>
      </c>
      <c r="E21" s="44" t="n">
        <v>31169</v>
      </c>
      <c r="F21" s="9" t="n"/>
      <c r="G21" s="9">
        <f>IF(OR(E21="",F21=""),"",DATEDIF(E21,F21,"Y"))</f>
        <v/>
      </c>
      <c r="H21" s="9" t="inlineStr">
        <is>
          <t>Sumber: data sensus 2023</t>
        </is>
      </c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inlineStr">
        <is>
          <t>Wanita/Perempuan</t>
        </is>
      </c>
      <c r="E22" s="44" t="n">
        <v>16473</v>
      </c>
      <c r="F22" s="9" t="n"/>
      <c r="G22" s="9">
        <f>IF(OR(E22="",F22=""),"",DATEDIF(E22,F22,"Y"))</f>
        <v/>
      </c>
      <c r="H22" s="9" t="inlineStr">
        <is>
          <t>Sumber: data sensus 2023</t>
        </is>
      </c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inlineStr">
        <is>
          <t>Wanita/Perempuan</t>
        </is>
      </c>
      <c r="E23" s="44" t="n">
        <v>24947</v>
      </c>
      <c r="F23" s="44" t="n">
        <v>28058</v>
      </c>
      <c r="G23" s="9">
        <f>IF(OR(E23="",F23=""),"",DATEDIF(E23,F23,"Y"))</f>
        <v/>
      </c>
      <c r="H23" s="9" t="inlineStr">
        <is>
          <t>Dari: P. SUYATI-SURAT BAPTIS ANAK.jpg | Paroki: Sepinggan | No Buku: 1.975</t>
        </is>
      </c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inlineStr">
        <is>
          <t>Wanita/Perempuan</t>
        </is>
      </c>
      <c r="E24" s="44" t="n">
        <v>24995</v>
      </c>
      <c r="F24" s="9" t="n"/>
      <c r="G24" s="9">
        <f>IF(OR(E24="",F24=""),"",DATEDIF(E24,F24,"Y"))</f>
        <v/>
      </c>
      <c r="H24" s="9" t="inlineStr">
        <is>
          <t>Sumber: data sensus 2023</t>
        </is>
      </c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inlineStr">
        <is>
          <t>Wanita/Perempuan</t>
        </is>
      </c>
      <c r="E25" s="44" t="n">
        <v>35774</v>
      </c>
      <c r="F25" s="44" t="n">
        <v>36953</v>
      </c>
      <c r="G25" s="9">
        <f>IF(OR(E25="",F25=""),"",DATEDIF(E25,F25,"Y"))</f>
        <v/>
      </c>
      <c r="H25" s="9" t="inlineStr">
        <is>
          <t>Dari: PETRA KANISIA - SURAT BAPTIS ANAK PERTAMA.jpg | Paroki: TANAH GROGOT, PASIR, KALTIM. | No Buku: 1282</t>
        </is>
      </c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inlineStr">
        <is>
          <t>Pria/Laki-laki</t>
        </is>
      </c>
      <c r="E26" s="44" t="n">
        <v>36762</v>
      </c>
      <c r="F26" s="44" t="n">
        <v>36949</v>
      </c>
      <c r="G26" s="9">
        <f>IF(OR(E26="",F26=""),"",DATEDIF(E26,F26,"Y"))</f>
        <v/>
      </c>
      <c r="H26" s="9" t="inlineStr">
        <is>
          <t>Dari: PETRA KANISIA - SURAT BAPTIS ANAK KE DUA.jpg | Paroki: TANAH GROGOT, PASIR, KALTIM. | No Buku: I</t>
        </is>
      </c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inlineStr">
        <is>
          <t>Pria/Laki-laki</t>
        </is>
      </c>
      <c r="E27" s="44" t="n">
        <v>25587</v>
      </c>
      <c r="F27" s="9" t="n"/>
      <c r="G27" s="9">
        <f>IF(OR(E27="",F27=""),"",DATEDIF(E27,F27,"Y"))</f>
        <v/>
      </c>
      <c r="H27" s="9" t="inlineStr">
        <is>
          <t>Sumber: data sensus 2023</t>
        </is>
      </c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inlineStr">
        <is>
          <t>Wanita/Perempuan</t>
        </is>
      </c>
      <c r="E28" s="44" t="n">
        <v>31031</v>
      </c>
      <c r="F28" s="40" t="n"/>
      <c r="G28" s="9">
        <f>IF(OR(E28="",F28=""),"",DATEDIF(E28,F28,"Y"))</f>
        <v/>
      </c>
      <c r="H28" s="9" t="inlineStr">
        <is>
          <t>Dari: PIOTR-SURAT BAPTIS ISTERI.jpg | Paroki: ST. JOSEPH BONTANG KALTIM | No Buku: Buku I Hal 55 No.611</t>
        </is>
      </c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inlineStr">
        <is>
          <t>Wanita/Perempuan</t>
        </is>
      </c>
      <c r="E29" s="44" t="n">
        <v>42947</v>
      </c>
      <c r="F29" s="9" t="n"/>
      <c r="G29" s="9">
        <f>IF(OR(E29="",F29=""),"",DATEDIF(E29,F29,"Y"))</f>
        <v/>
      </c>
      <c r="H29" s="9" t="inlineStr">
        <is>
          <t>Sumber: data sensus 2023</t>
        </is>
      </c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inlineStr">
        <is>
          <t>Wanita/Perempuan</t>
        </is>
      </c>
      <c r="E30" s="44" t="n">
        <v>44869</v>
      </c>
      <c r="F30" s="9" t="n"/>
      <c r="G30" s="9">
        <f>IF(OR(E30="",F30=""),"",DATEDIF(E30,F30,"Y"))</f>
        <v/>
      </c>
      <c r="H30" s="9" t="inlineStr">
        <is>
          <t>Sumber: data sensus 2023</t>
        </is>
      </c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inlineStr">
        <is>
          <t>Pria/Laki-laki</t>
        </is>
      </c>
      <c r="E31" s="44" t="n">
        <v>45559</v>
      </c>
      <c r="F31" s="9" t="n"/>
      <c r="G31" s="9">
        <f>IF(OR(E31="",F31=""),"",DATEDIF(E31,F31,"Y"))</f>
        <v/>
      </c>
      <c r="H31" s="9" t="inlineStr">
        <is>
          <t>Sumber: data sensus 2023</t>
        </is>
      </c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  <c r="G32" s="9">
        <f>IF(OR(E32="",F32=""),"",DATEDIF(E32,F32,"Y"))</f>
        <v/>
      </c>
      <c r="H32" s="9" t="inlineStr">
        <is>
          <t>Sumber: data sensus 2023</t>
        </is>
      </c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  <c r="G33" s="9">
        <f>IF(OR(E33="",F33=""),"",DATEDIF(E33,F33,"Y"))</f>
        <v/>
      </c>
      <c r="H33" s="9" t="inlineStr">
        <is>
          <t>Sumber: data sensus 2023</t>
        </is>
      </c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  <c r="G34" s="9">
        <f>IF(OR(E34="",F34=""),"",DATEDIF(E34,F34,"Y"))</f>
        <v/>
      </c>
      <c r="H34" s="9" t="inlineStr">
        <is>
          <t>Sumber: data sensus 2023</t>
        </is>
      </c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inlineStr">
        <is>
          <t>Wanita/Perempuan</t>
        </is>
      </c>
      <c r="E35" s="44" t="n">
        <v>36727</v>
      </c>
      <c r="F35" s="9" t="n"/>
      <c r="G35" s="9">
        <f>IF(OR(E35="",F35=""),"",DATEDIF(E35,F35,"Y"))</f>
        <v/>
      </c>
      <c r="H35" s="9" t="inlineStr">
        <is>
          <t>Sumber: data sensus 2023</t>
        </is>
      </c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  <c r="G36" s="9">
        <f>IF(OR(E36="",F36=""),"",DATEDIF(E36,F36,"Y"))</f>
        <v/>
      </c>
      <c r="H36" s="9" t="inlineStr">
        <is>
          <t>Sumber: data sensus 2023</t>
        </is>
      </c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  <c r="G37" s="9">
        <f>IF(OR(E37="",F37=""),"",DATEDIF(E37,F37,"Y"))</f>
        <v/>
      </c>
      <c r="H37" s="9" t="inlineStr">
        <is>
          <t>Sumber: data sensus 2023</t>
        </is>
      </c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  <c r="G38" s="9">
        <f>IF(OR(E38="",F38=""),"",DATEDIF(E38,F38,"Y"))</f>
        <v/>
      </c>
      <c r="H38" s="9" t="inlineStr">
        <is>
          <t>Sumber: data sensus 2023</t>
        </is>
      </c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  <c r="G39" s="9">
        <f>IF(OR(E39="",F39=""),"",DATEDIF(E39,F39,"Y"))</f>
        <v/>
      </c>
      <c r="H39" s="9" t="inlineStr">
        <is>
          <t>Sumber: data sensus 2023</t>
        </is>
      </c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  <c r="G40" s="9">
        <f>IF(OR(E40="",F40=""),"",DATEDIF(E40,F40,"Y"))</f>
        <v/>
      </c>
      <c r="H40" s="9" t="inlineStr">
        <is>
          <t>Sumber: data sensus 2023</t>
        </is>
      </c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  <c r="G41" s="9">
        <f>IF(OR(E41="",F41=""),"",DATEDIF(E41,F41,"Y"))</f>
        <v/>
      </c>
      <c r="H41" s="9" t="inlineStr">
        <is>
          <t>Sumber: data sensus 2023</t>
        </is>
      </c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  <c r="G42" s="9">
        <f>IF(OR(E42="",F42=""),"",DATEDIF(E42,F42,"Y"))</f>
        <v/>
      </c>
      <c r="H42" s="9" t="inlineStr">
        <is>
          <t>Sumber: data sensus 2023</t>
        </is>
      </c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  <c r="G43" s="9">
        <f>IF(OR(E43="",F43=""),"",DATEDIF(E43,F43,"Y"))</f>
        <v/>
      </c>
      <c r="H43" s="9" t="inlineStr">
        <is>
          <t>Sumber: data sensus 2023</t>
        </is>
      </c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  <c r="G44" s="9">
        <f>IF(OR(E44="",F44=""),"",DATEDIF(E44,F44,"Y"))</f>
        <v/>
      </c>
      <c r="H44" s="9" t="inlineStr">
        <is>
          <t>Sumber: data sensus 2023</t>
        </is>
      </c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inlineStr">
        <is>
          <t>Pria/Laki-laki</t>
        </is>
      </c>
      <c r="E45" s="44" t="n">
        <v>38784</v>
      </c>
      <c r="F45" s="44" t="n">
        <v>39439</v>
      </c>
      <c r="G45" s="9">
        <f>IF(OR(E45="",F45=""),"",DATEDIF(E45,F45,"Y"))</f>
        <v/>
      </c>
      <c r="H45" s="9" t="inlineStr">
        <is>
          <t>Dari: MAGDALENA - SURAT BAPTIS ANAK PERTAMA.jpg | Paroki: Santa Theresia - Balikpapan | No Buku: Buku V hal 143 No.1427</t>
        </is>
      </c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inlineStr">
        <is>
          <t>Wanita/Perempuan</t>
        </is>
      </c>
      <c r="E46" s="44" t="n">
        <v>28813</v>
      </c>
      <c r="F46" s="9" t="n"/>
      <c r="G46" s="9">
        <f>IF(OR(E46="",F46=""),"",DATEDIF(E46,F46,"Y"))</f>
        <v/>
      </c>
      <c r="H46" s="9" t="inlineStr">
        <is>
          <t>Sumber: data sensus 2023</t>
        </is>
      </c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  <c r="G47" s="9">
        <f>IF(OR(E47="",F47=""),"",DATEDIF(E47,F47,"Y"))</f>
        <v/>
      </c>
      <c r="H47" s="9" t="inlineStr">
        <is>
          <t>Sumber: data sensus 2023</t>
        </is>
      </c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  <c r="G48" s="9">
        <f>IF(OR(E48="",F48=""),"",DATEDIF(E48,F48,"Y"))</f>
        <v/>
      </c>
      <c r="H48" s="9" t="inlineStr">
        <is>
          <t>Sumber: data sensus 2023</t>
        </is>
      </c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  <c r="G49" s="9">
        <f>IF(OR(E49="",F49=""),"",DATEDIF(E49,F49,"Y"))</f>
        <v/>
      </c>
      <c r="H49" s="9" t="inlineStr">
        <is>
          <t>Sumber: data sensus 2023</t>
        </is>
      </c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  <c r="G50" s="9">
        <f>IF(OR(E50="",F50=""),"",DATEDIF(E50,F50,"Y"))</f>
        <v/>
      </c>
      <c r="H50" s="9" t="inlineStr">
        <is>
          <t>Sumber: data sensus 2023</t>
        </is>
      </c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  <c r="G51" s="9">
        <f>IF(OR(E51="",F51=""),"",DATEDIF(E51,F51,"Y"))</f>
        <v/>
      </c>
      <c r="H51" s="9" t="inlineStr">
        <is>
          <t>Sumber: data sensus 2023</t>
        </is>
      </c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  <c r="G52" s="9">
        <f>IF(OR(E52="",F52=""),"",DATEDIF(E52,F52,"Y"))</f>
        <v/>
      </c>
      <c r="H52" s="9" t="inlineStr">
        <is>
          <t>Sumber: data sensus 2023</t>
        </is>
      </c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9" t="n"/>
      <c r="F53" s="9" t="n"/>
      <c r="G53" s="9">
        <f>IF(OR(E53="",F53=""),"",DATEDIF(E53,F53,"Y"))</f>
        <v/>
      </c>
      <c r="H53" s="9" t="inlineStr">
        <is>
          <t>Sumber: data sensus 2023</t>
        </is>
      </c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  <c r="G54" s="9">
        <f>IF(OR(E54="",F54=""),"",DATEDIF(E54,F54,"Y"))</f>
        <v/>
      </c>
      <c r="H54" s="9" t="inlineStr">
        <is>
          <t>Sumber: data sensus 2023</t>
        </is>
      </c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  <c r="G55" s="9">
        <f>IF(OR(E55="",F55=""),"",DATEDIF(E55,F55,"Y"))</f>
        <v/>
      </c>
      <c r="H55" s="9" t="inlineStr">
        <is>
          <t>Sumber: data sensus 2023</t>
        </is>
      </c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  <c r="G56" s="9">
        <f>IF(OR(E56="",F56=""),"",DATEDIF(E56,F56,"Y"))</f>
        <v/>
      </c>
      <c r="H56" s="9" t="inlineStr">
        <is>
          <t>Sumber: data sensus 2023</t>
        </is>
      </c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  <c r="G57" s="9">
        <f>IF(OR(E57="",F57=""),"",DATEDIF(E57,F57,"Y"))</f>
        <v/>
      </c>
      <c r="H57" s="9" t="inlineStr">
        <is>
          <t>Sumber: data sensus 2023</t>
        </is>
      </c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  <c r="G58" s="9">
        <f>IF(OR(E58="",F58=""),"",DATEDIF(E58,F58,"Y"))</f>
        <v/>
      </c>
      <c r="H58" s="9" t="inlineStr">
        <is>
          <t>Sumber: data sensus 2023</t>
        </is>
      </c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  <c r="G59" s="9">
        <f>IF(OR(E59="",F59=""),"",DATEDIF(E59,F59,"Y"))</f>
        <v/>
      </c>
      <c r="H59" s="9" t="inlineStr">
        <is>
          <t>Sumber: data sensus 2023</t>
        </is>
      </c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  <c r="G60" s="9">
        <f>IF(OR(E60="",F60=""),"",DATEDIF(E60,F60,"Y"))</f>
        <v/>
      </c>
      <c r="H60" s="9" t="inlineStr">
        <is>
          <t>Sumber: data sensus 2023</t>
        </is>
      </c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  <c r="G61" s="9">
        <f>IF(OR(E61="",F61=""),"",DATEDIF(E61,F61,"Y"))</f>
        <v/>
      </c>
      <c r="H61" s="9" t="inlineStr">
        <is>
          <t>Sumber: data sensus 2023</t>
        </is>
      </c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  <c r="G62" s="9">
        <f>IF(OR(E62="",F62=""),"",DATEDIF(E62,F62,"Y"))</f>
        <v/>
      </c>
      <c r="H62" s="9" t="inlineStr">
        <is>
          <t>Sumber: data sensus 2023</t>
        </is>
      </c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  <c r="G63" s="9">
        <f>IF(OR(E63="",F63=""),"",DATEDIF(E63,F63,"Y"))</f>
        <v/>
      </c>
      <c r="H63" s="9" t="inlineStr">
        <is>
          <t>Sumber: data sensus 2023</t>
        </is>
      </c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  <c r="G64" s="9">
        <f>IF(OR(E64="",F64=""),"",DATEDIF(E64,F64,"Y"))</f>
        <v/>
      </c>
      <c r="H64" s="9" t="inlineStr">
        <is>
          <t>Sumber: data sensus 2023</t>
        </is>
      </c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  <c r="G65" s="9">
        <f>IF(OR(E65="",F65=""),"",DATEDIF(E65,F65,"Y"))</f>
        <v/>
      </c>
      <c r="H65" s="9" t="inlineStr">
        <is>
          <t>Sumber: data sensus 2023</t>
        </is>
      </c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  <c r="G66" s="9">
        <f>IF(OR(E66="",F66=""),"",DATEDIF(E66,F66,"Y"))</f>
        <v/>
      </c>
      <c r="H66" s="9" t="inlineStr">
        <is>
          <t>Sumber: data sensus 2023</t>
        </is>
      </c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  <c r="G67" s="9">
        <f>IF(OR(E67="",F67=""),"",DATEDIF(E67,F67,"Y"))</f>
        <v/>
      </c>
      <c r="H67" s="9" t="inlineStr">
        <is>
          <t>Sumber: data sensus 2023</t>
        </is>
      </c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44" t="n">
        <v>20979</v>
      </c>
      <c r="F68" s="44" t="n">
        <v>22757</v>
      </c>
      <c r="G68" s="9">
        <f>IF(OR(E68="",F68=""),"",DATEDIF(E68,F68,"Y"))</f>
        <v/>
      </c>
      <c r="H68" s="9" t="inlineStr">
        <is>
          <t>Dari: ANA E. YAYUK SUPRAPTININGSIH-SURAT BAPTIS.jpg | Paroki: Gereja Santo Albertus BLIMBING | No Buku: I/31/9</t>
        </is>
      </c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44" t="n">
        <v>39282</v>
      </c>
      <c r="F69" s="44" t="n">
        <v>39474</v>
      </c>
      <c r="G69" s="9">
        <f>IF(OR(E69="",F69=""),"",DATEDIF(E69,F69,"Y"))</f>
        <v/>
      </c>
      <c r="H69" s="9" t="inlineStr">
        <is>
          <t>Dari: ANTHONIUS SALEM -SURAT BAPTIS ANAK.jpg | Paroki: ST. KLEMENT I SEPINGGAN - BALIKPAPAN | No Buku: Liber II Pag. 306 No. 2080</t>
        </is>
      </c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44" t="n">
        <v>26249</v>
      </c>
      <c r="F70" s="44" t="n">
        <v>26294</v>
      </c>
      <c r="G70" s="9">
        <f>IF(OR(E70="",F70=""),"",DATEDIF(E70,F70,"Y"))</f>
        <v/>
      </c>
      <c r="H70" s="9" t="inlineStr">
        <is>
          <t>Dari: BARNABAS MUKHTAR-SURAT BAPTIS.jpg | Paroki: ST. YUSUF | No Buku: 1390</t>
        </is>
      </c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44" t="n">
        <v>25695</v>
      </c>
      <c r="F71" s="44" t="n">
        <v>26234</v>
      </c>
      <c r="G71" s="9">
        <f>IF(OR(E71="",F71=""),"",DATEDIF(E71,F71,"Y"))</f>
        <v/>
      </c>
      <c r="H71" s="9" t="inlineStr">
        <is>
          <t>Dari: C. PURWONGGO SATOTO-SURAT BAPTIS ISTERI.jpg | Paroki: STO. JOSEPH MAKASSAR | No Buku: 1591 / Reg. V</t>
        </is>
      </c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44" t="n">
        <v>29334</v>
      </c>
      <c r="F72" s="9" t="n"/>
      <c r="G72" s="9">
        <f>IF(OR(E72="",F72=""),"",DATEDIF(E72,F72,"Y"))</f>
        <v/>
      </c>
      <c r="H72" s="9" t="inlineStr">
        <is>
          <t>Sumber: data sensus 2023</t>
        </is>
      </c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44" t="n">
        <v>29334</v>
      </c>
      <c r="F73" s="44" t="n">
        <v>29373</v>
      </c>
      <c r="G73" s="9">
        <f>IF(OR(E73="",F73=""),"",DATEDIF(E73,F73,"Y"))</f>
        <v/>
      </c>
      <c r="H73" s="9" t="inlineStr">
        <is>
          <t>Dari: HENDRIX AGUNG APRIWINARTO - SURAT BAPTIS ISTRI.jpg | Paroki: MARIA TAK BERNODA KEPANJEN - MALANG | No Buku: Reg. II Hal. 196 No. 35/1530</t>
        </is>
      </c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  <c r="G74" s="9">
        <f>IF(OR(E74="",F74=""),"",DATEDIF(E74,F74,"Y"))</f>
        <v/>
      </c>
      <c r="H74" s="9" t="inlineStr">
        <is>
          <t>Sumber: data sensus 2023</t>
        </is>
      </c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  <c r="G75" s="9">
        <f>IF(OR(E75="",F75=""),"",DATEDIF(E75,F75,"Y"))</f>
        <v/>
      </c>
      <c r="H75" s="9" t="inlineStr">
        <is>
          <t>Sumber: data sensus 2023</t>
        </is>
      </c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44" t="n">
        <v>44763</v>
      </c>
      <c r="F76" s="44" t="n">
        <v>44843</v>
      </c>
      <c r="G76" s="9">
        <f>IF(OR(E76="",F76=""),"",DATEDIF(E76,F76,"Y"))</f>
        <v/>
      </c>
      <c r="H76" s="9" t="inlineStr">
        <is>
          <t>Dari: MURTIYONO - SURAT BAPTIS ANAK.jpg | Paroki: ST. KLEMENT I SEPINGGAN - BALIKPAPAN | No Buku: 1651</t>
        </is>
      </c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  <c r="G77" s="9">
        <f>IF(OR(E77="",F77=""),"",DATEDIF(E77,F77,"Y"))</f>
        <v/>
      </c>
      <c r="H77" s="9" t="inlineStr">
        <is>
          <t>Sumber: data sensus 2023</t>
        </is>
      </c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44" t="n">
        <v>16473</v>
      </c>
      <c r="F78" s="44" t="n">
        <v>28198</v>
      </c>
      <c r="G78" s="9">
        <f>IF(OR(E78="",F78=""),"",DATEDIF(E78,F78,"Y"))</f>
        <v/>
      </c>
      <c r="H78" s="9" t="inlineStr">
        <is>
          <t>Dari: P. SUYATI-SURAT BAPTIS.jpg | Paroki: St. Theresia Balikpapan | No Buku: III, Hal. 1, No. 2045</t>
        </is>
      </c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9" t="n"/>
      <c r="F79" s="9" t="n"/>
      <c r="G79" s="9">
        <f>IF(OR(E79="",F79=""),"",DATEDIF(E79,F79,"Y"))</f>
        <v/>
      </c>
      <c r="H79" s="9" t="inlineStr">
        <is>
          <t>Sumber: data sensus 2023</t>
        </is>
      </c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44" t="n">
        <v>36200</v>
      </c>
      <c r="F80" s="44" t="n">
        <v>45701</v>
      </c>
      <c r="G80" s="9">
        <f>IF(OR(E80="",F80=""),"",DATEDIF(E80,F80,"Y"))</f>
        <v/>
      </c>
      <c r="H80" s="9" t="inlineStr">
        <is>
          <t>Dari: SURAT BAPTIS-MARSELINUS PAMBO ISTRI.jpg | Paroki: ST. KLEMENT I SEPINGGAN - BALIKPAPAN | No Buku: 1936</t>
        </is>
      </c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44" t="n">
        <v>39890</v>
      </c>
      <c r="F81" s="44" t="n">
        <v>40174</v>
      </c>
      <c r="G81" s="9">
        <f>IF(OR(E81="",F81=""),"",DATEDIF(E81,F81,"Y"))</f>
        <v/>
      </c>
      <c r="H81" s="9" t="inlineStr">
        <is>
          <t>Dari: VERO DWI ANI-SURAT BAPTIS ANAK 1.jpg | Paroki: Paroki Santa Maria - Kartasura | No Buku: V No. 4487</t>
        </is>
      </c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44" t="n">
        <v>41261</v>
      </c>
      <c r="F82" s="44" t="n">
        <v>42134</v>
      </c>
      <c r="G82" s="9">
        <f>IF(OR(E82="",F82=""),"",DATEDIF(E82,F82,"Y"))</f>
        <v/>
      </c>
      <c r="H82" s="9" t="inlineStr">
        <is>
          <t>Dari: VERO DWI ANI-SURAT BAPTIS ANAK 2.jpg | Paroki: Santa Maria Kartasura, Sukoharjo | No Buku: VI / 4999</t>
        </is>
      </c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  <c r="G83" s="9">
        <f>IF(OR(E83="",F83=""),"",DATEDIF(E83,F83,"Y"))</f>
        <v/>
      </c>
      <c r="H83" s="9" t="inlineStr">
        <is>
          <t>Sumber: data sensus 2023</t>
        </is>
      </c>
    </row>
    <row r="84" ht="14.25" customHeight="1" s="37">
      <c r="A84" s="9" t="n"/>
      <c r="B84" s="9" t="n"/>
      <c r="C84" s="9" t="n"/>
      <c r="D84" s="9" t="n"/>
      <c r="E84" s="9" t="n"/>
      <c r="F84" s="9" t="n"/>
      <c r="G84" s="9">
        <f>IF(OR(E84="",F84=""),"",DATEDIF(E84,F84,"Y"))</f>
        <v/>
      </c>
      <c r="H84" s="9" t="n"/>
    </row>
    <row r="85" ht="14.25" customHeight="1" s="37">
      <c r="A85" s="9" t="n"/>
      <c r="B85" s="9" t="n"/>
      <c r="C85" s="9" t="n"/>
      <c r="D85" s="9" t="n"/>
      <c r="E85" s="9" t="n"/>
      <c r="F85" s="9" t="n"/>
      <c r="G85" s="9">
        <f>IF(OR(E85="",F85=""),"",DATEDIF(E85,F85,"Y"))</f>
        <v/>
      </c>
      <c r="H85" s="9" t="n"/>
    </row>
    <row r="86" ht="14.25" customHeight="1" s="37">
      <c r="A86" s="9" t="n"/>
      <c r="B86" s="9" t="n"/>
      <c r="C86" s="9" t="n"/>
      <c r="D86" s="9" t="n"/>
      <c r="E86" s="9" t="n"/>
      <c r="F86" s="9" t="n"/>
      <c r="G86" s="9">
        <f>IF(OR(E86="",F86=""),"",DATEDIF(E86,F86,"Y"))</f>
        <v/>
      </c>
      <c r="H86" s="9" t="n"/>
    </row>
    <row r="87" ht="14.25" customHeight="1" s="37">
      <c r="A87" s="9" t="n"/>
      <c r="B87" s="9" t="n"/>
      <c r="C87" s="9" t="n"/>
      <c r="D87" s="9" t="n"/>
      <c r="E87" s="9" t="n"/>
      <c r="F87" s="9" t="n"/>
      <c r="G87" s="9">
        <f>IF(OR(E87="",F87=""),"",DATEDIF(E87,F87,"Y"))</f>
        <v/>
      </c>
      <c r="H87" s="9" t="n"/>
    </row>
    <row r="88" ht="14.25" customHeight="1" s="37">
      <c r="A88" s="9" t="n"/>
      <c r="B88" s="9" t="n"/>
      <c r="C88" s="9" t="n"/>
      <c r="D88" s="9" t="n"/>
      <c r="E88" s="9" t="n"/>
      <c r="F88" s="9" t="n"/>
      <c r="G88" s="9">
        <f>IF(OR(E88="",F88=""),"",DATEDIF(E88,F88,"Y"))</f>
        <v/>
      </c>
      <c r="H88" s="9" t="n"/>
    </row>
    <row r="89" ht="14.25" customHeight="1" s="37">
      <c r="A89" s="9" t="n"/>
      <c r="B89" s="9" t="n"/>
      <c r="C89" s="9" t="n"/>
      <c r="D89" s="9" t="n"/>
      <c r="E89" s="9" t="n"/>
      <c r="F89" s="9" t="n"/>
      <c r="G89" s="9">
        <f>IF(OR(E89="",F89=""),"",DATEDIF(E89,F89,"Y"))</f>
        <v/>
      </c>
      <c r="H89" s="9" t="n"/>
    </row>
    <row r="90" ht="14.25" customHeight="1" s="37">
      <c r="A90" s="9" t="n"/>
      <c r="B90" s="9" t="n"/>
      <c r="C90" s="9" t="n"/>
      <c r="D90" s="9" t="n"/>
      <c r="E90" s="9" t="n"/>
      <c r="F90" s="9" t="n"/>
      <c r="G90" s="9">
        <f>IF(OR(E90="",F90=""),"",DATEDIF(E90,F90,"Y"))</f>
        <v/>
      </c>
      <c r="H90" s="9" t="n"/>
    </row>
    <row r="91" ht="14.25" customHeight="1" s="37">
      <c r="A91" s="9" t="n"/>
      <c r="B91" s="9" t="n"/>
      <c r="C91" s="9" t="n"/>
      <c r="D91" s="9" t="n"/>
      <c r="E91" s="9" t="n"/>
      <c r="F91" s="9" t="n"/>
      <c r="G91" s="9">
        <f>IF(OR(E91="",F91=""),"",DATEDIF(E91,F91,"Y"))</f>
        <v/>
      </c>
      <c r="H91" s="9" t="n"/>
    </row>
    <row r="92" ht="14.25" customHeight="1" s="37">
      <c r="A92" s="9" t="n"/>
      <c r="B92" s="9" t="n"/>
      <c r="C92" s="9" t="n"/>
      <c r="D92" s="9" t="n"/>
      <c r="E92" s="9" t="n"/>
      <c r="F92" s="9" t="n"/>
      <c r="G92" s="9">
        <f>IF(OR(E92="",F92=""),"",DATEDIF(E92,F92,"Y"))</f>
        <v/>
      </c>
      <c r="H92" s="9" t="n"/>
    </row>
    <row r="93" ht="14.25" customHeight="1" s="37">
      <c r="A93" s="9" t="n"/>
      <c r="B93" s="9" t="n"/>
      <c r="C93" s="9" t="n"/>
      <c r="D93" s="9" t="n"/>
      <c r="E93" s="9" t="n"/>
      <c r="F93" s="9" t="n"/>
      <c r="G93" s="9">
        <f>IF(OR(E93="",F93=""),"",DATEDIF(E93,F93,"Y"))</f>
        <v/>
      </c>
      <c r="H93" s="9" t="n"/>
    </row>
    <row r="94" ht="14.25" customHeight="1" s="37">
      <c r="A94" s="9" t="n"/>
      <c r="B94" s="9" t="n"/>
      <c r="C94" s="9" t="n"/>
      <c r="D94" s="9" t="n"/>
      <c r="E94" s="9" t="n"/>
      <c r="F94" s="9" t="n"/>
      <c r="G94" s="9">
        <f>IF(OR(E94="",F94=""),"",DATEDIF(E94,F94,"Y"))</f>
        <v/>
      </c>
      <c r="H94" s="9" t="n"/>
    </row>
    <row r="95" ht="14.25" customHeight="1" s="37">
      <c r="A95" s="9" t="n"/>
      <c r="B95" s="9" t="n"/>
      <c r="C95" s="9" t="n"/>
      <c r="D95" s="9" t="n"/>
      <c r="E95" s="9" t="n"/>
      <c r="F95" s="9" t="n"/>
      <c r="G95" s="9">
        <f>IF(OR(E95="",F95=""),"",DATEDIF(E95,F95,"Y"))</f>
        <v/>
      </c>
      <c r="H95" s="9" t="n"/>
    </row>
    <row r="96" ht="14.25" customHeight="1" s="37">
      <c r="A96" s="9" t="n"/>
      <c r="B96" s="9" t="n"/>
      <c r="C96" s="9" t="n"/>
      <c r="D96" s="9" t="n"/>
      <c r="E96" s="9" t="n"/>
      <c r="F96" s="9" t="n"/>
      <c r="G96" s="9">
        <f>IF(OR(E96="",F96=""),"",DATEDIF(E96,F96,"Y"))</f>
        <v/>
      </c>
      <c r="H96" s="9" t="n"/>
    </row>
    <row r="97" ht="14.25" customHeight="1" s="37">
      <c r="A97" s="9" t="n"/>
      <c r="B97" s="9" t="n"/>
      <c r="C97" s="9" t="n"/>
      <c r="D97" s="9" t="n"/>
      <c r="E97" s="9" t="n"/>
      <c r="F97" s="9" t="n"/>
      <c r="G97" s="9">
        <f>IF(OR(E97="",F97=""),"",DATEDIF(E97,F97,"Y"))</f>
        <v/>
      </c>
      <c r="H97" s="9" t="n"/>
    </row>
    <row r="98" ht="14.25" customHeight="1" s="37">
      <c r="A98" s="9" t="n"/>
      <c r="B98" s="9" t="n"/>
      <c r="C98" s="9" t="n"/>
      <c r="D98" s="9" t="n"/>
      <c r="E98" s="9" t="n"/>
      <c r="F98" s="9" t="n"/>
      <c r="G98" s="9">
        <f>IF(OR(E98="",F98=""),"",DATEDIF(E98,F98,"Y"))</f>
        <v/>
      </c>
      <c r="H98" s="9" t="n"/>
    </row>
    <row r="99" ht="14.25" customHeight="1" s="37">
      <c r="A99" s="9" t="n"/>
      <c r="B99" s="9" t="n"/>
      <c r="C99" s="9" t="n"/>
      <c r="D99" s="9" t="n"/>
      <c r="E99" s="9" t="n"/>
      <c r="F99" s="9" t="n"/>
      <c r="G99" s="9">
        <f>IF(OR(E99="",F99=""),"",DATEDIF(E99,F99,"Y"))</f>
        <v/>
      </c>
      <c r="H99" s="9" t="n"/>
    </row>
    <row r="100" ht="14.25" customHeight="1" s="37">
      <c r="A100" s="9" t="n"/>
      <c r="B100" s="9" t="n"/>
      <c r="C100" s="9" t="n"/>
      <c r="D100" s="9" t="n"/>
      <c r="E100" s="9" t="n"/>
      <c r="F100" s="9" t="n"/>
      <c r="G100" s="9">
        <f>IF(OR(E100="",F100=""),"",DATEDIF(E100,F100,"Y"))</f>
        <v/>
      </c>
      <c r="H100" s="9" t="n"/>
    </row>
    <row r="101" ht="14.25" customHeight="1" s="37">
      <c r="A101" s="9" t="n"/>
      <c r="B101" s="9" t="n"/>
      <c r="C101" s="9" t="n"/>
      <c r="D101" s="9" t="n"/>
      <c r="E101" s="9" t="n"/>
      <c r="F101" s="9" t="n"/>
      <c r="G101" s="9">
        <f>IF(OR(E101="",F101=""),"",DATEDIF(E101,F101,"Y"))</f>
        <v/>
      </c>
      <c r="H101" s="9" t="n"/>
    </row>
    <row r="102" ht="14.25" customHeight="1" s="37">
      <c r="A102" s="9" t="n"/>
      <c r="B102" s="9" t="n"/>
      <c r="C102" s="9" t="n"/>
      <c r="D102" s="9" t="n"/>
      <c r="E102" s="9" t="n"/>
      <c r="F102" s="9" t="n"/>
      <c r="G102" s="9">
        <f>IF(OR(E102="",F102=""),"",DATEDIF(E102,F102,"Y"))</f>
        <v/>
      </c>
      <c r="H102" s="9" t="n"/>
    </row>
    <row r="103" ht="14.25" customHeight="1" s="37">
      <c r="A103" s="9" t="n"/>
      <c r="B103" s="9" t="n"/>
      <c r="C103" s="9" t="n"/>
      <c r="D103" s="9" t="n"/>
      <c r="E103" s="9" t="n"/>
      <c r="F103" s="9" t="n"/>
      <c r="G103" s="9">
        <f>IF(OR(E103="",F103=""),"",DATEDIF(E103,F103,"Y"))</f>
        <v/>
      </c>
      <c r="H103" s="9" t="n"/>
    </row>
    <row r="104" ht="14.25" customHeight="1" s="37">
      <c r="A104" s="9" t="n"/>
      <c r="B104" s="9" t="n"/>
      <c r="C104" s="9" t="n"/>
      <c r="D104" s="9" t="n"/>
      <c r="E104" s="9" t="n"/>
      <c r="F104" s="9" t="n"/>
      <c r="G104" s="9">
        <f>IF(OR(E104="",F104=""),"",DATEDIF(E104,F104,"Y"))</f>
        <v/>
      </c>
      <c r="H104" s="9" t="n"/>
    </row>
    <row r="105" ht="14.25" customHeight="1" s="37">
      <c r="A105" s="9" t="n"/>
      <c r="B105" s="9" t="n"/>
      <c r="C105" s="9" t="n"/>
      <c r="D105" s="9" t="n"/>
      <c r="E105" s="9" t="n"/>
      <c r="F105" s="9" t="n"/>
      <c r="G105" s="9">
        <f>IF(OR(E105="",F105=""),"",DATEDIF(E105,F105,"Y"))</f>
        <v/>
      </c>
      <c r="H105" s="9" t="n"/>
    </row>
    <row r="106" ht="14.25" customHeight="1" s="37">
      <c r="A106" s="9" t="n"/>
      <c r="B106" s="9" t="n"/>
      <c r="C106" s="9" t="n"/>
      <c r="D106" s="9" t="n"/>
      <c r="E106" s="9" t="n"/>
      <c r="F106" s="9" t="n"/>
      <c r="G106" s="9">
        <f>IF(OR(E106="",F106=""),"",DATEDIF(E106,F106,"Y"))</f>
        <v/>
      </c>
      <c r="H106" s="9" t="n"/>
    </row>
    <row r="107" ht="14.25" customHeight="1" s="37">
      <c r="A107" s="9" t="n"/>
      <c r="B107" s="9" t="n"/>
      <c r="C107" s="9" t="n"/>
      <c r="D107" s="9" t="n"/>
      <c r="E107" s="9" t="n"/>
      <c r="F107" s="9" t="n"/>
      <c r="G107" s="9">
        <f>IF(OR(E107="",F107=""),"",DATEDIF(E107,F107,"Y"))</f>
        <v/>
      </c>
      <c r="H107" s="9" t="n"/>
    </row>
    <row r="108" ht="14.25" customHeight="1" s="37">
      <c r="A108" s="9" t="n"/>
      <c r="B108" s="9" t="n"/>
      <c r="C108" s="9" t="n"/>
      <c r="D108" s="9" t="n"/>
      <c r="E108" s="9" t="n"/>
      <c r="F108" s="9" t="n"/>
      <c r="G108" s="9">
        <f>IF(OR(E108="",F108=""),"",DATEDIF(E108,F108,"Y"))</f>
        <v/>
      </c>
      <c r="H108" s="9" t="n"/>
    </row>
    <row r="109" ht="14.25" customHeight="1" s="37">
      <c r="A109" s="9" t="n"/>
      <c r="B109" s="9" t="n"/>
      <c r="C109" s="9" t="n"/>
      <c r="D109" s="9" t="n"/>
      <c r="E109" s="9" t="n"/>
      <c r="F109" s="9" t="n"/>
      <c r="G109" s="9">
        <f>IF(OR(E109="",F109=""),"",DATEDIF(E109,F109,"Y"))</f>
        <v/>
      </c>
      <c r="H109" s="9" t="n"/>
    </row>
    <row r="110" ht="14.25" customHeight="1" s="37">
      <c r="A110" s="9" t="n"/>
      <c r="B110" s="9" t="n"/>
      <c r="C110" s="9" t="n"/>
      <c r="D110" s="9" t="n"/>
      <c r="E110" s="9" t="n"/>
      <c r="F110" s="9" t="n"/>
      <c r="G110" s="9">
        <f>IF(OR(E110="",F110=""),"",DATEDIF(E110,F110,"Y"))</f>
        <v/>
      </c>
      <c r="H110" s="9" t="n"/>
    </row>
    <row r="111" ht="14.25" customHeight="1" s="37">
      <c r="A111" s="9" t="n"/>
      <c r="B111" s="9" t="n"/>
      <c r="C111" s="9" t="n"/>
      <c r="D111" s="9" t="n"/>
      <c r="E111" s="9" t="n"/>
      <c r="F111" s="9" t="n"/>
      <c r="G111" s="9">
        <f>IF(OR(E111="",F111=""),"",DATEDIF(E111,F111,"Y"))</f>
        <v/>
      </c>
      <c r="H111" s="9" t="n"/>
    </row>
    <row r="112" ht="14.25" customHeight="1" s="37">
      <c r="A112" s="9" t="n"/>
      <c r="B112" s="9" t="n"/>
      <c r="C112" s="9" t="n"/>
      <c r="D112" s="9" t="n"/>
      <c r="E112" s="9" t="n"/>
      <c r="F112" s="9" t="n"/>
      <c r="G112" s="9">
        <f>IF(OR(E112="",F112=""),"",DATEDIF(E112,F112,"Y"))</f>
        <v/>
      </c>
      <c r="H112" s="9" t="n"/>
    </row>
    <row r="113" ht="14.25" customHeight="1" s="37">
      <c r="A113" s="9" t="n"/>
      <c r="B113" s="9" t="n"/>
      <c r="C113" s="9" t="n"/>
      <c r="D113" s="9" t="n"/>
      <c r="E113" s="9" t="n"/>
      <c r="F113" s="9" t="n"/>
      <c r="G113" s="9">
        <f>IF(OR(E113="",F113=""),"",DATEDIF(E113,F113,"Y"))</f>
        <v/>
      </c>
      <c r="H113" s="9" t="n"/>
    </row>
    <row r="114" ht="14.25" customHeight="1" s="37">
      <c r="A114" s="9" t="n"/>
      <c r="B114" s="9" t="n"/>
      <c r="C114" s="9" t="n"/>
      <c r="D114" s="9" t="n"/>
      <c r="E114" s="9" t="n"/>
      <c r="F114" s="9" t="n"/>
      <c r="G114" s="9">
        <f>IF(OR(E114="",F114=""),"",DATEDIF(E114,F114,"Y"))</f>
        <v/>
      </c>
      <c r="H114" s="9" t="n"/>
    </row>
    <row r="115" ht="14.25" customHeight="1" s="37">
      <c r="A115" s="9" t="n"/>
      <c r="B115" s="9" t="n"/>
      <c r="C115" s="9" t="n"/>
      <c r="D115" s="9" t="n"/>
      <c r="E115" s="9" t="n"/>
      <c r="F115" s="9" t="n"/>
      <c r="G115" s="9">
        <f>IF(OR(E115="",F115=""),"",DATEDIF(E115,F115,"Y"))</f>
        <v/>
      </c>
      <c r="H115" s="9" t="n"/>
    </row>
    <row r="116" ht="14.25" customHeight="1" s="37">
      <c r="A116" s="9" t="n"/>
      <c r="B116" s="9" t="n"/>
      <c r="C116" s="9" t="n"/>
      <c r="D116" s="9" t="n"/>
      <c r="E116" s="9" t="n"/>
      <c r="F116" s="9" t="n"/>
      <c r="G116" s="9">
        <f>IF(OR(E116="",F116=""),"",DATEDIF(E116,F116,"Y"))</f>
        <v/>
      </c>
      <c r="H116" s="9" t="n"/>
    </row>
    <row r="117" ht="14.25" customHeight="1" s="37">
      <c r="A117" s="9" t="n"/>
      <c r="B117" s="9" t="n"/>
      <c r="C117" s="9" t="n"/>
      <c r="D117" s="9" t="n"/>
      <c r="E117" s="9" t="n"/>
      <c r="F117" s="9" t="n"/>
      <c r="G117" s="9">
        <f>IF(OR(E117="",F117=""),"",DATEDIF(E117,F117,"Y"))</f>
        <v/>
      </c>
      <c r="H117" s="9" t="n"/>
    </row>
    <row r="118" ht="14.25" customHeight="1" s="37">
      <c r="A118" s="9" t="n"/>
      <c r="B118" s="9" t="n"/>
      <c r="C118" s="9" t="n"/>
      <c r="D118" s="9" t="n"/>
      <c r="E118" s="9" t="n"/>
      <c r="F118" s="9" t="n"/>
      <c r="G118" s="9">
        <f>IF(OR(E118="",F118=""),"",DATEDIF(E118,F118,"Y"))</f>
        <v/>
      </c>
      <c r="H118" s="9" t="n"/>
    </row>
    <row r="119" ht="14.25" customHeight="1" s="37">
      <c r="A119" s="9" t="n"/>
      <c r="B119" s="9" t="n"/>
      <c r="C119" s="9" t="n"/>
      <c r="D119" s="9" t="n"/>
      <c r="E119" s="9" t="n"/>
      <c r="F119" s="9" t="n"/>
      <c r="G119" s="9">
        <f>IF(OR(E119="",F119=""),"",DATEDIF(E119,F119,"Y"))</f>
        <v/>
      </c>
      <c r="H119" s="9" t="n"/>
    </row>
    <row r="120" ht="14.25" customHeight="1" s="37">
      <c r="A120" s="9" t="n"/>
      <c r="B120" s="9" t="n"/>
      <c r="C120" s="9" t="n"/>
      <c r="D120" s="9" t="n"/>
      <c r="E120" s="9" t="n"/>
      <c r="F120" s="9" t="n"/>
      <c r="G120" s="9">
        <f>IF(OR(E120="",F120=""),"",DATEDIF(E120,F120,"Y"))</f>
        <v/>
      </c>
      <c r="H120" s="9" t="n"/>
    </row>
    <row r="121" ht="14.25" customHeight="1" s="37">
      <c r="A121" s="9" t="n"/>
      <c r="B121" s="9" t="n"/>
      <c r="C121" s="9" t="n"/>
      <c r="D121" s="9" t="n"/>
      <c r="E121" s="9" t="n"/>
      <c r="F121" s="9" t="n"/>
      <c r="G121" s="9">
        <f>IF(OR(E121="",F121=""),"",DATEDIF(E121,F121,"Y"))</f>
        <v/>
      </c>
      <c r="H121" s="9" t="n"/>
    </row>
    <row r="122" ht="14.25" customHeight="1" s="37">
      <c r="A122" s="9" t="n"/>
      <c r="B122" s="9" t="n"/>
      <c r="C122" s="9" t="n"/>
      <c r="D122" s="9" t="n"/>
      <c r="E122" s="9" t="n"/>
      <c r="F122" s="9" t="n"/>
      <c r="G122" s="9">
        <f>IF(OR(E122="",F122=""),"",DATEDIF(E122,F122,"Y"))</f>
        <v/>
      </c>
      <c r="H122" s="9" t="n"/>
    </row>
    <row r="123" ht="14.25" customHeight="1" s="37">
      <c r="A123" s="9" t="n"/>
      <c r="B123" s="9" t="n"/>
      <c r="C123" s="9" t="n"/>
      <c r="D123" s="9" t="n"/>
      <c r="E123" s="9" t="n"/>
      <c r="F123" s="9" t="n"/>
      <c r="G123" s="9">
        <f>IF(OR(E123="",F123=""),"",DATEDIF(E123,F123,"Y"))</f>
        <v/>
      </c>
      <c r="H123" s="9" t="n"/>
    </row>
    <row r="124" ht="14.25" customHeight="1" s="37">
      <c r="A124" s="9" t="n"/>
      <c r="B124" s="9" t="n"/>
      <c r="C124" s="9" t="n"/>
      <c r="D124" s="9" t="n"/>
      <c r="E124" s="9" t="n"/>
      <c r="F124" s="9" t="n"/>
      <c r="G124" s="9">
        <f>IF(OR(E124="",F124=""),"",DATEDIF(E124,F124,"Y"))</f>
        <v/>
      </c>
      <c r="H124" s="9" t="n"/>
    </row>
    <row r="125" ht="14.25" customHeight="1" s="37">
      <c r="A125" s="9" t="n"/>
      <c r="B125" s="9" t="n"/>
      <c r="C125" s="9" t="n"/>
      <c r="D125" s="9" t="n"/>
      <c r="E125" s="9" t="n"/>
      <c r="F125" s="9" t="n"/>
      <c r="G125" s="9">
        <f>IF(OR(E125="",F125=""),"",DATEDIF(E125,F125,"Y"))</f>
        <v/>
      </c>
      <c r="H125" s="9" t="n"/>
    </row>
    <row r="126" ht="14.25" customHeight="1" s="37">
      <c r="A126" s="9" t="n"/>
      <c r="B126" s="9" t="n"/>
      <c r="C126" s="9" t="n"/>
      <c r="D126" s="9" t="n"/>
      <c r="E126" s="9" t="n"/>
      <c r="F126" s="9" t="n"/>
      <c r="G126" s="9">
        <f>IF(OR(E126="",F126=""),"",DATEDIF(E126,F126,"Y"))</f>
        <v/>
      </c>
      <c r="H126" s="9" t="n"/>
    </row>
    <row r="127" ht="14.25" customHeight="1" s="37">
      <c r="A127" s="9" t="n"/>
      <c r="B127" s="9" t="n"/>
      <c r="C127" s="9" t="n"/>
      <c r="D127" s="9" t="n"/>
      <c r="E127" s="9" t="n"/>
      <c r="F127" s="9" t="n"/>
      <c r="G127" s="9">
        <f>IF(OR(E127="",F127=""),"",DATEDIF(E127,F127,"Y"))</f>
        <v/>
      </c>
      <c r="H127" s="9" t="n"/>
    </row>
    <row r="128" ht="14.25" customHeight="1" s="37">
      <c r="A128" s="9" t="n"/>
      <c r="B128" s="9" t="n"/>
      <c r="C128" s="9" t="n"/>
      <c r="D128" s="9" t="n"/>
      <c r="E128" s="9" t="n"/>
      <c r="F128" s="9" t="n"/>
      <c r="G128" s="9">
        <f>IF(OR(E128="",F128=""),"",DATEDIF(E128,F128,"Y"))</f>
        <v/>
      </c>
      <c r="H128" s="9" t="n"/>
    </row>
    <row r="129" ht="14.25" customHeight="1" s="37">
      <c r="A129" s="9" t="n"/>
      <c r="B129" s="9" t="n"/>
      <c r="C129" s="9" t="n"/>
      <c r="D129" s="9" t="n"/>
      <c r="E129" s="9" t="n"/>
      <c r="F129" s="9" t="n"/>
      <c r="G129" s="9">
        <f>IF(OR(E129="",F129=""),"",DATEDIF(E129,F129,"Y"))</f>
        <v/>
      </c>
      <c r="H129" s="9" t="n"/>
    </row>
    <row r="130" ht="14.25" customHeight="1" s="37">
      <c r="A130" s="9" t="n"/>
      <c r="B130" s="9" t="n"/>
      <c r="C130" s="9" t="n"/>
      <c r="D130" s="9" t="n"/>
      <c r="E130" s="9" t="n"/>
      <c r="F130" s="9" t="n"/>
      <c r="G130" s="9">
        <f>IF(OR(E130="",F130=""),"",DATEDIF(E130,F130,"Y"))</f>
        <v/>
      </c>
      <c r="H130" s="9" t="n"/>
    </row>
    <row r="131" ht="14.25" customHeight="1" s="37">
      <c r="A131" s="9" t="n"/>
      <c r="B131" s="9" t="n"/>
      <c r="C131" s="9" t="n"/>
      <c r="D131" s="9" t="n"/>
      <c r="E131" s="9" t="n"/>
      <c r="F131" s="9" t="n"/>
      <c r="G131" s="9">
        <f>IF(OR(E131="",F131=""),"",DATEDIF(E131,F131,"Y"))</f>
        <v/>
      </c>
      <c r="H131" s="9" t="n"/>
    </row>
    <row r="132" ht="14.25" customHeight="1" s="37">
      <c r="A132" s="9" t="n"/>
      <c r="B132" s="9" t="n"/>
      <c r="C132" s="9" t="n"/>
      <c r="D132" s="9" t="n"/>
      <c r="E132" s="9" t="n"/>
      <c r="F132" s="9" t="n"/>
      <c r="G132" s="9">
        <f>IF(OR(E132="",F132=""),"",DATEDIF(E132,F132,"Y"))</f>
        <v/>
      </c>
      <c r="H132" s="9" t="n"/>
    </row>
    <row r="133" ht="14.25" customHeight="1" s="37">
      <c r="A133" s="9" t="n"/>
      <c r="B133" s="9" t="n"/>
      <c r="C133" s="9" t="n"/>
      <c r="D133" s="9" t="n"/>
      <c r="E133" s="9" t="n"/>
      <c r="F133" s="9" t="n"/>
      <c r="G133" s="9">
        <f>IF(OR(E133="",F133=""),"",DATEDIF(E133,F133,"Y"))</f>
        <v/>
      </c>
      <c r="H133" s="9" t="n"/>
    </row>
    <row r="134" ht="14.25" customHeight="1" s="37">
      <c r="A134" s="9" t="n"/>
      <c r="B134" s="9" t="n"/>
      <c r="C134" s="9" t="n"/>
      <c r="D134" s="9" t="n"/>
      <c r="E134" s="9" t="n"/>
      <c r="F134" s="9" t="n"/>
      <c r="G134" s="9">
        <f>IF(OR(E134="",F134=""),"",DATEDIF(E134,F134,"Y"))</f>
        <v/>
      </c>
      <c r="H134" s="9" t="n"/>
    </row>
    <row r="135" ht="14.25" customHeight="1" s="37">
      <c r="A135" s="9" t="n"/>
      <c r="B135" s="9" t="n"/>
      <c r="C135" s="9" t="n"/>
      <c r="D135" s="9" t="n"/>
      <c r="E135" s="9" t="n"/>
      <c r="F135" s="9" t="n"/>
      <c r="G135" s="9">
        <f>IF(OR(E135="",F135=""),"",DATEDIF(E135,F135,"Y"))</f>
        <v/>
      </c>
      <c r="H135" s="9" t="n"/>
    </row>
    <row r="136" ht="14.25" customHeight="1" s="37">
      <c r="A136" s="9" t="n"/>
      <c r="B136" s="9" t="n"/>
      <c r="C136" s="9" t="n"/>
      <c r="D136" s="9" t="n"/>
      <c r="E136" s="9" t="n"/>
      <c r="F136" s="9" t="n"/>
      <c r="G136" s="9">
        <f>IF(OR(E136="",F136=""),"",DATEDIF(E136,F136,"Y"))</f>
        <v/>
      </c>
      <c r="H136" s="9" t="n"/>
    </row>
    <row r="137" ht="14.25" customHeight="1" s="37">
      <c r="A137" s="9" t="n"/>
      <c r="B137" s="9" t="n"/>
      <c r="C137" s="9" t="n"/>
      <c r="D137" s="9" t="n"/>
      <c r="E137" s="9" t="n"/>
      <c r="F137" s="9" t="n"/>
      <c r="G137" s="9">
        <f>IF(OR(E137="",F137=""),"",DATEDIF(E137,F137,"Y"))</f>
        <v/>
      </c>
      <c r="H137" s="9" t="n"/>
    </row>
    <row r="138" ht="14.25" customHeight="1" s="37">
      <c r="A138" s="9" t="n"/>
      <c r="B138" s="9" t="n"/>
      <c r="C138" s="9" t="n"/>
      <c r="D138" s="9" t="n"/>
      <c r="E138" s="9" t="n"/>
      <c r="F138" s="9" t="n"/>
      <c r="G138" s="9">
        <f>IF(OR(E138="",F138=""),"",DATEDIF(E138,F138,"Y"))</f>
        <v/>
      </c>
      <c r="H138" s="9" t="n"/>
    </row>
    <row r="139" ht="14.25" customHeight="1" s="37">
      <c r="A139" s="9" t="n"/>
      <c r="B139" s="9" t="n"/>
      <c r="C139" s="9" t="n"/>
      <c r="D139" s="9" t="n"/>
      <c r="E139" s="9" t="n"/>
      <c r="F139" s="9" t="n"/>
      <c r="G139" s="9">
        <f>IF(OR(E139="",F139=""),"",DATEDIF(E139,F139,"Y"))</f>
        <v/>
      </c>
      <c r="H139" s="9" t="n"/>
    </row>
    <row r="140" ht="14.25" customHeight="1" s="37">
      <c r="A140" s="9" t="n"/>
      <c r="B140" s="9" t="n"/>
      <c r="C140" s="9" t="n"/>
      <c r="D140" s="9" t="n"/>
      <c r="E140" s="9" t="n"/>
      <c r="F140" s="9" t="n"/>
      <c r="G140" s="9">
        <f>IF(OR(E140="",F140=""),"",DATEDIF(E140,F140,"Y"))</f>
        <v/>
      </c>
      <c r="H140" s="9" t="n"/>
    </row>
    <row r="141" ht="14.25" customHeight="1" s="37">
      <c r="A141" s="9" t="n"/>
      <c r="B141" s="9" t="n"/>
      <c r="C141" s="9" t="n"/>
      <c r="D141" s="9" t="n"/>
      <c r="E141" s="9" t="n"/>
      <c r="F141" s="9" t="n"/>
      <c r="G141" s="9">
        <f>IF(OR(E141="",F141=""),"",DATEDIF(E141,F141,"Y"))</f>
        <v/>
      </c>
      <c r="H141" s="9" t="n"/>
    </row>
    <row r="142" ht="14.25" customHeight="1" s="37">
      <c r="A142" s="9" t="n"/>
      <c r="B142" s="9" t="n"/>
      <c r="C142" s="9" t="n"/>
      <c r="D142" s="9" t="n"/>
      <c r="E142" s="9" t="n"/>
      <c r="F142" s="9" t="n"/>
      <c r="G142" s="9">
        <f>IF(OR(E142="",F142=""),"",DATEDIF(E142,F142,"Y"))</f>
        <v/>
      </c>
      <c r="H142" s="9" t="n"/>
    </row>
    <row r="143" ht="14.25" customHeight="1" s="37">
      <c r="A143" s="9" t="n"/>
      <c r="B143" s="9" t="n"/>
      <c r="C143" s="9" t="n"/>
      <c r="D143" s="9" t="n"/>
      <c r="E143" s="9" t="n"/>
      <c r="F143" s="9" t="n"/>
      <c r="G143" s="9">
        <f>IF(OR(E143="",F143=""),"",DATEDIF(E143,F143,"Y"))</f>
        <v/>
      </c>
      <c r="H143" s="9" t="n"/>
    </row>
    <row r="144" ht="14.25" customHeight="1" s="37">
      <c r="A144" s="9" t="n"/>
      <c r="B144" s="9" t="n"/>
      <c r="C144" s="9" t="n"/>
      <c r="D144" s="9" t="n"/>
      <c r="E144" s="9" t="n"/>
      <c r="F144" s="9" t="n"/>
      <c r="G144" s="9">
        <f>IF(OR(E144="",F144=""),"",DATEDIF(E144,F144,"Y"))</f>
        <v/>
      </c>
      <c r="H144" s="9" t="n"/>
    </row>
    <row r="145" ht="14.25" customHeight="1" s="37">
      <c r="A145" s="9" t="n"/>
      <c r="B145" s="9" t="n"/>
      <c r="C145" s="9" t="n"/>
      <c r="D145" s="9" t="n"/>
      <c r="E145" s="9" t="n"/>
      <c r="F145" s="9" t="n"/>
      <c r="G145" s="9">
        <f>IF(OR(E145="",F145=""),"",DATEDIF(E145,F145,"Y"))</f>
        <v/>
      </c>
      <c r="H145" s="9" t="n"/>
    </row>
    <row r="146" ht="14.25" customHeight="1" s="37">
      <c r="A146" s="9" t="n"/>
      <c r="B146" s="9" t="n"/>
      <c r="C146" s="9" t="n"/>
      <c r="D146" s="9" t="n"/>
      <c r="E146" s="9" t="n"/>
      <c r="F146" s="9" t="n"/>
      <c r="G146" s="9">
        <f>IF(OR(E146="",F146=""),"",DATEDIF(E146,F146,"Y"))</f>
        <v/>
      </c>
      <c r="H146" s="9" t="n"/>
    </row>
    <row r="147" ht="14.25" customHeight="1" s="37">
      <c r="A147" s="9" t="n"/>
      <c r="B147" s="9" t="n"/>
      <c r="C147" s="9" t="n"/>
      <c r="D147" s="9" t="n"/>
      <c r="E147" s="9" t="n"/>
      <c r="F147" s="9" t="n"/>
      <c r="G147" s="9">
        <f>IF(OR(E147="",F147=""),"",DATEDIF(E147,F147,"Y"))</f>
        <v/>
      </c>
      <c r="H147" s="9" t="n"/>
    </row>
    <row r="148" ht="14.25" customHeight="1" s="37">
      <c r="A148" s="9" t="n"/>
      <c r="B148" s="9" t="n"/>
      <c r="C148" s="9" t="n"/>
      <c r="D148" s="9" t="n"/>
      <c r="E148" s="9" t="n"/>
      <c r="F148" s="9" t="n"/>
      <c r="G148" s="9">
        <f>IF(OR(E148="",F148=""),"",DATEDIF(E148,F148,"Y"))</f>
        <v/>
      </c>
      <c r="H148" s="9" t="n"/>
    </row>
    <row r="149" ht="14.25" customHeight="1" s="37">
      <c r="A149" s="9" t="n"/>
      <c r="B149" s="9" t="n"/>
      <c r="C149" s="9" t="n"/>
      <c r="D149" s="9" t="n"/>
      <c r="E149" s="9" t="n"/>
      <c r="F149" s="9" t="n"/>
      <c r="G149" s="9">
        <f>IF(OR(E149="",F149=""),"",DATEDIF(E149,F149,"Y"))</f>
        <v/>
      </c>
      <c r="H149" s="9" t="n"/>
    </row>
    <row r="150" ht="14.25" customHeight="1" s="37">
      <c r="A150" s="9" t="n"/>
      <c r="B150" s="9" t="n"/>
      <c r="C150" s="9" t="n"/>
      <c r="D150" s="9" t="n"/>
      <c r="E150" s="9" t="n"/>
      <c r="F150" s="9" t="n"/>
      <c r="G150" s="9">
        <f>IF(OR(E150="",F150=""),"",DATEDIF(E150,F150,"Y"))</f>
        <v/>
      </c>
      <c r="H150" s="9" t="n"/>
    </row>
    <row r="151" ht="14.25" customHeight="1" s="37">
      <c r="A151" s="9" t="n"/>
      <c r="B151" s="9" t="n"/>
      <c r="C151" s="9" t="n"/>
      <c r="D151" s="9" t="n"/>
      <c r="E151" s="9" t="n"/>
      <c r="F151" s="9" t="n"/>
      <c r="G151" s="9">
        <f>IF(OR(E151="",F151=""),"",DATEDIF(E151,F151,"Y"))</f>
        <v/>
      </c>
      <c r="H151" s="9" t="n"/>
    </row>
    <row r="152" ht="14.25" customHeight="1" s="37">
      <c r="A152" s="9" t="n"/>
      <c r="B152" s="9" t="n"/>
      <c r="C152" s="9" t="n"/>
      <c r="D152" s="9" t="n"/>
      <c r="E152" s="9" t="n"/>
      <c r="F152" s="9" t="n"/>
      <c r="G152" s="9">
        <f>IF(OR(E152="",F152=""),"",DATEDIF(E152,F152,"Y"))</f>
        <v/>
      </c>
      <c r="H152" s="9" t="n"/>
    </row>
    <row r="153" ht="14.25" customHeight="1" s="37">
      <c r="A153" s="9" t="n"/>
      <c r="B153" s="9" t="n"/>
      <c r="C153" s="9" t="n"/>
      <c r="D153" s="9" t="n"/>
      <c r="E153" s="9" t="n"/>
      <c r="F153" s="9" t="n"/>
      <c r="G153" s="9">
        <f>IF(OR(E153="",F153=""),"",DATEDIF(E153,F153,"Y"))</f>
        <v/>
      </c>
      <c r="H153" s="9" t="n"/>
    </row>
    <row r="154" ht="14.25" customHeight="1" s="37">
      <c r="A154" s="9" t="n"/>
      <c r="B154" s="9" t="n"/>
      <c r="C154" s="9" t="n"/>
      <c r="D154" s="9" t="n"/>
      <c r="E154" s="9" t="n"/>
      <c r="F154" s="9" t="n"/>
      <c r="G154" s="9">
        <f>IF(OR(E154="",F154=""),"",DATEDIF(E154,F154,"Y"))</f>
        <v/>
      </c>
      <c r="H154" s="9" t="n"/>
    </row>
    <row r="155" ht="14.25" customHeight="1" s="37">
      <c r="A155" s="9" t="n"/>
      <c r="B155" s="9" t="n"/>
      <c r="C155" s="9" t="n"/>
      <c r="D155" s="9" t="n"/>
      <c r="E155" s="9" t="n"/>
      <c r="F155" s="9" t="n"/>
      <c r="G155" s="9">
        <f>IF(OR(E155="",F155=""),"",DATEDIF(E155,F155,"Y"))</f>
        <v/>
      </c>
      <c r="H155" s="9" t="n"/>
    </row>
    <row r="156" ht="14.25" customHeight="1" s="37">
      <c r="A156" s="9" t="n"/>
      <c r="B156" s="9" t="n"/>
      <c r="C156" s="9" t="n"/>
      <c r="D156" s="9" t="n"/>
      <c r="E156" s="9" t="n"/>
      <c r="F156" s="9" t="n"/>
      <c r="G156" s="9">
        <f>IF(OR(E156="",F156=""),"",DATEDIF(E156,F156,"Y"))</f>
        <v/>
      </c>
      <c r="H156" s="9" t="n"/>
    </row>
    <row r="157" ht="14.25" customHeight="1" s="37">
      <c r="A157" s="9" t="n"/>
      <c r="B157" s="9" t="n"/>
      <c r="C157" s="9" t="n"/>
      <c r="D157" s="9" t="n"/>
      <c r="E157" s="9" t="n"/>
      <c r="F157" s="9" t="n"/>
      <c r="G157" s="9">
        <f>IF(OR(E157="",F157=""),"",DATEDIF(E157,F157,"Y"))</f>
        <v/>
      </c>
      <c r="H157" s="9" t="n"/>
    </row>
    <row r="158" ht="14.25" customHeight="1" s="37">
      <c r="A158" s="9" t="n"/>
      <c r="B158" s="9" t="n"/>
      <c r="C158" s="9" t="n"/>
      <c r="D158" s="9" t="n"/>
      <c r="E158" s="9" t="n"/>
      <c r="F158" s="9" t="n"/>
      <c r="G158" s="9">
        <f>IF(OR(E158="",F158=""),"",DATEDIF(E158,F158,"Y"))</f>
        <v/>
      </c>
      <c r="H158" s="9" t="n"/>
    </row>
    <row r="159" ht="14.25" customHeight="1" s="37">
      <c r="A159" s="9" t="n"/>
      <c r="B159" s="9" t="n"/>
      <c r="C159" s="9" t="n"/>
      <c r="D159" s="9" t="n"/>
      <c r="E159" s="9" t="n"/>
      <c r="F159" s="9" t="n"/>
      <c r="G159" s="9">
        <f>IF(OR(E159="",F159=""),"",DATEDIF(E159,F159,"Y"))</f>
        <v/>
      </c>
      <c r="H159" s="9" t="n"/>
    </row>
    <row r="160" ht="14.25" customHeight="1" s="37">
      <c r="A160" s="9" t="n"/>
      <c r="B160" s="9" t="n"/>
      <c r="C160" s="9" t="n"/>
      <c r="D160" s="9" t="n"/>
      <c r="E160" s="9" t="n"/>
      <c r="F160" s="9" t="n"/>
      <c r="G160" s="9">
        <f>IF(OR(E160="",F160=""),"",DATEDIF(E160,F160,"Y"))</f>
        <v/>
      </c>
      <c r="H160" s="9" t="n"/>
    </row>
    <row r="161" ht="14.25" customHeight="1" s="37">
      <c r="A161" s="9" t="n"/>
      <c r="B161" s="9" t="n"/>
      <c r="C161" s="9" t="n"/>
      <c r="D161" s="9" t="n"/>
      <c r="E161" s="9" t="n"/>
      <c r="F161" s="9" t="n"/>
      <c r="G161" s="9">
        <f>IF(OR(E161="",F161=""),"",DATEDIF(E161,F161,"Y"))</f>
        <v/>
      </c>
      <c r="H161" s="9" t="n"/>
    </row>
    <row r="162" ht="14.25" customHeight="1" s="37">
      <c r="A162" s="9" t="n"/>
      <c r="B162" s="9" t="n"/>
      <c r="C162" s="9" t="n"/>
      <c r="D162" s="9" t="n"/>
      <c r="E162" s="9" t="n"/>
      <c r="F162" s="9" t="n"/>
      <c r="G162" s="9">
        <f>IF(OR(E162="",F162=""),"",DATEDIF(E162,F162,"Y"))</f>
        <v/>
      </c>
      <c r="H162" s="9" t="n"/>
    </row>
    <row r="163" ht="14.25" customHeight="1" s="37">
      <c r="A163" s="9" t="n"/>
      <c r="B163" s="9" t="n"/>
      <c r="C163" s="9" t="n"/>
      <c r="D163" s="9" t="n"/>
      <c r="E163" s="9" t="n"/>
      <c r="F163" s="9" t="n"/>
      <c r="G163" s="9">
        <f>IF(OR(E163="",F163=""),"",DATEDIF(E163,F163,"Y"))</f>
        <v/>
      </c>
      <c r="H163" s="9" t="n"/>
    </row>
    <row r="164" ht="14.25" customHeight="1" s="37">
      <c r="A164" s="9" t="n"/>
      <c r="B164" s="9" t="n"/>
      <c r="C164" s="9" t="n"/>
      <c r="D164" s="9" t="n"/>
      <c r="E164" s="9" t="n"/>
      <c r="F164" s="9" t="n"/>
      <c r="G164" s="9">
        <f>IF(OR(E164="",F164=""),"",DATEDIF(E164,F164,"Y"))</f>
        <v/>
      </c>
      <c r="H164" s="9" t="n"/>
    </row>
    <row r="165" ht="14.25" customHeight="1" s="37">
      <c r="A165" s="9" t="n"/>
      <c r="B165" s="9" t="n"/>
      <c r="C165" s="9" t="n"/>
      <c r="D165" s="9" t="n"/>
      <c r="E165" s="9" t="n"/>
      <c r="F165" s="9" t="n"/>
      <c r="G165" s="9">
        <f>IF(OR(E165="",F165=""),"",DATEDIF(E165,F165,"Y"))</f>
        <v/>
      </c>
      <c r="H165" s="9" t="n"/>
    </row>
    <row r="166" ht="14.25" customHeight="1" s="37">
      <c r="A166" s="9" t="n"/>
      <c r="B166" s="9" t="n"/>
      <c r="C166" s="9" t="n"/>
      <c r="D166" s="9" t="n"/>
      <c r="E166" s="9" t="n"/>
      <c r="F166" s="9" t="n"/>
      <c r="G166" s="9">
        <f>IF(OR(E166="",F166=""),"",DATEDIF(E166,F166,"Y"))</f>
        <v/>
      </c>
      <c r="H166" s="9" t="n"/>
    </row>
    <row r="167" ht="14.25" customHeight="1" s="37">
      <c r="A167" s="9" t="n"/>
      <c r="B167" s="9" t="n"/>
      <c r="C167" s="9" t="n"/>
      <c r="D167" s="9" t="n"/>
      <c r="E167" s="9" t="n"/>
      <c r="F167" s="9" t="n"/>
      <c r="G167" s="9">
        <f>IF(OR(E167="",F167=""),"",DATEDIF(E167,F167,"Y"))</f>
        <v/>
      </c>
      <c r="H167" s="9" t="n"/>
    </row>
    <row r="168" ht="14.25" customHeight="1" s="37">
      <c r="A168" s="9" t="n"/>
      <c r="B168" s="9" t="n"/>
      <c r="C168" s="9" t="n"/>
      <c r="D168" s="9" t="n"/>
      <c r="E168" s="9" t="n"/>
      <c r="F168" s="9" t="n"/>
      <c r="G168" s="9">
        <f>IF(OR(E168="",F168=""),"",DATEDIF(E168,F168,"Y"))</f>
        <v/>
      </c>
      <c r="H168" s="9" t="n"/>
    </row>
    <row r="169" ht="14.25" customHeight="1" s="37">
      <c r="A169" s="9" t="n"/>
      <c r="B169" s="9" t="n"/>
      <c r="C169" s="9" t="n"/>
      <c r="D169" s="9" t="n"/>
      <c r="E169" s="9" t="n"/>
      <c r="F169" s="9" t="n"/>
      <c r="G169" s="9">
        <f>IF(OR(E169="",F169=""),"",DATEDIF(E169,F169,"Y"))</f>
        <v/>
      </c>
      <c r="H169" s="9" t="n"/>
    </row>
    <row r="170" ht="14.25" customHeight="1" s="37">
      <c r="A170" s="9" t="n"/>
      <c r="B170" s="9" t="n"/>
      <c r="C170" s="9" t="n"/>
      <c r="D170" s="9" t="n"/>
      <c r="E170" s="9" t="n"/>
      <c r="F170" s="9" t="n"/>
      <c r="G170" s="9">
        <f>IF(OR(E170="",F170=""),"",DATEDIF(E170,F170,"Y"))</f>
        <v/>
      </c>
      <c r="H170" s="9" t="n"/>
    </row>
    <row r="171" ht="14.25" customHeight="1" s="37">
      <c r="A171" s="9" t="n"/>
      <c r="B171" s="9" t="n"/>
      <c r="C171" s="9" t="n"/>
      <c r="D171" s="9" t="n"/>
      <c r="E171" s="9" t="n"/>
      <c r="F171" s="9" t="n"/>
      <c r="G171" s="9">
        <f>IF(OR(E171="",F171=""),"",DATEDIF(E171,F171,"Y"))</f>
        <v/>
      </c>
      <c r="H171" s="9" t="n"/>
    </row>
    <row r="172" ht="14.25" customHeight="1" s="37">
      <c r="A172" s="9" t="n"/>
      <c r="B172" s="9" t="n"/>
      <c r="C172" s="9" t="n"/>
      <c r="D172" s="9" t="n"/>
      <c r="E172" s="9" t="n"/>
      <c r="F172" s="9" t="n"/>
      <c r="G172" s="9">
        <f>IF(OR(E172="",F172=""),"",DATEDIF(E172,F172,"Y"))</f>
        <v/>
      </c>
      <c r="H172" s="9" t="n"/>
    </row>
    <row r="173" ht="14.25" customHeight="1" s="37">
      <c r="A173" s="9" t="n"/>
      <c r="B173" s="9" t="n"/>
      <c r="C173" s="9" t="n"/>
      <c r="D173" s="9" t="n"/>
      <c r="E173" s="9" t="n"/>
      <c r="F173" s="9" t="n"/>
      <c r="G173" s="9">
        <f>IF(OR(E173="",F173=""),"",DATEDIF(E173,F173,"Y"))</f>
        <v/>
      </c>
      <c r="H173" s="9" t="n"/>
    </row>
    <row r="174" ht="14.25" customHeight="1" s="37">
      <c r="A174" s="9" t="n"/>
      <c r="B174" s="9" t="n"/>
      <c r="C174" s="9" t="n"/>
      <c r="D174" s="9" t="n"/>
      <c r="E174" s="9" t="n"/>
      <c r="F174" s="9" t="n"/>
      <c r="G174" s="9">
        <f>IF(OR(E174="",F174=""),"",DATEDIF(E174,F174,"Y"))</f>
        <v/>
      </c>
      <c r="H174" s="9" t="n"/>
    </row>
    <row r="175" ht="14.25" customHeight="1" s="37">
      <c r="A175" s="9" t="n"/>
      <c r="B175" s="9" t="n"/>
      <c r="C175" s="9" t="n"/>
      <c r="D175" s="9" t="n"/>
      <c r="E175" s="9" t="n"/>
      <c r="F175" s="9" t="n"/>
      <c r="G175" s="9">
        <f>IF(OR(E175="",F175=""),"",DATEDIF(E175,F175,"Y"))</f>
        <v/>
      </c>
      <c r="H175" s="9" t="n"/>
    </row>
    <row r="176" ht="14.25" customHeight="1" s="37">
      <c r="A176" s="9" t="n"/>
      <c r="B176" s="9" t="n"/>
      <c r="C176" s="9" t="n"/>
      <c r="D176" s="9" t="n"/>
      <c r="E176" s="9" t="n"/>
      <c r="F176" s="9" t="n"/>
      <c r="G176" s="9">
        <f>IF(OR(E176="",F176=""),"",DATEDIF(E176,F176,"Y"))</f>
        <v/>
      </c>
      <c r="H176" s="9" t="n"/>
    </row>
    <row r="177" ht="14.25" customHeight="1" s="37">
      <c r="A177" s="9" t="n"/>
      <c r="B177" s="9" t="n"/>
      <c r="C177" s="9" t="n"/>
      <c r="D177" s="9" t="n"/>
      <c r="E177" s="9" t="n"/>
      <c r="F177" s="9" t="n"/>
      <c r="G177" s="9">
        <f>IF(OR(E177="",F177=""),"",DATEDIF(E177,F177,"Y"))</f>
        <v/>
      </c>
      <c r="H177" s="9" t="n"/>
    </row>
    <row r="178" ht="14.25" customHeight="1" s="37">
      <c r="A178" s="9" t="n"/>
      <c r="B178" s="9" t="n"/>
      <c r="C178" s="9" t="n"/>
      <c r="D178" s="9" t="n"/>
      <c r="E178" s="9" t="n"/>
      <c r="F178" s="9" t="n"/>
      <c r="G178" s="9">
        <f>IF(OR(E178="",F178=""),"",DATEDIF(E178,F178,"Y"))</f>
        <v/>
      </c>
      <c r="H178" s="9" t="n"/>
    </row>
    <row r="179" ht="14.25" customHeight="1" s="37">
      <c r="A179" s="9" t="n"/>
      <c r="B179" s="9" t="n"/>
      <c r="C179" s="9" t="n"/>
      <c r="D179" s="9" t="n"/>
      <c r="E179" s="9" t="n"/>
      <c r="F179" s="9" t="n"/>
      <c r="G179" s="9">
        <f>IF(OR(E179="",F179=""),"",DATEDIF(E179,F179,"Y"))</f>
        <v/>
      </c>
      <c r="H179" s="9" t="n"/>
    </row>
    <row r="180" ht="14.25" customHeight="1" s="37">
      <c r="A180" s="9" t="n"/>
      <c r="B180" s="9" t="n"/>
      <c r="C180" s="9" t="n"/>
      <c r="D180" s="9" t="n"/>
      <c r="E180" s="9" t="n"/>
      <c r="F180" s="9" t="n"/>
      <c r="G180" s="9">
        <f>IF(OR(E180="",F180=""),"",DATEDIF(E180,F180,"Y"))</f>
        <v/>
      </c>
      <c r="H180" s="9" t="n"/>
    </row>
    <row r="181" ht="14.25" customHeight="1" s="37">
      <c r="A181" s="9" t="n"/>
      <c r="B181" s="9" t="n"/>
      <c r="C181" s="9" t="n"/>
      <c r="D181" s="9" t="n"/>
      <c r="E181" s="9" t="n"/>
      <c r="F181" s="9" t="n"/>
      <c r="G181" s="9">
        <f>IF(OR(E181="",F181=""),"",DATEDIF(E181,F181,"Y"))</f>
        <v/>
      </c>
      <c r="H181" s="9" t="n"/>
    </row>
    <row r="182" ht="14.25" customHeight="1" s="37">
      <c r="A182" s="9" t="n"/>
      <c r="B182" s="9" t="n"/>
      <c r="C182" s="9" t="n"/>
      <c r="D182" s="9" t="n"/>
      <c r="E182" s="9" t="n"/>
      <c r="F182" s="9" t="n"/>
      <c r="G182" s="9">
        <f>IF(OR(E182="",F182=""),"",DATEDIF(E182,F182,"Y"))</f>
        <v/>
      </c>
      <c r="H182" s="9" t="n"/>
    </row>
    <row r="183" ht="14.25" customHeight="1" s="37">
      <c r="A183" s="9" t="n"/>
      <c r="B183" s="9" t="n"/>
      <c r="C183" s="9" t="n"/>
      <c r="D183" s="9" t="n"/>
      <c r="E183" s="9" t="n"/>
      <c r="F183" s="9" t="n"/>
      <c r="G183" s="9">
        <f>IF(OR(E183="",F183=""),"",DATEDIF(E183,F183,"Y"))</f>
        <v/>
      </c>
      <c r="H183" s="9" t="n"/>
    </row>
    <row r="184" ht="14.25" customHeight="1" s="37">
      <c r="A184" s="9" t="n"/>
      <c r="B184" s="9" t="n"/>
      <c r="C184" s="9" t="n"/>
      <c r="D184" s="9" t="n"/>
      <c r="E184" s="9" t="n"/>
      <c r="F184" s="9" t="n"/>
      <c r="G184" s="9">
        <f>IF(OR(E184="",F184=""),"",DATEDIF(E184,F184,"Y"))</f>
        <v/>
      </c>
      <c r="H184" s="9" t="n"/>
    </row>
    <row r="185" ht="14.25" customHeight="1" s="37">
      <c r="A185" s="9" t="n"/>
      <c r="B185" s="9" t="n"/>
      <c r="C185" s="9" t="n"/>
      <c r="D185" s="9" t="n"/>
      <c r="E185" s="9" t="n"/>
      <c r="F185" s="9" t="n"/>
      <c r="G185" s="9">
        <f>IF(OR(E185="",F185=""),"",DATEDIF(E185,F185,"Y"))</f>
        <v/>
      </c>
      <c r="H185" s="9" t="n"/>
    </row>
    <row r="186" ht="14.25" customHeight="1" s="37">
      <c r="A186" s="9" t="n"/>
      <c r="B186" s="9" t="n"/>
      <c r="C186" s="9" t="n"/>
      <c r="D186" s="9" t="n"/>
      <c r="E186" s="9" t="n"/>
      <c r="F186" s="9" t="n"/>
      <c r="G186" s="9">
        <f>IF(OR(E186="",F186=""),"",DATEDIF(E186,F186,"Y"))</f>
        <v/>
      </c>
      <c r="H186" s="9" t="n"/>
    </row>
    <row r="187" ht="14.25" customHeight="1" s="37">
      <c r="A187" s="9" t="n"/>
      <c r="B187" s="9" t="n"/>
      <c r="C187" s="9" t="n"/>
      <c r="D187" s="9" t="n"/>
      <c r="E187" s="9" t="n"/>
      <c r="F187" s="9" t="n"/>
      <c r="G187" s="9">
        <f>IF(OR(E187="",F187=""),"",DATEDIF(E187,F187,"Y"))</f>
        <v/>
      </c>
      <c r="H187" s="9" t="n"/>
    </row>
    <row r="188" ht="14.25" customHeight="1" s="37">
      <c r="A188" s="9" t="n"/>
      <c r="B188" s="9" t="n"/>
      <c r="C188" s="9" t="n"/>
      <c r="D188" s="9" t="n"/>
      <c r="E188" s="9" t="n"/>
      <c r="F188" s="9" t="n"/>
      <c r="G188" s="9">
        <f>IF(OR(E188="",F188=""),"",DATEDIF(E188,F188,"Y"))</f>
        <v/>
      </c>
      <c r="H188" s="9" t="n"/>
    </row>
    <row r="189" ht="14.25" customHeight="1" s="37">
      <c r="A189" s="9" t="n"/>
      <c r="B189" s="9" t="n"/>
      <c r="C189" s="9" t="n"/>
      <c r="D189" s="9" t="n"/>
      <c r="E189" s="9" t="n"/>
      <c r="F189" s="9" t="n"/>
      <c r="G189" s="9">
        <f>IF(OR(E189="",F189=""),"",DATEDIF(E189,F189,"Y"))</f>
        <v/>
      </c>
      <c r="H189" s="9" t="n"/>
    </row>
    <row r="190" ht="14.25" customHeight="1" s="37">
      <c r="A190" s="9" t="n"/>
      <c r="B190" s="9" t="n"/>
      <c r="C190" s="9" t="n"/>
      <c r="D190" s="9" t="n"/>
      <c r="E190" s="9" t="n"/>
      <c r="F190" s="9" t="n"/>
      <c r="G190" s="9">
        <f>IF(OR(E190="",F190=""),"",DATEDIF(E190,F190,"Y"))</f>
        <v/>
      </c>
      <c r="H190" s="9" t="n"/>
    </row>
    <row r="191" ht="14.25" customHeight="1" s="37">
      <c r="A191" s="9" t="n"/>
      <c r="B191" s="9" t="n"/>
      <c r="C191" s="9" t="n"/>
      <c r="D191" s="9" t="n"/>
      <c r="E191" s="9" t="n"/>
      <c r="F191" s="9" t="n"/>
      <c r="G191" s="9">
        <f>IF(OR(E191="",F191=""),"",DATEDIF(E191,F191,"Y"))</f>
        <v/>
      </c>
      <c r="H191" s="9" t="n"/>
    </row>
    <row r="192" ht="14.25" customHeight="1" s="37">
      <c r="A192" s="9" t="n"/>
      <c r="B192" s="9" t="n"/>
      <c r="C192" s="9" t="n"/>
      <c r="D192" s="9" t="n"/>
      <c r="E192" s="9" t="n"/>
      <c r="F192" s="9" t="n"/>
      <c r="G192" s="9">
        <f>IF(OR(E192="",F192=""),"",DATEDIF(E192,F192,"Y"))</f>
        <v/>
      </c>
      <c r="H192" s="9" t="n"/>
    </row>
    <row r="193" ht="14.25" customHeight="1" s="37">
      <c r="A193" s="9" t="n"/>
      <c r="B193" s="9" t="n"/>
      <c r="C193" s="9" t="n"/>
      <c r="D193" s="9" t="n"/>
      <c r="E193" s="9" t="n"/>
      <c r="F193" s="9" t="n"/>
      <c r="G193" s="9">
        <f>IF(OR(E193="",F193=""),"",DATEDIF(E193,F193,"Y"))</f>
        <v/>
      </c>
      <c r="H193" s="9" t="n"/>
    </row>
    <row r="194" ht="14.25" customHeight="1" s="37">
      <c r="A194" s="9" t="n"/>
      <c r="B194" s="9" t="n"/>
      <c r="C194" s="9" t="n"/>
      <c r="D194" s="9" t="n"/>
      <c r="E194" s="9" t="n"/>
      <c r="F194" s="9" t="n"/>
      <c r="G194" s="9">
        <f>IF(OR(E194="",F194=""),"",DATEDIF(E194,F194,"Y"))</f>
        <v/>
      </c>
      <c r="H194" s="9" t="n"/>
    </row>
    <row r="195" ht="14.25" customHeight="1" s="37">
      <c r="A195" s="9" t="n"/>
      <c r="B195" s="9" t="n"/>
      <c r="C195" s="9" t="n"/>
      <c r="D195" s="9" t="n"/>
      <c r="E195" s="9" t="n"/>
      <c r="F195" s="9" t="n"/>
      <c r="G195" s="9">
        <f>IF(OR(E195="",F195=""),"",DATEDIF(E195,F195,"Y"))</f>
        <v/>
      </c>
      <c r="H195" s="9" t="n"/>
    </row>
    <row r="196" ht="14.25" customHeight="1" s="37">
      <c r="A196" s="9" t="n"/>
      <c r="B196" s="9" t="n"/>
      <c r="C196" s="9" t="n"/>
      <c r="D196" s="9" t="n"/>
      <c r="E196" s="9" t="n"/>
      <c r="F196" s="9" t="n"/>
      <c r="G196" s="9">
        <f>IF(OR(E196="",F196=""),"",DATEDIF(E196,F196,"Y"))</f>
        <v/>
      </c>
      <c r="H196" s="9" t="n"/>
    </row>
    <row r="197" ht="14.25" customHeight="1" s="37">
      <c r="A197" s="9" t="n"/>
      <c r="B197" s="9" t="n"/>
      <c r="C197" s="9" t="n"/>
      <c r="D197" s="9" t="n"/>
      <c r="E197" s="9" t="n"/>
      <c r="F197" s="9" t="n"/>
      <c r="G197" s="9">
        <f>IF(OR(E197="",F197=""),"",DATEDIF(E197,F197,"Y"))</f>
        <v/>
      </c>
      <c r="H197" s="9" t="n"/>
    </row>
    <row r="198" ht="14.25" customHeight="1" s="37">
      <c r="A198" s="9" t="n"/>
      <c r="B198" s="9" t="n"/>
      <c r="C198" s="9" t="n"/>
      <c r="D198" s="9" t="n"/>
      <c r="E198" s="9" t="n"/>
      <c r="F198" s="9" t="n"/>
      <c r="G198" s="9">
        <f>IF(OR(E198="",F198=""),"",DATEDIF(E198,F198,"Y"))</f>
        <v/>
      </c>
      <c r="H198" s="9" t="n"/>
    </row>
    <row r="199" ht="14.25" customHeight="1" s="37">
      <c r="A199" s="9" t="n"/>
      <c r="B199" s="9" t="n"/>
      <c r="C199" s="9" t="n"/>
      <c r="D199" s="9" t="n"/>
      <c r="E199" s="9" t="n"/>
      <c r="F199" s="9" t="n"/>
      <c r="G199" s="9">
        <f>IF(OR(E199="",F199=""),"",DATEDIF(E199,F199,"Y"))</f>
        <v/>
      </c>
      <c r="H199" s="9" t="n"/>
    </row>
    <row r="200" ht="14.25" customHeight="1" s="37">
      <c r="A200" s="9" t="n"/>
      <c r="B200" s="9" t="n"/>
      <c r="C200" s="9" t="n"/>
      <c r="D200" s="9" t="n"/>
      <c r="E200" s="9" t="n"/>
      <c r="F200" s="9" t="n"/>
      <c r="G200" s="9">
        <f>IF(OR(E200="",F200=""),"",DATEDIF(E200,F200,"Y"))</f>
        <v/>
      </c>
      <c r="H200" s="9" t="n"/>
    </row>
    <row r="201" ht="14.25" customHeight="1" s="37">
      <c r="A201" s="9" t="n"/>
      <c r="B201" s="9" t="n"/>
      <c r="C201" s="9" t="n"/>
      <c r="D201" s="9" t="n"/>
      <c r="E201" s="9" t="n"/>
      <c r="F201" s="9" t="n"/>
      <c r="G201" s="9">
        <f>IF(OR(E201="",F201=""),"",DATEDIF(E201,F201,"Y"))</f>
        <v/>
      </c>
      <c r="H201" s="9" t="n"/>
    </row>
    <row r="202" ht="14.25" customHeight="1" s="37">
      <c r="A202" s="9" t="n"/>
      <c r="B202" s="9" t="n"/>
      <c r="C202" s="9" t="n"/>
      <c r="D202" s="9" t="n"/>
      <c r="E202" s="9" t="n"/>
      <c r="F202" s="9" t="n"/>
      <c r="G202" s="9">
        <f>IF(OR(E202="",F202=""),"",DATEDIF(E202,F202,"Y"))</f>
        <v/>
      </c>
      <c r="H202" s="9" t="n"/>
    </row>
    <row r="203" ht="14.25" customHeight="1" s="37">
      <c r="A203" s="9" t="n"/>
      <c r="B203" s="9" t="n"/>
      <c r="C203" s="9" t="n"/>
      <c r="D203" s="9" t="n"/>
      <c r="E203" s="9" t="n"/>
      <c r="F203" s="9" t="n"/>
      <c r="G203" s="9">
        <f>IF(OR(E203="",F203=""),"",DATEDIF(E203,F203,"Y"))</f>
        <v/>
      </c>
      <c r="H203" s="9" t="n"/>
    </row>
    <row r="204" ht="14.25" customHeight="1" s="37">
      <c r="A204" s="9" t="n"/>
      <c r="B204" s="9" t="n"/>
      <c r="C204" s="9" t="n"/>
      <c r="D204" s="9" t="n"/>
      <c r="E204" s="9" t="n"/>
      <c r="F204" s="9" t="n"/>
      <c r="G204" s="9">
        <f>IF(OR(E204="",F204=""),"",DATEDIF(E204,F204,"Y"))</f>
        <v/>
      </c>
      <c r="H204" s="9" t="n"/>
    </row>
    <row r="205" ht="14.25" customHeight="1" s="37">
      <c r="A205" s="9" t="n"/>
      <c r="B205" s="9" t="n"/>
      <c r="C205" s="9" t="n"/>
      <c r="D205" s="9" t="n"/>
      <c r="E205" s="9" t="n"/>
      <c r="F205" s="9" t="n"/>
      <c r="G205" s="9">
        <f>IF(OR(E205="",F205=""),"",DATEDIF(E205,F205,"Y"))</f>
        <v/>
      </c>
      <c r="H205" s="9" t="n"/>
    </row>
    <row r="206" ht="14.25" customHeight="1" s="37">
      <c r="A206" s="9" t="n"/>
      <c r="B206" s="9" t="n"/>
      <c r="C206" s="9" t="n"/>
      <c r="D206" s="9" t="n"/>
      <c r="E206" s="9" t="n"/>
      <c r="F206" s="9" t="n"/>
      <c r="G206" s="9">
        <f>IF(OR(E206="",F206=""),"",DATEDIF(E206,F206,"Y"))</f>
        <v/>
      </c>
      <c r="H206" s="9" t="n"/>
    </row>
    <row r="207" ht="14.25" customHeight="1" s="37">
      <c r="A207" s="9" t="n"/>
      <c r="B207" s="9" t="n"/>
      <c r="C207" s="9" t="n"/>
      <c r="D207" s="9" t="n"/>
      <c r="E207" s="9" t="n"/>
      <c r="F207" s="9" t="n"/>
      <c r="G207" s="9">
        <f>IF(OR(E207="",F207=""),"",DATEDIF(E207,F207,"Y"))</f>
        <v/>
      </c>
      <c r="H207" s="9" t="n"/>
    </row>
    <row r="208" ht="14.25" customHeight="1" s="37">
      <c r="A208" s="9" t="n"/>
      <c r="B208" s="9" t="n"/>
      <c r="C208" s="9" t="n"/>
      <c r="D208" s="9" t="n"/>
      <c r="E208" s="9" t="n"/>
      <c r="F208" s="9" t="n"/>
      <c r="G208" s="9">
        <f>IF(OR(E208="",F208=""),"",DATEDIF(E208,F208,"Y"))</f>
        <v/>
      </c>
      <c r="H208" s="9" t="n"/>
    </row>
    <row r="209" ht="14.25" customHeight="1" s="37">
      <c r="A209" s="9" t="n"/>
      <c r="B209" s="9" t="n"/>
      <c r="C209" s="9" t="n"/>
      <c r="D209" s="9" t="n"/>
      <c r="E209" s="9" t="n"/>
      <c r="F209" s="9" t="n"/>
      <c r="G209" s="9">
        <f>IF(OR(E209="",F209=""),"",DATEDIF(E209,F209,"Y"))</f>
        <v/>
      </c>
      <c r="H209" s="9" t="n"/>
    </row>
    <row r="210" ht="14.25" customHeight="1" s="37">
      <c r="A210" s="9" t="n"/>
      <c r="B210" s="9" t="n"/>
      <c r="C210" s="9" t="n"/>
      <c r="D210" s="9" t="n"/>
      <c r="E210" s="9" t="n"/>
      <c r="F210" s="9" t="n"/>
      <c r="G210" s="9">
        <f>IF(OR(E210="",F210=""),"",DATEDIF(E210,F210,"Y"))</f>
        <v/>
      </c>
      <c r="H210" s="9" t="n"/>
    </row>
    <row r="211" ht="14.25" customHeight="1" s="37">
      <c r="A211" s="9" t="n"/>
      <c r="B211" s="9" t="n"/>
      <c r="C211" s="9" t="n"/>
      <c r="D211" s="9" t="n"/>
      <c r="E211" s="9" t="n"/>
      <c r="F211" s="9" t="n"/>
      <c r="G211" s="9">
        <f>IF(OR(E211="",F211=""),"",DATEDIF(E211,F211,"Y"))</f>
        <v/>
      </c>
      <c r="H211" s="9" t="n"/>
    </row>
    <row r="212" ht="14.25" customHeight="1" s="37">
      <c r="A212" s="9" t="n"/>
      <c r="B212" s="9" t="n"/>
      <c r="C212" s="9" t="n"/>
      <c r="D212" s="9" t="n"/>
      <c r="E212" s="9" t="n"/>
      <c r="F212" s="9" t="n"/>
      <c r="G212" s="9">
        <f>IF(OR(E212="",F212=""),"",DATEDIF(E212,F212,"Y"))</f>
        <v/>
      </c>
      <c r="H212" s="9" t="n"/>
    </row>
    <row r="213" ht="14.25" customHeight="1" s="37">
      <c r="A213" s="9" t="n"/>
      <c r="B213" s="9" t="n"/>
      <c r="C213" s="9" t="n"/>
      <c r="D213" s="9" t="n"/>
      <c r="E213" s="9" t="n"/>
      <c r="F213" s="9" t="n"/>
      <c r="G213" s="9">
        <f>IF(OR(E213="",F213=""),"",DATEDIF(E213,F213,"Y"))</f>
        <v/>
      </c>
      <c r="H213" s="9" t="n"/>
    </row>
    <row r="214" ht="14.25" customHeight="1" s="37">
      <c r="A214" s="9" t="n"/>
      <c r="B214" s="9" t="n"/>
      <c r="C214" s="9" t="n"/>
      <c r="D214" s="9" t="n"/>
      <c r="E214" s="9" t="n"/>
      <c r="F214" s="9" t="n"/>
      <c r="G214" s="9">
        <f>IF(OR(E214="",F214=""),"",DATEDIF(E214,F214,"Y"))</f>
        <v/>
      </c>
      <c r="H214" s="9" t="n"/>
    </row>
    <row r="215" ht="14.25" customHeight="1" s="37">
      <c r="A215" s="9" t="n"/>
      <c r="B215" s="9" t="n"/>
      <c r="C215" s="9" t="n"/>
      <c r="D215" s="9" t="n"/>
      <c r="E215" s="9" t="n"/>
      <c r="F215" s="9" t="n"/>
      <c r="G215" s="9">
        <f>IF(OR(E215="",F215=""),"",DATEDIF(E215,F215,"Y"))</f>
        <v/>
      </c>
      <c r="H215" s="9" t="n"/>
    </row>
    <row r="216" ht="14.25" customHeight="1" s="37">
      <c r="A216" s="9" t="n"/>
      <c r="B216" s="9" t="n"/>
      <c r="C216" s="9" t="n"/>
      <c r="D216" s="9" t="n"/>
      <c r="E216" s="9" t="n"/>
      <c r="F216" s="9" t="n"/>
      <c r="G216" s="9">
        <f>IF(OR(E216="",F216=""),"",DATEDIF(E216,F216,"Y"))</f>
        <v/>
      </c>
      <c r="H216" s="9" t="n"/>
    </row>
    <row r="217" ht="14.25" customHeight="1" s="37">
      <c r="A217" s="9" t="n"/>
      <c r="B217" s="9" t="n"/>
      <c r="C217" s="9" t="n"/>
      <c r="D217" s="9" t="n"/>
      <c r="E217" s="9" t="n"/>
      <c r="F217" s="9" t="n"/>
      <c r="G217" s="9">
        <f>IF(OR(E217="",F217=""),"",DATEDIF(E217,F217,"Y"))</f>
        <v/>
      </c>
      <c r="H217" s="9" t="n"/>
    </row>
    <row r="218" ht="14.25" customHeight="1" s="37">
      <c r="A218" s="9" t="n"/>
      <c r="B218" s="9" t="n"/>
      <c r="C218" s="9" t="n"/>
      <c r="D218" s="9" t="n"/>
      <c r="E218" s="9" t="n"/>
      <c r="F218" s="9" t="n"/>
      <c r="G218" s="9">
        <f>IF(OR(E218="",F218=""),"",DATEDIF(E218,F218,"Y"))</f>
        <v/>
      </c>
      <c r="H218" s="9" t="n"/>
    </row>
    <row r="219" ht="14.25" customHeight="1" s="37">
      <c r="A219" s="9" t="n"/>
      <c r="B219" s="9" t="n"/>
      <c r="C219" s="9" t="n"/>
      <c r="D219" s="9" t="n"/>
      <c r="E219" s="9" t="n"/>
      <c r="F219" s="9" t="n"/>
      <c r="G219" s="9">
        <f>IF(OR(E219="",F219=""),"",DATEDIF(E219,F219,"Y"))</f>
        <v/>
      </c>
      <c r="H219" s="9" t="n"/>
    </row>
    <row r="220" ht="14.25" customHeight="1" s="37">
      <c r="A220" s="9" t="n"/>
      <c r="B220" s="9" t="n"/>
      <c r="C220" s="9" t="n"/>
      <c r="D220" s="9" t="n"/>
      <c r="E220" s="9" t="n"/>
      <c r="F220" s="9" t="n"/>
      <c r="G220" s="9">
        <f>IF(OR(E220="",F220=""),"",DATEDIF(E220,F220,"Y"))</f>
        <v/>
      </c>
      <c r="H220" s="9" t="n"/>
    </row>
    <row r="221" ht="14.25" customHeight="1" s="37">
      <c r="A221" s="9" t="n"/>
      <c r="B221" s="9" t="n"/>
      <c r="C221" s="9" t="n"/>
      <c r="D221" s="9" t="n"/>
      <c r="E221" s="9" t="n"/>
      <c r="F221" s="9" t="n"/>
      <c r="G221" s="9">
        <f>IF(OR(E221="",F221=""),"",DATEDIF(E221,F221,"Y"))</f>
        <v/>
      </c>
      <c r="H221" s="9" t="n"/>
    </row>
    <row r="222" ht="14.25" customHeight="1" s="37">
      <c r="A222" s="9" t="n"/>
      <c r="B222" s="9" t="n"/>
      <c r="C222" s="9" t="n"/>
      <c r="D222" s="9" t="n"/>
      <c r="E222" s="9" t="n"/>
      <c r="F222" s="9" t="n"/>
      <c r="G222" s="9">
        <f>IF(OR(E222="",F222=""),"",DATEDIF(E222,F222,"Y"))</f>
        <v/>
      </c>
      <c r="H222" s="9" t="n"/>
    </row>
    <row r="223" ht="14.25" customHeight="1" s="37">
      <c r="A223" s="9" t="n"/>
      <c r="B223" s="9" t="n"/>
      <c r="C223" s="9" t="n"/>
      <c r="D223" s="9" t="n"/>
      <c r="E223" s="9" t="n"/>
      <c r="F223" s="9" t="n"/>
      <c r="G223" s="9">
        <f>IF(OR(E223="",F223=""),"",DATEDIF(E223,F223,"Y"))</f>
        <v/>
      </c>
      <c r="H223" s="9" t="n"/>
    </row>
    <row r="224" ht="14.25" customHeight="1" s="37">
      <c r="A224" s="9" t="n"/>
      <c r="B224" s="9" t="n"/>
      <c r="C224" s="9" t="n"/>
      <c r="D224" s="9" t="n"/>
      <c r="E224" s="9" t="n"/>
      <c r="F224" s="9" t="n"/>
      <c r="G224" s="9">
        <f>IF(OR(E224="",F224=""),"",DATEDIF(E224,F224,"Y"))</f>
        <v/>
      </c>
      <c r="H224" s="9" t="n"/>
    </row>
    <row r="225" ht="14.25" customHeight="1" s="37">
      <c r="A225" s="9" t="n"/>
      <c r="B225" s="9" t="n"/>
      <c r="C225" s="9" t="n"/>
      <c r="D225" s="9" t="n"/>
      <c r="E225" s="9" t="n"/>
      <c r="F225" s="9" t="n"/>
      <c r="G225" s="9">
        <f>IF(OR(E225="",F225=""),"",DATEDIF(E225,F225,"Y"))</f>
        <v/>
      </c>
      <c r="H225" s="9" t="n"/>
    </row>
    <row r="226" ht="14.25" customHeight="1" s="37">
      <c r="A226" s="9" t="n"/>
      <c r="B226" s="9" t="n"/>
      <c r="C226" s="9" t="n"/>
      <c r="D226" s="9" t="n"/>
      <c r="E226" s="9" t="n"/>
      <c r="F226" s="9" t="n"/>
      <c r="G226" s="9">
        <f>IF(OR(E226="",F226=""),"",DATEDIF(E226,F226,"Y"))</f>
        <v/>
      </c>
      <c r="H226" s="9" t="n"/>
    </row>
    <row r="227" ht="14.25" customHeight="1" s="37">
      <c r="A227" s="9" t="n"/>
      <c r="B227" s="9" t="n"/>
      <c r="C227" s="9" t="n"/>
      <c r="D227" s="9" t="n"/>
      <c r="E227" s="9" t="n"/>
      <c r="F227" s="9" t="n"/>
      <c r="G227" s="9">
        <f>IF(OR(E227="",F227=""),"",DATEDIF(E227,F227,"Y"))</f>
        <v/>
      </c>
      <c r="H227" s="9" t="n"/>
    </row>
    <row r="228" ht="14.25" customHeight="1" s="37">
      <c r="A228" s="9" t="n"/>
      <c r="B228" s="9" t="n"/>
      <c r="C228" s="9" t="n"/>
      <c r="D228" s="9" t="n"/>
      <c r="E228" s="9" t="n"/>
      <c r="F228" s="9" t="n"/>
      <c r="G228" s="9">
        <f>IF(OR(E228="",F228=""),"",DATEDIF(E228,F228,"Y"))</f>
        <v/>
      </c>
      <c r="H228" s="9" t="n"/>
    </row>
    <row r="229" ht="14.25" customHeight="1" s="37">
      <c r="A229" s="9" t="n"/>
      <c r="B229" s="9" t="n"/>
      <c r="C229" s="9" t="n"/>
      <c r="D229" s="9" t="n"/>
      <c r="E229" s="9" t="n"/>
      <c r="F229" s="9" t="n"/>
      <c r="G229" s="9">
        <f>IF(OR(E229="",F229=""),"",DATEDIF(E229,F229,"Y"))</f>
        <v/>
      </c>
      <c r="H229" s="9" t="n"/>
    </row>
    <row r="230" ht="14.25" customHeight="1" s="37">
      <c r="A230" s="9" t="n"/>
      <c r="B230" s="9" t="n"/>
      <c r="C230" s="9" t="n"/>
      <c r="D230" s="9" t="n"/>
      <c r="E230" s="9" t="n"/>
      <c r="F230" s="9" t="n"/>
      <c r="G230" s="9">
        <f>IF(OR(E230="",F230=""),"",DATEDIF(E230,F230,"Y"))</f>
        <v/>
      </c>
      <c r="H230" s="9" t="n"/>
    </row>
    <row r="231" ht="14.25" customHeight="1" s="37">
      <c r="A231" s="9" t="n"/>
      <c r="B231" s="9" t="n"/>
      <c r="C231" s="9" t="n"/>
      <c r="D231" s="9" t="n"/>
      <c r="E231" s="9" t="n"/>
      <c r="F231" s="9" t="n"/>
      <c r="G231" s="9">
        <f>IF(OR(E231="",F231=""),"",DATEDIF(E231,F231,"Y"))</f>
        <v/>
      </c>
      <c r="H231" s="9" t="n"/>
    </row>
    <row r="232" ht="14.25" customHeight="1" s="37">
      <c r="A232" s="9" t="n"/>
      <c r="B232" s="9" t="n"/>
      <c r="C232" s="9" t="n"/>
      <c r="D232" s="9" t="n"/>
      <c r="E232" s="9" t="n"/>
      <c r="F232" s="9" t="n"/>
      <c r="G232" s="9">
        <f>IF(OR(E232="",F232=""),"",DATEDIF(E232,F232,"Y"))</f>
        <v/>
      </c>
      <c r="H232" s="9" t="n"/>
    </row>
    <row r="233" ht="14.25" customHeight="1" s="37">
      <c r="A233" s="9" t="n"/>
      <c r="B233" s="9" t="n"/>
      <c r="C233" s="9" t="n"/>
      <c r="D233" s="9" t="n"/>
      <c r="E233" s="9" t="n"/>
      <c r="F233" s="9" t="n"/>
      <c r="G233" s="9">
        <f>IF(OR(E233="",F233=""),"",DATEDIF(E233,F233,"Y"))</f>
        <v/>
      </c>
      <c r="H233" s="9" t="n"/>
    </row>
    <row r="234" ht="14.25" customHeight="1" s="37">
      <c r="A234" s="9" t="n"/>
      <c r="B234" s="9" t="n"/>
      <c r="C234" s="9" t="n"/>
      <c r="D234" s="9" t="n"/>
      <c r="E234" s="9" t="n"/>
      <c r="F234" s="9" t="n"/>
      <c r="G234" s="9">
        <f>IF(OR(E234="",F234=""),"",DATEDIF(E234,F234,"Y"))</f>
        <v/>
      </c>
      <c r="H234" s="9" t="n"/>
    </row>
    <row r="235" ht="14.25" customHeight="1" s="37">
      <c r="A235" s="9" t="n"/>
      <c r="B235" s="9" t="n"/>
      <c r="C235" s="9" t="n"/>
      <c r="D235" s="9" t="n"/>
      <c r="E235" s="9" t="n"/>
      <c r="F235" s="9" t="n"/>
      <c r="G235" s="9">
        <f>IF(OR(E235="",F235=""),"",DATEDIF(E235,F235,"Y"))</f>
        <v/>
      </c>
      <c r="H235" s="9" t="n"/>
    </row>
    <row r="236" ht="14.25" customHeight="1" s="37">
      <c r="A236" s="9" t="n"/>
      <c r="B236" s="9" t="n"/>
      <c r="C236" s="9" t="n"/>
      <c r="D236" s="9" t="n"/>
      <c r="E236" s="9" t="n"/>
      <c r="F236" s="9" t="n"/>
      <c r="G236" s="9">
        <f>IF(OR(E236="",F236=""),"",DATEDIF(E236,F236,"Y"))</f>
        <v/>
      </c>
      <c r="H236" s="9" t="n"/>
    </row>
    <row r="237" ht="14.25" customHeight="1" s="37">
      <c r="A237" s="9" t="n"/>
      <c r="B237" s="9" t="n"/>
      <c r="C237" s="9" t="n"/>
      <c r="D237" s="9" t="n"/>
      <c r="E237" s="9" t="n"/>
      <c r="F237" s="9" t="n"/>
      <c r="G237" s="9">
        <f>IF(OR(E237="",F237=""),"",DATEDIF(E237,F237,"Y"))</f>
        <v/>
      </c>
      <c r="H237" s="9" t="n"/>
    </row>
    <row r="238" ht="14.25" customHeight="1" s="37">
      <c r="A238" s="9" t="n"/>
      <c r="B238" s="9" t="n"/>
      <c r="C238" s="9" t="n"/>
      <c r="D238" s="9" t="n"/>
      <c r="E238" s="9" t="n"/>
      <c r="F238" s="9" t="n"/>
      <c r="G238" s="9">
        <f>IF(OR(E238="",F238=""),"",DATEDIF(E238,F238,"Y"))</f>
        <v/>
      </c>
      <c r="H238" s="9" t="n"/>
    </row>
    <row r="239" ht="14.25" customHeight="1" s="37">
      <c r="A239" s="9" t="n"/>
      <c r="B239" s="9" t="n"/>
      <c r="C239" s="9" t="n"/>
      <c r="D239" s="9" t="n"/>
      <c r="E239" s="9" t="n"/>
      <c r="F239" s="9" t="n"/>
      <c r="G239" s="9">
        <f>IF(OR(E239="",F239=""),"",DATEDIF(E239,F239,"Y"))</f>
        <v/>
      </c>
      <c r="H239" s="9" t="n"/>
    </row>
    <row r="240" ht="14.25" customHeight="1" s="37">
      <c r="A240" s="9" t="n"/>
      <c r="B240" s="9" t="n"/>
      <c r="C240" s="9" t="n"/>
      <c r="D240" s="9" t="n"/>
      <c r="E240" s="9" t="n"/>
      <c r="F240" s="9" t="n"/>
      <c r="G240" s="9">
        <f>IF(OR(E240="",F240=""),"",DATEDIF(E240,F240,"Y"))</f>
        <v/>
      </c>
      <c r="H240" s="9" t="n"/>
    </row>
    <row r="241" ht="14.25" customHeight="1" s="37">
      <c r="A241" s="9" t="n"/>
      <c r="B241" s="9" t="n"/>
      <c r="C241" s="9" t="n"/>
      <c r="D241" s="9" t="n"/>
      <c r="E241" s="9" t="n"/>
      <c r="F241" s="9" t="n"/>
      <c r="G241" s="9">
        <f>IF(OR(E241="",F241=""),"",DATEDIF(E241,F241,"Y"))</f>
        <v/>
      </c>
      <c r="H241" s="9" t="n"/>
    </row>
    <row r="242" ht="14.25" customHeight="1" s="37">
      <c r="A242" s="9" t="n"/>
      <c r="B242" s="9" t="n"/>
      <c r="C242" s="9" t="n"/>
      <c r="D242" s="9" t="n"/>
      <c r="E242" s="9" t="n"/>
      <c r="F242" s="9" t="n"/>
      <c r="G242" s="9">
        <f>IF(OR(E242="",F242=""),"",DATEDIF(E242,F242,"Y"))</f>
        <v/>
      </c>
      <c r="H242" s="9" t="n"/>
    </row>
    <row r="243" ht="14.25" customHeight="1" s="37">
      <c r="A243" s="9" t="n"/>
      <c r="B243" s="9" t="n"/>
      <c r="C243" s="9" t="n"/>
      <c r="D243" s="9" t="n"/>
      <c r="E243" s="9" t="n"/>
      <c r="F243" s="9" t="n"/>
      <c r="G243" s="9">
        <f>IF(OR(E243="",F243=""),"",DATEDIF(E243,F243,"Y"))</f>
        <v/>
      </c>
      <c r="H243" s="9" t="n"/>
    </row>
    <row r="244" ht="14.25" customHeight="1" s="37">
      <c r="A244" s="9" t="n"/>
      <c r="B244" s="9" t="n"/>
      <c r="C244" s="9" t="n"/>
      <c r="D244" s="9" t="n"/>
      <c r="E244" s="9" t="n"/>
      <c r="F244" s="9" t="n"/>
      <c r="G244" s="9">
        <f>IF(OR(E244="",F244=""),"",DATEDIF(E244,F244,"Y"))</f>
        <v/>
      </c>
      <c r="H244" s="9" t="n"/>
    </row>
    <row r="245" ht="14.25" customHeight="1" s="37">
      <c r="A245" s="9" t="n"/>
      <c r="B245" s="9" t="n"/>
      <c r="C245" s="9" t="n"/>
      <c r="D245" s="9" t="n"/>
      <c r="E245" s="9" t="n"/>
      <c r="F245" s="9" t="n"/>
      <c r="G245" s="9">
        <f>IF(OR(E245="",F245=""),"",DATEDIF(E245,F245,"Y"))</f>
        <v/>
      </c>
      <c r="H245" s="9" t="n"/>
    </row>
    <row r="246" ht="14.25" customHeight="1" s="37">
      <c r="A246" s="9" t="n"/>
      <c r="B246" s="9" t="n"/>
      <c r="C246" s="9" t="n"/>
      <c r="D246" s="9" t="n"/>
      <c r="E246" s="9" t="n"/>
      <c r="F246" s="9" t="n"/>
      <c r="G246" s="9">
        <f>IF(OR(E246="",F246=""),"",DATEDIF(E246,F246,"Y"))</f>
        <v/>
      </c>
      <c r="H246" s="9" t="n"/>
    </row>
    <row r="247" ht="14.25" customHeight="1" s="37">
      <c r="A247" s="9" t="n"/>
      <c r="B247" s="9" t="n"/>
      <c r="C247" s="9" t="n"/>
      <c r="D247" s="9" t="n"/>
      <c r="E247" s="9" t="n"/>
      <c r="F247" s="9" t="n"/>
      <c r="G247" s="9">
        <f>IF(OR(E247="",F247=""),"",DATEDIF(E247,F247,"Y"))</f>
        <v/>
      </c>
      <c r="H247" s="9" t="n"/>
    </row>
    <row r="248" ht="14.25" customHeight="1" s="37">
      <c r="A248" s="9" t="n"/>
      <c r="B248" s="9" t="n"/>
      <c r="C248" s="9" t="n"/>
      <c r="D248" s="9" t="n"/>
      <c r="E248" s="9" t="n"/>
      <c r="F248" s="9" t="n"/>
      <c r="G248" s="9">
        <f>IF(OR(E248="",F248=""),"",DATEDIF(E248,F248,"Y"))</f>
        <v/>
      </c>
      <c r="H248" s="9" t="n"/>
    </row>
    <row r="249" ht="14.25" customHeight="1" s="37">
      <c r="A249" s="9" t="n"/>
      <c r="B249" s="9" t="n"/>
      <c r="C249" s="9" t="n"/>
      <c r="D249" s="9" t="n"/>
      <c r="E249" s="9" t="n"/>
      <c r="F249" s="9" t="n"/>
      <c r="G249" s="9">
        <f>IF(OR(E249="",F249=""),"",DATEDIF(E249,F249,"Y"))</f>
        <v/>
      </c>
      <c r="H249" s="9" t="n"/>
    </row>
    <row r="250" ht="14.25" customHeight="1" s="37">
      <c r="A250" s="9" t="n"/>
      <c r="B250" s="9" t="n"/>
      <c r="C250" s="9" t="n"/>
      <c r="D250" s="9" t="n"/>
      <c r="E250" s="9" t="n"/>
      <c r="F250" s="9" t="n"/>
      <c r="G250" s="9">
        <f>IF(OR(E250="",F250=""),"",DATEDIF(E250,F250,"Y"))</f>
        <v/>
      </c>
      <c r="H250" s="9" t="n"/>
    </row>
    <row r="251" ht="14.25" customHeight="1" s="37">
      <c r="A251" s="9" t="n"/>
      <c r="B251" s="9" t="n"/>
      <c r="C251" s="9" t="n"/>
      <c r="D251" s="9" t="n"/>
      <c r="E251" s="9" t="n"/>
      <c r="F251" s="9" t="n"/>
      <c r="G251" s="9">
        <f>IF(OR(E251="",F251=""),"",DATEDIF(E251,F251,"Y"))</f>
        <v/>
      </c>
      <c r="H251" s="9" t="n"/>
    </row>
    <row r="252" ht="14.25" customHeight="1" s="37">
      <c r="A252" s="9" t="n"/>
      <c r="B252" s="9" t="n"/>
      <c r="C252" s="9" t="n"/>
      <c r="D252" s="9" t="n"/>
      <c r="E252" s="9" t="n"/>
      <c r="F252" s="9" t="n"/>
      <c r="G252" s="9">
        <f>IF(OR(E252="",F252=""),"",DATEDIF(E252,F252,"Y"))</f>
        <v/>
      </c>
      <c r="H252" s="9" t="n"/>
    </row>
    <row r="253" ht="14.25" customHeight="1" s="37">
      <c r="A253" s="9" t="n"/>
      <c r="B253" s="9" t="n"/>
      <c r="C253" s="9" t="n"/>
      <c r="D253" s="9" t="n"/>
      <c r="E253" s="9" t="n"/>
      <c r="F253" s="9" t="n"/>
      <c r="G253" s="9">
        <f>IF(OR(E253="",F253=""),"",DATEDIF(E253,F253,"Y"))</f>
        <v/>
      </c>
      <c r="H253" s="9" t="n"/>
    </row>
    <row r="254" ht="14.25" customHeight="1" s="37">
      <c r="A254" s="9" t="n"/>
      <c r="B254" s="9" t="n"/>
      <c r="C254" s="9" t="n"/>
      <c r="D254" s="9" t="n"/>
      <c r="E254" s="9" t="n"/>
      <c r="F254" s="9" t="n"/>
      <c r="G254" s="9">
        <f>IF(OR(E254="",F254=""),"",DATEDIF(E254,F254,"Y"))</f>
        <v/>
      </c>
      <c r="H254" s="9" t="n"/>
    </row>
    <row r="255" ht="14.25" customHeight="1" s="37">
      <c r="A255" s="9" t="n"/>
      <c r="B255" s="9" t="n"/>
      <c r="C255" s="9" t="n"/>
      <c r="D255" s="9" t="n"/>
      <c r="E255" s="9" t="n"/>
      <c r="F255" s="9" t="n"/>
      <c r="G255" s="9">
        <f>IF(OR(E255="",F255=""),"",DATEDIF(E255,F255,"Y"))</f>
        <v/>
      </c>
      <c r="H255" s="9" t="n"/>
    </row>
    <row r="256" ht="14.25" customHeight="1" s="37">
      <c r="A256" s="9" t="n"/>
      <c r="B256" s="9" t="n"/>
      <c r="C256" s="9" t="n"/>
      <c r="D256" s="9" t="n"/>
      <c r="E256" s="9" t="n"/>
      <c r="F256" s="9" t="n"/>
      <c r="G256" s="9">
        <f>IF(OR(E256="",F256=""),"",DATEDIF(E256,F256,"Y"))</f>
        <v/>
      </c>
      <c r="H256" s="9" t="n"/>
    </row>
    <row r="257" ht="14.25" customHeight="1" s="37">
      <c r="A257" s="9" t="n"/>
      <c r="B257" s="9" t="n"/>
      <c r="C257" s="9" t="n"/>
      <c r="D257" s="9" t="n"/>
      <c r="E257" s="9" t="n"/>
      <c r="F257" s="9" t="n"/>
      <c r="G257" s="9">
        <f>IF(OR(E257="",F257=""),"",DATEDIF(E257,F257,"Y"))</f>
        <v/>
      </c>
      <c r="H257" s="9" t="n"/>
    </row>
    <row r="258" ht="14.25" customHeight="1" s="37">
      <c r="A258" s="9" t="n"/>
      <c r="B258" s="9" t="n"/>
      <c r="C258" s="9" t="n"/>
      <c r="D258" s="9" t="n"/>
      <c r="E258" s="9" t="n"/>
      <c r="F258" s="9" t="n"/>
      <c r="G258" s="9">
        <f>IF(OR(E258="",F258=""),"",DATEDIF(E258,F258,"Y"))</f>
        <v/>
      </c>
      <c r="H258" s="9" t="n"/>
    </row>
    <row r="259" ht="14.25" customHeight="1" s="37">
      <c r="A259" s="9" t="n"/>
      <c r="B259" s="9" t="n"/>
      <c r="C259" s="9" t="n"/>
      <c r="D259" s="9" t="n"/>
      <c r="E259" s="9" t="n"/>
      <c r="F259" s="9" t="n"/>
      <c r="G259" s="9">
        <f>IF(OR(E259="",F259=""),"",DATEDIF(E259,F259,"Y"))</f>
        <v/>
      </c>
      <c r="H259" s="9" t="n"/>
    </row>
    <row r="260" ht="14.25" customHeight="1" s="37">
      <c r="A260" s="9" t="n"/>
      <c r="B260" s="9" t="n"/>
      <c r="C260" s="9" t="n"/>
      <c r="D260" s="9" t="n"/>
      <c r="E260" s="9" t="n"/>
      <c r="F260" s="9" t="n"/>
      <c r="G260" s="9">
        <f>IF(OR(E260="",F260=""),"",DATEDIF(E260,F260,"Y"))</f>
        <v/>
      </c>
      <c r="H260" s="9" t="n"/>
    </row>
    <row r="261" ht="14.25" customHeight="1" s="37">
      <c r="A261" s="9" t="n"/>
      <c r="B261" s="9" t="n"/>
      <c r="C261" s="9" t="n"/>
      <c r="D261" s="9" t="n"/>
      <c r="E261" s="9" t="n"/>
      <c r="F261" s="9" t="n"/>
      <c r="G261" s="9">
        <f>IF(OR(E261="",F261=""),"",DATEDIF(E261,F261,"Y"))</f>
        <v/>
      </c>
      <c r="H261" s="9" t="n"/>
    </row>
    <row r="262" ht="14.25" customHeight="1" s="37">
      <c r="A262" s="9" t="n"/>
      <c r="B262" s="9" t="n"/>
      <c r="C262" s="9" t="n"/>
      <c r="D262" s="9" t="n"/>
      <c r="E262" s="9" t="n"/>
      <c r="F262" s="9" t="n"/>
      <c r="G262" s="9">
        <f>IF(OR(E262="",F262=""),"",DATEDIF(E262,F262,"Y"))</f>
        <v/>
      </c>
      <c r="H262" s="9" t="n"/>
    </row>
    <row r="263" ht="14.25" customHeight="1" s="37">
      <c r="A263" s="9" t="n"/>
      <c r="B263" s="9" t="n"/>
      <c r="C263" s="9" t="n"/>
      <c r="D263" s="9" t="n"/>
      <c r="E263" s="9" t="n"/>
      <c r="F263" s="9" t="n"/>
      <c r="G263" s="9">
        <f>IF(OR(E263="",F263=""),"",DATEDIF(E263,F263,"Y"))</f>
        <v/>
      </c>
      <c r="H263" s="9" t="n"/>
    </row>
    <row r="264" ht="14.25" customHeight="1" s="37">
      <c r="A264" s="9" t="n"/>
      <c r="B264" s="9" t="n"/>
      <c r="C264" s="9" t="n"/>
      <c r="D264" s="9" t="n"/>
      <c r="E264" s="9" t="n"/>
      <c r="F264" s="9" t="n"/>
      <c r="G264" s="9">
        <f>IF(OR(E264="",F264=""),"",DATEDIF(E264,F264,"Y"))</f>
        <v/>
      </c>
      <c r="H264" s="9" t="n"/>
    </row>
    <row r="265" ht="14.25" customHeight="1" s="37">
      <c r="A265" s="9" t="n"/>
      <c r="B265" s="9" t="n"/>
      <c r="C265" s="9" t="n"/>
      <c r="D265" s="9" t="n"/>
      <c r="E265" s="9" t="n"/>
      <c r="F265" s="9" t="n"/>
      <c r="G265" s="9">
        <f>IF(OR(E265="",F265=""),"",DATEDIF(E265,F265,"Y"))</f>
        <v/>
      </c>
      <c r="H265" s="9" t="n"/>
    </row>
    <row r="266" ht="14.25" customHeight="1" s="37">
      <c r="A266" s="9" t="n"/>
      <c r="B266" s="9" t="n"/>
      <c r="C266" s="9" t="n"/>
      <c r="D266" s="9" t="n"/>
      <c r="E266" s="9" t="n"/>
      <c r="F266" s="9" t="n"/>
      <c r="G266" s="9">
        <f>IF(OR(E266="",F266=""),"",DATEDIF(E266,F266,"Y"))</f>
        <v/>
      </c>
      <c r="H266" s="9" t="n"/>
    </row>
    <row r="267" ht="14.25" customHeight="1" s="37">
      <c r="A267" s="9" t="n"/>
      <c r="B267" s="9" t="n"/>
      <c r="C267" s="9" t="n"/>
      <c r="D267" s="9" t="n"/>
      <c r="E267" s="9" t="n"/>
      <c r="F267" s="9" t="n"/>
      <c r="G267" s="9">
        <f>IF(OR(E267="",F267=""),"",DATEDIF(E267,F267,"Y"))</f>
        <v/>
      </c>
      <c r="H267" s="9" t="n"/>
    </row>
    <row r="268" ht="14.25" customHeight="1" s="37">
      <c r="A268" s="9" t="n"/>
      <c r="B268" s="9" t="n"/>
      <c r="C268" s="9" t="n"/>
      <c r="D268" s="9" t="n"/>
      <c r="E268" s="9" t="n"/>
      <c r="F268" s="9" t="n"/>
      <c r="G268" s="9">
        <f>IF(OR(E268="",F268=""),"",DATEDIF(E268,F268,"Y"))</f>
        <v/>
      </c>
      <c r="H268" s="9" t="n"/>
    </row>
    <row r="269" ht="14.25" customHeight="1" s="37">
      <c r="A269" s="9" t="n"/>
      <c r="B269" s="9" t="n"/>
      <c r="C269" s="9" t="n"/>
      <c r="D269" s="9" t="n"/>
      <c r="E269" s="9" t="n"/>
      <c r="F269" s="9" t="n"/>
      <c r="G269" s="9">
        <f>IF(OR(E269="",F269=""),"",DATEDIF(E269,F269,"Y"))</f>
        <v/>
      </c>
      <c r="H269" s="9" t="n"/>
    </row>
    <row r="270" ht="14.25" customHeight="1" s="37">
      <c r="A270" s="9" t="n"/>
      <c r="B270" s="9" t="n"/>
      <c r="C270" s="9" t="n"/>
      <c r="D270" s="9" t="n"/>
      <c r="E270" s="9" t="n"/>
      <c r="F270" s="9" t="n"/>
      <c r="G270" s="9">
        <f>IF(OR(E270="",F270=""),"",DATEDIF(E270,F270,"Y"))</f>
        <v/>
      </c>
      <c r="H270" s="9" t="n"/>
    </row>
    <row r="271" ht="14.25" customHeight="1" s="37">
      <c r="A271" s="9" t="n"/>
      <c r="B271" s="9" t="n"/>
      <c r="C271" s="9" t="n"/>
      <c r="D271" s="9" t="n"/>
      <c r="E271" s="9" t="n"/>
      <c r="F271" s="9" t="n"/>
      <c r="G271" s="9">
        <f>IF(OR(E271="",F271=""),"",DATEDIF(E271,F271,"Y"))</f>
        <v/>
      </c>
      <c r="H271" s="9" t="n"/>
    </row>
    <row r="272" ht="14.25" customHeight="1" s="37">
      <c r="A272" s="9" t="n"/>
      <c r="B272" s="9" t="n"/>
      <c r="C272" s="9" t="n"/>
      <c r="D272" s="9" t="n"/>
      <c r="E272" s="9" t="n"/>
      <c r="F272" s="9" t="n"/>
      <c r="G272" s="9">
        <f>IF(OR(E272="",F272=""),"",DATEDIF(E272,F272,"Y"))</f>
        <v/>
      </c>
      <c r="H272" s="9" t="n"/>
    </row>
    <row r="273" ht="14.25" customHeight="1" s="37">
      <c r="A273" s="9" t="n"/>
      <c r="B273" s="9" t="n"/>
      <c r="C273" s="9" t="n"/>
      <c r="D273" s="9" t="n"/>
      <c r="E273" s="9" t="n"/>
      <c r="F273" s="9" t="n"/>
      <c r="G273" s="9">
        <f>IF(OR(E273="",F273=""),"",DATEDIF(E273,F273,"Y"))</f>
        <v/>
      </c>
      <c r="H273" s="9" t="n"/>
    </row>
    <row r="274" ht="14.25" customHeight="1" s="37">
      <c r="A274" s="9" t="n"/>
      <c r="B274" s="9" t="n"/>
      <c r="C274" s="9" t="n"/>
      <c r="D274" s="9" t="n"/>
      <c r="E274" s="9" t="n"/>
      <c r="F274" s="9" t="n"/>
      <c r="G274" s="9">
        <f>IF(OR(E274="",F274=""),"",DATEDIF(E274,F274,"Y"))</f>
        <v/>
      </c>
      <c r="H274" s="9" t="n"/>
    </row>
    <row r="275" ht="14.25" customHeight="1" s="37">
      <c r="A275" s="9" t="n"/>
      <c r="B275" s="9" t="n"/>
      <c r="C275" s="9" t="n"/>
      <c r="D275" s="9" t="n"/>
      <c r="E275" s="9" t="n"/>
      <c r="F275" s="9" t="n"/>
      <c r="G275" s="9">
        <f>IF(OR(E275="",F275=""),"",DATEDIF(E275,F275,"Y"))</f>
        <v/>
      </c>
      <c r="H275" s="9" t="n"/>
    </row>
    <row r="276" ht="14.25" customHeight="1" s="37">
      <c r="A276" s="9" t="n"/>
      <c r="B276" s="9" t="n"/>
      <c r="C276" s="9" t="n"/>
      <c r="D276" s="9" t="n"/>
      <c r="E276" s="9" t="n"/>
      <c r="F276" s="9" t="n"/>
      <c r="G276" s="9">
        <f>IF(OR(E276="",F276=""),"",DATEDIF(E276,F276,"Y"))</f>
        <v/>
      </c>
      <c r="H276" s="9" t="n"/>
    </row>
    <row r="277" ht="14.25" customHeight="1" s="37">
      <c r="A277" s="9" t="n"/>
      <c r="B277" s="9" t="n"/>
      <c r="C277" s="9" t="n"/>
      <c r="D277" s="9" t="n"/>
      <c r="E277" s="9" t="n"/>
      <c r="F277" s="9" t="n"/>
      <c r="G277" s="9">
        <f>IF(OR(E277="",F277=""),"",DATEDIF(E277,F277,"Y"))</f>
        <v/>
      </c>
      <c r="H277" s="9" t="n"/>
    </row>
    <row r="278" ht="14.25" customHeight="1" s="37">
      <c r="A278" s="9" t="n"/>
      <c r="B278" s="9" t="n"/>
      <c r="C278" s="9" t="n"/>
      <c r="D278" s="9" t="n"/>
      <c r="E278" s="9" t="n"/>
      <c r="F278" s="9" t="n"/>
      <c r="G278" s="9">
        <f>IF(OR(E278="",F278=""),"",DATEDIF(E278,F278,"Y"))</f>
        <v/>
      </c>
      <c r="H278" s="9" t="n"/>
    </row>
    <row r="279" ht="14.25" customHeight="1" s="37">
      <c r="A279" s="9" t="n"/>
      <c r="B279" s="9" t="n"/>
      <c r="C279" s="9" t="n"/>
      <c r="D279" s="9" t="n"/>
      <c r="E279" s="9" t="n"/>
      <c r="F279" s="9" t="n"/>
      <c r="G279" s="9">
        <f>IF(OR(E279="",F279=""),"",DATEDIF(E279,F279,"Y"))</f>
        <v/>
      </c>
      <c r="H279" s="9" t="n"/>
    </row>
    <row r="280" ht="14.25" customHeight="1" s="37">
      <c r="A280" s="9" t="n"/>
      <c r="B280" s="9" t="n"/>
      <c r="C280" s="9" t="n"/>
      <c r="D280" s="9" t="n"/>
      <c r="E280" s="9" t="n"/>
      <c r="F280" s="9" t="n"/>
      <c r="G280" s="9">
        <f>IF(OR(E280="",F280=""),"",DATEDIF(E280,F280,"Y"))</f>
        <v/>
      </c>
      <c r="H280" s="9" t="n"/>
    </row>
    <row r="281" ht="14.25" customHeight="1" s="37">
      <c r="A281" s="9" t="n"/>
      <c r="B281" s="9" t="n"/>
      <c r="C281" s="9" t="n"/>
      <c r="D281" s="9" t="n"/>
      <c r="E281" s="9" t="n"/>
      <c r="F281" s="9" t="n"/>
      <c r="G281" s="9">
        <f>IF(OR(E281="",F281=""),"",DATEDIF(E281,F281,"Y"))</f>
        <v/>
      </c>
      <c r="H281" s="9" t="n"/>
    </row>
    <row r="282" ht="14.25" customHeight="1" s="37">
      <c r="A282" s="9" t="n"/>
      <c r="B282" s="9" t="n"/>
      <c r="C282" s="9" t="n"/>
      <c r="D282" s="9" t="n"/>
      <c r="E282" s="9" t="n"/>
      <c r="F282" s="9" t="n"/>
      <c r="G282" s="9">
        <f>IF(OR(E282="",F282=""),"",DATEDIF(E282,F282,"Y"))</f>
        <v/>
      </c>
      <c r="H282" s="9" t="n"/>
    </row>
    <row r="283" ht="14.25" customHeight="1" s="37">
      <c r="A283" s="9" t="n"/>
      <c r="B283" s="9" t="n"/>
      <c r="C283" s="9" t="n"/>
      <c r="D283" s="9" t="n"/>
      <c r="E283" s="9" t="n"/>
      <c r="F283" s="9" t="n"/>
      <c r="G283" s="9">
        <f>IF(OR(E283="",F283=""),"",DATEDIF(E283,F283,"Y"))</f>
        <v/>
      </c>
      <c r="H283" s="9" t="n"/>
    </row>
    <row r="284" ht="14.25" customHeight="1" s="37">
      <c r="A284" s="9" t="n"/>
      <c r="B284" s="9" t="n"/>
      <c r="C284" s="9" t="n"/>
      <c r="D284" s="9" t="n"/>
      <c r="E284" s="9" t="n"/>
      <c r="F284" s="9" t="n"/>
      <c r="G284" s="9">
        <f>IF(OR(E284="",F284=""),"",DATEDIF(E284,F284,"Y"))</f>
        <v/>
      </c>
      <c r="H284" s="9" t="n"/>
    </row>
    <row r="285" ht="14.25" customHeight="1" s="37">
      <c r="A285" s="9" t="n"/>
      <c r="B285" s="9" t="n"/>
      <c r="C285" s="9" t="n"/>
      <c r="D285" s="9" t="n"/>
      <c r="E285" s="9" t="n"/>
      <c r="F285" s="9" t="n"/>
      <c r="G285" s="9">
        <f>IF(OR(E285="",F285=""),"",DATEDIF(E285,F285,"Y"))</f>
        <v/>
      </c>
      <c r="H285" s="9" t="n"/>
    </row>
    <row r="286" ht="14.25" customHeight="1" s="37">
      <c r="A286" s="9" t="n"/>
      <c r="B286" s="9" t="n"/>
      <c r="C286" s="9" t="n"/>
      <c r="D286" s="9" t="n"/>
      <c r="E286" s="9" t="n"/>
      <c r="F286" s="9" t="n"/>
      <c r="G286" s="9">
        <f>IF(OR(E286="",F286=""),"",DATEDIF(E286,F286,"Y"))</f>
        <v/>
      </c>
      <c r="H286" s="9" t="n"/>
    </row>
    <row r="287" ht="14.25" customHeight="1" s="37">
      <c r="A287" s="9" t="n"/>
      <c r="B287" s="9" t="n"/>
      <c r="C287" s="9" t="n"/>
      <c r="D287" s="9" t="n"/>
      <c r="E287" s="9" t="n"/>
      <c r="F287" s="9" t="n"/>
      <c r="G287" s="9">
        <f>IF(OR(E287="",F287=""),"",DATEDIF(E287,F287,"Y"))</f>
        <v/>
      </c>
      <c r="H287" s="9" t="n"/>
    </row>
    <row r="288" ht="14.25" customHeight="1" s="37">
      <c r="A288" s="9" t="n"/>
      <c r="B288" s="9" t="n"/>
      <c r="C288" s="9" t="n"/>
      <c r="D288" s="9" t="n"/>
      <c r="E288" s="9" t="n"/>
      <c r="F288" s="9" t="n"/>
      <c r="G288" s="9">
        <f>IF(OR(E288="",F288=""),"",DATEDIF(E288,F288,"Y"))</f>
        <v/>
      </c>
      <c r="H288" s="9" t="n"/>
    </row>
    <row r="289" ht="14.25" customHeight="1" s="37">
      <c r="A289" s="9" t="n"/>
      <c r="B289" s="9" t="n"/>
      <c r="C289" s="9" t="n"/>
      <c r="D289" s="9" t="n"/>
      <c r="E289" s="9" t="n"/>
      <c r="F289" s="9" t="n"/>
      <c r="G289" s="9">
        <f>IF(OR(E289="",F289=""),"",DATEDIF(E289,F289,"Y"))</f>
        <v/>
      </c>
      <c r="H289" s="9" t="n"/>
    </row>
    <row r="290" ht="14.25" customHeight="1" s="37">
      <c r="A290" s="9" t="n"/>
      <c r="B290" s="9" t="n"/>
      <c r="C290" s="9" t="n"/>
      <c r="D290" s="9" t="n"/>
      <c r="E290" s="9" t="n"/>
      <c r="F290" s="9" t="n"/>
      <c r="G290" s="9">
        <f>IF(OR(E290="",F290=""),"",DATEDIF(E290,F290,"Y"))</f>
        <v/>
      </c>
      <c r="H290" s="9" t="n"/>
    </row>
    <row r="291" ht="14.25" customHeight="1" s="37">
      <c r="A291" s="9" t="n"/>
      <c r="B291" s="9" t="n"/>
      <c r="C291" s="9" t="n"/>
      <c r="D291" s="9" t="n"/>
      <c r="E291" s="9" t="n"/>
      <c r="F291" s="9" t="n"/>
      <c r="G291" s="9">
        <f>IF(OR(E291="",F291=""),"",DATEDIF(E291,F291,"Y"))</f>
        <v/>
      </c>
      <c r="H291" s="9" t="n"/>
    </row>
    <row r="292" ht="14.25" customHeight="1" s="37">
      <c r="A292" s="9" t="n"/>
      <c r="B292" s="9" t="n"/>
      <c r="C292" s="9" t="n"/>
      <c r="D292" s="9" t="n"/>
      <c r="E292" s="9" t="n"/>
      <c r="F292" s="9" t="n"/>
      <c r="G292" s="9">
        <f>IF(OR(E292="",F292=""),"",DATEDIF(E292,F292,"Y"))</f>
        <v/>
      </c>
      <c r="H292" s="9" t="n"/>
    </row>
    <row r="293" ht="14.25" customHeight="1" s="37">
      <c r="A293" s="9" t="n"/>
      <c r="B293" s="9" t="n"/>
      <c r="C293" s="9" t="n"/>
      <c r="D293" s="9" t="n"/>
      <c r="E293" s="9" t="n"/>
      <c r="F293" s="9" t="n"/>
      <c r="G293" s="9">
        <f>IF(OR(E293="",F293=""),"",DATEDIF(E293,F293,"Y"))</f>
        <v/>
      </c>
      <c r="H293" s="9" t="n"/>
    </row>
    <row r="294" ht="14.25" customHeight="1" s="37">
      <c r="A294" s="9" t="n"/>
      <c r="B294" s="9" t="n"/>
      <c r="C294" s="9" t="n"/>
      <c r="D294" s="9" t="n"/>
      <c r="E294" s="9" t="n"/>
      <c r="F294" s="9" t="n"/>
      <c r="G294" s="9">
        <f>IF(OR(E294="",F294=""),"",DATEDIF(E294,F294,"Y"))</f>
        <v/>
      </c>
      <c r="H294" s="9" t="n"/>
    </row>
    <row r="295" ht="14.25" customHeight="1" s="37">
      <c r="A295" s="9" t="n"/>
      <c r="B295" s="9" t="n"/>
      <c r="C295" s="9" t="n"/>
      <c r="D295" s="9" t="n"/>
      <c r="E295" s="9" t="n"/>
      <c r="F295" s="9" t="n"/>
      <c r="G295" s="9">
        <f>IF(OR(E295="",F295=""),"",DATEDIF(E295,F295,"Y"))</f>
        <v/>
      </c>
      <c r="H295" s="9" t="n"/>
    </row>
    <row r="296" ht="14.25" customHeight="1" s="37">
      <c r="A296" s="9" t="n"/>
      <c r="B296" s="9" t="n"/>
      <c r="C296" s="9" t="n"/>
      <c r="D296" s="9" t="n"/>
      <c r="E296" s="9" t="n"/>
      <c r="F296" s="9" t="n"/>
      <c r="G296" s="9">
        <f>IF(OR(E296="",F296=""),"",DATEDIF(E296,F296,"Y"))</f>
        <v/>
      </c>
      <c r="H296" s="9" t="n"/>
    </row>
    <row r="297" ht="14.25" customHeight="1" s="37">
      <c r="A297" s="9" t="n"/>
      <c r="B297" s="9" t="n"/>
      <c r="C297" s="9" t="n"/>
      <c r="D297" s="9" t="n"/>
      <c r="E297" s="9" t="n"/>
      <c r="F297" s="9" t="n"/>
      <c r="G297" s="9">
        <f>IF(OR(E297="",F297=""),"",DATEDIF(E297,F297,"Y"))</f>
        <v/>
      </c>
      <c r="H297" s="9" t="n"/>
    </row>
    <row r="298" ht="14.25" customHeight="1" s="37">
      <c r="A298" s="9" t="n"/>
      <c r="B298" s="9" t="n"/>
      <c r="C298" s="9" t="n"/>
      <c r="D298" s="9" t="n"/>
      <c r="E298" s="9" t="n"/>
      <c r="F298" s="9" t="n"/>
      <c r="G298" s="9">
        <f>IF(OR(E298="",F298=""),"",DATEDIF(E298,F298,"Y"))</f>
        <v/>
      </c>
      <c r="H298" s="9" t="n"/>
    </row>
    <row r="299" ht="14.25" customHeight="1" s="37">
      <c r="A299" s="9" t="n"/>
      <c r="B299" s="9" t="n"/>
      <c r="C299" s="9" t="n"/>
      <c r="D299" s="9" t="n"/>
      <c r="E299" s="9" t="n"/>
      <c r="F299" s="9" t="n"/>
      <c r="G299" s="9">
        <f>IF(OR(E299="",F299=""),"",DATEDIF(E299,F299,"Y"))</f>
        <v/>
      </c>
      <c r="H299" s="9" t="n"/>
    </row>
    <row r="300" ht="14.25" customHeight="1" s="37">
      <c r="A300" s="9" t="n"/>
      <c r="B300" s="9" t="n"/>
      <c r="C300" s="9" t="n"/>
      <c r="D300" s="9" t="n"/>
      <c r="E300" s="9" t="n"/>
      <c r="F300" s="9" t="n"/>
      <c r="G300" s="9">
        <f>IF(OR(E300="",F300=""),"",DATEDIF(E300,F300,"Y"))</f>
        <v/>
      </c>
      <c r="H300" s="9" t="n"/>
    </row>
    <row r="301" ht="14.25" customHeight="1" s="37">
      <c r="A301" s="9" t="n"/>
      <c r="B301" s="9" t="n"/>
      <c r="C301" s="9" t="n"/>
      <c r="D301" s="9" t="n"/>
      <c r="E301" s="9" t="n"/>
      <c r="F301" s="9" t="n"/>
      <c r="G301" s="9">
        <f>IF(OR(E301="",F301=""),"",DATEDIF(E301,F301,"Y"))</f>
        <v/>
      </c>
      <c r="H301" s="9" t="n"/>
    </row>
    <row r="302" ht="14.25" customHeight="1" s="37">
      <c r="A302" s="9" t="n"/>
      <c r="B302" s="9" t="n"/>
      <c r="C302" s="9" t="n"/>
      <c r="D302" s="9" t="n"/>
      <c r="E302" s="9" t="n"/>
      <c r="F302" s="9" t="n"/>
      <c r="G302" s="9">
        <f>IF(OR(E302="",F302=""),"",DATEDIF(E302,F302,"Y"))</f>
        <v/>
      </c>
      <c r="H302" s="9" t="n"/>
    </row>
    <row r="303" ht="14.25" customHeight="1" s="37">
      <c r="A303" s="9" t="n"/>
      <c r="B303" s="9" t="n"/>
      <c r="C303" s="9" t="n"/>
      <c r="D303" s="9" t="n"/>
      <c r="E303" s="9" t="n"/>
      <c r="F303" s="9" t="n"/>
      <c r="G303" s="9">
        <f>IF(OR(E303="",F303=""),"",DATEDIF(E303,F303,"Y"))</f>
        <v/>
      </c>
      <c r="H303" s="9" t="n"/>
    </row>
    <row r="304" ht="14.25" customHeight="1" s="37">
      <c r="A304" s="9" t="n"/>
      <c r="B304" s="9" t="n"/>
      <c r="C304" s="9" t="n"/>
      <c r="D304" s="9" t="n"/>
      <c r="E304" s="9" t="n"/>
      <c r="F304" s="9" t="n"/>
      <c r="G304" s="9">
        <f>IF(OR(E304="",F304=""),"",DATEDIF(E304,F304,"Y"))</f>
        <v/>
      </c>
      <c r="H304" s="9" t="n"/>
    </row>
    <row r="305" ht="14.25" customHeight="1" s="37">
      <c r="A305" s="9" t="n"/>
      <c r="B305" s="9" t="n"/>
      <c r="C305" s="9" t="n"/>
      <c r="D305" s="9" t="n"/>
      <c r="E305" s="9" t="n"/>
      <c r="F305" s="9" t="n"/>
      <c r="G305" s="9">
        <f>IF(OR(E305="",F305=""),"",DATEDIF(E305,F305,"Y"))</f>
        <v/>
      </c>
      <c r="H305" s="9" t="n"/>
    </row>
    <row r="306" ht="14.25" customHeight="1" s="37">
      <c r="A306" s="9" t="n"/>
      <c r="B306" s="9" t="n"/>
      <c r="C306" s="9" t="n"/>
      <c r="D306" s="9" t="n"/>
      <c r="E306" s="9" t="n"/>
      <c r="F306" s="9" t="n"/>
      <c r="G306" s="9">
        <f>IF(OR(E306="",F306=""),"",DATEDIF(E306,F306,"Y"))</f>
        <v/>
      </c>
      <c r="H306" s="9" t="n"/>
    </row>
    <row r="307" ht="14.25" customHeight="1" s="37">
      <c r="A307" s="9" t="n"/>
      <c r="B307" s="9" t="n"/>
      <c r="C307" s="9" t="n"/>
      <c r="D307" s="9" t="n"/>
      <c r="E307" s="9" t="n"/>
      <c r="F307" s="9" t="n"/>
      <c r="G307" s="9">
        <f>IF(OR(E307="",F307=""),"",DATEDIF(E307,F307,"Y"))</f>
        <v/>
      </c>
      <c r="H307" s="9" t="n"/>
    </row>
    <row r="308" ht="14.25" customHeight="1" s="37">
      <c r="A308" s="9" t="n"/>
      <c r="B308" s="9" t="n"/>
      <c r="C308" s="9" t="n"/>
      <c r="D308" s="9" t="n"/>
      <c r="E308" s="9" t="n"/>
      <c r="F308" s="9" t="n"/>
      <c r="G308" s="9">
        <f>IF(OR(E308="",F308=""),"",DATEDIF(E308,F308,"Y"))</f>
        <v/>
      </c>
      <c r="H308" s="9" t="n"/>
    </row>
    <row r="309" ht="14.25" customHeight="1" s="37">
      <c r="A309" s="9" t="n"/>
      <c r="B309" s="9" t="n"/>
      <c r="C309" s="9" t="n"/>
      <c r="D309" s="9" t="n"/>
      <c r="E309" s="9" t="n"/>
      <c r="F309" s="9" t="n"/>
      <c r="G309" s="9">
        <f>IF(OR(E309="",F309=""),"",DATEDIF(E309,F309,"Y"))</f>
        <v/>
      </c>
      <c r="H309" s="9" t="n"/>
    </row>
    <row r="310" ht="14.25" customHeight="1" s="37">
      <c r="A310" s="9" t="n"/>
      <c r="B310" s="9" t="n"/>
      <c r="C310" s="9" t="n"/>
      <c r="D310" s="9" t="n"/>
      <c r="E310" s="9" t="n"/>
      <c r="F310" s="9" t="n"/>
      <c r="G310" s="9">
        <f>IF(OR(E310="",F310=""),"",DATEDIF(E310,F310,"Y"))</f>
        <v/>
      </c>
      <c r="H310" s="9" t="n"/>
    </row>
    <row r="311" ht="14.25" customHeight="1" s="37">
      <c r="A311" s="9" t="n"/>
      <c r="B311" s="9" t="n"/>
      <c r="C311" s="9" t="n"/>
      <c r="D311" s="9" t="n"/>
      <c r="E311" s="9" t="n"/>
      <c r="F311" s="9" t="n"/>
      <c r="G311" s="9">
        <f>IF(OR(E311="",F311=""),"",DATEDIF(E311,F311,"Y"))</f>
        <v/>
      </c>
      <c r="H311" s="9" t="n"/>
    </row>
    <row r="312" ht="14.25" customHeight="1" s="37">
      <c r="A312" s="9" t="n"/>
      <c r="B312" s="9" t="n"/>
      <c r="C312" s="9" t="n"/>
      <c r="D312" s="9" t="n"/>
      <c r="E312" s="9" t="n"/>
      <c r="F312" s="9" t="n"/>
      <c r="G312" s="9">
        <f>IF(OR(E312="",F312=""),"",DATEDIF(E312,F312,"Y"))</f>
        <v/>
      </c>
      <c r="H312" s="9" t="n"/>
    </row>
    <row r="313" ht="14.25" customHeight="1" s="37">
      <c r="A313" s="9" t="n"/>
      <c r="B313" s="9" t="n"/>
      <c r="C313" s="9" t="n"/>
      <c r="D313" s="9" t="n"/>
      <c r="E313" s="9" t="n"/>
      <c r="F313" s="9" t="n"/>
      <c r="G313" s="9">
        <f>IF(OR(E313="",F313=""),"",DATEDIF(E313,F313,"Y"))</f>
        <v/>
      </c>
      <c r="H313" s="9" t="n"/>
    </row>
    <row r="314" ht="14.25" customHeight="1" s="37">
      <c r="A314" s="9" t="n"/>
      <c r="B314" s="9" t="n"/>
      <c r="C314" s="9" t="n"/>
      <c r="D314" s="9" t="n"/>
      <c r="E314" s="9" t="n"/>
      <c r="F314" s="9" t="n"/>
      <c r="G314" s="9">
        <f>IF(OR(E314="",F314=""),"",DATEDIF(E314,F314,"Y"))</f>
        <v/>
      </c>
      <c r="H314" s="9" t="n"/>
    </row>
    <row r="315" ht="14.25" customHeight="1" s="37">
      <c r="A315" s="9" t="n"/>
      <c r="B315" s="9" t="n"/>
      <c r="C315" s="9" t="n"/>
      <c r="D315" s="9" t="n"/>
      <c r="E315" s="9" t="n"/>
      <c r="F315" s="9" t="n"/>
      <c r="G315" s="9">
        <f>IF(OR(E315="",F315=""),"",DATEDIF(E315,F315,"Y"))</f>
        <v/>
      </c>
      <c r="H315" s="9" t="n"/>
    </row>
    <row r="316" ht="14.25" customHeight="1" s="37">
      <c r="A316" s="9" t="n"/>
      <c r="B316" s="9" t="n"/>
      <c r="C316" s="9" t="n"/>
      <c r="D316" s="9" t="n"/>
      <c r="E316" s="9" t="n"/>
      <c r="F316" s="9" t="n"/>
      <c r="G316" s="9">
        <f>IF(OR(E316="",F316=""),"",DATEDIF(E316,F316,"Y"))</f>
        <v/>
      </c>
      <c r="H316" s="9" t="n"/>
    </row>
    <row r="317" ht="14.25" customHeight="1" s="37">
      <c r="A317" s="9" t="n"/>
      <c r="B317" s="9" t="n"/>
      <c r="C317" s="9" t="n"/>
      <c r="D317" s="9" t="n"/>
      <c r="E317" s="9" t="n"/>
      <c r="F317" s="9" t="n"/>
      <c r="G317" s="9">
        <f>IF(OR(E317="",F317=""),"",DATEDIF(E317,F317,"Y"))</f>
        <v/>
      </c>
      <c r="H317" s="9" t="n"/>
    </row>
    <row r="318" ht="14.25" customHeight="1" s="37">
      <c r="A318" s="9" t="n"/>
      <c r="B318" s="9" t="n"/>
      <c r="C318" s="9" t="n"/>
      <c r="D318" s="9" t="n"/>
      <c r="E318" s="9" t="n"/>
      <c r="F318" s="9" t="n"/>
      <c r="G318" s="9">
        <f>IF(OR(E318="",F318=""),"",DATEDIF(E318,F318,"Y"))</f>
        <v/>
      </c>
      <c r="H318" s="9" t="n"/>
    </row>
    <row r="319" ht="14.25" customHeight="1" s="37">
      <c r="A319" s="9" t="n"/>
      <c r="B319" s="9" t="n"/>
      <c r="C319" s="9" t="n"/>
      <c r="D319" s="9" t="n"/>
      <c r="E319" s="9" t="n"/>
      <c r="F319" s="9" t="n"/>
      <c r="G319" s="9">
        <f>IF(OR(E319="",F319=""),"",DATEDIF(E319,F319,"Y"))</f>
        <v/>
      </c>
      <c r="H319" s="9" t="n"/>
    </row>
    <row r="320" ht="14.25" customHeight="1" s="37">
      <c r="A320" s="9" t="n"/>
      <c r="B320" s="9" t="n"/>
      <c r="C320" s="9" t="n"/>
      <c r="D320" s="9" t="n"/>
      <c r="E320" s="9" t="n"/>
      <c r="F320" s="9" t="n"/>
      <c r="G320" s="9">
        <f>IF(OR(E320="",F320=""),"",DATEDIF(E320,F320,"Y"))</f>
        <v/>
      </c>
      <c r="H320" s="9" t="n"/>
    </row>
    <row r="321" ht="14.25" customHeight="1" s="37">
      <c r="A321" s="9" t="n"/>
      <c r="B321" s="9" t="n"/>
      <c r="C321" s="9" t="n"/>
      <c r="D321" s="9" t="n"/>
      <c r="E321" s="9" t="n"/>
      <c r="F321" s="9" t="n"/>
      <c r="G321" s="9">
        <f>IF(OR(E321="",F321=""),"",DATEDIF(E321,F321,"Y"))</f>
        <v/>
      </c>
      <c r="H321" s="9" t="n"/>
    </row>
    <row r="322" ht="14.25" customHeight="1" s="37">
      <c r="A322" s="9" t="n"/>
      <c r="B322" s="9" t="n"/>
      <c r="C322" s="9" t="n"/>
      <c r="D322" s="9" t="n"/>
      <c r="E322" s="9" t="n"/>
      <c r="F322" s="9" t="n"/>
      <c r="G322" s="9">
        <f>IF(OR(E322="",F322=""),"",DATEDIF(E322,F322,"Y"))</f>
        <v/>
      </c>
      <c r="H322" s="9" t="n"/>
    </row>
    <row r="323" ht="14.25" customHeight="1" s="37">
      <c r="A323" s="9" t="n"/>
      <c r="B323" s="9" t="n"/>
      <c r="C323" s="9" t="n"/>
      <c r="D323" s="9" t="n"/>
      <c r="E323" s="9" t="n"/>
      <c r="F323" s="9" t="n"/>
      <c r="G323" s="9">
        <f>IF(OR(E323="",F323=""),"",DATEDIF(E323,F323,"Y"))</f>
        <v/>
      </c>
      <c r="H323" s="9" t="n"/>
    </row>
    <row r="324" ht="14.25" customHeight="1" s="37">
      <c r="A324" s="9" t="n"/>
      <c r="B324" s="9" t="n"/>
      <c r="C324" s="9" t="n"/>
      <c r="D324" s="9" t="n"/>
      <c r="E324" s="9" t="n"/>
      <c r="F324" s="9" t="n"/>
      <c r="G324" s="9">
        <f>IF(OR(E324="",F324=""),"",DATEDIF(E324,F324,"Y"))</f>
        <v/>
      </c>
      <c r="H324" s="9" t="n"/>
    </row>
    <row r="325" ht="14.25" customHeight="1" s="37">
      <c r="A325" s="9" t="n"/>
      <c r="B325" s="9" t="n"/>
      <c r="C325" s="9" t="n"/>
      <c r="D325" s="9" t="n"/>
      <c r="E325" s="9" t="n"/>
      <c r="F325" s="9" t="n"/>
      <c r="G325" s="9">
        <f>IF(OR(E325="",F325=""),"",DATEDIF(E325,F325,"Y"))</f>
        <v/>
      </c>
      <c r="H325" s="9" t="n"/>
    </row>
    <row r="326" ht="14.25" customHeight="1" s="37">
      <c r="A326" s="9" t="n"/>
      <c r="B326" s="9" t="n"/>
      <c r="C326" s="9" t="n"/>
      <c r="D326" s="9" t="n"/>
      <c r="E326" s="9" t="n"/>
      <c r="F326" s="9" t="n"/>
      <c r="G326" s="9">
        <f>IF(OR(E326="",F326=""),"",DATEDIF(E326,F326,"Y"))</f>
        <v/>
      </c>
      <c r="H326" s="9" t="n"/>
    </row>
    <row r="327" ht="14.25" customHeight="1" s="37">
      <c r="A327" s="9" t="n"/>
      <c r="B327" s="9" t="n"/>
      <c r="C327" s="9" t="n"/>
      <c r="D327" s="9" t="n"/>
      <c r="E327" s="9" t="n"/>
      <c r="F327" s="9" t="n"/>
      <c r="G327" s="9">
        <f>IF(OR(E327="",F327=""),"",DATEDIF(E327,F327,"Y"))</f>
        <v/>
      </c>
      <c r="H327" s="9" t="n"/>
    </row>
    <row r="328" ht="14.25" customHeight="1" s="37">
      <c r="A328" s="9" t="n"/>
      <c r="B328" s="9" t="n"/>
      <c r="C328" s="9" t="n"/>
      <c r="D328" s="9" t="n"/>
      <c r="E328" s="9" t="n"/>
      <c r="F328" s="9" t="n"/>
      <c r="G328" s="9">
        <f>IF(OR(E328="",F328=""),"",DATEDIF(E328,F328,"Y"))</f>
        <v/>
      </c>
      <c r="H328" s="9" t="n"/>
    </row>
    <row r="329" ht="14.25" customHeight="1" s="37">
      <c r="A329" s="9" t="n"/>
      <c r="B329" s="9" t="n"/>
      <c r="C329" s="9" t="n"/>
      <c r="D329" s="9" t="n"/>
      <c r="E329" s="9" t="n"/>
      <c r="F329" s="9" t="n"/>
      <c r="G329" s="9">
        <f>IF(OR(E329="",F329=""),"",DATEDIF(E329,F329,"Y"))</f>
        <v/>
      </c>
      <c r="H329" s="9" t="n"/>
    </row>
    <row r="330" ht="14.25" customHeight="1" s="37">
      <c r="A330" s="9" t="n"/>
      <c r="B330" s="9" t="n"/>
      <c r="C330" s="9" t="n"/>
      <c r="D330" s="9" t="n"/>
      <c r="E330" s="9" t="n"/>
      <c r="F330" s="9" t="n"/>
      <c r="G330" s="9">
        <f>IF(OR(E330="",F330=""),"",DATEDIF(E330,F330,"Y"))</f>
        <v/>
      </c>
      <c r="H330" s="9" t="n"/>
    </row>
    <row r="331" ht="14.25" customHeight="1" s="37">
      <c r="A331" s="9" t="n"/>
      <c r="B331" s="9" t="n"/>
      <c r="C331" s="9" t="n"/>
      <c r="D331" s="9" t="n"/>
      <c r="E331" s="9" t="n"/>
      <c r="F331" s="9" t="n"/>
      <c r="G331" s="9">
        <f>IF(OR(E331="",F331=""),"",DATEDIF(E331,F331,"Y"))</f>
        <v/>
      </c>
      <c r="H331" s="9" t="n"/>
    </row>
    <row r="332" ht="14.25" customHeight="1" s="37">
      <c r="A332" s="9" t="n"/>
      <c r="B332" s="9" t="n"/>
      <c r="C332" s="9" t="n"/>
      <c r="D332" s="9" t="n"/>
      <c r="E332" s="9" t="n"/>
      <c r="F332" s="9" t="n"/>
      <c r="G332" s="9">
        <f>IF(OR(E332="",F332=""),"",DATEDIF(E332,F332,"Y"))</f>
        <v/>
      </c>
      <c r="H332" s="9" t="n"/>
    </row>
    <row r="333" ht="14.25" customHeight="1" s="37">
      <c r="A333" s="9" t="n"/>
      <c r="B333" s="9" t="n"/>
      <c r="C333" s="9" t="n"/>
      <c r="D333" s="9" t="n"/>
      <c r="E333" s="9" t="n"/>
      <c r="F333" s="9" t="n"/>
      <c r="G333" s="9">
        <f>IF(OR(E333="",F333=""),"",DATEDIF(E333,F333,"Y"))</f>
        <v/>
      </c>
      <c r="H333" s="9" t="n"/>
    </row>
    <row r="334" ht="14.25" customHeight="1" s="37">
      <c r="A334" s="9" t="n"/>
      <c r="B334" s="9" t="n"/>
      <c r="C334" s="9" t="n"/>
      <c r="D334" s="9" t="n"/>
      <c r="E334" s="9" t="n"/>
      <c r="F334" s="9" t="n"/>
      <c r="G334" s="9">
        <f>IF(OR(E334="",F334=""),"",DATEDIF(E334,F334,"Y"))</f>
        <v/>
      </c>
      <c r="H334" s="9" t="n"/>
    </row>
    <row r="335" ht="14.25" customHeight="1" s="37">
      <c r="A335" s="9" t="n"/>
      <c r="B335" s="9" t="n"/>
      <c r="C335" s="9" t="n"/>
      <c r="D335" s="9" t="n"/>
      <c r="E335" s="9" t="n"/>
      <c r="F335" s="9" t="n"/>
      <c r="G335" s="9">
        <f>IF(OR(E335="",F335=""),"",DATEDIF(E335,F335,"Y"))</f>
        <v/>
      </c>
      <c r="H335" s="9" t="n"/>
    </row>
    <row r="336" ht="14.25" customHeight="1" s="37">
      <c r="A336" s="9" t="n"/>
      <c r="B336" s="9" t="n"/>
      <c r="C336" s="9" t="n"/>
      <c r="D336" s="9" t="n"/>
      <c r="E336" s="9" t="n"/>
      <c r="F336" s="9" t="n"/>
      <c r="G336" s="9">
        <f>IF(OR(E336="",F336=""),"",DATEDIF(E336,F336,"Y"))</f>
        <v/>
      </c>
      <c r="H336" s="9" t="n"/>
    </row>
    <row r="337" ht="14.25" customHeight="1" s="37">
      <c r="A337" s="9" t="n"/>
      <c r="B337" s="9" t="n"/>
      <c r="C337" s="9" t="n"/>
      <c r="D337" s="9" t="n"/>
      <c r="E337" s="9" t="n"/>
      <c r="F337" s="9" t="n"/>
      <c r="G337" s="9">
        <f>IF(OR(E337="",F337=""),"",DATEDIF(E337,F337,"Y"))</f>
        <v/>
      </c>
      <c r="H337" s="9" t="n"/>
    </row>
    <row r="338" ht="14.25" customHeight="1" s="37">
      <c r="A338" s="9" t="n"/>
      <c r="B338" s="9" t="n"/>
      <c r="C338" s="9" t="n"/>
      <c r="D338" s="9" t="n"/>
      <c r="E338" s="9" t="n"/>
      <c r="F338" s="9" t="n"/>
      <c r="G338" s="9">
        <f>IF(OR(E338="",F338=""),"",DATEDIF(E338,F338,"Y"))</f>
        <v/>
      </c>
      <c r="H338" s="9" t="n"/>
    </row>
    <row r="339" ht="14.25" customHeight="1" s="37">
      <c r="A339" s="9" t="n"/>
      <c r="B339" s="9" t="n"/>
      <c r="C339" s="9" t="n"/>
      <c r="D339" s="9" t="n"/>
      <c r="E339" s="9" t="n"/>
      <c r="F339" s="9" t="n"/>
      <c r="G339" s="9">
        <f>IF(OR(E339="",F339=""),"",DATEDIF(E339,F339,"Y"))</f>
        <v/>
      </c>
      <c r="H339" s="9" t="n"/>
    </row>
    <row r="340" ht="14.25" customHeight="1" s="37">
      <c r="A340" s="9" t="n"/>
      <c r="B340" s="9" t="n"/>
      <c r="C340" s="9" t="n"/>
      <c r="D340" s="9" t="n"/>
      <c r="E340" s="9" t="n"/>
      <c r="F340" s="9" t="n"/>
      <c r="G340" s="9">
        <f>IF(OR(E340="",F340=""),"",DATEDIF(E340,F340,"Y"))</f>
        <v/>
      </c>
      <c r="H340" s="9" t="n"/>
    </row>
    <row r="341" ht="14.25" customHeight="1" s="37">
      <c r="A341" s="9" t="n"/>
      <c r="B341" s="9" t="n"/>
      <c r="C341" s="9" t="n"/>
      <c r="D341" s="9" t="n"/>
      <c r="E341" s="9" t="n"/>
      <c r="F341" s="9" t="n"/>
      <c r="G341" s="9">
        <f>IF(OR(E341="",F341=""),"",DATEDIF(E341,F341,"Y"))</f>
        <v/>
      </c>
      <c r="H341" s="9" t="n"/>
    </row>
    <row r="342" ht="14.25" customHeight="1" s="37">
      <c r="A342" s="9" t="n"/>
      <c r="B342" s="9" t="n"/>
      <c r="C342" s="9" t="n"/>
      <c r="D342" s="9" t="n"/>
      <c r="E342" s="9" t="n"/>
      <c r="F342" s="9" t="n"/>
      <c r="G342" s="9">
        <f>IF(OR(E342="",F342=""),"",DATEDIF(E342,F342,"Y"))</f>
        <v/>
      </c>
      <c r="H342" s="9" t="n"/>
    </row>
    <row r="343" ht="14.25" customHeight="1" s="37">
      <c r="A343" s="9" t="n"/>
      <c r="B343" s="9" t="n"/>
      <c r="C343" s="9" t="n"/>
      <c r="D343" s="9" t="n"/>
      <c r="E343" s="9" t="n"/>
      <c r="F343" s="9" t="n"/>
      <c r="G343" s="9">
        <f>IF(OR(E343="",F343=""),"",DATEDIF(E343,F343,"Y"))</f>
        <v/>
      </c>
      <c r="H343" s="9" t="n"/>
    </row>
    <row r="344" ht="14.25" customHeight="1" s="37">
      <c r="A344" s="9" t="n"/>
      <c r="B344" s="9" t="n"/>
      <c r="C344" s="9" t="n"/>
      <c r="D344" s="9" t="n"/>
      <c r="E344" s="9" t="n"/>
      <c r="F344" s="9" t="n"/>
      <c r="G344" s="9">
        <f>IF(OR(E344="",F344=""),"",DATEDIF(E344,F344,"Y"))</f>
        <v/>
      </c>
      <c r="H344" s="9" t="n"/>
    </row>
    <row r="345" ht="14.25" customHeight="1" s="37">
      <c r="A345" s="9" t="n"/>
      <c r="B345" s="9" t="n"/>
      <c r="C345" s="9" t="n"/>
      <c r="D345" s="9" t="n"/>
      <c r="E345" s="9" t="n"/>
      <c r="F345" s="9" t="n"/>
      <c r="G345" s="9">
        <f>IF(OR(E345="",F345=""),"",DATEDIF(E345,F345,"Y"))</f>
        <v/>
      </c>
      <c r="H345" s="9" t="n"/>
    </row>
    <row r="346" ht="14.25" customHeight="1" s="37">
      <c r="A346" s="9" t="n"/>
      <c r="B346" s="9" t="n"/>
      <c r="C346" s="9" t="n"/>
      <c r="D346" s="9" t="n"/>
      <c r="E346" s="9" t="n"/>
      <c r="F346" s="9" t="n"/>
      <c r="G346" s="9">
        <f>IF(OR(E346="",F346=""),"",DATEDIF(E346,F346,"Y"))</f>
        <v/>
      </c>
      <c r="H346" s="9" t="n"/>
    </row>
    <row r="347" ht="14.25" customHeight="1" s="37">
      <c r="A347" s="9" t="n"/>
      <c r="B347" s="9" t="n"/>
      <c r="C347" s="9" t="n"/>
      <c r="D347" s="9" t="n"/>
      <c r="E347" s="9" t="n"/>
      <c r="F347" s="9" t="n"/>
      <c r="G347" s="9">
        <f>IF(OR(E347="",F347=""),"",DATEDIF(E347,F347,"Y"))</f>
        <v/>
      </c>
      <c r="H347" s="9" t="n"/>
    </row>
    <row r="348" ht="14.25" customHeight="1" s="37">
      <c r="A348" s="9" t="n"/>
      <c r="B348" s="9" t="n"/>
      <c r="C348" s="9" t="n"/>
      <c r="D348" s="9" t="n"/>
      <c r="E348" s="9" t="n"/>
      <c r="F348" s="9" t="n"/>
      <c r="G348" s="9">
        <f>IF(OR(E348="",F348=""),"",DATEDIF(E348,F348,"Y"))</f>
        <v/>
      </c>
      <c r="H348" s="9" t="n"/>
    </row>
    <row r="349" ht="14.25" customHeight="1" s="37">
      <c r="A349" s="9" t="n"/>
      <c r="B349" s="9" t="n"/>
      <c r="C349" s="9" t="n"/>
      <c r="D349" s="9" t="n"/>
      <c r="E349" s="9" t="n"/>
      <c r="F349" s="9" t="n"/>
      <c r="G349" s="9">
        <f>IF(OR(E349="",F349=""),"",DATEDIF(E349,F349,"Y"))</f>
        <v/>
      </c>
      <c r="H349" s="9" t="n"/>
    </row>
    <row r="350" ht="14.25" customHeight="1" s="37">
      <c r="A350" s="9" t="n"/>
      <c r="B350" s="9" t="n"/>
      <c r="C350" s="9" t="n"/>
      <c r="D350" s="9" t="n"/>
      <c r="E350" s="9" t="n"/>
      <c r="F350" s="9" t="n"/>
      <c r="G350" s="9">
        <f>IF(OR(E350="",F350=""),"",DATEDIF(E350,F350,"Y"))</f>
        <v/>
      </c>
      <c r="H350" s="9" t="n"/>
    </row>
    <row r="351" ht="14.25" customHeight="1" s="37">
      <c r="A351" s="9" t="n"/>
      <c r="B351" s="9" t="n"/>
      <c r="C351" s="9" t="n"/>
      <c r="D351" s="9" t="n"/>
      <c r="E351" s="9" t="n"/>
      <c r="F351" s="9" t="n"/>
      <c r="G351" s="9">
        <f>IF(OR(E351="",F351=""),"",DATEDIF(E351,F351,"Y"))</f>
        <v/>
      </c>
      <c r="H351" s="9" t="n"/>
    </row>
    <row r="352" ht="14.25" customHeight="1" s="37">
      <c r="A352" s="9" t="n"/>
      <c r="B352" s="9" t="n"/>
      <c r="C352" s="9" t="n"/>
      <c r="D352" s="9" t="n"/>
      <c r="E352" s="9" t="n"/>
      <c r="F352" s="9" t="n"/>
      <c r="G352" s="9">
        <f>IF(OR(E352="",F352=""),"",DATEDIF(E352,F352,"Y"))</f>
        <v/>
      </c>
      <c r="H352" s="9" t="n"/>
    </row>
    <row r="353" ht="14.25" customHeight="1" s="37">
      <c r="A353" s="9" t="n"/>
      <c r="B353" s="9" t="n"/>
      <c r="C353" s="9" t="n"/>
      <c r="D353" s="9" t="n"/>
      <c r="E353" s="9" t="n"/>
      <c r="F353" s="9" t="n"/>
      <c r="G353" s="9">
        <f>IF(OR(E353="",F353=""),"",DATEDIF(E353,F353,"Y"))</f>
        <v/>
      </c>
      <c r="H353" s="9" t="n"/>
    </row>
    <row r="354" ht="14.25" customHeight="1" s="37">
      <c r="A354" s="9" t="n"/>
      <c r="B354" s="9" t="n"/>
      <c r="C354" s="9" t="n"/>
      <c r="D354" s="9" t="n"/>
      <c r="E354" s="9" t="n"/>
      <c r="F354" s="9" t="n"/>
      <c r="G354" s="9">
        <f>IF(OR(E354="",F354=""),"",DATEDIF(E354,F354,"Y"))</f>
        <v/>
      </c>
      <c r="H354" s="9" t="n"/>
    </row>
    <row r="355" ht="14.25" customHeight="1" s="37">
      <c r="A355" s="9" t="n"/>
      <c r="B355" s="9" t="n"/>
      <c r="C355" s="9" t="n"/>
      <c r="D355" s="9" t="n"/>
      <c r="E355" s="9" t="n"/>
      <c r="F355" s="9" t="n"/>
      <c r="G355" s="9">
        <f>IF(OR(E355="",F355=""),"",DATEDIF(E355,F355,"Y"))</f>
        <v/>
      </c>
      <c r="H355" s="9" t="n"/>
    </row>
    <row r="356" ht="14.25" customHeight="1" s="37">
      <c r="A356" s="9" t="n"/>
      <c r="B356" s="9" t="n"/>
      <c r="C356" s="9" t="n"/>
      <c r="D356" s="9" t="n"/>
      <c r="E356" s="9" t="n"/>
      <c r="F356" s="9" t="n"/>
      <c r="G356" s="9">
        <f>IF(OR(E356="",F356=""),"",DATEDIF(E356,F356,"Y"))</f>
        <v/>
      </c>
      <c r="H356" s="9" t="n"/>
    </row>
    <row r="357" ht="14.25" customHeight="1" s="37">
      <c r="A357" s="9" t="n"/>
      <c r="B357" s="9" t="n"/>
      <c r="C357" s="9" t="n"/>
      <c r="D357" s="9" t="n"/>
      <c r="E357" s="9" t="n"/>
      <c r="F357" s="9" t="n"/>
      <c r="G357" s="9">
        <f>IF(OR(E357="",F357=""),"",DATEDIF(E357,F357,"Y"))</f>
        <v/>
      </c>
      <c r="H357" s="9" t="n"/>
    </row>
    <row r="358" ht="14.25" customHeight="1" s="37">
      <c r="A358" s="9" t="n"/>
      <c r="B358" s="9" t="n"/>
      <c r="C358" s="9" t="n"/>
      <c r="D358" s="9" t="n"/>
      <c r="E358" s="9" t="n"/>
      <c r="F358" s="9" t="n"/>
      <c r="G358" s="9">
        <f>IF(OR(E358="",F358=""),"",DATEDIF(E358,F358,"Y"))</f>
        <v/>
      </c>
      <c r="H358" s="9" t="n"/>
    </row>
    <row r="359" ht="14.25" customHeight="1" s="37">
      <c r="A359" s="9" t="n"/>
      <c r="B359" s="9" t="n"/>
      <c r="C359" s="9" t="n"/>
      <c r="D359" s="9" t="n"/>
      <c r="E359" s="9" t="n"/>
      <c r="F359" s="9" t="n"/>
      <c r="G359" s="9">
        <f>IF(OR(E359="",F359=""),"",DATEDIF(E359,F359,"Y"))</f>
        <v/>
      </c>
      <c r="H359" s="9" t="n"/>
    </row>
    <row r="360" ht="14.25" customHeight="1" s="37">
      <c r="A360" s="9" t="n"/>
      <c r="B360" s="9" t="n"/>
      <c r="C360" s="9" t="n"/>
      <c r="D360" s="9" t="n"/>
      <c r="E360" s="9" t="n"/>
      <c r="F360" s="9" t="n"/>
      <c r="G360" s="9">
        <f>IF(OR(E360="",F360=""),"",DATEDIF(E360,F360,"Y"))</f>
        <v/>
      </c>
      <c r="H360" s="9" t="n"/>
    </row>
    <row r="361" ht="14.25" customHeight="1" s="37">
      <c r="A361" s="9" t="n"/>
      <c r="B361" s="9" t="n"/>
      <c r="C361" s="9" t="n"/>
      <c r="D361" s="9" t="n"/>
      <c r="E361" s="9" t="n"/>
      <c r="F361" s="9" t="n"/>
      <c r="G361" s="9">
        <f>IF(OR(E361="",F361=""),"",DATEDIF(E361,F361,"Y"))</f>
        <v/>
      </c>
      <c r="H361" s="9" t="n"/>
    </row>
    <row r="362" ht="14.25" customHeight="1" s="37">
      <c r="A362" s="9" t="n"/>
      <c r="B362" s="9" t="n"/>
      <c r="C362" s="9" t="n"/>
      <c r="D362" s="9" t="n"/>
      <c r="E362" s="9" t="n"/>
      <c r="F362" s="9" t="n"/>
      <c r="G362" s="9">
        <f>IF(OR(E362="",F362=""),"",DATEDIF(E362,F362,"Y"))</f>
        <v/>
      </c>
      <c r="H362" s="9" t="n"/>
    </row>
    <row r="363" ht="14.25" customHeight="1" s="37">
      <c r="A363" s="9" t="n"/>
      <c r="B363" s="9" t="n"/>
      <c r="C363" s="9" t="n"/>
      <c r="D363" s="9" t="n"/>
      <c r="E363" s="9" t="n"/>
      <c r="F363" s="9" t="n"/>
      <c r="G363" s="9">
        <f>IF(OR(E363="",F363=""),"",DATEDIF(E363,F363,"Y"))</f>
        <v/>
      </c>
      <c r="H363" s="9" t="n"/>
    </row>
    <row r="364" ht="14.25" customHeight="1" s="37">
      <c r="A364" s="9" t="n"/>
      <c r="B364" s="9" t="n"/>
      <c r="C364" s="9" t="n"/>
      <c r="D364" s="9" t="n"/>
      <c r="E364" s="9" t="n"/>
      <c r="F364" s="9" t="n"/>
      <c r="G364" s="9">
        <f>IF(OR(E364="",F364=""),"",DATEDIF(E364,F364,"Y"))</f>
        <v/>
      </c>
      <c r="H364" s="9" t="n"/>
    </row>
    <row r="365" ht="14.25" customHeight="1" s="37">
      <c r="A365" s="9" t="n"/>
      <c r="B365" s="9" t="n"/>
      <c r="C365" s="9" t="n"/>
      <c r="D365" s="9" t="n"/>
      <c r="E365" s="9" t="n"/>
      <c r="F365" s="9" t="n"/>
      <c r="G365" s="9">
        <f>IF(OR(E365="",F365=""),"",DATEDIF(E365,F365,"Y"))</f>
        <v/>
      </c>
      <c r="H365" s="9" t="n"/>
    </row>
    <row r="366" ht="14.25" customHeight="1" s="37">
      <c r="A366" s="9" t="n"/>
      <c r="B366" s="9" t="n"/>
      <c r="C366" s="9" t="n"/>
      <c r="D366" s="9" t="n"/>
      <c r="E366" s="9" t="n"/>
      <c r="F366" s="9" t="n"/>
      <c r="G366" s="9">
        <f>IF(OR(E366="",F366=""),"",DATEDIF(E366,F366,"Y"))</f>
        <v/>
      </c>
      <c r="H366" s="9" t="n"/>
    </row>
    <row r="367" ht="14.25" customHeight="1" s="37">
      <c r="A367" s="9" t="n"/>
      <c r="B367" s="9" t="n"/>
      <c r="C367" s="9" t="n"/>
      <c r="D367" s="9" t="n"/>
      <c r="E367" s="9" t="n"/>
      <c r="F367" s="9" t="n"/>
      <c r="G367" s="9">
        <f>IF(OR(E367="",F367=""),"",DATEDIF(E367,F367,"Y"))</f>
        <v/>
      </c>
      <c r="H367" s="9" t="n"/>
    </row>
    <row r="368" ht="14.25" customHeight="1" s="37">
      <c r="A368" s="9" t="n"/>
      <c r="B368" s="9" t="n"/>
      <c r="C368" s="9" t="n"/>
      <c r="D368" s="9" t="n"/>
      <c r="E368" s="9" t="n"/>
      <c r="F368" s="9" t="n"/>
      <c r="G368" s="9">
        <f>IF(OR(E368="",F368=""),"",DATEDIF(E368,F368,"Y"))</f>
        <v/>
      </c>
      <c r="H368" s="9" t="n"/>
    </row>
    <row r="369" ht="14.25" customHeight="1" s="37">
      <c r="A369" s="9" t="n"/>
      <c r="B369" s="9" t="n"/>
      <c r="C369" s="9" t="n"/>
      <c r="D369" s="9" t="n"/>
      <c r="E369" s="9" t="n"/>
      <c r="F369" s="9" t="n"/>
      <c r="G369" s="9">
        <f>IF(OR(E369="",F369=""),"",DATEDIF(E369,F369,"Y"))</f>
        <v/>
      </c>
      <c r="H369" s="9" t="n"/>
    </row>
    <row r="370" ht="14.25" customHeight="1" s="37">
      <c r="A370" s="9" t="n"/>
      <c r="B370" s="9" t="n"/>
      <c r="C370" s="9" t="n"/>
      <c r="D370" s="9" t="n"/>
      <c r="E370" s="9" t="n"/>
      <c r="F370" s="9" t="n"/>
      <c r="G370" s="9">
        <f>IF(OR(E370="",F370=""),"",DATEDIF(E370,F370,"Y"))</f>
        <v/>
      </c>
      <c r="H370" s="9" t="n"/>
    </row>
    <row r="371" ht="14.25" customHeight="1" s="37">
      <c r="A371" s="9" t="n"/>
      <c r="B371" s="9" t="n"/>
      <c r="C371" s="9" t="n"/>
      <c r="D371" s="9" t="n"/>
      <c r="E371" s="9" t="n"/>
      <c r="F371" s="9" t="n"/>
      <c r="G371" s="9">
        <f>IF(OR(E371="",F371=""),"",DATEDIF(E371,F371,"Y"))</f>
        <v/>
      </c>
      <c r="H371" s="9" t="n"/>
    </row>
    <row r="372" ht="14.25" customHeight="1" s="37">
      <c r="A372" s="9" t="n"/>
      <c r="B372" s="9" t="n"/>
      <c r="C372" s="9" t="n"/>
      <c r="D372" s="9" t="n"/>
      <c r="E372" s="9" t="n"/>
      <c r="F372" s="9" t="n"/>
      <c r="G372" s="9">
        <f>IF(OR(E372="",F372=""),"",DATEDIF(E372,F372,"Y"))</f>
        <v/>
      </c>
      <c r="H372" s="9" t="n"/>
    </row>
    <row r="373" ht="14.25" customHeight="1" s="37">
      <c r="A373" s="9" t="n"/>
      <c r="B373" s="9" t="n"/>
      <c r="C373" s="9" t="n"/>
      <c r="D373" s="9" t="n"/>
      <c r="E373" s="9" t="n"/>
      <c r="F373" s="9" t="n"/>
      <c r="G373" s="9">
        <f>IF(OR(E373="",F373=""),"",DATEDIF(E373,F373,"Y"))</f>
        <v/>
      </c>
      <c r="H373" s="9" t="n"/>
    </row>
    <row r="374" ht="14.25" customHeight="1" s="37">
      <c r="A374" s="9" t="n"/>
      <c r="B374" s="9" t="n"/>
      <c r="C374" s="9" t="n"/>
      <c r="D374" s="9" t="n"/>
      <c r="E374" s="9" t="n"/>
      <c r="F374" s="9" t="n"/>
      <c r="G374" s="9">
        <f>IF(OR(E374="",F374=""),"",DATEDIF(E374,F374,"Y"))</f>
        <v/>
      </c>
      <c r="H374" s="9" t="n"/>
    </row>
    <row r="375" ht="14.25" customHeight="1" s="37">
      <c r="A375" s="9" t="n"/>
      <c r="B375" s="9" t="n"/>
      <c r="C375" s="9" t="n"/>
      <c r="D375" s="9" t="n"/>
      <c r="E375" s="9" t="n"/>
      <c r="F375" s="9" t="n"/>
      <c r="G375" s="9">
        <f>IF(OR(E375="",F375=""),"",DATEDIF(E375,F375,"Y"))</f>
        <v/>
      </c>
      <c r="H375" s="9" t="n"/>
    </row>
    <row r="376" ht="14.25" customHeight="1" s="37">
      <c r="A376" s="9" t="n"/>
      <c r="B376" s="9" t="n"/>
      <c r="C376" s="9" t="n"/>
      <c r="D376" s="9" t="n"/>
      <c r="E376" s="9" t="n"/>
      <c r="F376" s="9" t="n"/>
      <c r="G376" s="9">
        <f>IF(OR(E376="",F376=""),"",DATEDIF(E376,F376,"Y"))</f>
        <v/>
      </c>
      <c r="H376" s="9" t="n"/>
    </row>
    <row r="377" ht="14.25" customHeight="1" s="37">
      <c r="A377" s="9" t="n"/>
      <c r="B377" s="9" t="n"/>
      <c r="C377" s="9" t="n"/>
      <c r="D377" s="9" t="n"/>
      <c r="E377" s="9" t="n"/>
      <c r="F377" s="9" t="n"/>
      <c r="G377" s="9">
        <f>IF(OR(E377="",F377=""),"",DATEDIF(E377,F377,"Y"))</f>
        <v/>
      </c>
      <c r="H377" s="9" t="n"/>
    </row>
    <row r="378" ht="14.25" customHeight="1" s="37">
      <c r="A378" s="9" t="n"/>
      <c r="B378" s="9" t="n"/>
      <c r="C378" s="9" t="n"/>
      <c r="D378" s="9" t="n"/>
      <c r="E378" s="9" t="n"/>
      <c r="F378" s="9" t="n"/>
      <c r="G378" s="9">
        <f>IF(OR(E378="",F378=""),"",DATEDIF(E378,F378,"Y"))</f>
        <v/>
      </c>
      <c r="H378" s="9" t="n"/>
    </row>
    <row r="379" ht="14.25" customHeight="1" s="37">
      <c r="A379" s="9" t="n"/>
      <c r="B379" s="9" t="n"/>
      <c r="C379" s="9" t="n"/>
      <c r="D379" s="9" t="n"/>
      <c r="E379" s="9" t="n"/>
      <c r="F379" s="9" t="n"/>
      <c r="G379" s="9">
        <f>IF(OR(E379="",F379=""),"",DATEDIF(E379,F379,"Y"))</f>
        <v/>
      </c>
      <c r="H379" s="9" t="n"/>
    </row>
    <row r="380" ht="14.25" customHeight="1" s="37">
      <c r="A380" s="9" t="n"/>
      <c r="B380" s="9" t="n"/>
      <c r="C380" s="9" t="n"/>
      <c r="D380" s="9" t="n"/>
      <c r="E380" s="9" t="n"/>
      <c r="F380" s="9" t="n"/>
      <c r="G380" s="9">
        <f>IF(OR(E380="",F380=""),"",DATEDIF(E380,F380,"Y"))</f>
        <v/>
      </c>
      <c r="H380" s="9" t="n"/>
    </row>
    <row r="381" ht="14.25" customHeight="1" s="37">
      <c r="A381" s="9" t="n"/>
      <c r="B381" s="9" t="n"/>
      <c r="C381" s="9" t="n"/>
      <c r="D381" s="9" t="n"/>
      <c r="E381" s="9" t="n"/>
      <c r="F381" s="9" t="n"/>
      <c r="G381" s="9">
        <f>IF(OR(E381="",F381=""),"",DATEDIF(E381,F381,"Y"))</f>
        <v/>
      </c>
      <c r="H381" s="9" t="n"/>
    </row>
    <row r="382" ht="14.25" customHeight="1" s="37">
      <c r="A382" s="9" t="n"/>
      <c r="B382" s="9" t="n"/>
      <c r="C382" s="9" t="n"/>
      <c r="D382" s="9" t="n"/>
      <c r="E382" s="9" t="n"/>
      <c r="F382" s="9" t="n"/>
      <c r="G382" s="9">
        <f>IF(OR(E382="",F382=""),"",DATEDIF(E382,F382,"Y"))</f>
        <v/>
      </c>
      <c r="H382" s="9" t="n"/>
    </row>
    <row r="383" ht="14.25" customHeight="1" s="37">
      <c r="A383" s="9" t="n"/>
      <c r="B383" s="9" t="n"/>
      <c r="C383" s="9" t="n"/>
      <c r="D383" s="9" t="n"/>
      <c r="E383" s="9" t="n"/>
      <c r="F383" s="9" t="n"/>
      <c r="G383" s="9">
        <f>IF(OR(E383="",F383=""),"",DATEDIF(E383,F383,"Y"))</f>
        <v/>
      </c>
      <c r="H383" s="9" t="n"/>
    </row>
    <row r="384" ht="14.25" customHeight="1" s="37">
      <c r="A384" s="9" t="n"/>
      <c r="B384" s="9" t="n"/>
      <c r="C384" s="9" t="n"/>
      <c r="D384" s="9" t="n"/>
      <c r="E384" s="9" t="n"/>
      <c r="F384" s="9" t="n"/>
      <c r="G384" s="9">
        <f>IF(OR(E384="",F384=""),"",DATEDIF(E384,F384,"Y"))</f>
        <v/>
      </c>
      <c r="H384" s="9" t="n"/>
    </row>
    <row r="385" ht="14.25" customHeight="1" s="37">
      <c r="A385" s="9" t="n"/>
      <c r="B385" s="9" t="n"/>
      <c r="C385" s="9" t="n"/>
      <c r="D385" s="9" t="n"/>
      <c r="E385" s="9" t="n"/>
      <c r="F385" s="9" t="n"/>
      <c r="G385" s="9">
        <f>IF(OR(E385="",F385=""),"",DATEDIF(E385,F385,"Y"))</f>
        <v/>
      </c>
      <c r="H385" s="9" t="n"/>
    </row>
    <row r="386" ht="14.25" customHeight="1" s="37">
      <c r="A386" s="9" t="n"/>
      <c r="B386" s="9" t="n"/>
      <c r="C386" s="9" t="n"/>
      <c r="D386" s="9" t="n"/>
      <c r="E386" s="9" t="n"/>
      <c r="F386" s="9" t="n"/>
      <c r="G386" s="9">
        <f>IF(OR(E386="",F386=""),"",DATEDIF(E386,F386,"Y"))</f>
        <v/>
      </c>
      <c r="H386" s="9" t="n"/>
    </row>
    <row r="387" ht="14.25" customHeight="1" s="37">
      <c r="A387" s="9" t="n"/>
      <c r="B387" s="9" t="n"/>
      <c r="C387" s="9" t="n"/>
      <c r="D387" s="9" t="n"/>
      <c r="E387" s="9" t="n"/>
      <c r="F387" s="9" t="n"/>
      <c r="G387" s="9">
        <f>IF(OR(E387="",F387=""),"",DATEDIF(E387,F387,"Y"))</f>
        <v/>
      </c>
      <c r="H387" s="9" t="n"/>
    </row>
    <row r="388" ht="14.25" customHeight="1" s="37">
      <c r="A388" s="9" t="n"/>
      <c r="B388" s="9" t="n"/>
      <c r="C388" s="9" t="n"/>
      <c r="D388" s="9" t="n"/>
      <c r="E388" s="9" t="n"/>
      <c r="F388" s="9" t="n"/>
      <c r="G388" s="9">
        <f>IF(OR(E388="",F388=""),"",DATEDIF(E388,F388,"Y"))</f>
        <v/>
      </c>
      <c r="H388" s="9" t="n"/>
    </row>
    <row r="389" ht="14.25" customHeight="1" s="37">
      <c r="A389" s="9" t="n"/>
      <c r="B389" s="9" t="n"/>
      <c r="C389" s="9" t="n"/>
      <c r="D389" s="9" t="n"/>
      <c r="E389" s="9" t="n"/>
      <c r="F389" s="9" t="n"/>
      <c r="G389" s="9">
        <f>IF(OR(E389="",F389=""),"",DATEDIF(E389,F389,"Y"))</f>
        <v/>
      </c>
      <c r="H389" s="9" t="n"/>
    </row>
    <row r="390" ht="14.25" customHeight="1" s="37">
      <c r="A390" s="9" t="n"/>
      <c r="B390" s="9" t="n"/>
      <c r="C390" s="9" t="n"/>
      <c r="D390" s="9" t="n"/>
      <c r="E390" s="9" t="n"/>
      <c r="F390" s="9" t="n"/>
      <c r="G390" s="9">
        <f>IF(OR(E390="",F390=""),"",DATEDIF(E390,F390,"Y"))</f>
        <v/>
      </c>
      <c r="H390" s="9" t="n"/>
    </row>
    <row r="391" ht="14.25" customHeight="1" s="37">
      <c r="A391" s="9" t="n"/>
      <c r="B391" s="9" t="n"/>
      <c r="C391" s="9" t="n"/>
      <c r="D391" s="9" t="n"/>
      <c r="E391" s="9" t="n"/>
      <c r="F391" s="9" t="n"/>
      <c r="G391" s="9">
        <f>IF(OR(E391="",F391=""),"",DATEDIF(E391,F391,"Y"))</f>
        <v/>
      </c>
      <c r="H391" s="9" t="n"/>
    </row>
    <row r="392" ht="14.25" customHeight="1" s="37">
      <c r="A392" s="9" t="n"/>
      <c r="B392" s="9" t="n"/>
      <c r="C392" s="9" t="n"/>
      <c r="D392" s="9" t="n"/>
      <c r="E392" s="9" t="n"/>
      <c r="F392" s="9" t="n"/>
      <c r="G392" s="9">
        <f>IF(OR(E392="",F392=""),"",DATEDIF(E392,F392,"Y"))</f>
        <v/>
      </c>
      <c r="H392" s="9" t="n"/>
    </row>
    <row r="393" ht="14.25" customHeight="1" s="37">
      <c r="A393" s="9" t="n"/>
      <c r="B393" s="9" t="n"/>
      <c r="C393" s="9" t="n"/>
      <c r="D393" s="9" t="n"/>
      <c r="E393" s="9" t="n"/>
      <c r="F393" s="9" t="n"/>
      <c r="G393" s="9">
        <f>IF(OR(E393="",F393=""),"",DATEDIF(E393,F393,"Y"))</f>
        <v/>
      </c>
      <c r="H393" s="9" t="n"/>
    </row>
    <row r="394" ht="14.25" customHeight="1" s="37">
      <c r="A394" s="9" t="n"/>
      <c r="B394" s="9" t="n"/>
      <c r="C394" s="9" t="n"/>
      <c r="D394" s="9" t="n"/>
      <c r="E394" s="9" t="n"/>
      <c r="F394" s="9" t="n"/>
      <c r="G394" s="9">
        <f>IF(OR(E394="",F394=""),"",DATEDIF(E394,F394,"Y"))</f>
        <v/>
      </c>
      <c r="H394" s="9" t="n"/>
    </row>
    <row r="395" ht="14.25" customHeight="1" s="37">
      <c r="A395" s="9" t="n"/>
      <c r="B395" s="9" t="n"/>
      <c r="C395" s="9" t="n"/>
      <c r="D395" s="9" t="n"/>
      <c r="E395" s="9" t="n"/>
      <c r="F395" s="9" t="n"/>
      <c r="G395" s="9">
        <f>IF(OR(E395="",F395=""),"",DATEDIF(E395,F395,"Y"))</f>
        <v/>
      </c>
      <c r="H395" s="9" t="n"/>
    </row>
    <row r="396" ht="14.25" customHeight="1" s="37">
      <c r="A396" s="9" t="n"/>
      <c r="B396" s="9" t="n"/>
      <c r="C396" s="9" t="n"/>
      <c r="D396" s="9" t="n"/>
      <c r="E396" s="9" t="n"/>
      <c r="F396" s="9" t="n"/>
      <c r="G396" s="9">
        <f>IF(OR(E396="",F396=""),"",DATEDIF(E396,F396,"Y"))</f>
        <v/>
      </c>
      <c r="H396" s="9" t="n"/>
    </row>
    <row r="397" ht="14.25" customHeight="1" s="37">
      <c r="A397" s="9" t="n"/>
      <c r="B397" s="9" t="n"/>
      <c r="C397" s="9" t="n"/>
      <c r="D397" s="9" t="n"/>
      <c r="E397" s="9" t="n"/>
      <c r="F397" s="9" t="n"/>
      <c r="G397" s="9">
        <f>IF(OR(E397="",F397=""),"",DATEDIF(E397,F397,"Y"))</f>
        <v/>
      </c>
      <c r="H397" s="9" t="n"/>
    </row>
    <row r="398" ht="14.25" customHeight="1" s="37">
      <c r="A398" s="9" t="n"/>
      <c r="B398" s="9" t="n"/>
      <c r="C398" s="9" t="n"/>
      <c r="D398" s="9" t="n"/>
      <c r="E398" s="9" t="n"/>
      <c r="F398" s="9" t="n"/>
      <c r="G398" s="9">
        <f>IF(OR(E398="",F398=""),"",DATEDIF(E398,F398,"Y"))</f>
        <v/>
      </c>
      <c r="H398" s="9" t="n"/>
    </row>
    <row r="399" ht="14.25" customHeight="1" s="37">
      <c r="A399" s="9" t="n"/>
      <c r="B399" s="9" t="n"/>
      <c r="C399" s="9" t="n"/>
      <c r="D399" s="9" t="n"/>
      <c r="E399" s="9" t="n"/>
      <c r="F399" s="9" t="n"/>
      <c r="G399" s="9">
        <f>IF(OR(E399="",F399=""),"",DATEDIF(E399,F399,"Y"))</f>
        <v/>
      </c>
      <c r="H399" s="9" t="n"/>
    </row>
    <row r="400" ht="14.25" customHeight="1" s="37">
      <c r="A400" s="9" t="n"/>
      <c r="B400" s="9" t="n"/>
      <c r="C400" s="9" t="n"/>
      <c r="D400" s="9" t="n"/>
      <c r="E400" s="9" t="n"/>
      <c r="F400" s="9" t="n"/>
      <c r="G400" s="9">
        <f>IF(OR(E400="",F400=""),"",DATEDIF(E400,F400,"Y"))</f>
        <v/>
      </c>
      <c r="H400" s="9" t="n"/>
    </row>
    <row r="401" ht="14.25" customHeight="1" s="37">
      <c r="A401" s="9" t="n"/>
      <c r="B401" s="9" t="n"/>
      <c r="C401" s="9" t="n"/>
      <c r="D401" s="9" t="n"/>
      <c r="E401" s="9" t="n"/>
      <c r="F401" s="9" t="n"/>
      <c r="G401" s="9">
        <f>IF(OR(E401="",F401=""),"",DATEDIF(E401,F401,"Y"))</f>
        <v/>
      </c>
      <c r="H401" s="9" t="n"/>
    </row>
    <row r="402" ht="14.25" customHeight="1" s="37">
      <c r="A402" s="9" t="n"/>
      <c r="B402" s="9" t="n"/>
      <c r="C402" s="9" t="n"/>
      <c r="D402" s="9" t="n"/>
      <c r="E402" s="9" t="n"/>
      <c r="F402" s="9" t="n"/>
      <c r="G402" s="9">
        <f>IF(OR(E402="",F402=""),"",DATEDIF(E402,F402,"Y"))</f>
        <v/>
      </c>
      <c r="H402" s="9" t="n"/>
    </row>
    <row r="403" ht="14.25" customHeight="1" s="37">
      <c r="A403" s="9" t="n"/>
      <c r="B403" s="9" t="n"/>
      <c r="C403" s="9" t="n"/>
      <c r="D403" s="9" t="n"/>
      <c r="E403" s="9" t="n"/>
      <c r="F403" s="9" t="n"/>
      <c r="G403" s="9">
        <f>IF(OR(E403="",F403=""),"",DATEDIF(E403,F403,"Y"))</f>
        <v/>
      </c>
      <c r="H403" s="9" t="n"/>
    </row>
    <row r="404" ht="14.25" customHeight="1" s="37">
      <c r="A404" s="9" t="n"/>
      <c r="B404" s="9" t="n"/>
      <c r="C404" s="9" t="n"/>
      <c r="D404" s="9" t="n"/>
      <c r="E404" s="9" t="n"/>
      <c r="F404" s="9" t="n"/>
      <c r="G404" s="9">
        <f>IF(OR(E404="",F404=""),"",DATEDIF(E404,F404,"Y"))</f>
        <v/>
      </c>
      <c r="H404" s="9" t="n"/>
    </row>
    <row r="405" ht="14.25" customHeight="1" s="37">
      <c r="A405" s="9" t="n"/>
      <c r="B405" s="9" t="n"/>
      <c r="C405" s="9" t="n"/>
      <c r="D405" s="9" t="n"/>
      <c r="E405" s="9" t="n"/>
      <c r="F405" s="9" t="n"/>
      <c r="G405" s="9">
        <f>IF(OR(E405="",F405=""),"",DATEDIF(E405,F405,"Y"))</f>
        <v/>
      </c>
      <c r="H405" s="9" t="n"/>
    </row>
    <row r="406" ht="14.25" customHeight="1" s="37">
      <c r="A406" s="9" t="n"/>
      <c r="B406" s="9" t="n"/>
      <c r="C406" s="9" t="n"/>
      <c r="D406" s="9" t="n"/>
      <c r="E406" s="9" t="n"/>
      <c r="F406" s="9" t="n"/>
      <c r="G406" s="9">
        <f>IF(OR(E406="",F406=""),"",DATEDIF(E406,F406,"Y"))</f>
        <v/>
      </c>
      <c r="H406" s="9" t="n"/>
    </row>
    <row r="407" ht="14.25" customHeight="1" s="37">
      <c r="A407" s="9" t="n"/>
      <c r="B407" s="9" t="n"/>
      <c r="C407" s="9" t="n"/>
      <c r="D407" s="9" t="n"/>
      <c r="E407" s="9" t="n"/>
      <c r="F407" s="9" t="n"/>
      <c r="G407" s="9">
        <f>IF(OR(E407="",F407=""),"",DATEDIF(E407,F407,"Y"))</f>
        <v/>
      </c>
      <c r="H407" s="9" t="n"/>
    </row>
    <row r="408" ht="14.25" customHeight="1" s="37">
      <c r="A408" s="9" t="n"/>
      <c r="B408" s="9" t="n"/>
      <c r="C408" s="9" t="n"/>
      <c r="D408" s="9" t="n"/>
      <c r="E408" s="9" t="n"/>
      <c r="F408" s="9" t="n"/>
      <c r="G408" s="9">
        <f>IF(OR(E408="",F408=""),"",DATEDIF(E408,F408,"Y"))</f>
        <v/>
      </c>
      <c r="H408" s="9" t="n"/>
    </row>
    <row r="409" ht="14.25" customHeight="1" s="37">
      <c r="A409" s="9" t="n"/>
      <c r="B409" s="9" t="n"/>
      <c r="C409" s="9" t="n"/>
      <c r="D409" s="9" t="n"/>
      <c r="E409" s="9" t="n"/>
      <c r="F409" s="9" t="n"/>
      <c r="G409" s="9">
        <f>IF(OR(E409="",F409=""),"",DATEDIF(E409,F409,"Y"))</f>
        <v/>
      </c>
      <c r="H409" s="9" t="n"/>
    </row>
    <row r="410" ht="14.25" customHeight="1" s="37">
      <c r="A410" s="9" t="n"/>
      <c r="B410" s="9" t="n"/>
      <c r="C410" s="9" t="n"/>
      <c r="D410" s="9" t="n"/>
      <c r="E410" s="9" t="n"/>
      <c r="F410" s="9" t="n"/>
      <c r="G410" s="9">
        <f>IF(OR(E410="",F410=""),"",DATEDIF(E410,F410,"Y"))</f>
        <v/>
      </c>
      <c r="H410" s="9" t="n"/>
    </row>
    <row r="411" ht="14.25" customHeight="1" s="37">
      <c r="A411" s="9" t="n"/>
      <c r="B411" s="9" t="n"/>
      <c r="C411" s="9" t="n"/>
      <c r="D411" s="9" t="n"/>
      <c r="E411" s="9" t="n"/>
      <c r="F411" s="9" t="n"/>
      <c r="G411" s="9">
        <f>IF(OR(E411="",F411=""),"",DATEDIF(E411,F411,"Y"))</f>
        <v/>
      </c>
      <c r="H411" s="9" t="n"/>
    </row>
    <row r="412" ht="14.25" customHeight="1" s="37">
      <c r="A412" s="9" t="n"/>
      <c r="B412" s="9" t="n"/>
      <c r="C412" s="9" t="n"/>
      <c r="D412" s="9" t="n"/>
      <c r="E412" s="9" t="n"/>
      <c r="F412" s="9" t="n"/>
      <c r="G412" s="9">
        <f>IF(OR(E412="",F412=""),"",DATEDIF(E412,F412,"Y"))</f>
        <v/>
      </c>
      <c r="H412" s="9" t="n"/>
    </row>
    <row r="413" ht="14.25" customHeight="1" s="37">
      <c r="A413" s="9" t="n"/>
      <c r="B413" s="9" t="n"/>
      <c r="C413" s="9" t="n"/>
      <c r="D413" s="9" t="n"/>
      <c r="E413" s="9" t="n"/>
      <c r="F413" s="9" t="n"/>
      <c r="G413" s="9">
        <f>IF(OR(E413="",F413=""),"",DATEDIF(E413,F413,"Y"))</f>
        <v/>
      </c>
      <c r="H413" s="9" t="n"/>
    </row>
    <row r="414" ht="14.25" customHeight="1" s="37">
      <c r="A414" s="9" t="n"/>
      <c r="B414" s="9" t="n"/>
      <c r="C414" s="9" t="n"/>
      <c r="D414" s="9" t="n"/>
      <c r="E414" s="9" t="n"/>
      <c r="F414" s="9" t="n"/>
      <c r="G414" s="9">
        <f>IF(OR(E414="",F414=""),"",DATEDIF(E414,F414,"Y"))</f>
        <v/>
      </c>
      <c r="H414" s="9" t="n"/>
    </row>
    <row r="415" ht="14.25" customHeight="1" s="37">
      <c r="A415" s="9" t="n"/>
      <c r="B415" s="9" t="n"/>
      <c r="C415" s="9" t="n"/>
      <c r="D415" s="9" t="n"/>
      <c r="E415" s="9" t="n"/>
      <c r="F415" s="9" t="n"/>
      <c r="G415" s="9">
        <f>IF(OR(E415="",F415=""),"",DATEDIF(E415,F415,"Y"))</f>
        <v/>
      </c>
      <c r="H415" s="9" t="n"/>
    </row>
    <row r="416" ht="14.25" customHeight="1" s="37">
      <c r="A416" s="9" t="n"/>
      <c r="B416" s="9" t="n"/>
      <c r="C416" s="9" t="n"/>
      <c r="D416" s="9" t="n"/>
      <c r="E416" s="9" t="n"/>
      <c r="F416" s="9" t="n"/>
      <c r="G416" s="9">
        <f>IF(OR(E416="",F416=""),"",DATEDIF(E416,F416,"Y"))</f>
        <v/>
      </c>
      <c r="H416" s="9" t="n"/>
    </row>
    <row r="417" ht="14.25" customHeight="1" s="37">
      <c r="A417" s="9" t="n"/>
      <c r="B417" s="9" t="n"/>
      <c r="C417" s="9" t="n"/>
      <c r="D417" s="9" t="n"/>
      <c r="E417" s="9" t="n"/>
      <c r="F417" s="9" t="n"/>
      <c r="G417" s="9">
        <f>IF(OR(E417="",F417=""),"",DATEDIF(E417,F417,"Y"))</f>
        <v/>
      </c>
      <c r="H417" s="9" t="n"/>
    </row>
    <row r="418" ht="14.25" customHeight="1" s="37">
      <c r="A418" s="9" t="n"/>
      <c r="B418" s="9" t="n"/>
      <c r="C418" s="9" t="n"/>
      <c r="D418" s="9" t="n"/>
      <c r="E418" s="9" t="n"/>
      <c r="F418" s="9" t="n"/>
      <c r="G418" s="9">
        <f>IF(OR(E418="",F418=""),"",DATEDIF(E418,F418,"Y"))</f>
        <v/>
      </c>
      <c r="H418" s="9" t="n"/>
    </row>
    <row r="419" ht="14.25" customHeight="1" s="37">
      <c r="A419" s="9" t="n"/>
      <c r="B419" s="9" t="n"/>
      <c r="C419" s="9" t="n"/>
      <c r="D419" s="9" t="n"/>
      <c r="E419" s="9" t="n"/>
      <c r="F419" s="9" t="n"/>
      <c r="G419" s="9">
        <f>IF(OR(E419="",F419=""),"",DATEDIF(E419,F419,"Y"))</f>
        <v/>
      </c>
      <c r="H419" s="9" t="n"/>
    </row>
    <row r="420" ht="14.25" customHeight="1" s="37">
      <c r="A420" s="9" t="n"/>
      <c r="B420" s="9" t="n"/>
      <c r="C420" s="9" t="n"/>
      <c r="D420" s="9" t="n"/>
      <c r="E420" s="9" t="n"/>
      <c r="F420" s="9" t="n"/>
      <c r="G420" s="9">
        <f>IF(OR(E420="",F420=""),"",DATEDIF(E420,F420,"Y"))</f>
        <v/>
      </c>
      <c r="H420" s="9" t="n"/>
    </row>
    <row r="421" ht="14.25" customHeight="1" s="37">
      <c r="A421" s="9" t="n"/>
      <c r="B421" s="9" t="n"/>
      <c r="C421" s="9" t="n"/>
      <c r="D421" s="9" t="n"/>
      <c r="E421" s="9" t="n"/>
      <c r="F421" s="9" t="n"/>
      <c r="G421" s="9">
        <f>IF(OR(E421="",F421=""),"",DATEDIF(E421,F421,"Y"))</f>
        <v/>
      </c>
      <c r="H421" s="9" t="n"/>
    </row>
    <row r="422" ht="14.25" customHeight="1" s="37">
      <c r="A422" s="9" t="n"/>
      <c r="B422" s="9" t="n"/>
      <c r="C422" s="9" t="n"/>
      <c r="D422" s="9" t="n"/>
      <c r="E422" s="9" t="n"/>
      <c r="F422" s="9" t="n"/>
      <c r="G422" s="9">
        <f>IF(OR(E422="",F422=""),"",DATEDIF(E422,F422,"Y"))</f>
        <v/>
      </c>
      <c r="H422" s="9" t="n"/>
    </row>
    <row r="423" ht="14.25" customHeight="1" s="37">
      <c r="A423" s="9" t="n"/>
      <c r="B423" s="9" t="n"/>
      <c r="C423" s="9" t="n"/>
      <c r="D423" s="9" t="n"/>
      <c r="E423" s="9" t="n"/>
      <c r="F423" s="9" t="n"/>
      <c r="G423" s="9">
        <f>IF(OR(E423="",F423=""),"",DATEDIF(E423,F423,"Y"))</f>
        <v/>
      </c>
      <c r="H423" s="9" t="n"/>
    </row>
    <row r="424" ht="14.25" customHeight="1" s="37">
      <c r="A424" s="9" t="n"/>
      <c r="B424" s="9" t="n"/>
      <c r="C424" s="9" t="n"/>
      <c r="D424" s="9" t="n"/>
      <c r="E424" s="9" t="n"/>
      <c r="F424" s="9" t="n"/>
      <c r="G424" s="9">
        <f>IF(OR(E424="",F424=""),"",DATEDIF(E424,F424,"Y"))</f>
        <v/>
      </c>
      <c r="H424" s="9" t="n"/>
    </row>
    <row r="425" ht="14.25" customHeight="1" s="37">
      <c r="A425" s="9" t="n"/>
      <c r="B425" s="9" t="n"/>
      <c r="C425" s="9" t="n"/>
      <c r="D425" s="9" t="n"/>
      <c r="E425" s="9" t="n"/>
      <c r="F425" s="9" t="n"/>
      <c r="G425" s="9">
        <f>IF(OR(E425="",F425=""),"",DATEDIF(E425,F425,"Y"))</f>
        <v/>
      </c>
      <c r="H425" s="9" t="n"/>
    </row>
    <row r="426" ht="14.25" customHeight="1" s="37">
      <c r="A426" s="9" t="n"/>
      <c r="B426" s="9" t="n"/>
      <c r="C426" s="9" t="n"/>
      <c r="D426" s="9" t="n"/>
      <c r="E426" s="9" t="n"/>
      <c r="F426" s="9" t="n"/>
      <c r="G426" s="9">
        <f>IF(OR(E426="",F426=""),"",DATEDIF(E426,F426,"Y"))</f>
        <v/>
      </c>
      <c r="H426" s="9" t="n"/>
    </row>
    <row r="427" ht="14.25" customHeight="1" s="37">
      <c r="A427" s="9" t="n"/>
      <c r="B427" s="9" t="n"/>
      <c r="C427" s="9" t="n"/>
      <c r="D427" s="9" t="n"/>
      <c r="E427" s="9" t="n"/>
      <c r="F427" s="9" t="n"/>
      <c r="G427" s="9">
        <f>IF(OR(E427="",F427=""),"",DATEDIF(E427,F427,"Y"))</f>
        <v/>
      </c>
      <c r="H427" s="9" t="n"/>
    </row>
    <row r="428" ht="14.25" customHeight="1" s="37">
      <c r="A428" s="9" t="n"/>
      <c r="B428" s="9" t="n"/>
      <c r="C428" s="9" t="n"/>
      <c r="D428" s="9" t="n"/>
      <c r="E428" s="9" t="n"/>
      <c r="F428" s="9" t="n"/>
      <c r="G428" s="9">
        <f>IF(OR(E428="",F428=""),"",DATEDIF(E428,F428,"Y"))</f>
        <v/>
      </c>
      <c r="H428" s="9" t="n"/>
    </row>
    <row r="429" ht="14.25" customHeight="1" s="37">
      <c r="A429" s="9" t="n"/>
      <c r="B429" s="9" t="n"/>
      <c r="C429" s="9" t="n"/>
      <c r="D429" s="9" t="n"/>
      <c r="E429" s="9" t="n"/>
      <c r="F429" s="9" t="n"/>
      <c r="G429" s="9">
        <f>IF(OR(E429="",F429=""),"",DATEDIF(E429,F429,"Y"))</f>
        <v/>
      </c>
      <c r="H429" s="9" t="n"/>
    </row>
    <row r="430" ht="14.25" customHeight="1" s="37">
      <c r="A430" s="9" t="n"/>
      <c r="B430" s="9" t="n"/>
      <c r="C430" s="9" t="n"/>
      <c r="D430" s="9" t="n"/>
      <c r="E430" s="9" t="n"/>
      <c r="F430" s="9" t="n"/>
      <c r="G430" s="9">
        <f>IF(OR(E430="",F430=""),"",DATEDIF(E430,F430,"Y"))</f>
        <v/>
      </c>
      <c r="H430" s="9" t="n"/>
    </row>
    <row r="431" ht="14.25" customHeight="1" s="37">
      <c r="A431" s="9" t="n"/>
      <c r="B431" s="9" t="n"/>
      <c r="C431" s="9" t="n"/>
      <c r="D431" s="9" t="n"/>
      <c r="E431" s="9" t="n"/>
      <c r="F431" s="9" t="n"/>
      <c r="G431" s="9">
        <f>IF(OR(E431="",F431=""),"",DATEDIF(E431,F431,"Y"))</f>
        <v/>
      </c>
      <c r="H431" s="9" t="n"/>
    </row>
    <row r="432" ht="14.25" customHeight="1" s="37">
      <c r="A432" s="9" t="n"/>
      <c r="B432" s="9" t="n"/>
      <c r="C432" s="9" t="n"/>
      <c r="D432" s="9" t="n"/>
      <c r="E432" s="9" t="n"/>
      <c r="F432" s="9" t="n"/>
      <c r="G432" s="9">
        <f>IF(OR(E432="",F432=""),"",DATEDIF(E432,F432,"Y"))</f>
        <v/>
      </c>
      <c r="H432" s="9" t="n"/>
    </row>
    <row r="433" ht="14.25" customHeight="1" s="37">
      <c r="A433" s="9" t="n"/>
      <c r="B433" s="9" t="n"/>
      <c r="C433" s="9" t="n"/>
      <c r="D433" s="9" t="n"/>
      <c r="E433" s="9" t="n"/>
      <c r="F433" s="9" t="n"/>
      <c r="G433" s="9">
        <f>IF(OR(E433="",F433=""),"",DATEDIF(E433,F433,"Y"))</f>
        <v/>
      </c>
      <c r="H433" s="9" t="n"/>
    </row>
    <row r="434" ht="14.25" customHeight="1" s="37">
      <c r="A434" s="9" t="n"/>
      <c r="B434" s="9" t="n"/>
      <c r="C434" s="9" t="n"/>
      <c r="D434" s="9" t="n"/>
      <c r="E434" s="9" t="n"/>
      <c r="F434" s="9" t="n"/>
      <c r="G434" s="9">
        <f>IF(OR(E434="",F434=""),"",DATEDIF(E434,F434,"Y"))</f>
        <v/>
      </c>
      <c r="H434" s="9" t="n"/>
    </row>
    <row r="435" ht="14.25" customHeight="1" s="37">
      <c r="A435" s="9" t="n"/>
      <c r="B435" s="9" t="n"/>
      <c r="C435" s="9" t="n"/>
      <c r="D435" s="9" t="n"/>
      <c r="E435" s="9" t="n"/>
      <c r="F435" s="9" t="n"/>
      <c r="G435" s="9">
        <f>IF(OR(E435="",F435=""),"",DATEDIF(E435,F435,"Y"))</f>
        <v/>
      </c>
      <c r="H435" s="9" t="n"/>
    </row>
    <row r="436" ht="14.25" customHeight="1" s="37">
      <c r="A436" s="9" t="n"/>
      <c r="B436" s="9" t="n"/>
      <c r="C436" s="9" t="n"/>
      <c r="D436" s="9" t="n"/>
      <c r="E436" s="9" t="n"/>
      <c r="F436" s="9" t="n"/>
      <c r="G436" s="9">
        <f>IF(OR(E436="",F436=""),"",DATEDIF(E436,F436,"Y"))</f>
        <v/>
      </c>
      <c r="H436" s="9" t="n"/>
    </row>
    <row r="437" ht="14.25" customHeight="1" s="37">
      <c r="A437" s="9" t="n"/>
      <c r="B437" s="9" t="n"/>
      <c r="C437" s="9" t="n"/>
      <c r="D437" s="9" t="n"/>
      <c r="E437" s="9" t="n"/>
      <c r="F437" s="9" t="n"/>
      <c r="G437" s="9">
        <f>IF(OR(E437="",F437=""),"",DATEDIF(E437,F437,"Y"))</f>
        <v/>
      </c>
      <c r="H437" s="9" t="n"/>
    </row>
    <row r="438" ht="14.25" customHeight="1" s="37">
      <c r="A438" s="9" t="n"/>
      <c r="B438" s="9" t="n"/>
      <c r="C438" s="9" t="n"/>
      <c r="D438" s="9" t="n"/>
      <c r="E438" s="9" t="n"/>
      <c r="F438" s="9" t="n"/>
      <c r="G438" s="9">
        <f>IF(OR(E438="",F438=""),"",DATEDIF(E438,F438,"Y"))</f>
        <v/>
      </c>
      <c r="H438" s="9" t="n"/>
    </row>
    <row r="439" ht="14.25" customHeight="1" s="37">
      <c r="A439" s="9" t="n"/>
      <c r="B439" s="9" t="n"/>
      <c r="C439" s="9" t="n"/>
      <c r="D439" s="9" t="n"/>
      <c r="E439" s="9" t="n"/>
      <c r="F439" s="9" t="n"/>
      <c r="G439" s="9">
        <f>IF(OR(E439="",F439=""),"",DATEDIF(E439,F439,"Y"))</f>
        <v/>
      </c>
      <c r="H439" s="9" t="n"/>
    </row>
    <row r="440" ht="14.25" customHeight="1" s="37">
      <c r="A440" s="9" t="n"/>
      <c r="B440" s="9" t="n"/>
      <c r="C440" s="9" t="n"/>
      <c r="D440" s="9" t="n"/>
      <c r="E440" s="9" t="n"/>
      <c r="F440" s="9" t="n"/>
      <c r="G440" s="9">
        <f>IF(OR(E440="",F440=""),"",DATEDIF(E440,F440,"Y"))</f>
        <v/>
      </c>
      <c r="H440" s="9" t="n"/>
    </row>
    <row r="441" ht="14.25" customHeight="1" s="37">
      <c r="A441" s="9" t="n"/>
      <c r="B441" s="9" t="n"/>
      <c r="C441" s="9" t="n"/>
      <c r="D441" s="9" t="n"/>
      <c r="E441" s="9" t="n"/>
      <c r="F441" s="9" t="n"/>
      <c r="G441" s="9">
        <f>IF(OR(E441="",F441=""),"",DATEDIF(E441,F441,"Y"))</f>
        <v/>
      </c>
      <c r="H441" s="9" t="n"/>
    </row>
    <row r="442" ht="14.25" customHeight="1" s="37">
      <c r="A442" s="9" t="n"/>
      <c r="B442" s="9" t="n"/>
      <c r="C442" s="9" t="n"/>
      <c r="D442" s="9" t="n"/>
      <c r="E442" s="9" t="n"/>
      <c r="F442" s="9" t="n"/>
      <c r="G442" s="9">
        <f>IF(OR(E442="",F442=""),"",DATEDIF(E442,F442,"Y"))</f>
        <v/>
      </c>
      <c r="H442" s="9" t="n"/>
    </row>
    <row r="443" ht="14.25" customHeight="1" s="37">
      <c r="A443" s="9" t="n"/>
      <c r="B443" s="9" t="n"/>
      <c r="C443" s="9" t="n"/>
      <c r="D443" s="9" t="n"/>
      <c r="E443" s="9" t="n"/>
      <c r="F443" s="9" t="n"/>
      <c r="G443" s="9">
        <f>IF(OR(E443="",F443=""),"",DATEDIF(E443,F443,"Y"))</f>
        <v/>
      </c>
      <c r="H443" s="9" t="n"/>
    </row>
    <row r="444" ht="14.25" customHeight="1" s="37">
      <c r="A444" s="9" t="n"/>
      <c r="B444" s="9" t="n"/>
      <c r="C444" s="9" t="n"/>
      <c r="D444" s="9" t="n"/>
      <c r="E444" s="9" t="n"/>
      <c r="F444" s="9" t="n"/>
      <c r="G444" s="9">
        <f>IF(OR(E444="",F444=""),"",DATEDIF(E444,F444,"Y"))</f>
        <v/>
      </c>
      <c r="H444" s="9" t="n"/>
    </row>
    <row r="445" ht="14.25" customHeight="1" s="37">
      <c r="A445" s="9" t="n"/>
      <c r="B445" s="9" t="n"/>
      <c r="C445" s="9" t="n"/>
      <c r="D445" s="9" t="n"/>
      <c r="E445" s="9" t="n"/>
      <c r="F445" s="9" t="n"/>
      <c r="G445" s="9">
        <f>IF(OR(E445="",F445=""),"",DATEDIF(E445,F445,"Y"))</f>
        <v/>
      </c>
      <c r="H445" s="9" t="n"/>
    </row>
    <row r="446" ht="14.25" customHeight="1" s="37">
      <c r="A446" s="9" t="n"/>
      <c r="B446" s="9" t="n"/>
      <c r="C446" s="9" t="n"/>
      <c r="D446" s="9" t="n"/>
      <c r="E446" s="9" t="n"/>
      <c r="F446" s="9" t="n"/>
      <c r="G446" s="9">
        <f>IF(OR(E446="",F446=""),"",DATEDIF(E446,F446,"Y"))</f>
        <v/>
      </c>
      <c r="H446" s="9" t="n"/>
    </row>
    <row r="447" ht="14.25" customHeight="1" s="37">
      <c r="A447" s="9" t="n"/>
      <c r="B447" s="9" t="n"/>
      <c r="C447" s="9" t="n"/>
      <c r="D447" s="9" t="n"/>
      <c r="E447" s="9" t="n"/>
      <c r="F447" s="9" t="n"/>
      <c r="G447" s="9">
        <f>IF(OR(E447="",F447=""),"",DATEDIF(E447,F447,"Y"))</f>
        <v/>
      </c>
      <c r="H447" s="9" t="n"/>
    </row>
    <row r="448" ht="14.25" customHeight="1" s="37">
      <c r="A448" s="9" t="n"/>
      <c r="B448" s="9" t="n"/>
      <c r="C448" s="9" t="n"/>
      <c r="D448" s="9" t="n"/>
      <c r="E448" s="9" t="n"/>
      <c r="F448" s="9" t="n"/>
      <c r="G448" s="9">
        <f>IF(OR(E448="",F448=""),"",DATEDIF(E448,F448,"Y"))</f>
        <v/>
      </c>
      <c r="H448" s="9" t="n"/>
    </row>
    <row r="449" ht="14.25" customHeight="1" s="37">
      <c r="A449" s="9" t="n"/>
      <c r="B449" s="9" t="n"/>
      <c r="C449" s="9" t="n"/>
      <c r="D449" s="9" t="n"/>
      <c r="E449" s="9" t="n"/>
      <c r="F449" s="9" t="n"/>
      <c r="G449" s="9">
        <f>IF(OR(E449="",F449=""),"",DATEDIF(E449,F449,"Y"))</f>
        <v/>
      </c>
      <c r="H449" s="9" t="n"/>
    </row>
    <row r="450" ht="14.25" customHeight="1" s="37">
      <c r="A450" s="9" t="n"/>
      <c r="B450" s="9" t="n"/>
      <c r="C450" s="9" t="n"/>
      <c r="D450" s="9" t="n"/>
      <c r="E450" s="9" t="n"/>
      <c r="F450" s="9" t="n"/>
      <c r="G450" s="9">
        <f>IF(OR(E450="",F450=""),"",DATEDIF(E450,F450,"Y"))</f>
        <v/>
      </c>
      <c r="H450" s="9" t="n"/>
    </row>
    <row r="451" ht="14.25" customHeight="1" s="37">
      <c r="A451" s="9" t="n"/>
      <c r="B451" s="9" t="n"/>
      <c r="C451" s="9" t="n"/>
      <c r="D451" s="9" t="n"/>
      <c r="E451" s="9" t="n"/>
      <c r="F451" s="9" t="n"/>
      <c r="G451" s="9">
        <f>IF(OR(E451="",F451=""),"",DATEDIF(E451,F451,"Y"))</f>
        <v/>
      </c>
      <c r="H451" s="9" t="n"/>
    </row>
    <row r="452" ht="14.25" customHeight="1" s="37">
      <c r="A452" s="9" t="n"/>
      <c r="B452" s="9" t="n"/>
      <c r="C452" s="9" t="n"/>
      <c r="D452" s="9" t="n"/>
      <c r="E452" s="9" t="n"/>
      <c r="F452" s="9" t="n"/>
      <c r="G452" s="9">
        <f>IF(OR(E452="",F452=""),"",DATEDIF(E452,F452,"Y"))</f>
        <v/>
      </c>
      <c r="H452" s="9" t="n"/>
    </row>
    <row r="453" ht="14.25" customHeight="1" s="37">
      <c r="A453" s="9" t="n"/>
      <c r="B453" s="9" t="n"/>
      <c r="C453" s="9" t="n"/>
      <c r="D453" s="9" t="n"/>
      <c r="E453" s="9" t="n"/>
      <c r="F453" s="9" t="n"/>
      <c r="G453" s="9">
        <f>IF(OR(E453="",F453=""),"",DATEDIF(E453,F453,"Y"))</f>
        <v/>
      </c>
      <c r="H453" s="9" t="n"/>
    </row>
    <row r="454" ht="14.25" customHeight="1" s="37">
      <c r="A454" s="9" t="n"/>
      <c r="B454" s="9" t="n"/>
      <c r="C454" s="9" t="n"/>
      <c r="D454" s="9" t="n"/>
      <c r="E454" s="9" t="n"/>
      <c r="F454" s="9" t="n"/>
      <c r="G454" s="9">
        <f>IF(OR(E454="",F454=""),"",DATEDIF(E454,F454,"Y"))</f>
        <v/>
      </c>
      <c r="H454" s="9" t="n"/>
    </row>
    <row r="455" ht="14.25" customHeight="1" s="37">
      <c r="A455" s="9" t="n"/>
      <c r="B455" s="9" t="n"/>
      <c r="C455" s="9" t="n"/>
      <c r="D455" s="9" t="n"/>
      <c r="E455" s="9" t="n"/>
      <c r="F455" s="9" t="n"/>
      <c r="G455" s="9">
        <f>IF(OR(E455="",F455=""),"",DATEDIF(E455,F455,"Y"))</f>
        <v/>
      </c>
      <c r="H455" s="9" t="n"/>
    </row>
    <row r="456" ht="14.25" customHeight="1" s="37">
      <c r="A456" s="9" t="n"/>
      <c r="B456" s="9" t="n"/>
      <c r="C456" s="9" t="n"/>
      <c r="D456" s="9" t="n"/>
      <c r="E456" s="9" t="n"/>
      <c r="F456" s="9" t="n"/>
      <c r="G456" s="9">
        <f>IF(OR(E456="",F456=""),"",DATEDIF(E456,F456,"Y"))</f>
        <v/>
      </c>
      <c r="H456" s="9" t="n"/>
    </row>
    <row r="457" ht="14.25" customHeight="1" s="37">
      <c r="A457" s="9" t="n"/>
      <c r="B457" s="9" t="n"/>
      <c r="C457" s="9" t="n"/>
      <c r="D457" s="9" t="n"/>
      <c r="E457" s="9" t="n"/>
      <c r="F457" s="9" t="n"/>
      <c r="G457" s="9">
        <f>IF(OR(E457="",F457=""),"",DATEDIF(E457,F457,"Y"))</f>
        <v/>
      </c>
      <c r="H457" s="9" t="n"/>
    </row>
    <row r="458" ht="14.25" customHeight="1" s="37">
      <c r="A458" s="9" t="n"/>
      <c r="B458" s="9" t="n"/>
      <c r="C458" s="9" t="n"/>
      <c r="D458" s="9" t="n"/>
      <c r="E458" s="9" t="n"/>
      <c r="F458" s="9" t="n"/>
      <c r="G458" s="9">
        <f>IF(OR(E458="",F458=""),"",DATEDIF(E458,F458,"Y"))</f>
        <v/>
      </c>
      <c r="H458" s="9" t="n"/>
    </row>
    <row r="459" ht="14.25" customHeight="1" s="37">
      <c r="A459" s="9" t="n"/>
      <c r="B459" s="9" t="n"/>
      <c r="C459" s="9" t="n"/>
      <c r="D459" s="9" t="n"/>
      <c r="E459" s="9" t="n"/>
      <c r="F459" s="9" t="n"/>
      <c r="G459" s="9">
        <f>IF(OR(E459="",F459=""),"",DATEDIF(E459,F459,"Y"))</f>
        <v/>
      </c>
      <c r="H459" s="9" t="n"/>
    </row>
    <row r="460" ht="14.25" customHeight="1" s="37">
      <c r="A460" s="9" t="n"/>
      <c r="B460" s="9" t="n"/>
      <c r="C460" s="9" t="n"/>
      <c r="D460" s="9" t="n"/>
      <c r="E460" s="9" t="n"/>
      <c r="F460" s="9" t="n"/>
      <c r="G460" s="9">
        <f>IF(OR(E460="",F460=""),"",DATEDIF(E460,F460,"Y"))</f>
        <v/>
      </c>
      <c r="H460" s="9" t="n"/>
    </row>
    <row r="461" ht="14.25" customHeight="1" s="37">
      <c r="A461" s="9" t="n"/>
      <c r="B461" s="9" t="n"/>
      <c r="C461" s="9" t="n"/>
      <c r="D461" s="9" t="n"/>
      <c r="E461" s="9" t="n"/>
      <c r="F461" s="9" t="n"/>
      <c r="G461" s="9">
        <f>IF(OR(E461="",F461=""),"",DATEDIF(E461,F461,"Y"))</f>
        <v/>
      </c>
      <c r="H461" s="9" t="n"/>
    </row>
    <row r="462" ht="14.25" customHeight="1" s="37">
      <c r="A462" s="9" t="n"/>
      <c r="B462" s="9" t="n"/>
      <c r="C462" s="9" t="n"/>
      <c r="D462" s="9" t="n"/>
      <c r="E462" s="9" t="n"/>
      <c r="F462" s="9" t="n"/>
      <c r="G462" s="9">
        <f>IF(OR(E462="",F462=""),"",DATEDIF(E462,F462,"Y"))</f>
        <v/>
      </c>
      <c r="H462" s="9" t="n"/>
    </row>
    <row r="463" ht="14.25" customHeight="1" s="37">
      <c r="A463" s="9" t="n"/>
      <c r="B463" s="9" t="n"/>
      <c r="C463" s="9" t="n"/>
      <c r="D463" s="9" t="n"/>
      <c r="E463" s="9" t="n"/>
      <c r="F463" s="9" t="n"/>
      <c r="G463" s="9">
        <f>IF(OR(E463="",F463=""),"",DATEDIF(E463,F463,"Y"))</f>
        <v/>
      </c>
      <c r="H463" s="9" t="n"/>
    </row>
    <row r="464" ht="14.25" customHeight="1" s="37">
      <c r="A464" s="9" t="n"/>
      <c r="B464" s="9" t="n"/>
      <c r="C464" s="9" t="n"/>
      <c r="D464" s="9" t="n"/>
      <c r="E464" s="9" t="n"/>
      <c r="F464" s="9" t="n"/>
      <c r="G464" s="9">
        <f>IF(OR(E464="",F464=""),"",DATEDIF(E464,F464,"Y"))</f>
        <v/>
      </c>
      <c r="H464" s="9" t="n"/>
    </row>
    <row r="465" ht="14.25" customHeight="1" s="37">
      <c r="A465" s="9" t="n"/>
      <c r="B465" s="9" t="n"/>
      <c r="C465" s="9" t="n"/>
      <c r="D465" s="9" t="n"/>
      <c r="E465" s="9" t="n"/>
      <c r="F465" s="9" t="n"/>
      <c r="G465" s="9">
        <f>IF(OR(E465="",F465=""),"",DATEDIF(E465,F465,"Y"))</f>
        <v/>
      </c>
      <c r="H465" s="9" t="n"/>
    </row>
    <row r="466" ht="14.25" customHeight="1" s="37">
      <c r="A466" s="9" t="n"/>
      <c r="B466" s="9" t="n"/>
      <c r="C466" s="9" t="n"/>
      <c r="D466" s="9" t="n"/>
      <c r="E466" s="9" t="n"/>
      <c r="F466" s="9" t="n"/>
      <c r="G466" s="9">
        <f>IF(OR(E466="",F466=""),"",DATEDIF(E466,F466,"Y"))</f>
        <v/>
      </c>
      <c r="H466" s="9" t="n"/>
    </row>
    <row r="467" ht="14.25" customHeight="1" s="37">
      <c r="A467" s="9" t="n"/>
      <c r="B467" s="9" t="n"/>
      <c r="C467" s="9" t="n"/>
      <c r="D467" s="9" t="n"/>
      <c r="E467" s="9" t="n"/>
      <c r="F467" s="9" t="n"/>
      <c r="G467" s="9">
        <f>IF(OR(E467="",F467=""),"",DATEDIF(E467,F467,"Y"))</f>
        <v/>
      </c>
      <c r="H467" s="9" t="n"/>
    </row>
    <row r="468" ht="14.25" customHeight="1" s="37">
      <c r="A468" s="9" t="n"/>
      <c r="B468" s="9" t="n"/>
      <c r="C468" s="9" t="n"/>
      <c r="D468" s="9" t="n"/>
      <c r="E468" s="9" t="n"/>
      <c r="F468" s="9" t="n"/>
      <c r="G468" s="9">
        <f>IF(OR(E468="",F468=""),"",DATEDIF(E468,F468,"Y"))</f>
        <v/>
      </c>
      <c r="H468" s="9" t="n"/>
    </row>
    <row r="469" ht="14.25" customHeight="1" s="37">
      <c r="A469" s="9" t="n"/>
      <c r="B469" s="9" t="n"/>
      <c r="C469" s="9" t="n"/>
      <c r="D469" s="9" t="n"/>
      <c r="E469" s="9" t="n"/>
      <c r="F469" s="9" t="n"/>
      <c r="G469" s="9">
        <f>IF(OR(E469="",F469=""),"",DATEDIF(E469,F469,"Y"))</f>
        <v/>
      </c>
      <c r="H469" s="9" t="n"/>
    </row>
    <row r="470" ht="14.25" customHeight="1" s="37">
      <c r="A470" s="9" t="n"/>
      <c r="B470" s="9" t="n"/>
      <c r="C470" s="9" t="n"/>
      <c r="D470" s="9" t="n"/>
      <c r="E470" s="9" t="n"/>
      <c r="F470" s="9" t="n"/>
      <c r="G470" s="9">
        <f>IF(OR(E470="",F470=""),"",DATEDIF(E470,F470,"Y"))</f>
        <v/>
      </c>
      <c r="H470" s="9" t="n"/>
    </row>
    <row r="471" ht="14.25" customHeight="1" s="37">
      <c r="A471" s="9" t="n"/>
      <c r="B471" s="9" t="n"/>
      <c r="C471" s="9" t="n"/>
      <c r="D471" s="9" t="n"/>
      <c r="E471" s="9" t="n"/>
      <c r="F471" s="9" t="n"/>
      <c r="G471" s="9">
        <f>IF(OR(E471="",F471=""),"",DATEDIF(E471,F471,"Y"))</f>
        <v/>
      </c>
      <c r="H471" s="9" t="n"/>
    </row>
    <row r="472" ht="14.25" customHeight="1" s="37">
      <c r="A472" s="9" t="n"/>
      <c r="B472" s="9" t="n"/>
      <c r="C472" s="9" t="n"/>
      <c r="D472" s="9" t="n"/>
      <c r="E472" s="9" t="n"/>
      <c r="F472" s="9" t="n"/>
      <c r="G472" s="9">
        <f>IF(OR(E472="",F472=""),"",DATEDIF(E472,F472,"Y"))</f>
        <v/>
      </c>
      <c r="H472" s="9" t="n"/>
    </row>
    <row r="473" ht="14.25" customHeight="1" s="37">
      <c r="A473" s="9" t="n"/>
      <c r="B473" s="9" t="n"/>
      <c r="C473" s="9" t="n"/>
      <c r="D473" s="9" t="n"/>
      <c r="E473" s="9" t="n"/>
      <c r="F473" s="9" t="n"/>
      <c r="G473" s="9">
        <f>IF(OR(E473="",F473=""),"",DATEDIF(E473,F473,"Y"))</f>
        <v/>
      </c>
      <c r="H473" s="9" t="n"/>
    </row>
    <row r="474" ht="14.25" customHeight="1" s="37">
      <c r="A474" s="9" t="n"/>
      <c r="B474" s="9" t="n"/>
      <c r="C474" s="9" t="n"/>
      <c r="D474" s="9" t="n"/>
      <c r="E474" s="9" t="n"/>
      <c r="F474" s="9" t="n"/>
      <c r="G474" s="9">
        <f>IF(OR(E474="",F474=""),"",DATEDIF(E474,F474,"Y"))</f>
        <v/>
      </c>
      <c r="H474" s="9" t="n"/>
    </row>
    <row r="475" ht="14.25" customHeight="1" s="37">
      <c r="A475" s="9" t="n"/>
      <c r="B475" s="9" t="n"/>
      <c r="C475" s="9" t="n"/>
      <c r="D475" s="9" t="n"/>
      <c r="E475" s="9" t="n"/>
      <c r="F475" s="9" t="n"/>
      <c r="G475" s="9">
        <f>IF(OR(E475="",F475=""),"",DATEDIF(E475,F475,"Y"))</f>
        <v/>
      </c>
      <c r="H475" s="9" t="n"/>
    </row>
    <row r="476" ht="14.25" customHeight="1" s="37">
      <c r="A476" s="9" t="n"/>
      <c r="B476" s="9" t="n"/>
      <c r="C476" s="9" t="n"/>
      <c r="D476" s="9" t="n"/>
      <c r="E476" s="9" t="n"/>
      <c r="F476" s="9" t="n"/>
      <c r="G476" s="9">
        <f>IF(OR(E476="",F476=""),"",DATEDIF(E476,F476,"Y"))</f>
        <v/>
      </c>
      <c r="H476" s="9" t="n"/>
    </row>
    <row r="477" ht="14.25" customHeight="1" s="37">
      <c r="A477" s="9" t="n"/>
      <c r="B477" s="9" t="n"/>
      <c r="C477" s="9" t="n"/>
      <c r="D477" s="9" t="n"/>
      <c r="E477" s="9" t="n"/>
      <c r="F477" s="9" t="n"/>
      <c r="G477" s="9">
        <f>IF(OR(E477="",F477=""),"",DATEDIF(E477,F477,"Y"))</f>
        <v/>
      </c>
      <c r="H477" s="9" t="n"/>
    </row>
    <row r="478" ht="14.25" customHeight="1" s="37">
      <c r="A478" s="9" t="n"/>
      <c r="B478" s="9" t="n"/>
      <c r="C478" s="9" t="n"/>
      <c r="D478" s="9" t="n"/>
      <c r="E478" s="9" t="n"/>
      <c r="F478" s="9" t="n"/>
      <c r="G478" s="9">
        <f>IF(OR(E478="",F478=""),"",DATEDIF(E478,F478,"Y"))</f>
        <v/>
      </c>
      <c r="H478" s="9" t="n"/>
    </row>
    <row r="479" ht="14.25" customHeight="1" s="37">
      <c r="A479" s="9" t="n"/>
      <c r="B479" s="9" t="n"/>
      <c r="C479" s="9" t="n"/>
      <c r="D479" s="9" t="n"/>
      <c r="E479" s="9" t="n"/>
      <c r="F479" s="9" t="n"/>
      <c r="G479" s="9">
        <f>IF(OR(E479="",F479=""),"",DATEDIF(E479,F479,"Y"))</f>
        <v/>
      </c>
      <c r="H479" s="9" t="n"/>
    </row>
    <row r="480" ht="14.25" customHeight="1" s="37">
      <c r="A480" s="9" t="n"/>
      <c r="B480" s="9" t="n"/>
      <c r="C480" s="9" t="n"/>
      <c r="D480" s="9" t="n"/>
      <c r="E480" s="9" t="n"/>
      <c r="F480" s="9" t="n"/>
      <c r="G480" s="9">
        <f>IF(OR(E480="",F480=""),"",DATEDIF(E480,F480,"Y"))</f>
        <v/>
      </c>
      <c r="H480" s="9" t="n"/>
    </row>
    <row r="481" ht="14.25" customHeight="1" s="37">
      <c r="A481" s="9" t="n"/>
      <c r="B481" s="9" t="n"/>
      <c r="C481" s="9" t="n"/>
      <c r="D481" s="9" t="n"/>
      <c r="E481" s="9" t="n"/>
      <c r="F481" s="9" t="n"/>
      <c r="G481" s="9">
        <f>IF(OR(E481="",F481=""),"",DATEDIF(E481,F481,"Y"))</f>
        <v/>
      </c>
      <c r="H481" s="9" t="n"/>
    </row>
    <row r="482" ht="14.25" customHeight="1" s="37">
      <c r="A482" s="9" t="n"/>
      <c r="B482" s="9" t="n"/>
      <c r="C482" s="9" t="n"/>
      <c r="D482" s="9" t="n"/>
      <c r="E482" s="9" t="n"/>
      <c r="F482" s="9" t="n"/>
      <c r="G482" s="9">
        <f>IF(OR(E482="",F482=""),"",DATEDIF(E482,F482,"Y"))</f>
        <v/>
      </c>
      <c r="H482" s="9" t="n"/>
    </row>
    <row r="483" ht="14.25" customHeight="1" s="37">
      <c r="A483" s="9" t="n"/>
      <c r="B483" s="9" t="n"/>
      <c r="C483" s="9" t="n"/>
      <c r="D483" s="9" t="n"/>
      <c r="E483" s="9" t="n"/>
      <c r="F483" s="9" t="n"/>
      <c r="G483" s="9">
        <f>IF(OR(E483="",F483=""),"",DATEDIF(E483,F483,"Y"))</f>
        <v/>
      </c>
      <c r="H483" s="9" t="n"/>
    </row>
    <row r="484" ht="14.25" customHeight="1" s="37">
      <c r="A484" s="9" t="n"/>
      <c r="B484" s="9" t="n"/>
      <c r="C484" s="9" t="n"/>
      <c r="D484" s="9" t="n"/>
      <c r="E484" s="9" t="n"/>
      <c r="F484" s="9" t="n"/>
      <c r="G484" s="9">
        <f>IF(OR(E484="",F484=""),"",DATEDIF(E484,F484,"Y"))</f>
        <v/>
      </c>
      <c r="H484" s="9" t="n"/>
    </row>
    <row r="485" ht="14.25" customHeight="1" s="37">
      <c r="A485" s="9" t="n"/>
      <c r="B485" s="9" t="n"/>
      <c r="C485" s="9" t="n"/>
      <c r="D485" s="9" t="n"/>
      <c r="E485" s="9" t="n"/>
      <c r="F485" s="9" t="n"/>
      <c r="G485" s="9">
        <f>IF(OR(E485="",F485=""),"",DATEDIF(E485,F485,"Y"))</f>
        <v/>
      </c>
      <c r="H485" s="9" t="n"/>
    </row>
    <row r="486" ht="14.25" customHeight="1" s="37">
      <c r="A486" s="9" t="n"/>
      <c r="B486" s="9" t="n"/>
      <c r="C486" s="9" t="n"/>
      <c r="D486" s="9" t="n"/>
      <c r="E486" s="9" t="n"/>
      <c r="F486" s="9" t="n"/>
      <c r="G486" s="9">
        <f>IF(OR(E486="",F486=""),"",DATEDIF(E486,F486,"Y"))</f>
        <v/>
      </c>
      <c r="H486" s="9" t="n"/>
    </row>
    <row r="487" ht="14.25" customHeight="1" s="37">
      <c r="A487" s="9" t="n"/>
      <c r="B487" s="9" t="n"/>
      <c r="C487" s="9" t="n"/>
      <c r="D487" s="9" t="n"/>
      <c r="E487" s="9" t="n"/>
      <c r="F487" s="9" t="n"/>
      <c r="G487" s="9">
        <f>IF(OR(E487="",F487=""),"",DATEDIF(E487,F487,"Y"))</f>
        <v/>
      </c>
      <c r="H487" s="9" t="n"/>
    </row>
    <row r="488" ht="14.25" customHeight="1" s="37">
      <c r="A488" s="9" t="n"/>
      <c r="B488" s="9" t="n"/>
      <c r="C488" s="9" t="n"/>
      <c r="D488" s="9" t="n"/>
      <c r="E488" s="9" t="n"/>
      <c r="F488" s="9" t="n"/>
      <c r="G488" s="9">
        <f>IF(OR(E488="",F488=""),"",DATEDIF(E488,F488,"Y"))</f>
        <v/>
      </c>
      <c r="H488" s="9" t="n"/>
    </row>
    <row r="489" ht="14.25" customHeight="1" s="37">
      <c r="A489" s="9" t="n"/>
      <c r="B489" s="9" t="n"/>
      <c r="C489" s="9" t="n"/>
      <c r="D489" s="9" t="n"/>
      <c r="E489" s="9" t="n"/>
      <c r="F489" s="9" t="n"/>
      <c r="G489" s="9">
        <f>IF(OR(E489="",F489=""),"",DATEDIF(E489,F489,"Y"))</f>
        <v/>
      </c>
      <c r="H489" s="9" t="n"/>
    </row>
    <row r="490" ht="14.25" customHeight="1" s="37">
      <c r="A490" s="9" t="n"/>
      <c r="B490" s="9" t="n"/>
      <c r="C490" s="9" t="n"/>
      <c r="D490" s="9" t="n"/>
      <c r="E490" s="9" t="n"/>
      <c r="F490" s="9" t="n"/>
      <c r="G490" s="9">
        <f>IF(OR(E490="",F490=""),"",DATEDIF(E490,F490,"Y"))</f>
        <v/>
      </c>
      <c r="H490" s="9" t="n"/>
    </row>
    <row r="491" ht="14.25" customHeight="1" s="37">
      <c r="A491" s="9" t="n"/>
      <c r="B491" s="9" t="n"/>
      <c r="C491" s="9" t="n"/>
      <c r="D491" s="9" t="n"/>
      <c r="E491" s="9" t="n"/>
      <c r="F491" s="9" t="n"/>
      <c r="G491" s="9">
        <f>IF(OR(E491="",F491=""),"",DATEDIF(E491,F491,"Y"))</f>
        <v/>
      </c>
      <c r="H491" s="9" t="n"/>
    </row>
    <row r="492" ht="14.25" customHeight="1" s="37">
      <c r="A492" s="9" t="n"/>
      <c r="B492" s="9" t="n"/>
      <c r="C492" s="9" t="n"/>
      <c r="D492" s="9" t="n"/>
      <c r="E492" s="9" t="n"/>
      <c r="F492" s="9" t="n"/>
      <c r="G492" s="9">
        <f>IF(OR(E492="",F492=""),"",DATEDIF(E492,F492,"Y"))</f>
        <v/>
      </c>
      <c r="H492" s="9" t="n"/>
    </row>
    <row r="493" ht="14.25" customHeight="1" s="37">
      <c r="A493" s="9" t="n"/>
      <c r="B493" s="9" t="n"/>
      <c r="C493" s="9" t="n"/>
      <c r="D493" s="9" t="n"/>
      <c r="E493" s="9" t="n"/>
      <c r="F493" s="9" t="n"/>
      <c r="G493" s="9">
        <f>IF(OR(E493="",F493=""),"",DATEDIF(E493,F493,"Y"))</f>
        <v/>
      </c>
      <c r="H493" s="9" t="n"/>
    </row>
    <row r="494" ht="14.25" customHeight="1" s="37">
      <c r="A494" s="9" t="n"/>
      <c r="B494" s="9" t="n"/>
      <c r="C494" s="9" t="n"/>
      <c r="D494" s="9" t="n"/>
      <c r="E494" s="9" t="n"/>
      <c r="F494" s="9" t="n"/>
      <c r="G494" s="9">
        <f>IF(OR(E494="",F494=""),"",DATEDIF(E494,F494,"Y"))</f>
        <v/>
      </c>
      <c r="H494" s="9" t="n"/>
    </row>
    <row r="495" ht="14.25" customHeight="1" s="37">
      <c r="A495" s="9" t="n"/>
      <c r="B495" s="9" t="n"/>
      <c r="C495" s="9" t="n"/>
      <c r="D495" s="9" t="n"/>
      <c r="E495" s="9" t="n"/>
      <c r="F495" s="9" t="n"/>
      <c r="G495" s="9">
        <f>IF(OR(E495="",F495=""),"",DATEDIF(E495,F495,"Y"))</f>
        <v/>
      </c>
      <c r="H495" s="9" t="n"/>
    </row>
    <row r="496" ht="14.25" customHeight="1" s="37">
      <c r="A496" s="9" t="n"/>
      <c r="B496" s="9" t="n"/>
      <c r="C496" s="9" t="n"/>
      <c r="D496" s="9" t="n"/>
      <c r="E496" s="9" t="n"/>
      <c r="F496" s="9" t="n"/>
      <c r="G496" s="9">
        <f>IF(OR(E496="",F496=""),"",DATEDIF(E496,F496,"Y"))</f>
        <v/>
      </c>
      <c r="H496" s="9" t="n"/>
    </row>
    <row r="497" ht="14.25" customHeight="1" s="37">
      <c r="A497" s="9" t="n"/>
      <c r="B497" s="9" t="n"/>
      <c r="C497" s="9" t="n"/>
      <c r="D497" s="9" t="n"/>
      <c r="E497" s="9" t="n"/>
      <c r="F497" s="9" t="n"/>
      <c r="G497" s="9">
        <f>IF(OR(E497="",F497=""),"",DATEDIF(E497,F497,"Y"))</f>
        <v/>
      </c>
      <c r="H497" s="9" t="n"/>
    </row>
    <row r="498" ht="14.25" customHeight="1" s="37">
      <c r="A498" s="9" t="n"/>
      <c r="B498" s="9" t="n"/>
      <c r="C498" s="9" t="n"/>
      <c r="D498" s="9" t="n"/>
      <c r="E498" s="9" t="n"/>
      <c r="F498" s="9" t="n"/>
      <c r="G498" s="9">
        <f>IF(OR(E498="",F498=""),"",DATEDIF(E498,F498,"Y"))</f>
        <v/>
      </c>
      <c r="H498" s="9" t="n"/>
    </row>
    <row r="499" ht="14.25" customHeight="1" s="37">
      <c r="A499" s="9" t="n"/>
      <c r="B499" s="9" t="n"/>
      <c r="C499" s="9" t="n"/>
      <c r="D499" s="9" t="n"/>
      <c r="E499" s="9" t="n"/>
      <c r="F499" s="9" t="n"/>
      <c r="G499" s="9">
        <f>IF(OR(E499="",F499=""),"",DATEDIF(E499,F499,"Y"))</f>
        <v/>
      </c>
      <c r="H499" s="9" t="n"/>
    </row>
    <row r="500" ht="14.25" customHeight="1" s="37">
      <c r="A500" s="9" t="n"/>
      <c r="B500" s="9" t="n"/>
      <c r="C500" s="9" t="n"/>
      <c r="D500" s="9" t="n"/>
      <c r="E500" s="9" t="n"/>
      <c r="F500" s="9" t="n"/>
      <c r="G500" s="9">
        <f>IF(OR(E500="",F500=""),"",DATEDIF(E500,F500,"Y"))</f>
        <v/>
      </c>
      <c r="H500" s="9" t="n"/>
    </row>
    <row r="501" ht="14.25" customHeight="1" s="37">
      <c r="A501" s="9" t="n"/>
      <c r="B501" s="9" t="n"/>
      <c r="C501" s="9" t="n"/>
      <c r="D501" s="9" t="n"/>
      <c r="E501" s="9" t="n"/>
      <c r="F501" s="9" t="n"/>
      <c r="G501" s="9">
        <f>IF(OR(E501="",F501=""),"",DATEDIF(E501,F501,"Y"))</f>
        <v/>
      </c>
      <c r="H501" s="9" t="n"/>
    </row>
    <row r="502" ht="14.25" customHeight="1" s="37">
      <c r="A502" s="9" t="n"/>
      <c r="B502" s="9" t="n"/>
      <c r="C502" s="9" t="n"/>
      <c r="D502" s="9" t="n"/>
      <c r="E502" s="9" t="n"/>
      <c r="F502" s="9" t="n"/>
      <c r="G502" s="9">
        <f>IF(OR(E502="",F502=""),"",DATEDIF(E502,F502,"Y"))</f>
        <v/>
      </c>
      <c r="H502" s="9" t="n"/>
    </row>
    <row r="503" ht="14.25" customHeight="1" s="37">
      <c r="A503" s="9" t="n"/>
      <c r="B503" s="9" t="n"/>
      <c r="C503" s="9" t="n"/>
      <c r="D503" s="9" t="n"/>
      <c r="E503" s="9" t="n"/>
      <c r="F503" s="9" t="n"/>
      <c r="G503" s="9">
        <f>IF(OR(E503="",F503=""),"",DATEDIF(E503,F503,"Y"))</f>
        <v/>
      </c>
      <c r="H503" s="9" t="n"/>
    </row>
    <row r="504" ht="14.25" customHeight="1" s="37">
      <c r="A504" s="9" t="n"/>
      <c r="B504" s="9" t="n"/>
      <c r="C504" s="9" t="n"/>
      <c r="D504" s="9" t="n"/>
      <c r="E504" s="9" t="n"/>
      <c r="F504" s="9" t="n"/>
      <c r="G504" s="9">
        <f>IF(OR(E504="",F504=""),"",DATEDIF(E504,F504,"Y"))</f>
        <v/>
      </c>
      <c r="H504" s="9" t="n"/>
    </row>
    <row r="505" ht="14.25" customHeight="1" s="37">
      <c r="A505" s="9" t="n"/>
      <c r="B505" s="9" t="n"/>
      <c r="C505" s="9" t="n"/>
      <c r="D505" s="9" t="n"/>
      <c r="E505" s="9" t="n"/>
      <c r="F505" s="9" t="n"/>
      <c r="G505" s="9">
        <f>IF(OR(E505="",F505=""),"",DATEDIF(E505,F505,"Y"))</f>
        <v/>
      </c>
      <c r="H505" s="9" t="n"/>
    </row>
    <row r="506" ht="14.25" customHeight="1" s="37">
      <c r="A506" s="9" t="n"/>
      <c r="B506" s="9" t="n"/>
      <c r="C506" s="9" t="n"/>
      <c r="D506" s="9" t="n"/>
      <c r="E506" s="9" t="n"/>
      <c r="F506" s="9" t="n"/>
      <c r="G506" s="9">
        <f>IF(OR(E506="",F506=""),"",DATEDIF(E506,F506,"Y"))</f>
        <v/>
      </c>
      <c r="H506" s="9" t="n"/>
    </row>
    <row r="507" ht="14.25" customHeight="1" s="37">
      <c r="A507" s="9" t="n"/>
      <c r="B507" s="9" t="n"/>
      <c r="C507" s="9" t="n"/>
      <c r="D507" s="9" t="n"/>
      <c r="E507" s="9" t="n"/>
      <c r="F507" s="9" t="n"/>
      <c r="G507" s="9">
        <f>IF(OR(E507="",F507=""),"",DATEDIF(E507,F507,"Y"))</f>
        <v/>
      </c>
      <c r="H507" s="9" t="n"/>
    </row>
    <row r="508" ht="14.25" customHeight="1" s="37">
      <c r="A508" s="9" t="n"/>
      <c r="B508" s="9" t="n"/>
      <c r="C508" s="9" t="n"/>
      <c r="D508" s="9" t="n"/>
      <c r="E508" s="9" t="n"/>
      <c r="F508" s="9" t="n"/>
      <c r="G508" s="9">
        <f>IF(OR(E508="",F508=""),"",DATEDIF(E508,F508,"Y"))</f>
        <v/>
      </c>
      <c r="H508" s="9" t="n"/>
    </row>
    <row r="509" ht="14.25" customHeight="1" s="37">
      <c r="A509" s="9" t="n"/>
      <c r="B509" s="9" t="n"/>
      <c r="C509" s="9" t="n"/>
      <c r="D509" s="9" t="n"/>
      <c r="E509" s="9" t="n"/>
      <c r="F509" s="9" t="n"/>
      <c r="G509" s="9">
        <f>IF(OR(E509="",F509=""),"",DATEDIF(E509,F509,"Y"))</f>
        <v/>
      </c>
      <c r="H509" s="9" t="n"/>
    </row>
    <row r="510" ht="14.25" customHeight="1" s="37">
      <c r="A510" s="9" t="n"/>
      <c r="B510" s="9" t="n"/>
      <c r="C510" s="9" t="n"/>
      <c r="D510" s="9" t="n"/>
      <c r="E510" s="9" t="n"/>
      <c r="F510" s="9" t="n"/>
      <c r="G510" s="9">
        <f>IF(OR(E510="",F510=""),"",DATEDIF(E510,F510,"Y"))</f>
        <v/>
      </c>
      <c r="H510" s="9" t="n"/>
    </row>
    <row r="511" ht="14.25" customHeight="1" s="37">
      <c r="A511" s="9" t="n"/>
      <c r="B511" s="9" t="n"/>
      <c r="C511" s="9" t="n"/>
      <c r="D511" s="9" t="n"/>
      <c r="E511" s="9" t="n"/>
      <c r="F511" s="9" t="n"/>
      <c r="G511" s="9">
        <f>IF(OR(E511="",F511=""),"",DATEDIF(E511,F511,"Y"))</f>
        <v/>
      </c>
      <c r="H511" s="9" t="n"/>
    </row>
    <row r="512" ht="14.25" customHeight="1" s="37">
      <c r="A512" s="9" t="n"/>
      <c r="B512" s="9" t="n"/>
      <c r="C512" s="9" t="n"/>
      <c r="D512" s="9" t="n"/>
      <c r="E512" s="9" t="n"/>
      <c r="F512" s="9" t="n"/>
      <c r="G512" s="9">
        <f>IF(OR(E512="",F512=""),"",DATEDIF(E512,F512,"Y"))</f>
        <v/>
      </c>
      <c r="H512" s="9" t="n"/>
    </row>
    <row r="513" ht="14.25" customHeight="1" s="37">
      <c r="A513" s="9" t="n"/>
      <c r="B513" s="9" t="n"/>
      <c r="C513" s="9" t="n"/>
      <c r="D513" s="9" t="n"/>
      <c r="E513" s="9" t="n"/>
      <c r="F513" s="9" t="n"/>
      <c r="G513" s="9">
        <f>IF(OR(E513="",F513=""),"",DATEDIF(E513,F513,"Y"))</f>
        <v/>
      </c>
      <c r="H513" s="9" t="n"/>
    </row>
    <row r="514" ht="14.25" customHeight="1" s="37">
      <c r="A514" s="9" t="n"/>
      <c r="B514" s="9" t="n"/>
      <c r="C514" s="9" t="n"/>
      <c r="D514" s="9" t="n"/>
      <c r="E514" s="9" t="n"/>
      <c r="F514" s="9" t="n"/>
      <c r="G514" s="9">
        <f>IF(OR(E514="",F514=""),"",DATEDIF(E514,F514,"Y"))</f>
        <v/>
      </c>
      <c r="H514" s="9" t="n"/>
    </row>
    <row r="515" ht="14.25" customHeight="1" s="37">
      <c r="A515" s="9" t="n"/>
      <c r="B515" s="9" t="n"/>
      <c r="C515" s="9" t="n"/>
      <c r="D515" s="9" t="n"/>
      <c r="E515" s="9" t="n"/>
      <c r="F515" s="9" t="n"/>
      <c r="G515" s="9">
        <f>IF(OR(E515="",F515=""),"",DATEDIF(E515,F515,"Y"))</f>
        <v/>
      </c>
      <c r="H515" s="9" t="n"/>
    </row>
    <row r="516" ht="14.25" customHeight="1" s="37">
      <c r="A516" s="9" t="n"/>
      <c r="B516" s="9" t="n"/>
      <c r="C516" s="9" t="n"/>
      <c r="D516" s="9" t="n"/>
      <c r="E516" s="9" t="n"/>
      <c r="F516" s="9" t="n"/>
      <c r="G516" s="9">
        <f>IF(OR(E516="",F516=""),"",DATEDIF(E516,F516,"Y"))</f>
        <v/>
      </c>
      <c r="H516" s="9" t="n"/>
    </row>
    <row r="517" ht="14.25" customHeight="1" s="37">
      <c r="A517" s="9" t="n"/>
      <c r="B517" s="9" t="n"/>
      <c r="C517" s="9" t="n"/>
      <c r="D517" s="9" t="n"/>
      <c r="E517" s="9" t="n"/>
      <c r="F517" s="9" t="n"/>
      <c r="G517" s="9">
        <f>IF(OR(E517="",F517=""),"",DATEDIF(E517,F517,"Y"))</f>
        <v/>
      </c>
      <c r="H517" s="9" t="n"/>
    </row>
    <row r="518" ht="14.25" customHeight="1" s="37">
      <c r="A518" s="9" t="n"/>
      <c r="B518" s="9" t="n"/>
      <c r="C518" s="9" t="n"/>
      <c r="D518" s="9" t="n"/>
      <c r="E518" s="9" t="n"/>
      <c r="F518" s="9" t="n"/>
      <c r="G518" s="9">
        <f>IF(OR(E518="",F518=""),"",DATEDIF(E518,F518,"Y"))</f>
        <v/>
      </c>
      <c r="H518" s="9" t="n"/>
    </row>
    <row r="519" ht="14.25" customHeight="1" s="37">
      <c r="A519" s="9" t="n"/>
      <c r="B519" s="9" t="n"/>
      <c r="C519" s="9" t="n"/>
      <c r="D519" s="9" t="n"/>
      <c r="E519" s="9" t="n"/>
      <c r="F519" s="9" t="n"/>
      <c r="G519" s="9">
        <f>IF(OR(E519="",F519=""),"",DATEDIF(E519,F519,"Y"))</f>
        <v/>
      </c>
      <c r="H519" s="9" t="n"/>
    </row>
    <row r="520" ht="14.25" customHeight="1" s="37">
      <c r="A520" s="9" t="n"/>
      <c r="B520" s="9" t="n"/>
      <c r="C520" s="9" t="n"/>
      <c r="D520" s="9" t="n"/>
      <c r="E520" s="9" t="n"/>
      <c r="F520" s="9" t="n"/>
      <c r="G520" s="9">
        <f>IF(OR(E520="",F520=""),"",DATEDIF(E520,F520,"Y"))</f>
        <v/>
      </c>
      <c r="H520" s="9" t="n"/>
    </row>
    <row r="521" ht="14.25" customHeight="1" s="37">
      <c r="A521" s="9" t="n"/>
      <c r="B521" s="9" t="n"/>
      <c r="C521" s="9" t="n"/>
      <c r="D521" s="9" t="n"/>
      <c r="E521" s="9" t="n"/>
      <c r="F521" s="9" t="n"/>
      <c r="G521" s="9">
        <f>IF(OR(E521="",F521=""),"",DATEDIF(E521,F521,"Y"))</f>
        <v/>
      </c>
      <c r="H521" s="9" t="n"/>
    </row>
    <row r="522" ht="14.25" customHeight="1" s="37">
      <c r="A522" s="9" t="n"/>
      <c r="B522" s="9" t="n"/>
      <c r="C522" s="9" t="n"/>
      <c r="D522" s="9" t="n"/>
      <c r="E522" s="9" t="n"/>
      <c r="F522" s="9" t="n"/>
      <c r="G522" s="9">
        <f>IF(OR(E522="",F522=""),"",DATEDIF(E522,F522,"Y"))</f>
        <v/>
      </c>
      <c r="H522" s="9" t="n"/>
    </row>
    <row r="523" ht="14.25" customHeight="1" s="37">
      <c r="A523" s="9" t="n"/>
      <c r="B523" s="9" t="n"/>
      <c r="C523" s="9" t="n"/>
      <c r="D523" s="9" t="n"/>
      <c r="E523" s="9" t="n"/>
      <c r="F523" s="9" t="n"/>
      <c r="G523" s="9">
        <f>IF(OR(E523="",F523=""),"",DATEDIF(E523,F523,"Y"))</f>
        <v/>
      </c>
      <c r="H523" s="9" t="n"/>
    </row>
    <row r="524" ht="14.25" customHeight="1" s="37">
      <c r="A524" s="9" t="n"/>
      <c r="B524" s="9" t="n"/>
      <c r="C524" s="9" t="n"/>
      <c r="D524" s="9" t="n"/>
      <c r="E524" s="9" t="n"/>
      <c r="F524" s="9" t="n"/>
      <c r="G524" s="9">
        <f>IF(OR(E524="",F524=""),"",DATEDIF(E524,F524,"Y"))</f>
        <v/>
      </c>
      <c r="H524" s="9" t="n"/>
    </row>
    <row r="525" ht="14.25" customHeight="1" s="37">
      <c r="A525" s="9" t="n"/>
      <c r="B525" s="9" t="n"/>
      <c r="C525" s="9" t="n"/>
      <c r="D525" s="9" t="n"/>
      <c r="E525" s="9" t="n"/>
      <c r="F525" s="9" t="n"/>
      <c r="G525" s="9">
        <f>IF(OR(E525="",F525=""),"",DATEDIF(E525,F525,"Y"))</f>
        <v/>
      </c>
      <c r="H525" s="9" t="n"/>
    </row>
    <row r="526" ht="14.25" customHeight="1" s="37">
      <c r="A526" s="9" t="n"/>
      <c r="B526" s="9" t="n"/>
      <c r="C526" s="9" t="n"/>
      <c r="D526" s="9" t="n"/>
      <c r="E526" s="9" t="n"/>
      <c r="F526" s="9" t="n"/>
      <c r="G526" s="9">
        <f>IF(OR(E526="",F526=""),"",DATEDIF(E526,F526,"Y"))</f>
        <v/>
      </c>
      <c r="H526" s="9" t="n"/>
    </row>
    <row r="527" ht="14.25" customHeight="1" s="37">
      <c r="A527" s="9" t="n"/>
      <c r="B527" s="9" t="n"/>
      <c r="C527" s="9" t="n"/>
      <c r="D527" s="9" t="n"/>
      <c r="E527" s="9" t="n"/>
      <c r="F527" s="9" t="n"/>
      <c r="G527" s="9">
        <f>IF(OR(E527="",F527=""),"",DATEDIF(E527,F527,"Y"))</f>
        <v/>
      </c>
      <c r="H527" s="9" t="n"/>
    </row>
    <row r="528" ht="14.25" customHeight="1" s="37">
      <c r="A528" s="9" t="n"/>
      <c r="B528" s="9" t="n"/>
      <c r="C528" s="9" t="n"/>
      <c r="D528" s="9" t="n"/>
      <c r="E528" s="9" t="n"/>
      <c r="F528" s="9" t="n"/>
      <c r="G528" s="9">
        <f>IF(OR(E528="",F528=""),"",DATEDIF(E528,F528,"Y"))</f>
        <v/>
      </c>
      <c r="H528" s="9" t="n"/>
    </row>
    <row r="529" ht="14.25" customHeight="1" s="37">
      <c r="A529" s="9" t="n"/>
      <c r="B529" s="9" t="n"/>
      <c r="C529" s="9" t="n"/>
      <c r="D529" s="9" t="n"/>
      <c r="E529" s="9" t="n"/>
      <c r="F529" s="9" t="n"/>
      <c r="G529" s="9">
        <f>IF(OR(E529="",F529=""),"",DATEDIF(E529,F529,"Y"))</f>
        <v/>
      </c>
      <c r="H529" s="9" t="n"/>
    </row>
    <row r="530" ht="14.25" customHeight="1" s="37">
      <c r="A530" s="9" t="n"/>
      <c r="B530" s="9" t="n"/>
      <c r="C530" s="9" t="n"/>
      <c r="D530" s="9" t="n"/>
      <c r="E530" s="9" t="n"/>
      <c r="F530" s="9" t="n"/>
      <c r="G530" s="9">
        <f>IF(OR(E530="",F530=""),"",DATEDIF(E530,F530,"Y"))</f>
        <v/>
      </c>
      <c r="H530" s="9" t="n"/>
    </row>
    <row r="531" ht="14.25" customHeight="1" s="37">
      <c r="A531" s="9" t="n"/>
      <c r="B531" s="9" t="n"/>
      <c r="C531" s="9" t="n"/>
      <c r="D531" s="9" t="n"/>
      <c r="E531" s="9" t="n"/>
      <c r="F531" s="9" t="n"/>
      <c r="G531" s="9">
        <f>IF(OR(E531="",F531=""),"",DATEDIF(E531,F531,"Y"))</f>
        <v/>
      </c>
      <c r="H531" s="9" t="n"/>
    </row>
    <row r="532" ht="14.25" customHeight="1" s="37">
      <c r="A532" s="9" t="n"/>
      <c r="B532" s="9" t="n"/>
      <c r="C532" s="9" t="n"/>
      <c r="D532" s="9" t="n"/>
      <c r="E532" s="9" t="n"/>
      <c r="F532" s="9" t="n"/>
      <c r="G532" s="9">
        <f>IF(OR(E532="",F532=""),"",DATEDIF(E532,F532,"Y"))</f>
        <v/>
      </c>
      <c r="H532" s="9" t="n"/>
    </row>
    <row r="533" ht="14.25" customHeight="1" s="37">
      <c r="A533" s="9" t="n"/>
      <c r="B533" s="9" t="n"/>
      <c r="C533" s="9" t="n"/>
      <c r="D533" s="9" t="n"/>
      <c r="E533" s="9" t="n"/>
      <c r="F533" s="9" t="n"/>
      <c r="G533" s="9">
        <f>IF(OR(E533="",F533=""),"",DATEDIF(E533,F533,"Y"))</f>
        <v/>
      </c>
      <c r="H533" s="9" t="n"/>
    </row>
    <row r="534" ht="14.25" customHeight="1" s="37">
      <c r="A534" s="9" t="n"/>
      <c r="B534" s="9" t="n"/>
      <c r="C534" s="9" t="n"/>
      <c r="D534" s="9" t="n"/>
      <c r="E534" s="9" t="n"/>
      <c r="F534" s="9" t="n"/>
      <c r="G534" s="9">
        <f>IF(OR(E534="",F534=""),"",DATEDIF(E534,F534,"Y"))</f>
        <v/>
      </c>
      <c r="H534" s="9" t="n"/>
    </row>
    <row r="535" ht="14.25" customHeight="1" s="37">
      <c r="A535" s="9" t="n"/>
      <c r="B535" s="9" t="n"/>
      <c r="C535" s="9" t="n"/>
      <c r="D535" s="9" t="n"/>
      <c r="E535" s="9" t="n"/>
      <c r="F535" s="9" t="n"/>
      <c r="G535" s="9">
        <f>IF(OR(E535="",F535=""),"",DATEDIF(E535,F535,"Y"))</f>
        <v/>
      </c>
      <c r="H535" s="9" t="n"/>
    </row>
    <row r="536" ht="14.25" customHeight="1" s="37">
      <c r="A536" s="9" t="n"/>
      <c r="B536" s="9" t="n"/>
      <c r="C536" s="9" t="n"/>
      <c r="D536" s="9" t="n"/>
      <c r="E536" s="9" t="n"/>
      <c r="F536" s="9" t="n"/>
      <c r="G536" s="9">
        <f>IF(OR(E536="",F536=""),"",DATEDIF(E536,F536,"Y"))</f>
        <v/>
      </c>
      <c r="H536" s="9" t="n"/>
    </row>
    <row r="537" ht="14.25" customHeight="1" s="37">
      <c r="A537" s="9" t="n"/>
      <c r="B537" s="9" t="n"/>
      <c r="C537" s="9" t="n"/>
      <c r="D537" s="9" t="n"/>
      <c r="E537" s="9" t="n"/>
      <c r="F537" s="9" t="n"/>
      <c r="G537" s="9">
        <f>IF(OR(E537="",F537=""),"",DATEDIF(E537,F537,"Y"))</f>
        <v/>
      </c>
      <c r="H537" s="9" t="n"/>
    </row>
    <row r="538" ht="14.25" customHeight="1" s="37">
      <c r="A538" s="9" t="n"/>
      <c r="B538" s="9" t="n"/>
      <c r="C538" s="9" t="n"/>
      <c r="D538" s="9" t="n"/>
      <c r="E538" s="9" t="n"/>
      <c r="F538" s="9" t="n"/>
      <c r="G538" s="9">
        <f>IF(OR(E538="",F538=""),"",DATEDIF(E538,F538,"Y"))</f>
        <v/>
      </c>
      <c r="H538" s="9" t="n"/>
    </row>
    <row r="539" ht="14.25" customHeight="1" s="37">
      <c r="A539" s="9" t="n"/>
      <c r="B539" s="9" t="n"/>
      <c r="C539" s="9" t="n"/>
      <c r="D539" s="9" t="n"/>
      <c r="E539" s="9" t="n"/>
      <c r="F539" s="9" t="n"/>
      <c r="G539" s="9">
        <f>IF(OR(E539="",F539=""),"",DATEDIF(E539,F539,"Y"))</f>
        <v/>
      </c>
      <c r="H539" s="9" t="n"/>
    </row>
    <row r="540" ht="14.25" customHeight="1" s="37">
      <c r="A540" s="9" t="n"/>
      <c r="B540" s="9" t="n"/>
      <c r="C540" s="9" t="n"/>
      <c r="D540" s="9" t="n"/>
      <c r="E540" s="9" t="n"/>
      <c r="F540" s="9" t="n"/>
      <c r="G540" s="9">
        <f>IF(OR(E540="",F540=""),"",DATEDIF(E540,F540,"Y"))</f>
        <v/>
      </c>
      <c r="H540" s="9" t="n"/>
    </row>
    <row r="541" ht="14.25" customHeight="1" s="37">
      <c r="A541" s="9" t="n"/>
      <c r="B541" s="9" t="n"/>
      <c r="C541" s="9" t="n"/>
      <c r="D541" s="9" t="n"/>
      <c r="E541" s="9" t="n"/>
      <c r="F541" s="9" t="n"/>
      <c r="G541" s="9">
        <f>IF(OR(E541="",F541=""),"",DATEDIF(E541,F541,"Y"))</f>
        <v/>
      </c>
      <c r="H541" s="9" t="n"/>
    </row>
    <row r="542" ht="14.25" customHeight="1" s="37">
      <c r="A542" s="9" t="n"/>
      <c r="B542" s="9" t="n"/>
      <c r="C542" s="9" t="n"/>
      <c r="D542" s="9" t="n"/>
      <c r="E542" s="9" t="n"/>
      <c r="F542" s="9" t="n"/>
      <c r="G542" s="9">
        <f>IF(OR(E542="",F542=""),"",DATEDIF(E542,F542,"Y"))</f>
        <v/>
      </c>
      <c r="H542" s="9" t="n"/>
    </row>
    <row r="543" ht="14.25" customHeight="1" s="37">
      <c r="A543" s="9" t="n"/>
      <c r="B543" s="9" t="n"/>
      <c r="C543" s="9" t="n"/>
      <c r="D543" s="9" t="n"/>
      <c r="E543" s="9" t="n"/>
      <c r="F543" s="9" t="n"/>
      <c r="G543" s="9">
        <f>IF(OR(E543="",F543=""),"",DATEDIF(E543,F543,"Y"))</f>
        <v/>
      </c>
      <c r="H543" s="9" t="n"/>
    </row>
    <row r="544" ht="14.25" customHeight="1" s="37">
      <c r="A544" s="9" t="n"/>
      <c r="B544" s="9" t="n"/>
      <c r="C544" s="9" t="n"/>
      <c r="D544" s="9" t="n"/>
      <c r="E544" s="9" t="n"/>
      <c r="F544" s="9" t="n"/>
      <c r="G544" s="9">
        <f>IF(OR(E544="",F544=""),"",DATEDIF(E544,F544,"Y"))</f>
        <v/>
      </c>
      <c r="H544" s="9" t="n"/>
    </row>
    <row r="545" ht="14.25" customHeight="1" s="37">
      <c r="A545" s="9" t="n"/>
      <c r="B545" s="9" t="n"/>
      <c r="C545" s="9" t="n"/>
      <c r="D545" s="9" t="n"/>
      <c r="E545" s="9" t="n"/>
      <c r="F545" s="9" t="n"/>
      <c r="G545" s="9">
        <f>IF(OR(E545="",F545=""),"",DATEDIF(E545,F545,"Y"))</f>
        <v/>
      </c>
      <c r="H545" s="9" t="n"/>
    </row>
    <row r="546" ht="14.25" customHeight="1" s="37">
      <c r="A546" s="9" t="n"/>
      <c r="B546" s="9" t="n"/>
      <c r="C546" s="9" t="n"/>
      <c r="D546" s="9" t="n"/>
      <c r="E546" s="9" t="n"/>
      <c r="F546" s="9" t="n"/>
      <c r="G546" s="9">
        <f>IF(OR(E546="",F546=""),"",DATEDIF(E546,F546,"Y"))</f>
        <v/>
      </c>
      <c r="H546" s="9" t="n"/>
    </row>
    <row r="547" ht="14.25" customHeight="1" s="37">
      <c r="A547" s="9" t="n"/>
      <c r="B547" s="9" t="n"/>
      <c r="C547" s="9" t="n"/>
      <c r="D547" s="9" t="n"/>
      <c r="E547" s="9" t="n"/>
      <c r="F547" s="9" t="n"/>
      <c r="G547" s="9">
        <f>IF(OR(E547="",F547=""),"",DATEDIF(E547,F547,"Y"))</f>
        <v/>
      </c>
      <c r="H547" s="9" t="n"/>
    </row>
    <row r="548" ht="14.25" customHeight="1" s="37">
      <c r="A548" s="9" t="n"/>
      <c r="B548" s="9" t="n"/>
      <c r="C548" s="9" t="n"/>
      <c r="D548" s="9" t="n"/>
      <c r="E548" s="9" t="n"/>
      <c r="F548" s="9" t="n"/>
      <c r="G548" s="9">
        <f>IF(OR(E548="",F548=""),"",DATEDIF(E548,F548,"Y"))</f>
        <v/>
      </c>
      <c r="H548" s="9" t="n"/>
    </row>
    <row r="549" ht="14.25" customHeight="1" s="37">
      <c r="A549" s="9" t="n"/>
      <c r="B549" s="9" t="n"/>
      <c r="C549" s="9" t="n"/>
      <c r="D549" s="9" t="n"/>
      <c r="E549" s="9" t="n"/>
      <c r="F549" s="9" t="n"/>
      <c r="G549" s="9">
        <f>IF(OR(E549="",F549=""),"",DATEDIF(E549,F549,"Y"))</f>
        <v/>
      </c>
      <c r="H549" s="9" t="n"/>
    </row>
    <row r="550" ht="14.25" customHeight="1" s="37">
      <c r="A550" s="9" t="n"/>
      <c r="B550" s="9" t="n"/>
      <c r="C550" s="9" t="n"/>
      <c r="D550" s="9" t="n"/>
      <c r="E550" s="9" t="n"/>
      <c r="F550" s="9" t="n"/>
      <c r="G550" s="9">
        <f>IF(OR(E550="",F550=""),"",DATEDIF(E550,F550,"Y"))</f>
        <v/>
      </c>
      <c r="H550" s="9" t="n"/>
    </row>
    <row r="551" ht="14.25" customHeight="1" s="37">
      <c r="A551" s="9" t="n"/>
      <c r="B551" s="9" t="n"/>
      <c r="C551" s="9" t="n"/>
      <c r="D551" s="9" t="n"/>
      <c r="E551" s="9" t="n"/>
      <c r="F551" s="9" t="n"/>
      <c r="G551" s="9">
        <f>IF(OR(E551="",F551=""),"",DATEDIF(E551,F551,"Y"))</f>
        <v/>
      </c>
      <c r="H551" s="9" t="n"/>
    </row>
    <row r="552" ht="14.25" customHeight="1" s="37">
      <c r="A552" s="9" t="n"/>
      <c r="B552" s="9" t="n"/>
      <c r="C552" s="9" t="n"/>
      <c r="D552" s="9" t="n"/>
      <c r="E552" s="9" t="n"/>
      <c r="F552" s="9" t="n"/>
      <c r="G552" s="9">
        <f>IF(OR(E552="",F552=""),"",DATEDIF(E552,F552,"Y"))</f>
        <v/>
      </c>
      <c r="H552" s="9" t="n"/>
    </row>
    <row r="553" ht="14.25" customHeight="1" s="37">
      <c r="A553" s="9" t="n"/>
      <c r="B553" s="9" t="n"/>
      <c r="C553" s="9" t="n"/>
      <c r="D553" s="9" t="n"/>
      <c r="E553" s="9" t="n"/>
      <c r="F553" s="9" t="n"/>
      <c r="G553" s="9">
        <f>IF(OR(E553="",F553=""),"",DATEDIF(E553,F553,"Y"))</f>
        <v/>
      </c>
      <c r="H553" s="9" t="n"/>
    </row>
    <row r="554" ht="14.25" customHeight="1" s="37">
      <c r="A554" s="9" t="n"/>
      <c r="B554" s="9" t="n"/>
      <c r="C554" s="9" t="n"/>
      <c r="D554" s="9" t="n"/>
      <c r="E554" s="9" t="n"/>
      <c r="F554" s="9" t="n"/>
      <c r="G554" s="9">
        <f>IF(OR(E554="",F554=""),"",DATEDIF(E554,F554,"Y"))</f>
        <v/>
      </c>
      <c r="H554" s="9" t="n"/>
    </row>
    <row r="555" ht="14.25" customHeight="1" s="37">
      <c r="A555" s="9" t="n"/>
      <c r="B555" s="9" t="n"/>
      <c r="C555" s="9" t="n"/>
      <c r="D555" s="9" t="n"/>
      <c r="E555" s="9" t="n"/>
      <c r="F555" s="9" t="n"/>
      <c r="G555" s="9">
        <f>IF(OR(E555="",F555=""),"",DATEDIF(E555,F555,"Y"))</f>
        <v/>
      </c>
      <c r="H555" s="9" t="n"/>
    </row>
    <row r="556" ht="14.25" customHeight="1" s="37">
      <c r="A556" s="9" t="n"/>
      <c r="B556" s="9" t="n"/>
      <c r="C556" s="9" t="n"/>
      <c r="D556" s="9" t="n"/>
      <c r="E556" s="9" t="n"/>
      <c r="F556" s="9" t="n"/>
      <c r="G556" s="9">
        <f>IF(OR(E556="",F556=""),"",DATEDIF(E556,F556,"Y"))</f>
        <v/>
      </c>
      <c r="H556" s="9" t="n"/>
    </row>
    <row r="557" ht="14.25" customHeight="1" s="37">
      <c r="A557" s="9" t="n"/>
      <c r="B557" s="9" t="n"/>
      <c r="C557" s="9" t="n"/>
      <c r="D557" s="9" t="n"/>
      <c r="E557" s="9" t="n"/>
      <c r="F557" s="9" t="n"/>
      <c r="G557" s="9">
        <f>IF(OR(E557="",F557=""),"",DATEDIF(E557,F557,"Y"))</f>
        <v/>
      </c>
      <c r="H557" s="9" t="n"/>
    </row>
    <row r="558" ht="14.25" customHeight="1" s="37">
      <c r="A558" s="9" t="n"/>
      <c r="B558" s="9" t="n"/>
      <c r="C558" s="9" t="n"/>
      <c r="D558" s="9" t="n"/>
      <c r="E558" s="9" t="n"/>
      <c r="F558" s="9" t="n"/>
      <c r="G558" s="9">
        <f>IF(OR(E558="",F558=""),"",DATEDIF(E558,F558,"Y"))</f>
        <v/>
      </c>
      <c r="H558" s="9" t="n"/>
    </row>
    <row r="559" ht="14.25" customHeight="1" s="37">
      <c r="A559" s="9" t="n"/>
      <c r="B559" s="9" t="n"/>
      <c r="C559" s="9" t="n"/>
      <c r="D559" s="9" t="n"/>
      <c r="E559" s="9" t="n"/>
      <c r="F559" s="9" t="n"/>
      <c r="G559" s="9">
        <f>IF(OR(E559="",F559=""),"",DATEDIF(E559,F559,"Y"))</f>
        <v/>
      </c>
      <c r="H559" s="9" t="n"/>
    </row>
    <row r="560" ht="14.25" customHeight="1" s="37">
      <c r="A560" s="9" t="n"/>
      <c r="B560" s="9" t="n"/>
      <c r="C560" s="9" t="n"/>
      <c r="D560" s="9" t="n"/>
      <c r="E560" s="9" t="n"/>
      <c r="F560" s="9" t="n"/>
      <c r="G560" s="9">
        <f>IF(OR(E560="",F560=""),"",DATEDIF(E560,F560,"Y"))</f>
        <v/>
      </c>
      <c r="H560" s="9" t="n"/>
    </row>
    <row r="561" ht="14.25" customHeight="1" s="37">
      <c r="A561" s="9" t="n"/>
      <c r="B561" s="9" t="n"/>
      <c r="C561" s="9" t="n"/>
      <c r="D561" s="9" t="n"/>
      <c r="E561" s="9" t="n"/>
      <c r="F561" s="9" t="n"/>
      <c r="G561" s="9">
        <f>IF(OR(E561="",F561=""),"",DATEDIF(E561,F561,"Y"))</f>
        <v/>
      </c>
      <c r="H561" s="9" t="n"/>
    </row>
    <row r="562" ht="14.25" customHeight="1" s="37">
      <c r="A562" s="9" t="n"/>
      <c r="B562" s="9" t="n"/>
      <c r="C562" s="9" t="n"/>
      <c r="D562" s="9" t="n"/>
      <c r="E562" s="9" t="n"/>
      <c r="F562" s="9" t="n"/>
      <c r="G562" s="9">
        <f>IF(OR(E562="",F562=""),"",DATEDIF(E562,F562,"Y"))</f>
        <v/>
      </c>
      <c r="H562" s="9" t="n"/>
    </row>
    <row r="563" ht="14.25" customHeight="1" s="37">
      <c r="A563" s="9" t="n"/>
      <c r="B563" s="9" t="n"/>
      <c r="C563" s="9" t="n"/>
      <c r="D563" s="9" t="n"/>
      <c r="E563" s="9" t="n"/>
      <c r="F563" s="9" t="n"/>
      <c r="G563" s="9">
        <f>IF(OR(E563="",F563=""),"",DATEDIF(E563,F563,"Y"))</f>
        <v/>
      </c>
      <c r="H563" s="9" t="n"/>
    </row>
    <row r="564" ht="14.25" customHeight="1" s="37">
      <c r="A564" s="9" t="n"/>
      <c r="B564" s="9" t="n"/>
      <c r="C564" s="9" t="n"/>
      <c r="D564" s="9" t="n"/>
      <c r="E564" s="9" t="n"/>
      <c r="F564" s="9" t="n"/>
      <c r="G564" s="9">
        <f>IF(OR(E564="",F564=""),"",DATEDIF(E564,F564,"Y"))</f>
        <v/>
      </c>
      <c r="H564" s="9" t="n"/>
    </row>
    <row r="565" ht="14.25" customHeight="1" s="37">
      <c r="A565" s="9" t="n"/>
      <c r="B565" s="9" t="n"/>
      <c r="C565" s="9" t="n"/>
      <c r="D565" s="9" t="n"/>
      <c r="E565" s="9" t="n"/>
      <c r="F565" s="9" t="n"/>
      <c r="G565" s="9">
        <f>IF(OR(E565="",F565=""),"",DATEDIF(E565,F565,"Y"))</f>
        <v/>
      </c>
      <c r="H565" s="9" t="n"/>
    </row>
    <row r="566" ht="14.25" customHeight="1" s="37">
      <c r="A566" s="9" t="n"/>
      <c r="B566" s="9" t="n"/>
      <c r="C566" s="9" t="n"/>
      <c r="D566" s="9" t="n"/>
      <c r="E566" s="9" t="n"/>
      <c r="F566" s="9" t="n"/>
      <c r="G566" s="9">
        <f>IF(OR(E566="",F566=""),"",DATEDIF(E566,F566,"Y"))</f>
        <v/>
      </c>
      <c r="H566" s="9" t="n"/>
    </row>
    <row r="567" ht="14.25" customHeight="1" s="37">
      <c r="A567" s="9" t="n"/>
      <c r="B567" s="9" t="n"/>
      <c r="C567" s="9" t="n"/>
      <c r="D567" s="9" t="n"/>
      <c r="E567" s="9" t="n"/>
      <c r="F567" s="9" t="n"/>
      <c r="G567" s="9">
        <f>IF(OR(E567="",F567=""),"",DATEDIF(E567,F567,"Y"))</f>
        <v/>
      </c>
      <c r="H567" s="9" t="n"/>
    </row>
    <row r="568" ht="14.25" customHeight="1" s="37">
      <c r="A568" s="9" t="n"/>
      <c r="B568" s="9" t="n"/>
      <c r="C568" s="9" t="n"/>
      <c r="D568" s="9" t="n"/>
      <c r="E568" s="9" t="n"/>
      <c r="F568" s="9" t="n"/>
      <c r="G568" s="9">
        <f>IF(OR(E568="",F568=""),"",DATEDIF(E568,F568,"Y"))</f>
        <v/>
      </c>
      <c r="H568" s="9" t="n"/>
    </row>
    <row r="569" ht="14.25" customHeight="1" s="37">
      <c r="A569" s="9" t="n"/>
      <c r="B569" s="9" t="n"/>
      <c r="C569" s="9" t="n"/>
      <c r="D569" s="9" t="n"/>
      <c r="E569" s="9" t="n"/>
      <c r="F569" s="9" t="n"/>
      <c r="G569" s="9">
        <f>IF(OR(E569="",F569=""),"",DATEDIF(E569,F569,"Y"))</f>
        <v/>
      </c>
      <c r="H569" s="9" t="n"/>
    </row>
    <row r="570" ht="14.25" customHeight="1" s="37">
      <c r="A570" s="9" t="n"/>
      <c r="B570" s="9" t="n"/>
      <c r="C570" s="9" t="n"/>
      <c r="D570" s="9" t="n"/>
      <c r="E570" s="9" t="n"/>
      <c r="F570" s="9" t="n"/>
      <c r="G570" s="9">
        <f>IF(OR(E570="",F570=""),"",DATEDIF(E570,F570,"Y"))</f>
        <v/>
      </c>
      <c r="H570" s="9" t="n"/>
    </row>
    <row r="571" ht="14.25" customHeight="1" s="37">
      <c r="A571" s="9" t="n"/>
      <c r="B571" s="9" t="n"/>
      <c r="C571" s="9" t="n"/>
      <c r="D571" s="9" t="n"/>
      <c r="E571" s="9" t="n"/>
      <c r="F571" s="9" t="n"/>
      <c r="G571" s="9">
        <f>IF(OR(E571="",F571=""),"",DATEDIF(E571,F571,"Y"))</f>
        <v/>
      </c>
      <c r="H571" s="9" t="n"/>
    </row>
    <row r="572" ht="14.25" customHeight="1" s="37">
      <c r="A572" s="9" t="n"/>
      <c r="B572" s="9" t="n"/>
      <c r="C572" s="9" t="n"/>
      <c r="D572" s="9" t="n"/>
      <c r="E572" s="9" t="n"/>
      <c r="F572" s="9" t="n"/>
      <c r="G572" s="9">
        <f>IF(OR(E572="",F572=""),"",DATEDIF(E572,F572,"Y"))</f>
        <v/>
      </c>
      <c r="H572" s="9" t="n"/>
    </row>
    <row r="573" ht="14.25" customHeight="1" s="37">
      <c r="A573" s="9" t="n"/>
      <c r="B573" s="9" t="n"/>
      <c r="C573" s="9" t="n"/>
      <c r="D573" s="9" t="n"/>
      <c r="E573" s="9" t="n"/>
      <c r="F573" s="9" t="n"/>
      <c r="G573" s="9">
        <f>IF(OR(E573="",F573=""),"",DATEDIF(E573,F573,"Y"))</f>
        <v/>
      </c>
      <c r="H573" s="9" t="n"/>
    </row>
    <row r="574" ht="14.25" customHeight="1" s="37">
      <c r="A574" s="9" t="n"/>
      <c r="B574" s="9" t="n"/>
      <c r="C574" s="9" t="n"/>
      <c r="D574" s="9" t="n"/>
      <c r="E574" s="9" t="n"/>
      <c r="F574" s="9" t="n"/>
      <c r="G574" s="9">
        <f>IF(OR(E574="",F574=""),"",DATEDIF(E574,F574,"Y"))</f>
        <v/>
      </c>
      <c r="H574" s="9" t="n"/>
    </row>
    <row r="575" ht="14.25" customHeight="1" s="37">
      <c r="A575" s="9" t="n"/>
      <c r="B575" s="9" t="n"/>
      <c r="C575" s="9" t="n"/>
      <c r="D575" s="9" t="n"/>
      <c r="E575" s="9" t="n"/>
      <c r="F575" s="9" t="n"/>
      <c r="G575" s="9">
        <f>IF(OR(E575="",F575=""),"",DATEDIF(E575,F575,"Y"))</f>
        <v/>
      </c>
      <c r="H575" s="9" t="n"/>
    </row>
    <row r="576" ht="14.25" customHeight="1" s="37">
      <c r="A576" s="9" t="n"/>
      <c r="B576" s="9" t="n"/>
      <c r="C576" s="9" t="n"/>
      <c r="D576" s="9" t="n"/>
      <c r="E576" s="9" t="n"/>
      <c r="F576" s="9" t="n"/>
      <c r="G576" s="9">
        <f>IF(OR(E576="",F576=""),"",DATEDIF(E576,F576,"Y"))</f>
        <v/>
      </c>
      <c r="H576" s="9" t="n"/>
    </row>
    <row r="577" ht="14.25" customHeight="1" s="37">
      <c r="A577" s="9" t="n"/>
      <c r="B577" s="9" t="n"/>
      <c r="C577" s="9" t="n"/>
      <c r="D577" s="9" t="n"/>
      <c r="E577" s="9" t="n"/>
      <c r="F577" s="9" t="n"/>
      <c r="G577" s="9">
        <f>IF(OR(E577="",F577=""),"",DATEDIF(E577,F577,"Y"))</f>
        <v/>
      </c>
      <c r="H577" s="9" t="n"/>
    </row>
    <row r="578" ht="14.25" customHeight="1" s="37">
      <c r="A578" s="9" t="n"/>
      <c r="B578" s="9" t="n"/>
      <c r="C578" s="9" t="n"/>
      <c r="D578" s="9" t="n"/>
      <c r="E578" s="9" t="n"/>
      <c r="F578" s="9" t="n"/>
      <c r="G578" s="9">
        <f>IF(OR(E578="",F578=""),"",DATEDIF(E578,F578,"Y"))</f>
        <v/>
      </c>
      <c r="H578" s="9" t="n"/>
    </row>
    <row r="579" ht="14.25" customHeight="1" s="37">
      <c r="A579" s="9" t="n"/>
      <c r="B579" s="9" t="n"/>
      <c r="C579" s="9" t="n"/>
      <c r="D579" s="9" t="n"/>
      <c r="E579" s="9" t="n"/>
      <c r="F579" s="9" t="n"/>
      <c r="G579" s="9">
        <f>IF(OR(E579="",F579=""),"",DATEDIF(E579,F579,"Y"))</f>
        <v/>
      </c>
      <c r="H579" s="9" t="n"/>
    </row>
    <row r="580" ht="14.25" customHeight="1" s="37">
      <c r="A580" s="9" t="n"/>
      <c r="B580" s="9" t="n"/>
      <c r="C580" s="9" t="n"/>
      <c r="D580" s="9" t="n"/>
      <c r="E580" s="9" t="n"/>
      <c r="F580" s="9" t="n"/>
      <c r="G580" s="9">
        <f>IF(OR(E580="",F580=""),"",DATEDIF(E580,F580,"Y"))</f>
        <v/>
      </c>
      <c r="H580" s="9" t="n"/>
    </row>
    <row r="581" ht="14.25" customHeight="1" s="37">
      <c r="A581" s="9" t="n"/>
      <c r="B581" s="9" t="n"/>
      <c r="C581" s="9" t="n"/>
      <c r="D581" s="9" t="n"/>
      <c r="E581" s="9" t="n"/>
      <c r="F581" s="9" t="n"/>
      <c r="G581" s="9">
        <f>IF(OR(E581="",F581=""),"",DATEDIF(E581,F581,"Y"))</f>
        <v/>
      </c>
      <c r="H581" s="9" t="n"/>
    </row>
    <row r="582" ht="14.25" customHeight="1" s="37">
      <c r="A582" s="9" t="n"/>
      <c r="B582" s="9" t="n"/>
      <c r="C582" s="9" t="n"/>
      <c r="D582" s="9" t="n"/>
      <c r="E582" s="9" t="n"/>
      <c r="F582" s="9" t="n"/>
      <c r="G582" s="9">
        <f>IF(OR(E582="",F582=""),"",DATEDIF(E582,F582,"Y"))</f>
        <v/>
      </c>
      <c r="H582" s="9" t="n"/>
    </row>
    <row r="583" ht="14.25" customHeight="1" s="37">
      <c r="A583" s="9" t="n"/>
      <c r="B583" s="9" t="n"/>
      <c r="C583" s="9" t="n"/>
      <c r="D583" s="9" t="n"/>
      <c r="E583" s="9" t="n"/>
      <c r="F583" s="9" t="n"/>
      <c r="G583" s="9">
        <f>IF(OR(E583="",F583=""),"",DATEDIF(E583,F583,"Y"))</f>
        <v/>
      </c>
      <c r="H583" s="9" t="n"/>
    </row>
    <row r="584" ht="14.25" customHeight="1" s="37">
      <c r="A584" s="9" t="n"/>
      <c r="B584" s="9" t="n"/>
      <c r="C584" s="9" t="n"/>
      <c r="D584" s="9" t="n"/>
      <c r="E584" s="9" t="n"/>
      <c r="F584" s="9" t="n"/>
      <c r="G584" s="9">
        <f>IF(OR(E584="",F584=""),"",DATEDIF(E584,F584,"Y"))</f>
        <v/>
      </c>
      <c r="H584" s="9" t="n"/>
    </row>
    <row r="585" ht="14.25" customHeight="1" s="37">
      <c r="A585" s="9" t="n"/>
      <c r="B585" s="9" t="n"/>
      <c r="C585" s="9" t="n"/>
      <c r="D585" s="9" t="n"/>
      <c r="E585" s="9" t="n"/>
      <c r="F585" s="9" t="n"/>
      <c r="G585" s="9">
        <f>IF(OR(E585="",F585=""),"",DATEDIF(E585,F585,"Y"))</f>
        <v/>
      </c>
      <c r="H585" s="9" t="n"/>
    </row>
    <row r="586" ht="14.25" customHeight="1" s="37">
      <c r="A586" s="9" t="n"/>
      <c r="B586" s="9" t="n"/>
      <c r="C586" s="9" t="n"/>
      <c r="D586" s="9" t="n"/>
      <c r="E586" s="9" t="n"/>
      <c r="F586" s="9" t="n"/>
      <c r="G586" s="9">
        <f>IF(OR(E586="",F586=""),"",DATEDIF(E586,F586,"Y"))</f>
        <v/>
      </c>
      <c r="H586" s="9" t="n"/>
    </row>
    <row r="587" ht="14.25" customHeight="1" s="37">
      <c r="A587" s="9" t="n"/>
      <c r="B587" s="9" t="n"/>
      <c r="C587" s="9" t="n"/>
      <c r="D587" s="9" t="n"/>
      <c r="E587" s="9" t="n"/>
      <c r="F587" s="9" t="n"/>
      <c r="G587" s="9">
        <f>IF(OR(E587="",F587=""),"",DATEDIF(E587,F587,"Y"))</f>
        <v/>
      </c>
      <c r="H587" s="9" t="n"/>
    </row>
    <row r="588" ht="14.25" customHeight="1" s="37">
      <c r="A588" s="9" t="n"/>
      <c r="B588" s="9" t="n"/>
      <c r="C588" s="9" t="n"/>
      <c r="D588" s="9" t="n"/>
      <c r="E588" s="9" t="n"/>
      <c r="F588" s="9" t="n"/>
      <c r="G588" s="9">
        <f>IF(OR(E588="",F588=""),"",DATEDIF(E588,F588,"Y"))</f>
        <v/>
      </c>
      <c r="H588" s="9" t="n"/>
    </row>
    <row r="589" ht="14.25" customHeight="1" s="37">
      <c r="A589" s="9" t="n"/>
      <c r="B589" s="9" t="n"/>
      <c r="C589" s="9" t="n"/>
      <c r="D589" s="9" t="n"/>
      <c r="E589" s="9" t="n"/>
      <c r="F589" s="9" t="n"/>
      <c r="G589" s="9">
        <f>IF(OR(E589="",F589=""),"",DATEDIF(E589,F589,"Y"))</f>
        <v/>
      </c>
      <c r="H589" s="9" t="n"/>
    </row>
    <row r="590" ht="14.25" customHeight="1" s="37">
      <c r="A590" s="9" t="n"/>
      <c r="B590" s="9" t="n"/>
      <c r="C590" s="9" t="n"/>
      <c r="D590" s="9" t="n"/>
      <c r="E590" s="9" t="n"/>
      <c r="F590" s="9" t="n"/>
      <c r="G590" s="9">
        <f>IF(OR(E590="",F590=""),"",DATEDIF(E590,F590,"Y"))</f>
        <v/>
      </c>
      <c r="H590" s="9" t="n"/>
    </row>
    <row r="591" ht="14.25" customHeight="1" s="37">
      <c r="A591" s="9" t="n"/>
      <c r="B591" s="9" t="n"/>
      <c r="C591" s="9" t="n"/>
      <c r="D591" s="9" t="n"/>
      <c r="E591" s="9" t="n"/>
      <c r="F591" s="9" t="n"/>
      <c r="G591" s="9">
        <f>IF(OR(E591="",F591=""),"",DATEDIF(E591,F591,"Y"))</f>
        <v/>
      </c>
      <c r="H591" s="9" t="n"/>
    </row>
    <row r="592" ht="14.25" customHeight="1" s="37">
      <c r="A592" s="9" t="n"/>
      <c r="B592" s="9" t="n"/>
      <c r="C592" s="9" t="n"/>
      <c r="D592" s="9" t="n"/>
      <c r="E592" s="9" t="n"/>
      <c r="F592" s="9" t="n"/>
      <c r="G592" s="9">
        <f>IF(OR(E592="",F592=""),"",DATEDIF(E592,F592,"Y"))</f>
        <v/>
      </c>
      <c r="H592" s="9" t="n"/>
    </row>
    <row r="593" ht="14.25" customHeight="1" s="37">
      <c r="A593" s="9" t="n"/>
      <c r="B593" s="9" t="n"/>
      <c r="C593" s="9" t="n"/>
      <c r="D593" s="9" t="n"/>
      <c r="E593" s="9" t="n"/>
      <c r="F593" s="9" t="n"/>
      <c r="G593" s="9">
        <f>IF(OR(E593="",F593=""),"",DATEDIF(E593,F593,"Y"))</f>
        <v/>
      </c>
      <c r="H593" s="9" t="n"/>
    </row>
    <row r="594" ht="14.25" customHeight="1" s="37">
      <c r="A594" s="9" t="n"/>
      <c r="B594" s="9" t="n"/>
      <c r="C594" s="9" t="n"/>
      <c r="D594" s="9" t="n"/>
      <c r="E594" s="9" t="n"/>
      <c r="F594" s="9" t="n"/>
      <c r="G594" s="9">
        <f>IF(OR(E594="",F594=""),"",DATEDIF(E594,F594,"Y"))</f>
        <v/>
      </c>
      <c r="H594" s="9" t="n"/>
    </row>
    <row r="595" ht="14.25" customHeight="1" s="37">
      <c r="A595" s="9" t="n"/>
      <c r="B595" s="9" t="n"/>
      <c r="C595" s="9" t="n"/>
      <c r="D595" s="9" t="n"/>
      <c r="E595" s="9" t="n"/>
      <c r="F595" s="9" t="n"/>
      <c r="G595" s="9">
        <f>IF(OR(E595="",F595=""),"",DATEDIF(E595,F595,"Y"))</f>
        <v/>
      </c>
      <c r="H595" s="9" t="n"/>
    </row>
    <row r="596" ht="14.25" customHeight="1" s="37">
      <c r="A596" s="9" t="n"/>
      <c r="B596" s="9" t="n"/>
      <c r="C596" s="9" t="n"/>
      <c r="D596" s="9" t="n"/>
      <c r="E596" s="9" t="n"/>
      <c r="F596" s="9" t="n"/>
      <c r="G596" s="9">
        <f>IF(OR(E596="",F596=""),"",DATEDIF(E596,F596,"Y"))</f>
        <v/>
      </c>
      <c r="H596" s="9" t="n"/>
    </row>
    <row r="597" ht="14.25" customHeight="1" s="37">
      <c r="A597" s="9" t="n"/>
      <c r="B597" s="9" t="n"/>
      <c r="C597" s="9" t="n"/>
      <c r="D597" s="9" t="n"/>
      <c r="E597" s="9" t="n"/>
      <c r="F597" s="9" t="n"/>
      <c r="G597" s="9">
        <f>IF(OR(E597="",F597=""),"",DATEDIF(E597,F597,"Y"))</f>
        <v/>
      </c>
      <c r="H597" s="9" t="n"/>
    </row>
    <row r="598" ht="14.25" customHeight="1" s="37">
      <c r="A598" s="9" t="n"/>
      <c r="B598" s="9" t="n"/>
      <c r="C598" s="9" t="n"/>
      <c r="D598" s="9" t="n"/>
      <c r="E598" s="9" t="n"/>
      <c r="F598" s="9" t="n"/>
      <c r="G598" s="9">
        <f>IF(OR(E598="",F598=""),"",DATEDIF(E598,F598,"Y"))</f>
        <v/>
      </c>
      <c r="H598" s="9" t="n"/>
    </row>
    <row r="599" ht="14.25" customHeight="1" s="37">
      <c r="A599" s="9" t="n"/>
      <c r="B599" s="9" t="n"/>
      <c r="C599" s="9" t="n"/>
      <c r="D599" s="9" t="n"/>
      <c r="E599" s="9" t="n"/>
      <c r="F599" s="9" t="n"/>
      <c r="G599" s="9">
        <f>IF(OR(E599="",F599=""),"",DATEDIF(E599,F599,"Y"))</f>
        <v/>
      </c>
      <c r="H599" s="9" t="n"/>
    </row>
    <row r="600" ht="14.25" customHeight="1" s="37">
      <c r="A600" s="9" t="n"/>
      <c r="B600" s="9" t="n"/>
      <c r="C600" s="9" t="n"/>
      <c r="D600" s="9" t="n"/>
      <c r="E600" s="9" t="n"/>
      <c r="F600" s="9" t="n"/>
      <c r="G600" s="9">
        <f>IF(OR(E600="",F600=""),"",DATEDIF(E600,F600,"Y"))</f>
        <v/>
      </c>
      <c r="H600" s="9" t="n"/>
    </row>
    <row r="601" ht="14.25" customHeight="1" s="37">
      <c r="A601" s="9" t="n"/>
      <c r="B601" s="9" t="n"/>
      <c r="C601" s="9" t="n"/>
      <c r="D601" s="9" t="n"/>
      <c r="E601" s="9" t="n"/>
      <c r="F601" s="9" t="n"/>
      <c r="G601" s="9">
        <f>IF(OR(E601="",F601=""),"",DATEDIF(E601,F601,"Y"))</f>
        <v/>
      </c>
      <c r="H601" s="9" t="n"/>
    </row>
    <row r="602" ht="14.25" customHeight="1" s="37">
      <c r="A602" s="9" t="n"/>
      <c r="B602" s="9" t="n"/>
      <c r="C602" s="9" t="n"/>
      <c r="D602" s="9" t="n"/>
      <c r="E602" s="9" t="n"/>
      <c r="F602" s="9" t="n"/>
      <c r="G602" s="9">
        <f>IF(OR(E602="",F602=""),"",DATEDIF(E602,F602,"Y"))</f>
        <v/>
      </c>
      <c r="H602" s="9" t="n"/>
    </row>
    <row r="603" ht="14.25" customHeight="1" s="37">
      <c r="A603" s="9" t="n"/>
      <c r="B603" s="9" t="n"/>
      <c r="C603" s="9" t="n"/>
      <c r="D603" s="9" t="n"/>
      <c r="E603" s="9" t="n"/>
      <c r="F603" s="9" t="n"/>
      <c r="G603" s="9">
        <f>IF(OR(E603="",F603=""),"",DATEDIF(E603,F603,"Y"))</f>
        <v/>
      </c>
      <c r="H603" s="9" t="n"/>
    </row>
    <row r="604" ht="14.25" customHeight="1" s="37">
      <c r="A604" s="9" t="n"/>
      <c r="B604" s="9" t="n"/>
      <c r="C604" s="9" t="n"/>
      <c r="D604" s="9" t="n"/>
      <c r="E604" s="9" t="n"/>
      <c r="F604" s="9" t="n"/>
      <c r="G604" s="9">
        <f>IF(OR(E604="",F604=""),"",DATEDIF(E604,F604,"Y"))</f>
        <v/>
      </c>
      <c r="H604" s="9" t="n"/>
    </row>
    <row r="605" ht="14.25" customHeight="1" s="37">
      <c r="A605" s="9" t="n"/>
      <c r="B605" s="9" t="n"/>
      <c r="C605" s="9" t="n"/>
      <c r="D605" s="9" t="n"/>
      <c r="E605" s="9" t="n"/>
      <c r="F605" s="9" t="n"/>
      <c r="G605" s="9">
        <f>IF(OR(E605="",F605=""),"",DATEDIF(E605,F605,"Y"))</f>
        <v/>
      </c>
      <c r="H605" s="9" t="n"/>
    </row>
    <row r="606" ht="14.25" customHeight="1" s="37">
      <c r="A606" s="9" t="n"/>
      <c r="B606" s="9" t="n"/>
      <c r="C606" s="9" t="n"/>
      <c r="D606" s="9" t="n"/>
      <c r="E606" s="9" t="n"/>
      <c r="F606" s="9" t="n"/>
      <c r="G606" s="9">
        <f>IF(OR(E606="",F606=""),"",DATEDIF(E606,F606,"Y"))</f>
        <v/>
      </c>
      <c r="H606" s="9" t="n"/>
    </row>
    <row r="607" ht="14.25" customHeight="1" s="37">
      <c r="A607" s="9" t="n"/>
      <c r="B607" s="9" t="n"/>
      <c r="C607" s="9" t="n"/>
      <c r="D607" s="9" t="n"/>
      <c r="E607" s="9" t="n"/>
      <c r="F607" s="9" t="n"/>
      <c r="G607" s="9">
        <f>IF(OR(E607="",F607=""),"",DATEDIF(E607,F607,"Y"))</f>
        <v/>
      </c>
      <c r="H607" s="9" t="n"/>
    </row>
    <row r="608" ht="14.25" customHeight="1" s="37">
      <c r="A608" s="9" t="n"/>
      <c r="B608" s="9" t="n"/>
      <c r="C608" s="9" t="n"/>
      <c r="D608" s="9" t="n"/>
      <c r="E608" s="9" t="n"/>
      <c r="F608" s="9" t="n"/>
      <c r="G608" s="9">
        <f>IF(OR(E608="",F608=""),"",DATEDIF(E608,F608,"Y"))</f>
        <v/>
      </c>
      <c r="H608" s="9" t="n"/>
    </row>
    <row r="609" ht="14.25" customHeight="1" s="37">
      <c r="A609" s="9" t="n"/>
      <c r="B609" s="9" t="n"/>
      <c r="C609" s="9" t="n"/>
      <c r="D609" s="9" t="n"/>
      <c r="E609" s="9" t="n"/>
      <c r="F609" s="9" t="n"/>
      <c r="G609" s="9">
        <f>IF(OR(E609="",F609=""),"",DATEDIF(E609,F609,"Y"))</f>
        <v/>
      </c>
      <c r="H609" s="9" t="n"/>
    </row>
    <row r="610" ht="14.25" customHeight="1" s="37">
      <c r="A610" s="9" t="n"/>
      <c r="B610" s="9" t="n"/>
      <c r="C610" s="9" t="n"/>
      <c r="D610" s="9" t="n"/>
      <c r="E610" s="9" t="n"/>
      <c r="F610" s="9" t="n"/>
      <c r="G610" s="9">
        <f>IF(OR(E610="",F610=""),"",DATEDIF(E610,F610,"Y"))</f>
        <v/>
      </c>
      <c r="H610" s="9" t="n"/>
    </row>
    <row r="611" ht="14.25" customHeight="1" s="37">
      <c r="A611" s="9" t="n"/>
      <c r="B611" s="9" t="n"/>
      <c r="C611" s="9" t="n"/>
      <c r="D611" s="9" t="n"/>
      <c r="E611" s="9" t="n"/>
      <c r="F611" s="9" t="n"/>
      <c r="G611" s="9">
        <f>IF(OR(E611="",F611=""),"",DATEDIF(E611,F611,"Y"))</f>
        <v/>
      </c>
      <c r="H611" s="9" t="n"/>
    </row>
    <row r="612" ht="14.25" customHeight="1" s="37">
      <c r="A612" s="9" t="n"/>
      <c r="B612" s="9" t="n"/>
      <c r="C612" s="9" t="n"/>
      <c r="D612" s="9" t="n"/>
      <c r="E612" s="9" t="n"/>
      <c r="F612" s="9" t="n"/>
      <c r="G612" s="9">
        <f>IF(OR(E612="",F612=""),"",DATEDIF(E612,F612,"Y"))</f>
        <v/>
      </c>
      <c r="H612" s="9" t="n"/>
    </row>
    <row r="613" ht="14.25" customHeight="1" s="37">
      <c r="A613" s="9" t="n"/>
      <c r="B613" s="9" t="n"/>
      <c r="C613" s="9" t="n"/>
      <c r="D613" s="9" t="n"/>
      <c r="E613" s="9" t="n"/>
      <c r="F613" s="9" t="n"/>
      <c r="G613" s="9">
        <f>IF(OR(E613="",F613=""),"",DATEDIF(E613,F613,"Y"))</f>
        <v/>
      </c>
      <c r="H613" s="9" t="n"/>
    </row>
    <row r="614" ht="14.25" customHeight="1" s="37">
      <c r="A614" s="9" t="n"/>
      <c r="B614" s="9" t="n"/>
      <c r="C614" s="9" t="n"/>
      <c r="D614" s="9" t="n"/>
      <c r="E614" s="9" t="n"/>
      <c r="F614" s="9" t="n"/>
      <c r="G614" s="9">
        <f>IF(OR(E614="",F614=""),"",DATEDIF(E614,F614,"Y"))</f>
        <v/>
      </c>
      <c r="H614" s="9" t="n"/>
    </row>
    <row r="615" ht="14.25" customHeight="1" s="37">
      <c r="A615" s="9" t="n"/>
      <c r="B615" s="9" t="n"/>
      <c r="C615" s="9" t="n"/>
      <c r="D615" s="9" t="n"/>
      <c r="E615" s="9" t="n"/>
      <c r="F615" s="9" t="n"/>
      <c r="G615" s="9">
        <f>IF(OR(E615="",F615=""),"",DATEDIF(E615,F615,"Y"))</f>
        <v/>
      </c>
      <c r="H615" s="9" t="n"/>
    </row>
    <row r="616" ht="14.25" customHeight="1" s="37">
      <c r="A616" s="9" t="n"/>
      <c r="B616" s="9" t="n"/>
      <c r="C616" s="9" t="n"/>
      <c r="D616" s="9" t="n"/>
      <c r="E616" s="9" t="n"/>
      <c r="F616" s="9" t="n"/>
      <c r="G616" s="9">
        <f>IF(OR(E616="",F616=""),"",DATEDIF(E616,F616,"Y"))</f>
        <v/>
      </c>
      <c r="H616" s="9" t="n"/>
    </row>
    <row r="617" ht="14.25" customHeight="1" s="37">
      <c r="A617" s="9" t="n"/>
      <c r="B617" s="9" t="n"/>
      <c r="C617" s="9" t="n"/>
      <c r="D617" s="9" t="n"/>
      <c r="E617" s="9" t="n"/>
      <c r="F617" s="9" t="n"/>
      <c r="G617" s="9">
        <f>IF(OR(E617="",F617=""),"",DATEDIF(E617,F617,"Y"))</f>
        <v/>
      </c>
      <c r="H617" s="9" t="n"/>
    </row>
    <row r="618" ht="14.25" customHeight="1" s="37">
      <c r="A618" s="9" t="n"/>
      <c r="B618" s="9" t="n"/>
      <c r="C618" s="9" t="n"/>
      <c r="D618" s="9" t="n"/>
      <c r="E618" s="9" t="n"/>
      <c r="F618" s="9" t="n"/>
      <c r="G618" s="9">
        <f>IF(OR(E618="",F618=""),"",DATEDIF(E618,F618,"Y"))</f>
        <v/>
      </c>
      <c r="H618" s="9" t="n"/>
    </row>
    <row r="619" ht="14.25" customHeight="1" s="37">
      <c r="A619" s="9" t="n"/>
      <c r="B619" s="9" t="n"/>
      <c r="C619" s="9" t="n"/>
      <c r="D619" s="9" t="n"/>
      <c r="E619" s="9" t="n"/>
      <c r="F619" s="9" t="n"/>
      <c r="G619" s="9">
        <f>IF(OR(E619="",F619=""),"",DATEDIF(E619,F619,"Y"))</f>
        <v/>
      </c>
      <c r="H619" s="9" t="n"/>
    </row>
    <row r="620" ht="14.25" customHeight="1" s="37">
      <c r="A620" s="9" t="n"/>
      <c r="B620" s="9" t="n"/>
      <c r="C620" s="9" t="n"/>
      <c r="D620" s="9" t="n"/>
      <c r="E620" s="9" t="n"/>
      <c r="F620" s="9" t="n"/>
      <c r="G620" s="9">
        <f>IF(OR(E620="",F620=""),"",DATEDIF(E620,F620,"Y"))</f>
        <v/>
      </c>
      <c r="H620" s="9" t="n"/>
    </row>
    <row r="621" ht="14.25" customHeight="1" s="37">
      <c r="A621" s="9" t="n"/>
      <c r="B621" s="9" t="n"/>
      <c r="C621" s="9" t="n"/>
      <c r="D621" s="9" t="n"/>
      <c r="E621" s="9" t="n"/>
      <c r="F621" s="9" t="n"/>
      <c r="G621" s="9">
        <f>IF(OR(E621="",F621=""),"",DATEDIF(E621,F621,"Y"))</f>
        <v/>
      </c>
      <c r="H621" s="9" t="n"/>
    </row>
    <row r="622" ht="14.25" customHeight="1" s="37">
      <c r="A622" s="9" t="n"/>
      <c r="B622" s="9" t="n"/>
      <c r="C622" s="9" t="n"/>
      <c r="D622" s="9" t="n"/>
      <c r="E622" s="9" t="n"/>
      <c r="F622" s="9" t="n"/>
      <c r="G622" s="9">
        <f>IF(OR(E622="",F622=""),"",DATEDIF(E622,F622,"Y"))</f>
        <v/>
      </c>
      <c r="H622" s="9" t="n"/>
    </row>
    <row r="623" ht="14.25" customHeight="1" s="37">
      <c r="A623" s="9" t="n"/>
      <c r="B623" s="9" t="n"/>
      <c r="C623" s="9" t="n"/>
      <c r="D623" s="9" t="n"/>
      <c r="E623" s="9" t="n"/>
      <c r="F623" s="9" t="n"/>
      <c r="G623" s="9">
        <f>IF(OR(E623="",F623=""),"",DATEDIF(E623,F623,"Y"))</f>
        <v/>
      </c>
      <c r="H623" s="9" t="n"/>
    </row>
    <row r="624" ht="14.25" customHeight="1" s="37">
      <c r="A624" s="9" t="n"/>
      <c r="B624" s="9" t="n"/>
      <c r="C624" s="9" t="n"/>
      <c r="D624" s="9" t="n"/>
      <c r="E624" s="9" t="n"/>
      <c r="F624" s="9" t="n"/>
      <c r="G624" s="9">
        <f>IF(OR(E624="",F624=""),"",DATEDIF(E624,F624,"Y"))</f>
        <v/>
      </c>
      <c r="H624" s="9" t="n"/>
    </row>
    <row r="625" ht="14.25" customHeight="1" s="37">
      <c r="A625" s="9" t="n"/>
      <c r="B625" s="9" t="n"/>
      <c r="C625" s="9" t="n"/>
      <c r="D625" s="9" t="n"/>
      <c r="E625" s="9" t="n"/>
      <c r="F625" s="9" t="n"/>
      <c r="G625" s="9">
        <f>IF(OR(E625="",F625=""),"",DATEDIF(E625,F625,"Y"))</f>
        <v/>
      </c>
      <c r="H625" s="9" t="n"/>
    </row>
    <row r="626" ht="14.25" customHeight="1" s="37">
      <c r="A626" s="9" t="n"/>
      <c r="B626" s="9" t="n"/>
      <c r="C626" s="9" t="n"/>
      <c r="D626" s="9" t="n"/>
      <c r="E626" s="9" t="n"/>
      <c r="F626" s="9" t="n"/>
      <c r="G626" s="9">
        <f>IF(OR(E626="",F626=""),"",DATEDIF(E626,F626,"Y"))</f>
        <v/>
      </c>
      <c r="H626" s="9" t="n"/>
    </row>
    <row r="627" ht="14.25" customHeight="1" s="37">
      <c r="A627" s="9" t="n"/>
      <c r="B627" s="9" t="n"/>
      <c r="C627" s="9" t="n"/>
      <c r="D627" s="9" t="n"/>
      <c r="E627" s="9" t="n"/>
      <c r="F627" s="9" t="n"/>
      <c r="G627" s="9">
        <f>IF(OR(E627="",F627=""),"",DATEDIF(E627,F627,"Y"))</f>
        <v/>
      </c>
      <c r="H627" s="9" t="n"/>
    </row>
    <row r="628" ht="14.25" customHeight="1" s="37">
      <c r="A628" s="9" t="n"/>
      <c r="B628" s="9" t="n"/>
      <c r="C628" s="9" t="n"/>
      <c r="D628" s="9" t="n"/>
      <c r="E628" s="9" t="n"/>
      <c r="F628" s="9" t="n"/>
      <c r="G628" s="9">
        <f>IF(OR(E628="",F628=""),"",DATEDIF(E628,F628,"Y"))</f>
        <v/>
      </c>
      <c r="H628" s="9" t="n"/>
    </row>
    <row r="629" ht="14.25" customHeight="1" s="37">
      <c r="A629" s="9" t="n"/>
      <c r="B629" s="9" t="n"/>
      <c r="C629" s="9" t="n"/>
      <c r="D629" s="9" t="n"/>
      <c r="E629" s="9" t="n"/>
      <c r="F629" s="9" t="n"/>
      <c r="G629" s="9">
        <f>IF(OR(E629="",F629=""),"",DATEDIF(E629,F629,"Y"))</f>
        <v/>
      </c>
      <c r="H629" s="9" t="n"/>
    </row>
    <row r="630" ht="14.25" customHeight="1" s="37">
      <c r="A630" s="9" t="n"/>
      <c r="B630" s="9" t="n"/>
      <c r="C630" s="9" t="n"/>
      <c r="D630" s="9" t="n"/>
      <c r="E630" s="9" t="n"/>
      <c r="F630" s="9" t="n"/>
      <c r="G630" s="9">
        <f>IF(OR(E630="",F630=""),"",DATEDIF(E630,F630,"Y"))</f>
        <v/>
      </c>
      <c r="H630" s="9" t="n"/>
    </row>
    <row r="631" ht="14.25" customHeight="1" s="37">
      <c r="A631" s="9" t="n"/>
      <c r="B631" s="9" t="n"/>
      <c r="C631" s="9" t="n"/>
      <c r="D631" s="9" t="n"/>
      <c r="E631" s="9" t="n"/>
      <c r="F631" s="9" t="n"/>
      <c r="G631" s="9">
        <f>IF(OR(E631="",F631=""),"",DATEDIF(E631,F631,"Y"))</f>
        <v/>
      </c>
      <c r="H631" s="9" t="n"/>
    </row>
    <row r="632" ht="14.25" customHeight="1" s="37">
      <c r="A632" s="9" t="n"/>
      <c r="B632" s="9" t="n"/>
      <c r="C632" s="9" t="n"/>
      <c r="D632" s="9" t="n"/>
      <c r="E632" s="9" t="n"/>
      <c r="F632" s="9" t="n"/>
      <c r="G632" s="9">
        <f>IF(OR(E632="",F632=""),"",DATEDIF(E632,F632,"Y"))</f>
        <v/>
      </c>
      <c r="H632" s="9" t="n"/>
    </row>
    <row r="633" ht="14.25" customHeight="1" s="37">
      <c r="A633" s="9" t="n"/>
      <c r="B633" s="9" t="n"/>
      <c r="C633" s="9" t="n"/>
      <c r="D633" s="9" t="n"/>
      <c r="E633" s="9" t="n"/>
      <c r="F633" s="9" t="n"/>
      <c r="G633" s="9">
        <f>IF(OR(E633="",F633=""),"",DATEDIF(E633,F633,"Y"))</f>
        <v/>
      </c>
      <c r="H633" s="9" t="n"/>
    </row>
    <row r="634" ht="14.25" customHeight="1" s="37">
      <c r="A634" s="9" t="n"/>
      <c r="B634" s="9" t="n"/>
      <c r="C634" s="9" t="n"/>
      <c r="D634" s="9" t="n"/>
      <c r="E634" s="9" t="n"/>
      <c r="F634" s="9" t="n"/>
      <c r="G634" s="9">
        <f>IF(OR(E634="",F634=""),"",DATEDIF(E634,F634,"Y"))</f>
        <v/>
      </c>
      <c r="H634" s="9" t="n"/>
    </row>
    <row r="635" ht="14.25" customHeight="1" s="37">
      <c r="A635" s="9" t="n"/>
      <c r="B635" s="9" t="n"/>
      <c r="C635" s="9" t="n"/>
      <c r="D635" s="9" t="n"/>
      <c r="E635" s="9" t="n"/>
      <c r="F635" s="9" t="n"/>
      <c r="G635" s="9">
        <f>IF(OR(E635="",F635=""),"",DATEDIF(E635,F635,"Y"))</f>
        <v/>
      </c>
      <c r="H635" s="9" t="n"/>
    </row>
    <row r="636" ht="14.25" customHeight="1" s="37">
      <c r="A636" s="9" t="n"/>
      <c r="B636" s="9" t="n"/>
      <c r="C636" s="9" t="n"/>
      <c r="D636" s="9" t="n"/>
      <c r="E636" s="9" t="n"/>
      <c r="F636" s="9" t="n"/>
      <c r="G636" s="9">
        <f>IF(OR(E636="",F636=""),"",DATEDIF(E636,F636,"Y"))</f>
        <v/>
      </c>
      <c r="H636" s="9" t="n"/>
    </row>
    <row r="637" ht="14.25" customHeight="1" s="37">
      <c r="A637" s="9" t="n"/>
      <c r="B637" s="9" t="n"/>
      <c r="C637" s="9" t="n"/>
      <c r="D637" s="9" t="n"/>
      <c r="E637" s="9" t="n"/>
      <c r="F637" s="9" t="n"/>
      <c r="G637" s="9">
        <f>IF(OR(E637="",F637=""),"",DATEDIF(E637,F637,"Y"))</f>
        <v/>
      </c>
      <c r="H637" s="9" t="n"/>
    </row>
    <row r="638" ht="14.25" customHeight="1" s="37">
      <c r="A638" s="9" t="n"/>
      <c r="B638" s="9" t="n"/>
      <c r="C638" s="9" t="n"/>
      <c r="D638" s="9" t="n"/>
      <c r="E638" s="9" t="n"/>
      <c r="F638" s="9" t="n"/>
      <c r="G638" s="9">
        <f>IF(OR(E638="",F638=""),"",DATEDIF(E638,F638,"Y"))</f>
        <v/>
      </c>
      <c r="H638" s="9" t="n"/>
    </row>
    <row r="639" ht="14.25" customHeight="1" s="37">
      <c r="A639" s="9" t="n"/>
      <c r="B639" s="9" t="n"/>
      <c r="C639" s="9" t="n"/>
      <c r="D639" s="9" t="n"/>
      <c r="E639" s="9" t="n"/>
      <c r="F639" s="9" t="n"/>
      <c r="G639" s="9">
        <f>IF(OR(E639="",F639=""),"",DATEDIF(E639,F639,"Y"))</f>
        <v/>
      </c>
      <c r="H639" s="9" t="n"/>
    </row>
    <row r="640" ht="14.25" customHeight="1" s="37">
      <c r="A640" s="9" t="n"/>
      <c r="B640" s="9" t="n"/>
      <c r="C640" s="9" t="n"/>
      <c r="D640" s="9" t="n"/>
      <c r="E640" s="9" t="n"/>
      <c r="F640" s="9" t="n"/>
      <c r="G640" s="9">
        <f>IF(OR(E640="",F640=""),"",DATEDIF(E640,F640,"Y"))</f>
        <v/>
      </c>
      <c r="H640" s="9" t="n"/>
    </row>
    <row r="641" ht="14.25" customHeight="1" s="37">
      <c r="A641" s="9" t="n"/>
      <c r="B641" s="9" t="n"/>
      <c r="C641" s="9" t="n"/>
      <c r="D641" s="9" t="n"/>
      <c r="E641" s="9" t="n"/>
      <c r="F641" s="9" t="n"/>
      <c r="G641" s="9">
        <f>IF(OR(E641="",F641=""),"",DATEDIF(E641,F641,"Y"))</f>
        <v/>
      </c>
      <c r="H641" s="9" t="n"/>
    </row>
    <row r="642" ht="14.25" customHeight="1" s="37">
      <c r="A642" s="9" t="n"/>
      <c r="B642" s="9" t="n"/>
      <c r="C642" s="9" t="n"/>
      <c r="D642" s="9" t="n"/>
      <c r="E642" s="9" t="n"/>
      <c r="F642" s="9" t="n"/>
      <c r="G642" s="9">
        <f>IF(OR(E642="",F642=""),"",DATEDIF(E642,F642,"Y"))</f>
        <v/>
      </c>
      <c r="H642" s="9" t="n"/>
    </row>
    <row r="643" ht="14.25" customHeight="1" s="37">
      <c r="A643" s="9" t="n"/>
      <c r="B643" s="9" t="n"/>
      <c r="C643" s="9" t="n"/>
      <c r="D643" s="9" t="n"/>
      <c r="E643" s="9" t="n"/>
      <c r="F643" s="9" t="n"/>
      <c r="G643" s="9">
        <f>IF(OR(E643="",F643=""),"",DATEDIF(E643,F643,"Y"))</f>
        <v/>
      </c>
      <c r="H643" s="9" t="n"/>
    </row>
    <row r="644" ht="14.25" customHeight="1" s="37">
      <c r="A644" s="9" t="n"/>
      <c r="B644" s="9" t="n"/>
      <c r="C644" s="9" t="n"/>
      <c r="D644" s="9" t="n"/>
      <c r="E644" s="9" t="n"/>
      <c r="F644" s="9" t="n"/>
      <c r="G644" s="9">
        <f>IF(OR(E644="",F644=""),"",DATEDIF(E644,F644,"Y"))</f>
        <v/>
      </c>
      <c r="H644" s="9" t="n"/>
    </row>
    <row r="645" ht="14.25" customHeight="1" s="37">
      <c r="A645" s="9" t="n"/>
      <c r="B645" s="9" t="n"/>
      <c r="C645" s="9" t="n"/>
      <c r="D645" s="9" t="n"/>
      <c r="E645" s="9" t="n"/>
      <c r="F645" s="9" t="n"/>
      <c r="G645" s="9">
        <f>IF(OR(E645="",F645=""),"",DATEDIF(E645,F645,"Y"))</f>
        <v/>
      </c>
      <c r="H645" s="9" t="n"/>
    </row>
    <row r="646" ht="14.25" customHeight="1" s="37">
      <c r="A646" s="9" t="n"/>
      <c r="B646" s="9" t="n"/>
      <c r="C646" s="9" t="n"/>
      <c r="D646" s="9" t="n"/>
      <c r="E646" s="9" t="n"/>
      <c r="F646" s="9" t="n"/>
      <c r="G646" s="9">
        <f>IF(OR(E646="",F646=""),"",DATEDIF(E646,F646,"Y"))</f>
        <v/>
      </c>
      <c r="H646" s="9" t="n"/>
    </row>
    <row r="647" ht="14.25" customHeight="1" s="37">
      <c r="A647" s="9" t="n"/>
      <c r="B647" s="9" t="n"/>
      <c r="C647" s="9" t="n"/>
      <c r="D647" s="9" t="n"/>
      <c r="E647" s="9" t="n"/>
      <c r="F647" s="9" t="n"/>
      <c r="G647" s="9">
        <f>IF(OR(E647="",F647=""),"",DATEDIF(E647,F647,"Y"))</f>
        <v/>
      </c>
      <c r="H647" s="9" t="n"/>
    </row>
    <row r="648" ht="14.25" customHeight="1" s="37">
      <c r="A648" s="9" t="n"/>
      <c r="B648" s="9" t="n"/>
      <c r="C648" s="9" t="n"/>
      <c r="D648" s="9" t="n"/>
      <c r="E648" s="9" t="n"/>
      <c r="F648" s="9" t="n"/>
      <c r="G648" s="9">
        <f>IF(OR(E648="",F648=""),"",DATEDIF(E648,F648,"Y"))</f>
        <v/>
      </c>
      <c r="H648" s="9" t="n"/>
    </row>
    <row r="649" ht="14.25" customHeight="1" s="37">
      <c r="A649" s="9" t="n"/>
      <c r="B649" s="9" t="n"/>
      <c r="C649" s="9" t="n"/>
      <c r="D649" s="9" t="n"/>
      <c r="E649" s="9" t="n"/>
      <c r="F649" s="9" t="n"/>
      <c r="G649" s="9">
        <f>IF(OR(E649="",F649=""),"",DATEDIF(E649,F649,"Y"))</f>
        <v/>
      </c>
      <c r="H649" s="9" t="n"/>
    </row>
    <row r="650" ht="14.25" customHeight="1" s="37">
      <c r="A650" s="9" t="n"/>
      <c r="B650" s="9" t="n"/>
      <c r="C650" s="9" t="n"/>
      <c r="D650" s="9" t="n"/>
      <c r="E650" s="9" t="n"/>
      <c r="F650" s="9" t="n"/>
      <c r="G650" s="9">
        <f>IF(OR(E650="",F650=""),"",DATEDIF(E650,F650,"Y"))</f>
        <v/>
      </c>
      <c r="H650" s="9" t="n"/>
    </row>
    <row r="651" ht="14.25" customHeight="1" s="37">
      <c r="A651" s="9" t="n"/>
      <c r="B651" s="9" t="n"/>
      <c r="C651" s="9" t="n"/>
      <c r="D651" s="9" t="n"/>
      <c r="E651" s="9" t="n"/>
      <c r="F651" s="9" t="n"/>
      <c r="G651" s="9">
        <f>IF(OR(E651="",F651=""),"",DATEDIF(E651,F651,"Y"))</f>
        <v/>
      </c>
      <c r="H651" s="9" t="n"/>
    </row>
    <row r="652" ht="14.25" customHeight="1" s="37">
      <c r="A652" s="9" t="n"/>
      <c r="B652" s="9" t="n"/>
      <c r="C652" s="9" t="n"/>
      <c r="D652" s="9" t="n"/>
      <c r="E652" s="9" t="n"/>
      <c r="F652" s="9" t="n"/>
      <c r="G652" s="9">
        <f>IF(OR(E652="",F652=""),"",DATEDIF(E652,F652,"Y"))</f>
        <v/>
      </c>
      <c r="H652" s="9" t="n"/>
    </row>
    <row r="653" ht="14.25" customHeight="1" s="37">
      <c r="A653" s="9" t="n"/>
      <c r="B653" s="9" t="n"/>
      <c r="C653" s="9" t="n"/>
      <c r="D653" s="9" t="n"/>
      <c r="E653" s="9" t="n"/>
      <c r="F653" s="9" t="n"/>
      <c r="G653" s="9">
        <f>IF(OR(E653="",F653=""),"",DATEDIF(E653,F653,"Y"))</f>
        <v/>
      </c>
      <c r="H653" s="9" t="n"/>
    </row>
    <row r="654" ht="14.25" customHeight="1" s="37">
      <c r="A654" s="9" t="n"/>
      <c r="B654" s="9" t="n"/>
      <c r="C654" s="9" t="n"/>
      <c r="D654" s="9" t="n"/>
      <c r="E654" s="9" t="n"/>
      <c r="F654" s="9" t="n"/>
      <c r="G654" s="9">
        <f>IF(OR(E654="",F654=""),"",DATEDIF(E654,F654,"Y"))</f>
        <v/>
      </c>
      <c r="H654" s="9" t="n"/>
    </row>
    <row r="655" ht="14.25" customHeight="1" s="37">
      <c r="A655" s="9" t="n"/>
      <c r="B655" s="9" t="n"/>
      <c r="C655" s="9" t="n"/>
      <c r="D655" s="9" t="n"/>
      <c r="E655" s="9" t="n"/>
      <c r="F655" s="9" t="n"/>
      <c r="G655" s="9">
        <f>IF(OR(E655="",F655=""),"",DATEDIF(E655,F655,"Y"))</f>
        <v/>
      </c>
      <c r="H655" s="9" t="n"/>
    </row>
    <row r="656" ht="14.25" customHeight="1" s="37">
      <c r="A656" s="9" t="n"/>
      <c r="B656" s="9" t="n"/>
      <c r="C656" s="9" t="n"/>
      <c r="D656" s="9" t="n"/>
      <c r="E656" s="9" t="n"/>
      <c r="F656" s="9" t="n"/>
      <c r="G656" s="9">
        <f>IF(OR(E656="",F656=""),"",DATEDIF(E656,F656,"Y"))</f>
        <v/>
      </c>
      <c r="H656" s="9" t="n"/>
    </row>
    <row r="657" ht="14.25" customHeight="1" s="37">
      <c r="A657" s="9" t="n"/>
      <c r="B657" s="9" t="n"/>
      <c r="C657" s="9" t="n"/>
      <c r="D657" s="9" t="n"/>
      <c r="E657" s="9" t="n"/>
      <c r="F657" s="9" t="n"/>
      <c r="G657" s="9">
        <f>IF(OR(E657="",F657=""),"",DATEDIF(E657,F657,"Y"))</f>
        <v/>
      </c>
      <c r="H657" s="9" t="n"/>
    </row>
    <row r="658" ht="14.25" customHeight="1" s="37">
      <c r="A658" s="9" t="n"/>
      <c r="B658" s="9" t="n"/>
      <c r="C658" s="9" t="n"/>
      <c r="D658" s="9" t="n"/>
      <c r="E658" s="9" t="n"/>
      <c r="F658" s="9" t="n"/>
      <c r="G658" s="9">
        <f>IF(OR(E658="",F658=""),"",DATEDIF(E658,F658,"Y"))</f>
        <v/>
      </c>
      <c r="H658" s="9" t="n"/>
    </row>
    <row r="659" ht="14.25" customHeight="1" s="37">
      <c r="A659" s="9" t="n"/>
      <c r="B659" s="9" t="n"/>
      <c r="C659" s="9" t="n"/>
      <c r="D659" s="9" t="n"/>
      <c r="E659" s="9" t="n"/>
      <c r="F659" s="9" t="n"/>
      <c r="G659" s="9">
        <f>IF(OR(E659="",F659=""),"",DATEDIF(E659,F659,"Y"))</f>
        <v/>
      </c>
      <c r="H659" s="9" t="n"/>
    </row>
    <row r="660" ht="14.25" customHeight="1" s="37">
      <c r="A660" s="9" t="n"/>
      <c r="B660" s="9" t="n"/>
      <c r="C660" s="9" t="n"/>
      <c r="D660" s="9" t="n"/>
      <c r="E660" s="9" t="n"/>
      <c r="F660" s="9" t="n"/>
      <c r="G660" s="9">
        <f>IF(OR(E660="",F660=""),"",DATEDIF(E660,F660,"Y"))</f>
        <v/>
      </c>
      <c r="H660" s="9" t="n"/>
    </row>
    <row r="661" ht="14.25" customHeight="1" s="37">
      <c r="A661" s="9" t="n"/>
      <c r="B661" s="9" t="n"/>
      <c r="C661" s="9" t="n"/>
      <c r="D661" s="9" t="n"/>
      <c r="E661" s="9" t="n"/>
      <c r="F661" s="9" t="n"/>
      <c r="G661" s="9">
        <f>IF(OR(E661="",F661=""),"",DATEDIF(E661,F661,"Y"))</f>
        <v/>
      </c>
      <c r="H661" s="9" t="n"/>
    </row>
    <row r="662" ht="14.25" customHeight="1" s="37">
      <c r="A662" s="9" t="n"/>
      <c r="B662" s="9" t="n"/>
      <c r="C662" s="9" t="n"/>
      <c r="D662" s="9" t="n"/>
      <c r="E662" s="9" t="n"/>
      <c r="F662" s="9" t="n"/>
      <c r="G662" s="9">
        <f>IF(OR(E662="",F662=""),"",DATEDIF(E662,F662,"Y"))</f>
        <v/>
      </c>
      <c r="H662" s="9" t="n"/>
    </row>
    <row r="663" ht="14.25" customHeight="1" s="37">
      <c r="A663" s="9" t="n"/>
      <c r="B663" s="9" t="n"/>
      <c r="C663" s="9" t="n"/>
      <c r="D663" s="9" t="n"/>
      <c r="E663" s="9" t="n"/>
      <c r="F663" s="9" t="n"/>
      <c r="G663" s="9">
        <f>IF(OR(E663="",F663=""),"",DATEDIF(E663,F663,"Y"))</f>
        <v/>
      </c>
      <c r="H663" s="9" t="n"/>
    </row>
    <row r="664" ht="14.25" customHeight="1" s="37">
      <c r="A664" s="9" t="n"/>
      <c r="B664" s="9" t="n"/>
      <c r="C664" s="9" t="n"/>
      <c r="D664" s="9" t="n"/>
      <c r="E664" s="9" t="n"/>
      <c r="F664" s="9" t="n"/>
      <c r="G664" s="9">
        <f>IF(OR(E664="",F664=""),"",DATEDIF(E664,F664,"Y"))</f>
        <v/>
      </c>
      <c r="H664" s="9" t="n"/>
    </row>
    <row r="665" ht="14.25" customHeight="1" s="37">
      <c r="A665" s="9" t="n"/>
      <c r="B665" s="9" t="n"/>
      <c r="C665" s="9" t="n"/>
      <c r="D665" s="9" t="n"/>
      <c r="E665" s="9" t="n"/>
      <c r="F665" s="9" t="n"/>
      <c r="G665" s="9">
        <f>IF(OR(E665="",F665=""),"",DATEDIF(E665,F665,"Y"))</f>
        <v/>
      </c>
      <c r="H665" s="9" t="n"/>
    </row>
    <row r="666" ht="14.25" customHeight="1" s="37">
      <c r="A666" s="9" t="n"/>
      <c r="B666" s="9" t="n"/>
      <c r="C666" s="9" t="n"/>
      <c r="D666" s="9" t="n"/>
      <c r="E666" s="9" t="n"/>
      <c r="F666" s="9" t="n"/>
      <c r="G666" s="9">
        <f>IF(OR(E666="",F666=""),"",DATEDIF(E666,F666,"Y"))</f>
        <v/>
      </c>
      <c r="H666" s="9" t="n"/>
    </row>
    <row r="667" ht="14.25" customHeight="1" s="37">
      <c r="A667" s="9" t="n"/>
      <c r="B667" s="9" t="n"/>
      <c r="C667" s="9" t="n"/>
      <c r="D667" s="9" t="n"/>
      <c r="E667" s="9" t="n"/>
      <c r="F667" s="9" t="n"/>
      <c r="G667" s="9">
        <f>IF(OR(E667="",F667=""),"",DATEDIF(E667,F667,"Y"))</f>
        <v/>
      </c>
      <c r="H667" s="9" t="n"/>
    </row>
    <row r="668" ht="14.25" customHeight="1" s="37">
      <c r="A668" s="9" t="n"/>
      <c r="B668" s="9" t="n"/>
      <c r="C668" s="9" t="n"/>
      <c r="D668" s="9" t="n"/>
      <c r="E668" s="9" t="n"/>
      <c r="F668" s="9" t="n"/>
      <c r="G668" s="9">
        <f>IF(OR(E668="",F668=""),"",DATEDIF(E668,F668,"Y"))</f>
        <v/>
      </c>
      <c r="H668" s="9" t="n"/>
    </row>
    <row r="669" ht="14.25" customHeight="1" s="37">
      <c r="A669" s="9" t="n"/>
      <c r="B669" s="9" t="n"/>
      <c r="C669" s="9" t="n"/>
      <c r="D669" s="9" t="n"/>
      <c r="E669" s="9" t="n"/>
      <c r="F669" s="9" t="n"/>
      <c r="G669" s="9">
        <f>IF(OR(E669="",F669=""),"",DATEDIF(E669,F669,"Y"))</f>
        <v/>
      </c>
      <c r="H669" s="9" t="n"/>
    </row>
    <row r="670" ht="14.25" customHeight="1" s="37">
      <c r="A670" s="9" t="n"/>
      <c r="B670" s="9" t="n"/>
      <c r="C670" s="9" t="n"/>
      <c r="D670" s="9" t="n"/>
      <c r="E670" s="9" t="n"/>
      <c r="F670" s="9" t="n"/>
      <c r="G670" s="9">
        <f>IF(OR(E670="",F670=""),"",DATEDIF(E670,F670,"Y"))</f>
        <v/>
      </c>
      <c r="H670" s="9" t="n"/>
    </row>
    <row r="671" ht="14.25" customHeight="1" s="37">
      <c r="A671" s="9" t="n"/>
      <c r="B671" s="9" t="n"/>
      <c r="C671" s="9" t="n"/>
      <c r="D671" s="9" t="n"/>
      <c r="E671" s="9" t="n"/>
      <c r="F671" s="9" t="n"/>
      <c r="G671" s="9">
        <f>IF(OR(E671="",F671=""),"",DATEDIF(E671,F671,"Y"))</f>
        <v/>
      </c>
      <c r="H671" s="9" t="n"/>
    </row>
    <row r="672" ht="14.25" customHeight="1" s="37">
      <c r="A672" s="9" t="n"/>
      <c r="B672" s="9" t="n"/>
      <c r="C672" s="9" t="n"/>
      <c r="D672" s="9" t="n"/>
      <c r="E672" s="9" t="n"/>
      <c r="F672" s="9" t="n"/>
      <c r="G672" s="9">
        <f>IF(OR(E672="",F672=""),"",DATEDIF(E672,F672,"Y"))</f>
        <v/>
      </c>
      <c r="H672" s="9" t="n"/>
    </row>
    <row r="673" ht="14.25" customHeight="1" s="37">
      <c r="A673" s="9" t="n"/>
      <c r="B673" s="9" t="n"/>
      <c r="C673" s="9" t="n"/>
      <c r="D673" s="9" t="n"/>
      <c r="E673" s="9" t="n"/>
      <c r="F673" s="9" t="n"/>
      <c r="G673" s="9">
        <f>IF(OR(E673="",F673=""),"",DATEDIF(E673,F673,"Y"))</f>
        <v/>
      </c>
      <c r="H673" s="9" t="n"/>
    </row>
    <row r="674" ht="14.25" customHeight="1" s="37">
      <c r="A674" s="9" t="n"/>
      <c r="B674" s="9" t="n"/>
      <c r="C674" s="9" t="n"/>
      <c r="D674" s="9" t="n"/>
      <c r="E674" s="9" t="n"/>
      <c r="F674" s="9" t="n"/>
      <c r="G674" s="9">
        <f>IF(OR(E674="",F674=""),"",DATEDIF(E674,F674,"Y"))</f>
        <v/>
      </c>
      <c r="H674" s="9" t="n"/>
    </row>
    <row r="675" ht="14.25" customHeight="1" s="37">
      <c r="A675" s="9" t="n"/>
      <c r="B675" s="9" t="n"/>
      <c r="C675" s="9" t="n"/>
      <c r="D675" s="9" t="n"/>
      <c r="E675" s="9" t="n"/>
      <c r="F675" s="9" t="n"/>
      <c r="G675" s="9">
        <f>IF(OR(E675="",F675=""),"",DATEDIF(E675,F675,"Y"))</f>
        <v/>
      </c>
      <c r="H675" s="9" t="n"/>
    </row>
    <row r="676" ht="14.25" customHeight="1" s="37">
      <c r="A676" s="9" t="n"/>
      <c r="B676" s="9" t="n"/>
      <c r="C676" s="9" t="n"/>
      <c r="D676" s="9" t="n"/>
      <c r="E676" s="9" t="n"/>
      <c r="F676" s="9" t="n"/>
      <c r="G676" s="9">
        <f>IF(OR(E676="",F676=""),"",DATEDIF(E676,F676,"Y"))</f>
        <v/>
      </c>
      <c r="H676" s="9" t="n"/>
    </row>
    <row r="677" ht="14.25" customHeight="1" s="37">
      <c r="A677" s="9" t="n"/>
      <c r="B677" s="9" t="n"/>
      <c r="C677" s="9" t="n"/>
      <c r="D677" s="9" t="n"/>
      <c r="E677" s="9" t="n"/>
      <c r="F677" s="9" t="n"/>
      <c r="G677" s="9">
        <f>IF(OR(E677="",F677=""),"",DATEDIF(E677,F677,"Y"))</f>
        <v/>
      </c>
      <c r="H677" s="9" t="n"/>
    </row>
    <row r="678" ht="14.25" customHeight="1" s="37">
      <c r="A678" s="9" t="n"/>
      <c r="B678" s="9" t="n"/>
      <c r="C678" s="9" t="n"/>
      <c r="D678" s="9" t="n"/>
      <c r="E678" s="9" t="n"/>
      <c r="F678" s="9" t="n"/>
      <c r="G678" s="9">
        <f>IF(OR(E678="",F678=""),"",DATEDIF(E678,F678,"Y"))</f>
        <v/>
      </c>
      <c r="H678" s="9" t="n"/>
    </row>
    <row r="679" ht="14.25" customHeight="1" s="37">
      <c r="A679" s="9" t="n"/>
      <c r="B679" s="9" t="n"/>
      <c r="C679" s="9" t="n"/>
      <c r="D679" s="9" t="n"/>
      <c r="E679" s="9" t="n"/>
      <c r="F679" s="9" t="n"/>
      <c r="G679" s="9">
        <f>IF(OR(E679="",F679=""),"",DATEDIF(E679,F679,"Y"))</f>
        <v/>
      </c>
      <c r="H679" s="9" t="n"/>
    </row>
    <row r="680" ht="14.25" customHeight="1" s="37">
      <c r="A680" s="9" t="n"/>
      <c r="B680" s="9" t="n"/>
      <c r="C680" s="9" t="n"/>
      <c r="D680" s="9" t="n"/>
      <c r="E680" s="9" t="n"/>
      <c r="F680" s="9" t="n"/>
      <c r="G680" s="9">
        <f>IF(OR(E680="",F680=""),"",DATEDIF(E680,F680,"Y"))</f>
        <v/>
      </c>
      <c r="H680" s="9" t="n"/>
    </row>
    <row r="681" ht="14.25" customHeight="1" s="37">
      <c r="A681" s="9" t="n"/>
      <c r="B681" s="9" t="n"/>
      <c r="C681" s="9" t="n"/>
      <c r="D681" s="9" t="n"/>
      <c r="E681" s="9" t="n"/>
      <c r="F681" s="9" t="n"/>
      <c r="G681" s="9">
        <f>IF(OR(E681="",F681=""),"",DATEDIF(E681,F681,"Y"))</f>
        <v/>
      </c>
      <c r="H681" s="9" t="n"/>
    </row>
    <row r="682" ht="14.25" customHeight="1" s="37">
      <c r="A682" s="9" t="n"/>
      <c r="B682" s="9" t="n"/>
      <c r="C682" s="9" t="n"/>
      <c r="D682" s="9" t="n"/>
      <c r="E682" s="9" t="n"/>
      <c r="F682" s="9" t="n"/>
      <c r="G682" s="9">
        <f>IF(OR(E682="",F682=""),"",DATEDIF(E682,F682,"Y"))</f>
        <v/>
      </c>
      <c r="H682" s="9" t="n"/>
    </row>
    <row r="683" ht="14.25" customHeight="1" s="37">
      <c r="A683" s="9" t="n"/>
      <c r="B683" s="9" t="n"/>
      <c r="C683" s="9" t="n"/>
      <c r="D683" s="9" t="n"/>
      <c r="E683" s="9" t="n"/>
      <c r="F683" s="9" t="n"/>
      <c r="G683" s="9">
        <f>IF(OR(E683="",F683=""),"",DATEDIF(E683,F683,"Y"))</f>
        <v/>
      </c>
      <c r="H683" s="9" t="n"/>
    </row>
    <row r="684" ht="14.25" customHeight="1" s="37">
      <c r="A684" s="9" t="n"/>
      <c r="B684" s="9" t="n"/>
      <c r="C684" s="9" t="n"/>
      <c r="D684" s="9" t="n"/>
      <c r="E684" s="9" t="n"/>
      <c r="F684" s="9" t="n"/>
      <c r="G684" s="9">
        <f>IF(OR(E684="",F684=""),"",DATEDIF(E684,F684,"Y"))</f>
        <v/>
      </c>
      <c r="H684" s="9" t="n"/>
    </row>
    <row r="685" ht="14.25" customHeight="1" s="37">
      <c r="A685" s="9" t="n"/>
      <c r="B685" s="9" t="n"/>
      <c r="C685" s="9" t="n"/>
      <c r="D685" s="9" t="n"/>
      <c r="E685" s="9" t="n"/>
      <c r="F685" s="9" t="n"/>
      <c r="G685" s="9">
        <f>IF(OR(E685="",F685=""),"",DATEDIF(E685,F685,"Y"))</f>
        <v/>
      </c>
      <c r="H685" s="9" t="n"/>
    </row>
    <row r="686" ht="14.25" customHeight="1" s="37">
      <c r="A686" s="9" t="n"/>
      <c r="B686" s="9" t="n"/>
      <c r="C686" s="9" t="n"/>
      <c r="D686" s="9" t="n"/>
      <c r="E686" s="9" t="n"/>
      <c r="F686" s="9" t="n"/>
      <c r="G686" s="9">
        <f>IF(OR(E686="",F686=""),"",DATEDIF(E686,F686,"Y"))</f>
        <v/>
      </c>
      <c r="H686" s="9" t="n"/>
    </row>
    <row r="687" ht="14.25" customHeight="1" s="37">
      <c r="A687" s="9" t="n"/>
      <c r="B687" s="9" t="n"/>
      <c r="C687" s="9" t="n"/>
      <c r="D687" s="9" t="n"/>
      <c r="E687" s="9" t="n"/>
      <c r="F687" s="9" t="n"/>
      <c r="G687" s="9">
        <f>IF(OR(E687="",F687=""),"",DATEDIF(E687,F687,"Y"))</f>
        <v/>
      </c>
      <c r="H687" s="9" t="n"/>
    </row>
    <row r="688" ht="14.25" customHeight="1" s="37">
      <c r="A688" s="9" t="n"/>
      <c r="B688" s="9" t="n"/>
      <c r="C688" s="9" t="n"/>
      <c r="D688" s="9" t="n"/>
      <c r="E688" s="9" t="n"/>
      <c r="F688" s="9" t="n"/>
      <c r="G688" s="9">
        <f>IF(OR(E688="",F688=""),"",DATEDIF(E688,F688,"Y"))</f>
        <v/>
      </c>
      <c r="H688" s="9" t="n"/>
    </row>
    <row r="689" ht="14.25" customHeight="1" s="37">
      <c r="A689" s="9" t="n"/>
      <c r="B689" s="9" t="n"/>
      <c r="C689" s="9" t="n"/>
      <c r="D689" s="9" t="n"/>
      <c r="E689" s="9" t="n"/>
      <c r="F689" s="9" t="n"/>
      <c r="G689" s="9">
        <f>IF(OR(E689="",F689=""),"",DATEDIF(E689,F689,"Y"))</f>
        <v/>
      </c>
      <c r="H689" s="9" t="n"/>
    </row>
    <row r="690" ht="14.25" customHeight="1" s="37">
      <c r="A690" s="9" t="n"/>
      <c r="B690" s="9" t="n"/>
      <c r="C690" s="9" t="n"/>
      <c r="D690" s="9" t="n"/>
      <c r="E690" s="9" t="n"/>
      <c r="F690" s="9" t="n"/>
      <c r="G690" s="9">
        <f>IF(OR(E690="",F690=""),"",DATEDIF(E690,F690,"Y"))</f>
        <v/>
      </c>
      <c r="H690" s="9" t="n"/>
    </row>
    <row r="691" ht="14.25" customHeight="1" s="37">
      <c r="A691" s="9" t="n"/>
      <c r="B691" s="9" t="n"/>
      <c r="C691" s="9" t="n"/>
      <c r="D691" s="9" t="n"/>
      <c r="E691" s="9" t="n"/>
      <c r="F691" s="9" t="n"/>
      <c r="G691" s="9">
        <f>IF(OR(E691="",F691=""),"",DATEDIF(E691,F691,"Y"))</f>
        <v/>
      </c>
      <c r="H691" s="9" t="n"/>
    </row>
    <row r="692" ht="14.25" customHeight="1" s="37">
      <c r="A692" s="9" t="n"/>
      <c r="B692" s="9" t="n"/>
      <c r="C692" s="9" t="n"/>
      <c r="D692" s="9" t="n"/>
      <c r="E692" s="9" t="n"/>
      <c r="F692" s="9" t="n"/>
      <c r="G692" s="9">
        <f>IF(OR(E692="",F692=""),"",DATEDIF(E692,F692,"Y"))</f>
        <v/>
      </c>
      <c r="H692" s="9" t="n"/>
    </row>
    <row r="693" ht="14.25" customHeight="1" s="37">
      <c r="A693" s="9" t="n"/>
      <c r="B693" s="9" t="n"/>
      <c r="C693" s="9" t="n"/>
      <c r="D693" s="9" t="n"/>
      <c r="E693" s="9" t="n"/>
      <c r="F693" s="9" t="n"/>
      <c r="G693" s="9">
        <f>IF(OR(E693="",F693=""),"",DATEDIF(E693,F693,"Y"))</f>
        <v/>
      </c>
      <c r="H693" s="9" t="n"/>
    </row>
    <row r="694" ht="14.25" customHeight="1" s="37">
      <c r="A694" s="9" t="n"/>
      <c r="B694" s="9" t="n"/>
      <c r="C694" s="9" t="n"/>
      <c r="D694" s="9" t="n"/>
      <c r="E694" s="9" t="n"/>
      <c r="F694" s="9" t="n"/>
      <c r="G694" s="9">
        <f>IF(OR(E694="",F694=""),"",DATEDIF(E694,F694,"Y"))</f>
        <v/>
      </c>
      <c r="H694" s="9" t="n"/>
    </row>
    <row r="695" ht="14.25" customHeight="1" s="37">
      <c r="A695" s="9" t="n"/>
      <c r="B695" s="9" t="n"/>
      <c r="C695" s="9" t="n"/>
      <c r="D695" s="9" t="n"/>
      <c r="E695" s="9" t="n"/>
      <c r="F695" s="9" t="n"/>
      <c r="G695" s="9">
        <f>IF(OR(E695="",F695=""),"",DATEDIF(E695,F695,"Y"))</f>
        <v/>
      </c>
      <c r="H695" s="9" t="n"/>
    </row>
    <row r="696" ht="14.25" customHeight="1" s="37">
      <c r="A696" s="9" t="n"/>
      <c r="B696" s="9" t="n"/>
      <c r="C696" s="9" t="n"/>
      <c r="D696" s="9" t="n"/>
      <c r="E696" s="9" t="n"/>
      <c r="F696" s="9" t="n"/>
      <c r="G696" s="9">
        <f>IF(OR(E696="",F696=""),"",DATEDIF(E696,F696,"Y"))</f>
        <v/>
      </c>
      <c r="H696" s="9" t="n"/>
    </row>
    <row r="697" ht="14.25" customHeight="1" s="37">
      <c r="A697" s="9" t="n"/>
      <c r="B697" s="9" t="n"/>
      <c r="C697" s="9" t="n"/>
      <c r="D697" s="9" t="n"/>
      <c r="E697" s="9" t="n"/>
      <c r="F697" s="9" t="n"/>
      <c r="G697" s="9">
        <f>IF(OR(E697="",F697=""),"",DATEDIF(E697,F697,"Y"))</f>
        <v/>
      </c>
      <c r="H697" s="9" t="n"/>
    </row>
    <row r="698" ht="14.25" customHeight="1" s="37">
      <c r="A698" s="9" t="n"/>
      <c r="B698" s="9" t="n"/>
      <c r="C698" s="9" t="n"/>
      <c r="D698" s="9" t="n"/>
      <c r="E698" s="9" t="n"/>
      <c r="F698" s="9" t="n"/>
      <c r="G698" s="9">
        <f>IF(OR(E698="",F698=""),"",DATEDIF(E698,F698,"Y"))</f>
        <v/>
      </c>
      <c r="H698" s="9" t="n"/>
    </row>
    <row r="699" ht="14.25" customHeight="1" s="37">
      <c r="A699" s="9" t="n"/>
      <c r="B699" s="9" t="n"/>
      <c r="C699" s="9" t="n"/>
      <c r="D699" s="9" t="n"/>
      <c r="E699" s="9" t="n"/>
      <c r="F699" s="9" t="n"/>
      <c r="G699" s="9">
        <f>IF(OR(E699="",F699=""),"",DATEDIF(E699,F699,"Y"))</f>
        <v/>
      </c>
      <c r="H699" s="9" t="n"/>
    </row>
    <row r="700" ht="14.25" customHeight="1" s="37">
      <c r="A700" s="9" t="n"/>
      <c r="B700" s="9" t="n"/>
      <c r="C700" s="9" t="n"/>
      <c r="D700" s="9" t="n"/>
      <c r="E700" s="9" t="n"/>
      <c r="F700" s="9" t="n"/>
      <c r="G700" s="9">
        <f>IF(OR(E700="",F700=""),"",DATEDIF(E700,F700,"Y"))</f>
        <v/>
      </c>
      <c r="H700" s="9" t="n"/>
    </row>
    <row r="701" ht="14.25" customHeight="1" s="37">
      <c r="A701" s="9" t="n"/>
      <c r="B701" s="9" t="n"/>
      <c r="C701" s="9" t="n"/>
      <c r="D701" s="9" t="n"/>
      <c r="E701" s="9" t="n"/>
      <c r="F701" s="9" t="n"/>
      <c r="G701" s="9">
        <f>IF(OR(E701="",F701=""),"",DATEDIF(E701,F701,"Y"))</f>
        <v/>
      </c>
      <c r="H701" s="9" t="n"/>
    </row>
    <row r="702" ht="14.25" customHeight="1" s="37">
      <c r="A702" s="9" t="n"/>
      <c r="B702" s="9" t="n"/>
      <c r="C702" s="9" t="n"/>
      <c r="D702" s="9" t="n"/>
      <c r="E702" s="9" t="n"/>
      <c r="F702" s="9" t="n"/>
      <c r="G702" s="9">
        <f>IF(OR(E702="",F702=""),"",DATEDIF(E702,F702,"Y"))</f>
        <v/>
      </c>
      <c r="H702" s="9" t="n"/>
    </row>
    <row r="703" ht="14.25" customHeight="1" s="37">
      <c r="A703" s="9" t="n"/>
      <c r="B703" s="9" t="n"/>
      <c r="C703" s="9" t="n"/>
      <c r="D703" s="9" t="n"/>
      <c r="E703" s="9" t="n"/>
      <c r="F703" s="9" t="n"/>
      <c r="G703" s="9">
        <f>IF(OR(E703="",F703=""),"",DATEDIF(E703,F703,"Y"))</f>
        <v/>
      </c>
      <c r="H703" s="9" t="n"/>
    </row>
    <row r="704" ht="14.25" customHeight="1" s="37">
      <c r="A704" s="9" t="n"/>
      <c r="B704" s="9" t="n"/>
      <c r="C704" s="9" t="n"/>
      <c r="D704" s="9" t="n"/>
      <c r="E704" s="9" t="n"/>
      <c r="F704" s="9" t="n"/>
      <c r="G704" s="9">
        <f>IF(OR(E704="",F704=""),"",DATEDIF(E704,F704,"Y"))</f>
        <v/>
      </c>
      <c r="H704" s="9" t="n"/>
    </row>
    <row r="705" ht="14.25" customHeight="1" s="37">
      <c r="A705" s="9" t="n"/>
      <c r="B705" s="9" t="n"/>
      <c r="C705" s="9" t="n"/>
      <c r="D705" s="9" t="n"/>
      <c r="E705" s="9" t="n"/>
      <c r="F705" s="9" t="n"/>
      <c r="G705" s="9">
        <f>IF(OR(E705="",F705=""),"",DATEDIF(E705,F705,"Y"))</f>
        <v/>
      </c>
      <c r="H705" s="9" t="n"/>
    </row>
    <row r="706" ht="14.25" customHeight="1" s="37">
      <c r="A706" s="9" t="n"/>
      <c r="B706" s="9" t="n"/>
      <c r="C706" s="9" t="n"/>
      <c r="D706" s="9" t="n"/>
      <c r="E706" s="9" t="n"/>
      <c r="F706" s="9" t="n"/>
      <c r="G706" s="9">
        <f>IF(OR(E706="",F706=""),"",DATEDIF(E706,F706,"Y"))</f>
        <v/>
      </c>
      <c r="H706" s="9" t="n"/>
    </row>
    <row r="707" ht="14.25" customHeight="1" s="37">
      <c r="A707" s="9" t="n"/>
      <c r="B707" s="9" t="n"/>
      <c r="C707" s="9" t="n"/>
      <c r="D707" s="9" t="n"/>
      <c r="E707" s="9" t="n"/>
      <c r="F707" s="9" t="n"/>
      <c r="G707" s="9">
        <f>IF(OR(E707="",F707=""),"",DATEDIF(E707,F707,"Y"))</f>
        <v/>
      </c>
      <c r="H707" s="9" t="n"/>
    </row>
    <row r="708" ht="14.25" customHeight="1" s="37">
      <c r="A708" s="9" t="n"/>
      <c r="B708" s="9" t="n"/>
      <c r="C708" s="9" t="n"/>
      <c r="D708" s="9" t="n"/>
      <c r="E708" s="9" t="n"/>
      <c r="F708" s="9" t="n"/>
      <c r="G708" s="9">
        <f>IF(OR(E708="",F708=""),"",DATEDIF(E708,F708,"Y"))</f>
        <v/>
      </c>
      <c r="H708" s="9" t="n"/>
    </row>
    <row r="709" ht="14.25" customHeight="1" s="37">
      <c r="A709" s="9" t="n"/>
      <c r="B709" s="9" t="n"/>
      <c r="C709" s="9" t="n"/>
      <c r="D709" s="9" t="n"/>
      <c r="E709" s="9" t="n"/>
      <c r="F709" s="9" t="n"/>
      <c r="G709" s="9">
        <f>IF(OR(E709="",F709=""),"",DATEDIF(E709,F709,"Y"))</f>
        <v/>
      </c>
      <c r="H709" s="9" t="n"/>
    </row>
    <row r="710" ht="14.25" customHeight="1" s="37">
      <c r="A710" s="9" t="n"/>
      <c r="B710" s="9" t="n"/>
      <c r="C710" s="9" t="n"/>
      <c r="D710" s="9" t="n"/>
      <c r="E710" s="9" t="n"/>
      <c r="F710" s="9" t="n"/>
      <c r="G710" s="9">
        <f>IF(OR(E710="",F710=""),"",DATEDIF(E710,F710,"Y"))</f>
        <v/>
      </c>
      <c r="H710" s="9" t="n"/>
    </row>
    <row r="711" ht="14.25" customHeight="1" s="37">
      <c r="A711" s="9" t="n"/>
      <c r="B711" s="9" t="n"/>
      <c r="C711" s="9" t="n"/>
      <c r="D711" s="9" t="n"/>
      <c r="E711" s="9" t="n"/>
      <c r="F711" s="9" t="n"/>
      <c r="G711" s="9">
        <f>IF(OR(E711="",F711=""),"",DATEDIF(E711,F711,"Y"))</f>
        <v/>
      </c>
      <c r="H711" s="9" t="n"/>
    </row>
    <row r="712" ht="14.25" customHeight="1" s="37">
      <c r="A712" s="9" t="n"/>
      <c r="B712" s="9" t="n"/>
      <c r="C712" s="9" t="n"/>
      <c r="D712" s="9" t="n"/>
      <c r="E712" s="9" t="n"/>
      <c r="F712" s="9" t="n"/>
      <c r="G712" s="9">
        <f>IF(OR(E712="",F712=""),"",DATEDIF(E712,F712,"Y"))</f>
        <v/>
      </c>
      <c r="H712" s="9" t="n"/>
    </row>
    <row r="713" ht="14.25" customHeight="1" s="37">
      <c r="A713" s="9" t="n"/>
      <c r="B713" s="9" t="n"/>
      <c r="C713" s="9" t="n"/>
      <c r="D713" s="9" t="n"/>
      <c r="E713" s="9" t="n"/>
      <c r="F713" s="9" t="n"/>
      <c r="G713" s="9">
        <f>IF(OR(E713="",F713=""),"",DATEDIF(E713,F713,"Y"))</f>
        <v/>
      </c>
      <c r="H713" s="9" t="n"/>
    </row>
    <row r="714" ht="14.25" customHeight="1" s="37">
      <c r="A714" s="9" t="n"/>
      <c r="B714" s="9" t="n"/>
      <c r="C714" s="9" t="n"/>
      <c r="D714" s="9" t="n"/>
      <c r="E714" s="9" t="n"/>
      <c r="F714" s="9" t="n"/>
      <c r="G714" s="9">
        <f>IF(OR(E714="",F714=""),"",DATEDIF(E714,F714,"Y"))</f>
        <v/>
      </c>
      <c r="H714" s="9" t="n"/>
    </row>
    <row r="715" ht="14.25" customHeight="1" s="37">
      <c r="A715" s="9" t="n"/>
      <c r="B715" s="9" t="n"/>
      <c r="C715" s="9" t="n"/>
      <c r="D715" s="9" t="n"/>
      <c r="E715" s="9" t="n"/>
      <c r="F715" s="9" t="n"/>
      <c r="G715" s="9">
        <f>IF(OR(E715="",F715=""),"",DATEDIF(E715,F715,"Y"))</f>
        <v/>
      </c>
      <c r="H715" s="9" t="n"/>
    </row>
    <row r="716" ht="14.25" customHeight="1" s="37">
      <c r="A716" s="9" t="n"/>
      <c r="B716" s="9" t="n"/>
      <c r="C716" s="9" t="n"/>
      <c r="D716" s="9" t="n"/>
      <c r="E716" s="9" t="n"/>
      <c r="F716" s="9" t="n"/>
      <c r="G716" s="9">
        <f>IF(OR(E716="",F716=""),"",DATEDIF(E716,F716,"Y"))</f>
        <v/>
      </c>
      <c r="H716" s="9" t="n"/>
    </row>
    <row r="717" ht="14.25" customHeight="1" s="37">
      <c r="A717" s="9" t="n"/>
      <c r="B717" s="9" t="n"/>
      <c r="C717" s="9" t="n"/>
      <c r="D717" s="9" t="n"/>
      <c r="E717" s="9" t="n"/>
      <c r="F717" s="9" t="n"/>
      <c r="G717" s="9">
        <f>IF(OR(E717="",F717=""),"",DATEDIF(E717,F717,"Y"))</f>
        <v/>
      </c>
      <c r="H717" s="9" t="n"/>
    </row>
    <row r="718" ht="14.25" customHeight="1" s="37">
      <c r="A718" s="9" t="n"/>
      <c r="B718" s="9" t="n"/>
      <c r="C718" s="9" t="n"/>
      <c r="D718" s="9" t="n"/>
      <c r="E718" s="9" t="n"/>
      <c r="F718" s="9" t="n"/>
      <c r="G718" s="9">
        <f>IF(OR(E718="",F718=""),"",DATEDIF(E718,F718,"Y"))</f>
        <v/>
      </c>
      <c r="H718" s="9" t="n"/>
    </row>
    <row r="719" ht="14.25" customHeight="1" s="37">
      <c r="A719" s="9" t="n"/>
      <c r="B719" s="9" t="n"/>
      <c r="C719" s="9" t="n"/>
      <c r="D719" s="9" t="n"/>
      <c r="E719" s="9" t="n"/>
      <c r="F719" s="9" t="n"/>
      <c r="G719" s="9">
        <f>IF(OR(E719="",F719=""),"",DATEDIF(E719,F719,"Y"))</f>
        <v/>
      </c>
      <c r="H719" s="9" t="n"/>
    </row>
    <row r="720" ht="14.25" customHeight="1" s="37">
      <c r="A720" s="9" t="n"/>
      <c r="B720" s="9" t="n"/>
      <c r="C720" s="9" t="n"/>
      <c r="D720" s="9" t="n"/>
      <c r="E720" s="9" t="n"/>
      <c r="F720" s="9" t="n"/>
      <c r="G720" s="9">
        <f>IF(OR(E720="",F720=""),"",DATEDIF(E720,F720,"Y"))</f>
        <v/>
      </c>
      <c r="H720" s="9" t="n"/>
    </row>
    <row r="721" ht="14.25" customHeight="1" s="37">
      <c r="A721" s="9" t="n"/>
      <c r="B721" s="9" t="n"/>
      <c r="C721" s="9" t="n"/>
      <c r="D721" s="9" t="n"/>
      <c r="E721" s="9" t="n"/>
      <c r="F721" s="9" t="n"/>
      <c r="G721" s="9">
        <f>IF(OR(E721="",F721=""),"",DATEDIF(E721,F721,"Y"))</f>
        <v/>
      </c>
      <c r="H721" s="9" t="n"/>
    </row>
    <row r="722" ht="14.25" customHeight="1" s="37">
      <c r="A722" s="9" t="n"/>
      <c r="B722" s="9" t="n"/>
      <c r="C722" s="9" t="n"/>
      <c r="D722" s="9" t="n"/>
      <c r="E722" s="9" t="n"/>
      <c r="F722" s="9" t="n"/>
      <c r="G722" s="9">
        <f>IF(OR(E722="",F722=""),"",DATEDIF(E722,F722,"Y"))</f>
        <v/>
      </c>
      <c r="H722" s="9" t="n"/>
    </row>
    <row r="723" ht="14.25" customHeight="1" s="37">
      <c r="A723" s="9" t="n"/>
      <c r="B723" s="9" t="n"/>
      <c r="C723" s="9" t="n"/>
      <c r="D723" s="9" t="n"/>
      <c r="E723" s="9" t="n"/>
      <c r="F723" s="9" t="n"/>
      <c r="G723" s="9">
        <f>IF(OR(E723="",F723=""),"",DATEDIF(E723,F723,"Y"))</f>
        <v/>
      </c>
      <c r="H723" s="9" t="n"/>
    </row>
    <row r="724" ht="14.25" customHeight="1" s="37">
      <c r="A724" s="9" t="n"/>
      <c r="B724" s="9" t="n"/>
      <c r="C724" s="9" t="n"/>
      <c r="D724" s="9" t="n"/>
      <c r="E724" s="9" t="n"/>
      <c r="F724" s="9" t="n"/>
      <c r="G724" s="9">
        <f>IF(OR(E724="",F724=""),"",DATEDIF(E724,F724,"Y"))</f>
        <v/>
      </c>
      <c r="H724" s="9" t="n"/>
    </row>
    <row r="725" ht="14.25" customHeight="1" s="37">
      <c r="A725" s="9" t="n"/>
      <c r="B725" s="9" t="n"/>
      <c r="C725" s="9" t="n"/>
      <c r="D725" s="9" t="n"/>
      <c r="E725" s="9" t="n"/>
      <c r="F725" s="9" t="n"/>
      <c r="G725" s="9">
        <f>IF(OR(E725="",F725=""),"",DATEDIF(E725,F725,"Y"))</f>
        <v/>
      </c>
      <c r="H725" s="9" t="n"/>
    </row>
    <row r="726" ht="14.25" customHeight="1" s="37">
      <c r="A726" s="9" t="n"/>
      <c r="B726" s="9" t="n"/>
      <c r="C726" s="9" t="n"/>
      <c r="D726" s="9" t="n"/>
      <c r="E726" s="9" t="n"/>
      <c r="F726" s="9" t="n"/>
      <c r="G726" s="9">
        <f>IF(OR(E726="",F726=""),"",DATEDIF(E726,F726,"Y"))</f>
        <v/>
      </c>
      <c r="H726" s="9" t="n"/>
    </row>
    <row r="727" ht="14.25" customHeight="1" s="37">
      <c r="A727" s="9" t="n"/>
      <c r="B727" s="9" t="n"/>
      <c r="C727" s="9" t="n"/>
      <c r="D727" s="9" t="n"/>
      <c r="E727" s="9" t="n"/>
      <c r="F727" s="9" t="n"/>
      <c r="G727" s="9">
        <f>IF(OR(E727="",F727=""),"",DATEDIF(E727,F727,"Y"))</f>
        <v/>
      </c>
      <c r="H727" s="9" t="n"/>
    </row>
    <row r="728" ht="14.25" customHeight="1" s="37">
      <c r="A728" s="9" t="n"/>
      <c r="B728" s="9" t="n"/>
      <c r="C728" s="9" t="n"/>
      <c r="D728" s="9" t="n"/>
      <c r="E728" s="9" t="n"/>
      <c r="F728" s="9" t="n"/>
      <c r="G728" s="9">
        <f>IF(OR(E728="",F728=""),"",DATEDIF(E728,F728,"Y"))</f>
        <v/>
      </c>
      <c r="H728" s="9" t="n"/>
    </row>
    <row r="729" ht="14.25" customHeight="1" s="37">
      <c r="A729" s="9" t="n"/>
      <c r="B729" s="9" t="n"/>
      <c r="C729" s="9" t="n"/>
      <c r="D729" s="9" t="n"/>
      <c r="E729" s="9" t="n"/>
      <c r="F729" s="9" t="n"/>
      <c r="G729" s="9">
        <f>IF(OR(E729="",F729=""),"",DATEDIF(E729,F729,"Y"))</f>
        <v/>
      </c>
      <c r="H729" s="9" t="n"/>
    </row>
    <row r="730" ht="14.25" customHeight="1" s="37">
      <c r="A730" s="9" t="n"/>
      <c r="B730" s="9" t="n"/>
      <c r="C730" s="9" t="n"/>
      <c r="D730" s="9" t="n"/>
      <c r="E730" s="9" t="n"/>
      <c r="F730" s="9" t="n"/>
      <c r="G730" s="9">
        <f>IF(OR(E730="",F730=""),"",DATEDIF(E730,F730,"Y"))</f>
        <v/>
      </c>
      <c r="H730" s="9" t="n"/>
    </row>
    <row r="731" ht="14.25" customHeight="1" s="37">
      <c r="A731" s="9" t="n"/>
      <c r="B731" s="9" t="n"/>
      <c r="C731" s="9" t="n"/>
      <c r="D731" s="9" t="n"/>
      <c r="E731" s="9" t="n"/>
      <c r="F731" s="9" t="n"/>
      <c r="G731" s="9">
        <f>IF(OR(E731="",F731=""),"",DATEDIF(E731,F731,"Y"))</f>
        <v/>
      </c>
      <c r="H731" s="9" t="n"/>
    </row>
    <row r="732" ht="14.25" customHeight="1" s="37">
      <c r="A732" s="9" t="n"/>
      <c r="B732" s="9" t="n"/>
      <c r="C732" s="9" t="n"/>
      <c r="D732" s="9" t="n"/>
      <c r="E732" s="9" t="n"/>
      <c r="F732" s="9" t="n"/>
      <c r="G732" s="9">
        <f>IF(OR(E732="",F732=""),"",DATEDIF(E732,F732,"Y"))</f>
        <v/>
      </c>
      <c r="H732" s="9" t="n"/>
    </row>
    <row r="733" ht="14.25" customHeight="1" s="37">
      <c r="A733" s="9" t="n"/>
      <c r="B733" s="9" t="n"/>
      <c r="C733" s="9" t="n"/>
      <c r="D733" s="9" t="n"/>
      <c r="E733" s="9" t="n"/>
      <c r="F733" s="9" t="n"/>
      <c r="G733" s="9">
        <f>IF(OR(E733="",F733=""),"",DATEDIF(E733,F733,"Y"))</f>
        <v/>
      </c>
      <c r="H733" s="9" t="n"/>
    </row>
    <row r="734" ht="14.25" customHeight="1" s="37">
      <c r="A734" s="9" t="n"/>
      <c r="B734" s="9" t="n"/>
      <c r="C734" s="9" t="n"/>
      <c r="D734" s="9" t="n"/>
      <c r="E734" s="9" t="n"/>
      <c r="F734" s="9" t="n"/>
      <c r="G734" s="9">
        <f>IF(OR(E734="",F734=""),"",DATEDIF(E734,F734,"Y"))</f>
        <v/>
      </c>
      <c r="H734" s="9" t="n"/>
    </row>
    <row r="735" ht="14.25" customHeight="1" s="37">
      <c r="A735" s="9" t="n"/>
      <c r="B735" s="9" t="n"/>
      <c r="C735" s="9" t="n"/>
      <c r="D735" s="9" t="n"/>
      <c r="E735" s="9" t="n"/>
      <c r="F735" s="9" t="n"/>
      <c r="G735" s="9">
        <f>IF(OR(E735="",F735=""),"",DATEDIF(E735,F735,"Y"))</f>
        <v/>
      </c>
      <c r="H735" s="9" t="n"/>
    </row>
    <row r="736" ht="14.25" customHeight="1" s="37">
      <c r="A736" s="9" t="n"/>
      <c r="B736" s="9" t="n"/>
      <c r="C736" s="9" t="n"/>
      <c r="D736" s="9" t="n"/>
      <c r="E736" s="9" t="n"/>
      <c r="F736" s="9" t="n"/>
      <c r="G736" s="9">
        <f>IF(OR(E736="",F736=""),"",DATEDIF(E736,F736,"Y"))</f>
        <v/>
      </c>
      <c r="H736" s="9" t="n"/>
    </row>
    <row r="737" ht="14.25" customHeight="1" s="37">
      <c r="A737" s="9" t="n"/>
      <c r="B737" s="9" t="n"/>
      <c r="C737" s="9" t="n"/>
      <c r="D737" s="9" t="n"/>
      <c r="E737" s="9" t="n"/>
      <c r="F737" s="9" t="n"/>
      <c r="G737" s="9">
        <f>IF(OR(E737="",F737=""),"",DATEDIF(E737,F737,"Y"))</f>
        <v/>
      </c>
      <c r="H737" s="9" t="n"/>
    </row>
    <row r="738" ht="14.25" customHeight="1" s="37">
      <c r="A738" s="9" t="n"/>
      <c r="B738" s="9" t="n"/>
      <c r="C738" s="9" t="n"/>
      <c r="D738" s="9" t="n"/>
      <c r="E738" s="9" t="n"/>
      <c r="F738" s="9" t="n"/>
      <c r="G738" s="9">
        <f>IF(OR(E738="",F738=""),"",DATEDIF(E738,F738,"Y"))</f>
        <v/>
      </c>
      <c r="H738" s="9" t="n"/>
    </row>
    <row r="739" ht="14.25" customHeight="1" s="37">
      <c r="A739" s="9" t="n"/>
      <c r="B739" s="9" t="n"/>
      <c r="C739" s="9" t="n"/>
      <c r="D739" s="9" t="n"/>
      <c r="E739" s="9" t="n"/>
      <c r="F739" s="9" t="n"/>
      <c r="G739" s="9">
        <f>IF(OR(E739="",F739=""),"",DATEDIF(E739,F739,"Y"))</f>
        <v/>
      </c>
      <c r="H739" s="9" t="n"/>
    </row>
    <row r="740" ht="14.25" customHeight="1" s="37">
      <c r="A740" s="9" t="n"/>
      <c r="B740" s="9" t="n"/>
      <c r="C740" s="9" t="n"/>
      <c r="D740" s="9" t="n"/>
      <c r="E740" s="9" t="n"/>
      <c r="F740" s="9" t="n"/>
      <c r="G740" s="9">
        <f>IF(OR(E740="",F740=""),"",DATEDIF(E740,F740,"Y"))</f>
        <v/>
      </c>
      <c r="H740" s="9" t="n"/>
    </row>
    <row r="741" ht="14.25" customHeight="1" s="37">
      <c r="A741" s="9" t="n"/>
      <c r="B741" s="9" t="n"/>
      <c r="C741" s="9" t="n"/>
      <c r="D741" s="9" t="n"/>
      <c r="E741" s="9" t="n"/>
      <c r="F741" s="9" t="n"/>
      <c r="G741" s="9">
        <f>IF(OR(E741="",F741=""),"",DATEDIF(E741,F741,"Y"))</f>
        <v/>
      </c>
      <c r="H741" s="9" t="n"/>
    </row>
    <row r="742" ht="14.25" customHeight="1" s="37">
      <c r="A742" s="9" t="n"/>
      <c r="B742" s="9" t="n"/>
      <c r="C742" s="9" t="n"/>
      <c r="D742" s="9" t="n"/>
      <c r="E742" s="9" t="n"/>
      <c r="F742" s="9" t="n"/>
      <c r="G742" s="9">
        <f>IF(OR(E742="",F742=""),"",DATEDIF(E742,F742,"Y"))</f>
        <v/>
      </c>
      <c r="H742" s="9" t="n"/>
    </row>
    <row r="743" ht="14.25" customHeight="1" s="37">
      <c r="A743" s="9" t="n"/>
      <c r="B743" s="9" t="n"/>
      <c r="C743" s="9" t="n"/>
      <c r="D743" s="9" t="n"/>
      <c r="E743" s="9" t="n"/>
      <c r="F743" s="9" t="n"/>
      <c r="G743" s="9">
        <f>IF(OR(E743="",F743=""),"",DATEDIF(E743,F743,"Y"))</f>
        <v/>
      </c>
      <c r="H743" s="9" t="n"/>
    </row>
    <row r="744" ht="14.25" customHeight="1" s="37">
      <c r="A744" s="9" t="n"/>
      <c r="B744" s="9" t="n"/>
      <c r="C744" s="9" t="n"/>
      <c r="D744" s="9" t="n"/>
      <c r="E744" s="9" t="n"/>
      <c r="F744" s="9" t="n"/>
      <c r="G744" s="9">
        <f>IF(OR(E744="",F744=""),"",DATEDIF(E744,F744,"Y"))</f>
        <v/>
      </c>
      <c r="H744" s="9" t="n"/>
    </row>
    <row r="745" ht="14.25" customHeight="1" s="37">
      <c r="A745" s="9" t="n"/>
      <c r="B745" s="9" t="n"/>
      <c r="C745" s="9" t="n"/>
      <c r="D745" s="9" t="n"/>
      <c r="E745" s="9" t="n"/>
      <c r="F745" s="9" t="n"/>
      <c r="G745" s="9">
        <f>IF(OR(E745="",F745=""),"",DATEDIF(E745,F745,"Y"))</f>
        <v/>
      </c>
      <c r="H745" s="9" t="n"/>
    </row>
    <row r="746" ht="14.25" customHeight="1" s="37">
      <c r="A746" s="9" t="n"/>
      <c r="B746" s="9" t="n"/>
      <c r="C746" s="9" t="n"/>
      <c r="D746" s="9" t="n"/>
      <c r="E746" s="9" t="n"/>
      <c r="F746" s="9" t="n"/>
      <c r="G746" s="9">
        <f>IF(OR(E746="",F746=""),"",DATEDIF(E746,F746,"Y"))</f>
        <v/>
      </c>
      <c r="H746" s="9" t="n"/>
    </row>
    <row r="747" ht="14.25" customHeight="1" s="37">
      <c r="A747" s="9" t="n"/>
      <c r="B747" s="9" t="n"/>
      <c r="C747" s="9" t="n"/>
      <c r="D747" s="9" t="n"/>
      <c r="E747" s="9" t="n"/>
      <c r="F747" s="9" t="n"/>
      <c r="G747" s="9">
        <f>IF(OR(E747="",F747=""),"",DATEDIF(E747,F747,"Y"))</f>
        <v/>
      </c>
      <c r="H747" s="9" t="n"/>
    </row>
    <row r="748" ht="14.25" customHeight="1" s="37">
      <c r="A748" s="9" t="n"/>
      <c r="B748" s="9" t="n"/>
      <c r="C748" s="9" t="n"/>
      <c r="D748" s="9" t="n"/>
      <c r="E748" s="9" t="n"/>
      <c r="F748" s="9" t="n"/>
      <c r="G748" s="9">
        <f>IF(OR(E748="",F748=""),"",DATEDIF(E748,F748,"Y"))</f>
        <v/>
      </c>
      <c r="H748" s="9" t="n"/>
    </row>
    <row r="749" ht="14.25" customHeight="1" s="37">
      <c r="A749" s="9" t="n"/>
      <c r="B749" s="9" t="n"/>
      <c r="C749" s="9" t="n"/>
      <c r="D749" s="9" t="n"/>
      <c r="E749" s="9" t="n"/>
      <c r="F749" s="9" t="n"/>
      <c r="G749" s="9">
        <f>IF(OR(E749="",F749=""),"",DATEDIF(E749,F749,"Y"))</f>
        <v/>
      </c>
      <c r="H749" s="9" t="n"/>
    </row>
    <row r="750" ht="14.25" customHeight="1" s="37">
      <c r="A750" s="9" t="n"/>
      <c r="B750" s="9" t="n"/>
      <c r="C750" s="9" t="n"/>
      <c r="D750" s="9" t="n"/>
      <c r="E750" s="9" t="n"/>
      <c r="F750" s="9" t="n"/>
      <c r="G750" s="9">
        <f>IF(OR(E750="",F750=""),"",DATEDIF(E750,F750,"Y"))</f>
        <v/>
      </c>
      <c r="H750" s="9" t="n"/>
    </row>
    <row r="751" ht="14.25" customHeight="1" s="37">
      <c r="A751" s="9" t="n"/>
      <c r="B751" s="9" t="n"/>
      <c r="C751" s="9" t="n"/>
      <c r="D751" s="9" t="n"/>
      <c r="E751" s="9" t="n"/>
      <c r="F751" s="9" t="n"/>
      <c r="G751" s="9">
        <f>IF(OR(E751="",F751=""),"",DATEDIF(E751,F751,"Y"))</f>
        <v/>
      </c>
      <c r="H751" s="9" t="n"/>
    </row>
    <row r="752" ht="14.25" customHeight="1" s="37">
      <c r="A752" s="9" t="n"/>
      <c r="B752" s="9" t="n"/>
      <c r="C752" s="9" t="n"/>
      <c r="D752" s="9" t="n"/>
      <c r="E752" s="9" t="n"/>
      <c r="F752" s="9" t="n"/>
      <c r="G752" s="9">
        <f>IF(OR(E752="",F752=""),"",DATEDIF(E752,F752,"Y"))</f>
        <v/>
      </c>
      <c r="H752" s="9" t="n"/>
    </row>
    <row r="753" ht="14.25" customHeight="1" s="37">
      <c r="A753" s="9" t="n"/>
      <c r="B753" s="9" t="n"/>
      <c r="C753" s="9" t="n"/>
      <c r="D753" s="9" t="n"/>
      <c r="E753" s="9" t="n"/>
      <c r="F753" s="9" t="n"/>
      <c r="G753" s="9">
        <f>IF(OR(E753="",F753=""),"",DATEDIF(E753,F753,"Y"))</f>
        <v/>
      </c>
      <c r="H753" s="9" t="n"/>
    </row>
    <row r="754" ht="14.25" customHeight="1" s="37">
      <c r="A754" s="9" t="n"/>
      <c r="B754" s="9" t="n"/>
      <c r="C754" s="9" t="n"/>
      <c r="D754" s="9" t="n"/>
      <c r="E754" s="9" t="n"/>
      <c r="F754" s="9" t="n"/>
      <c r="G754" s="9">
        <f>IF(OR(E754="",F754=""),"",DATEDIF(E754,F754,"Y"))</f>
        <v/>
      </c>
      <c r="H754" s="9" t="n"/>
    </row>
    <row r="755" ht="14.25" customHeight="1" s="37">
      <c r="A755" s="9" t="n"/>
      <c r="B755" s="9" t="n"/>
      <c r="C755" s="9" t="n"/>
      <c r="D755" s="9" t="n"/>
      <c r="E755" s="9" t="n"/>
      <c r="F755" s="9" t="n"/>
      <c r="G755" s="9">
        <f>IF(OR(E755="",F755=""),"",DATEDIF(E755,F755,"Y"))</f>
        <v/>
      </c>
      <c r="H755" s="9" t="n"/>
    </row>
    <row r="756" ht="14.25" customHeight="1" s="37">
      <c r="A756" s="9" t="n"/>
      <c r="B756" s="9" t="n"/>
      <c r="C756" s="9" t="n"/>
      <c r="D756" s="9" t="n"/>
      <c r="E756" s="9" t="n"/>
      <c r="F756" s="9" t="n"/>
      <c r="G756" s="9">
        <f>IF(OR(E756="",F756=""),"",DATEDIF(E756,F756,"Y"))</f>
        <v/>
      </c>
      <c r="H756" s="9" t="n"/>
    </row>
    <row r="757" ht="14.25" customHeight="1" s="37">
      <c r="A757" s="9" t="n"/>
      <c r="B757" s="9" t="n"/>
      <c r="C757" s="9" t="n"/>
      <c r="D757" s="9" t="n"/>
      <c r="E757" s="9" t="n"/>
      <c r="F757" s="9" t="n"/>
      <c r="G757" s="9">
        <f>IF(OR(E757="",F757=""),"",DATEDIF(E757,F757,"Y"))</f>
        <v/>
      </c>
      <c r="H757" s="9" t="n"/>
    </row>
    <row r="758" ht="14.25" customHeight="1" s="37">
      <c r="A758" s="9" t="n"/>
      <c r="B758" s="9" t="n"/>
      <c r="C758" s="9" t="n"/>
      <c r="D758" s="9" t="n"/>
      <c r="E758" s="9" t="n"/>
      <c r="F758" s="9" t="n"/>
      <c r="G758" s="9">
        <f>IF(OR(E758="",F758=""),"",DATEDIF(E758,F758,"Y"))</f>
        <v/>
      </c>
      <c r="H758" s="9" t="n"/>
    </row>
    <row r="759" ht="14.25" customHeight="1" s="37">
      <c r="A759" s="9" t="n"/>
      <c r="B759" s="9" t="n"/>
      <c r="C759" s="9" t="n"/>
      <c r="D759" s="9" t="n"/>
      <c r="E759" s="9" t="n"/>
      <c r="F759" s="9" t="n"/>
      <c r="G759" s="9">
        <f>IF(OR(E759="",F759=""),"",DATEDIF(E759,F759,"Y"))</f>
        <v/>
      </c>
      <c r="H759" s="9" t="n"/>
    </row>
    <row r="760" ht="14.25" customHeight="1" s="37">
      <c r="A760" s="9" t="n"/>
      <c r="B760" s="9" t="n"/>
      <c r="C760" s="9" t="n"/>
      <c r="D760" s="9" t="n"/>
      <c r="E760" s="9" t="n"/>
      <c r="F760" s="9" t="n"/>
      <c r="G760" s="9">
        <f>IF(OR(E760="",F760=""),"",DATEDIF(E760,F760,"Y"))</f>
        <v/>
      </c>
      <c r="H760" s="9" t="n"/>
    </row>
    <row r="761" ht="14.25" customHeight="1" s="37">
      <c r="A761" s="9" t="n"/>
      <c r="B761" s="9" t="n"/>
      <c r="C761" s="9" t="n"/>
      <c r="D761" s="9" t="n"/>
      <c r="E761" s="9" t="n"/>
      <c r="F761" s="9" t="n"/>
      <c r="G761" s="9">
        <f>IF(OR(E761="",F761=""),"",DATEDIF(E761,F761,"Y"))</f>
        <v/>
      </c>
      <c r="H761" s="9" t="n"/>
    </row>
    <row r="762" ht="14.25" customHeight="1" s="37">
      <c r="A762" s="9" t="n"/>
      <c r="B762" s="9" t="n"/>
      <c r="C762" s="9" t="n"/>
      <c r="D762" s="9" t="n"/>
      <c r="E762" s="9" t="n"/>
      <c r="F762" s="9" t="n"/>
      <c r="G762" s="9">
        <f>IF(OR(E762="",F762=""),"",DATEDIF(E762,F762,"Y"))</f>
        <v/>
      </c>
      <c r="H762" s="9" t="n"/>
    </row>
    <row r="763" ht="14.25" customHeight="1" s="37">
      <c r="A763" s="9" t="n"/>
      <c r="B763" s="9" t="n"/>
      <c r="C763" s="9" t="n"/>
      <c r="D763" s="9" t="n"/>
      <c r="E763" s="9" t="n"/>
      <c r="F763" s="9" t="n"/>
      <c r="G763" s="9">
        <f>IF(OR(E763="",F763=""),"",DATEDIF(E763,F763,"Y"))</f>
        <v/>
      </c>
      <c r="H763" s="9" t="n"/>
    </row>
    <row r="764" ht="14.25" customHeight="1" s="37">
      <c r="A764" s="9" t="n"/>
      <c r="B764" s="9" t="n"/>
      <c r="C764" s="9" t="n"/>
      <c r="D764" s="9" t="n"/>
      <c r="E764" s="9" t="n"/>
      <c r="F764" s="9" t="n"/>
      <c r="G764" s="9">
        <f>IF(OR(E764="",F764=""),"",DATEDIF(E764,F764,"Y"))</f>
        <v/>
      </c>
      <c r="H764" s="9" t="n"/>
    </row>
    <row r="765" ht="14.25" customHeight="1" s="37">
      <c r="A765" s="9" t="n"/>
      <c r="B765" s="9" t="n"/>
      <c r="C765" s="9" t="n"/>
      <c r="D765" s="9" t="n"/>
      <c r="E765" s="9" t="n"/>
      <c r="F765" s="9" t="n"/>
      <c r="G765" s="9">
        <f>IF(OR(E765="",F765=""),"",DATEDIF(E765,F765,"Y"))</f>
        <v/>
      </c>
      <c r="H765" s="9" t="n"/>
    </row>
    <row r="766" ht="14.25" customHeight="1" s="37">
      <c r="A766" s="9" t="n"/>
      <c r="B766" s="9" t="n"/>
      <c r="C766" s="9" t="n"/>
      <c r="D766" s="9" t="n"/>
      <c r="E766" s="9" t="n"/>
      <c r="F766" s="9" t="n"/>
      <c r="G766" s="9">
        <f>IF(OR(E766="",F766=""),"",DATEDIF(E766,F766,"Y"))</f>
        <v/>
      </c>
      <c r="H766" s="9" t="n"/>
    </row>
    <row r="767" ht="14.25" customHeight="1" s="37">
      <c r="A767" s="9" t="n"/>
      <c r="B767" s="9" t="n"/>
      <c r="C767" s="9" t="n"/>
      <c r="D767" s="9" t="n"/>
      <c r="E767" s="9" t="n"/>
      <c r="F767" s="9" t="n"/>
      <c r="G767" s="9">
        <f>IF(OR(E767="",F767=""),"",DATEDIF(E767,F767,"Y"))</f>
        <v/>
      </c>
      <c r="H767" s="9" t="n"/>
    </row>
    <row r="768" ht="14.25" customHeight="1" s="37">
      <c r="A768" s="9" t="n"/>
      <c r="B768" s="9" t="n"/>
      <c r="C768" s="9" t="n"/>
      <c r="D768" s="9" t="n"/>
      <c r="E768" s="9" t="n"/>
      <c r="F768" s="9" t="n"/>
      <c r="G768" s="9">
        <f>IF(OR(E768="",F768=""),"",DATEDIF(E768,F768,"Y"))</f>
        <v/>
      </c>
      <c r="H768" s="9" t="n"/>
    </row>
    <row r="769" ht="14.25" customHeight="1" s="37">
      <c r="A769" s="9" t="n"/>
      <c r="B769" s="9" t="n"/>
      <c r="C769" s="9" t="n"/>
      <c r="D769" s="9" t="n"/>
      <c r="E769" s="9" t="n"/>
      <c r="F769" s="9" t="n"/>
      <c r="G769" s="9">
        <f>IF(OR(E769="",F769=""),"",DATEDIF(E769,F769,"Y"))</f>
        <v/>
      </c>
      <c r="H769" s="9" t="n"/>
    </row>
    <row r="770" ht="14.25" customHeight="1" s="37">
      <c r="A770" s="9" t="n"/>
      <c r="B770" s="9" t="n"/>
      <c r="C770" s="9" t="n"/>
      <c r="D770" s="9" t="n"/>
      <c r="E770" s="9" t="n"/>
      <c r="F770" s="9" t="n"/>
      <c r="G770" s="9">
        <f>IF(OR(E770="",F770=""),"",DATEDIF(E770,F770,"Y"))</f>
        <v/>
      </c>
      <c r="H770" s="9" t="n"/>
    </row>
    <row r="771" ht="14.25" customHeight="1" s="37">
      <c r="A771" s="9" t="n"/>
      <c r="B771" s="9" t="n"/>
      <c r="C771" s="9" t="n"/>
      <c r="D771" s="9" t="n"/>
      <c r="E771" s="9" t="n"/>
      <c r="F771" s="9" t="n"/>
      <c r="G771" s="9">
        <f>IF(OR(E771="",F771=""),"",DATEDIF(E771,F771,"Y"))</f>
        <v/>
      </c>
      <c r="H771" s="9" t="n"/>
    </row>
    <row r="772" ht="14.25" customHeight="1" s="37">
      <c r="A772" s="9" t="n"/>
      <c r="B772" s="9" t="n"/>
      <c r="C772" s="9" t="n"/>
      <c r="D772" s="9" t="n"/>
      <c r="E772" s="9" t="n"/>
      <c r="F772" s="9" t="n"/>
      <c r="G772" s="9">
        <f>IF(OR(E772="",F772=""),"",DATEDIF(E772,F772,"Y"))</f>
        <v/>
      </c>
      <c r="H772" s="9" t="n"/>
    </row>
    <row r="773" ht="14.25" customHeight="1" s="37">
      <c r="A773" s="9" t="n"/>
      <c r="B773" s="9" t="n"/>
      <c r="C773" s="9" t="n"/>
      <c r="D773" s="9" t="n"/>
      <c r="E773" s="9" t="n"/>
      <c r="F773" s="9" t="n"/>
      <c r="G773" s="9">
        <f>IF(OR(E773="",F773=""),"",DATEDIF(E773,F773,"Y"))</f>
        <v/>
      </c>
      <c r="H773" s="9" t="n"/>
    </row>
    <row r="774" ht="14.25" customHeight="1" s="37">
      <c r="A774" s="9" t="n"/>
      <c r="B774" s="9" t="n"/>
      <c r="C774" s="9" t="n"/>
      <c r="D774" s="9" t="n"/>
      <c r="E774" s="9" t="n"/>
      <c r="F774" s="9" t="n"/>
      <c r="G774" s="9">
        <f>IF(OR(E774="",F774=""),"",DATEDIF(E774,F774,"Y"))</f>
        <v/>
      </c>
      <c r="H774" s="9" t="n"/>
    </row>
    <row r="775" ht="14.25" customHeight="1" s="37">
      <c r="A775" s="9" t="n"/>
      <c r="B775" s="9" t="n"/>
      <c r="C775" s="9" t="n"/>
      <c r="D775" s="9" t="n"/>
      <c r="E775" s="9" t="n"/>
      <c r="F775" s="9" t="n"/>
      <c r="G775" s="9">
        <f>IF(OR(E775="",F775=""),"",DATEDIF(E775,F775,"Y"))</f>
        <v/>
      </c>
      <c r="H775" s="9" t="n"/>
    </row>
    <row r="776" ht="14.25" customHeight="1" s="37">
      <c r="A776" s="9" t="n"/>
      <c r="B776" s="9" t="n"/>
      <c r="C776" s="9" t="n"/>
      <c r="D776" s="9" t="n"/>
      <c r="E776" s="9" t="n"/>
      <c r="F776" s="9" t="n"/>
      <c r="G776" s="9">
        <f>IF(OR(E776="",F776=""),"",DATEDIF(E776,F776,"Y"))</f>
        <v/>
      </c>
      <c r="H776" s="9" t="n"/>
    </row>
    <row r="777" ht="14.25" customHeight="1" s="37">
      <c r="A777" s="9" t="n"/>
      <c r="B777" s="9" t="n"/>
      <c r="C777" s="9" t="n"/>
      <c r="D777" s="9" t="n"/>
      <c r="E777" s="9" t="n"/>
      <c r="F777" s="9" t="n"/>
      <c r="G777" s="9">
        <f>IF(OR(E777="",F777=""),"",DATEDIF(E777,F777,"Y"))</f>
        <v/>
      </c>
      <c r="H777" s="9" t="n"/>
    </row>
    <row r="778" ht="14.25" customHeight="1" s="37">
      <c r="A778" s="9" t="n"/>
      <c r="B778" s="9" t="n"/>
      <c r="C778" s="9" t="n"/>
      <c r="D778" s="9" t="n"/>
      <c r="E778" s="9" t="n"/>
      <c r="F778" s="9" t="n"/>
      <c r="G778" s="9">
        <f>IF(OR(E778="",F778=""),"",DATEDIF(E778,F778,"Y"))</f>
        <v/>
      </c>
      <c r="H778" s="9" t="n"/>
    </row>
    <row r="779" ht="14.25" customHeight="1" s="37">
      <c r="A779" s="9" t="n"/>
      <c r="B779" s="9" t="n"/>
      <c r="C779" s="9" t="n"/>
      <c r="D779" s="9" t="n"/>
      <c r="E779" s="9" t="n"/>
      <c r="F779" s="9" t="n"/>
      <c r="G779" s="9">
        <f>IF(OR(E779="",F779=""),"",DATEDIF(E779,F779,"Y"))</f>
        <v/>
      </c>
      <c r="H779" s="9" t="n"/>
    </row>
    <row r="780" ht="14.25" customHeight="1" s="37">
      <c r="A780" s="9" t="n"/>
      <c r="B780" s="9" t="n"/>
      <c r="C780" s="9" t="n"/>
      <c r="D780" s="9" t="n"/>
      <c r="E780" s="9" t="n"/>
      <c r="F780" s="9" t="n"/>
      <c r="G780" s="9">
        <f>IF(OR(E780="",F780=""),"",DATEDIF(E780,F780,"Y"))</f>
        <v/>
      </c>
      <c r="H780" s="9" t="n"/>
    </row>
    <row r="781" ht="14.25" customHeight="1" s="37">
      <c r="A781" s="9" t="n"/>
      <c r="B781" s="9" t="n"/>
      <c r="C781" s="9" t="n"/>
      <c r="D781" s="9" t="n"/>
      <c r="E781" s="9" t="n"/>
      <c r="F781" s="9" t="n"/>
      <c r="G781" s="9">
        <f>IF(OR(E781="",F781=""),"",DATEDIF(E781,F781,"Y"))</f>
        <v/>
      </c>
      <c r="H781" s="9" t="n"/>
    </row>
    <row r="782" ht="14.25" customHeight="1" s="37">
      <c r="A782" s="9" t="n"/>
      <c r="B782" s="9" t="n"/>
      <c r="C782" s="9" t="n"/>
      <c r="D782" s="9" t="n"/>
      <c r="E782" s="9" t="n"/>
      <c r="F782" s="9" t="n"/>
      <c r="G782" s="9">
        <f>IF(OR(E782="",F782=""),"",DATEDIF(E782,F782,"Y"))</f>
        <v/>
      </c>
      <c r="H782" s="9" t="n"/>
    </row>
    <row r="783" ht="14.25" customHeight="1" s="37">
      <c r="A783" s="9" t="n"/>
      <c r="B783" s="9" t="n"/>
      <c r="C783" s="9" t="n"/>
      <c r="D783" s="9" t="n"/>
      <c r="E783" s="9" t="n"/>
      <c r="F783" s="9" t="n"/>
      <c r="G783" s="9">
        <f>IF(OR(E783="",F783=""),"",DATEDIF(E783,F783,"Y"))</f>
        <v/>
      </c>
      <c r="H783" s="9" t="n"/>
    </row>
    <row r="784" ht="14.25" customHeight="1" s="37">
      <c r="A784" s="9" t="n"/>
      <c r="B784" s="9" t="n"/>
      <c r="C784" s="9" t="n"/>
      <c r="D784" s="9" t="n"/>
      <c r="E784" s="9" t="n"/>
      <c r="F784" s="9" t="n"/>
      <c r="G784" s="9">
        <f>IF(OR(E784="",F784=""),"",DATEDIF(E784,F784,"Y"))</f>
        <v/>
      </c>
      <c r="H784" s="9" t="n"/>
    </row>
    <row r="785" ht="14.25" customHeight="1" s="37">
      <c r="A785" s="9" t="n"/>
      <c r="B785" s="9" t="n"/>
      <c r="C785" s="9" t="n"/>
      <c r="D785" s="9" t="n"/>
      <c r="E785" s="9" t="n"/>
      <c r="F785" s="9" t="n"/>
      <c r="G785" s="9">
        <f>IF(OR(E785="",F785=""),"",DATEDIF(E785,F785,"Y"))</f>
        <v/>
      </c>
      <c r="H785" s="9" t="n"/>
    </row>
    <row r="786" ht="14.25" customHeight="1" s="37">
      <c r="A786" s="9" t="n"/>
      <c r="B786" s="9" t="n"/>
      <c r="C786" s="9" t="n"/>
      <c r="D786" s="9" t="n"/>
      <c r="E786" s="9" t="n"/>
      <c r="F786" s="9" t="n"/>
      <c r="G786" s="9">
        <f>IF(OR(E786="",F786=""),"",DATEDIF(E786,F786,"Y"))</f>
        <v/>
      </c>
      <c r="H786" s="9" t="n"/>
    </row>
    <row r="787" ht="14.25" customHeight="1" s="37">
      <c r="A787" s="9" t="n"/>
      <c r="B787" s="9" t="n"/>
      <c r="C787" s="9" t="n"/>
      <c r="D787" s="9" t="n"/>
      <c r="E787" s="9" t="n"/>
      <c r="F787" s="9" t="n"/>
      <c r="G787" s="9">
        <f>IF(OR(E787="",F787=""),"",DATEDIF(E787,F787,"Y"))</f>
        <v/>
      </c>
      <c r="H787" s="9" t="n"/>
    </row>
    <row r="788" ht="14.25" customHeight="1" s="37">
      <c r="A788" s="9" t="n"/>
      <c r="B788" s="9" t="n"/>
      <c r="C788" s="9" t="n"/>
      <c r="D788" s="9" t="n"/>
      <c r="E788" s="9" t="n"/>
      <c r="F788" s="9" t="n"/>
      <c r="G788" s="9">
        <f>IF(OR(E788="",F788=""),"",DATEDIF(E788,F788,"Y"))</f>
        <v/>
      </c>
      <c r="H788" s="9" t="n"/>
    </row>
    <row r="789" ht="14.25" customHeight="1" s="37">
      <c r="A789" s="9" t="n"/>
      <c r="B789" s="9" t="n"/>
      <c r="C789" s="9" t="n"/>
      <c r="D789" s="9" t="n"/>
      <c r="E789" s="9" t="n"/>
      <c r="F789" s="9" t="n"/>
      <c r="G789" s="9">
        <f>IF(OR(E789="",F789=""),"",DATEDIF(E789,F789,"Y"))</f>
        <v/>
      </c>
      <c r="H789" s="9" t="n"/>
    </row>
    <row r="790" ht="14.25" customHeight="1" s="37">
      <c r="A790" s="9" t="n"/>
      <c r="B790" s="9" t="n"/>
      <c r="C790" s="9" t="n"/>
      <c r="D790" s="9" t="n"/>
      <c r="E790" s="9" t="n"/>
      <c r="F790" s="9" t="n"/>
      <c r="G790" s="9">
        <f>IF(OR(E790="",F790=""),"",DATEDIF(E790,F790,"Y"))</f>
        <v/>
      </c>
      <c r="H790" s="9" t="n"/>
    </row>
    <row r="791" ht="14.25" customHeight="1" s="37">
      <c r="A791" s="9" t="n"/>
      <c r="B791" s="9" t="n"/>
      <c r="C791" s="9" t="n"/>
      <c r="D791" s="9" t="n"/>
      <c r="E791" s="9" t="n"/>
      <c r="F791" s="9" t="n"/>
      <c r="G791" s="9">
        <f>IF(OR(E791="",F791=""),"",DATEDIF(E791,F791,"Y"))</f>
        <v/>
      </c>
      <c r="H791" s="9" t="n"/>
    </row>
    <row r="792" ht="14.25" customHeight="1" s="37">
      <c r="A792" s="9" t="n"/>
      <c r="B792" s="9" t="n"/>
      <c r="C792" s="9" t="n"/>
      <c r="D792" s="9" t="n"/>
      <c r="E792" s="9" t="n"/>
      <c r="F792" s="9" t="n"/>
      <c r="G792" s="9">
        <f>IF(OR(E792="",F792=""),"",DATEDIF(E792,F792,"Y"))</f>
        <v/>
      </c>
      <c r="H792" s="9" t="n"/>
    </row>
    <row r="793" ht="14.25" customHeight="1" s="37">
      <c r="A793" s="9" t="n"/>
      <c r="B793" s="9" t="n"/>
      <c r="C793" s="9" t="n"/>
      <c r="D793" s="9" t="n"/>
      <c r="E793" s="9" t="n"/>
      <c r="F793" s="9" t="n"/>
      <c r="G793" s="9">
        <f>IF(OR(E793="",F793=""),"",DATEDIF(E793,F793,"Y"))</f>
        <v/>
      </c>
      <c r="H793" s="9" t="n"/>
    </row>
    <row r="794" ht="14.25" customHeight="1" s="37">
      <c r="A794" s="9" t="n"/>
      <c r="B794" s="9" t="n"/>
      <c r="C794" s="9" t="n"/>
      <c r="D794" s="9" t="n"/>
      <c r="E794" s="9" t="n"/>
      <c r="F794" s="9" t="n"/>
      <c r="G794" s="9">
        <f>IF(OR(E794="",F794=""),"",DATEDIF(E794,F794,"Y"))</f>
        <v/>
      </c>
      <c r="H794" s="9" t="n"/>
    </row>
    <row r="795" ht="14.25" customHeight="1" s="37">
      <c r="A795" s="9" t="n"/>
      <c r="B795" s="9" t="n"/>
      <c r="C795" s="9" t="n"/>
      <c r="D795" s="9" t="n"/>
      <c r="E795" s="9" t="n"/>
      <c r="F795" s="9" t="n"/>
      <c r="G795" s="9">
        <f>IF(OR(E795="",F795=""),"",DATEDIF(E795,F795,"Y"))</f>
        <v/>
      </c>
      <c r="H795" s="9" t="n"/>
    </row>
    <row r="796" ht="14.25" customHeight="1" s="37">
      <c r="A796" s="9" t="n"/>
      <c r="B796" s="9" t="n"/>
      <c r="C796" s="9" t="n"/>
      <c r="D796" s="9" t="n"/>
      <c r="E796" s="9" t="n"/>
      <c r="F796" s="9" t="n"/>
      <c r="G796" s="9">
        <f>IF(OR(E796="",F796=""),"",DATEDIF(E796,F796,"Y"))</f>
        <v/>
      </c>
      <c r="H796" s="9" t="n"/>
    </row>
    <row r="797" ht="14.25" customHeight="1" s="37">
      <c r="A797" s="9" t="n"/>
      <c r="B797" s="9" t="n"/>
      <c r="C797" s="9" t="n"/>
      <c r="D797" s="9" t="n"/>
      <c r="E797" s="9" t="n"/>
      <c r="F797" s="9" t="n"/>
      <c r="G797" s="9">
        <f>IF(OR(E797="",F797=""),"",DATEDIF(E797,F797,"Y"))</f>
        <v/>
      </c>
      <c r="H797" s="9" t="n"/>
    </row>
    <row r="798" ht="14.25" customHeight="1" s="37">
      <c r="A798" s="9" t="n"/>
      <c r="B798" s="9" t="n"/>
      <c r="C798" s="9" t="n"/>
      <c r="D798" s="9" t="n"/>
      <c r="E798" s="9" t="n"/>
      <c r="F798" s="9" t="n"/>
      <c r="G798" s="9">
        <f>IF(OR(E798="",F798=""),"",DATEDIF(E798,F798,"Y"))</f>
        <v/>
      </c>
      <c r="H798" s="9" t="n"/>
    </row>
    <row r="799" ht="14.25" customHeight="1" s="37">
      <c r="A799" s="9" t="n"/>
      <c r="B799" s="9" t="n"/>
      <c r="C799" s="9" t="n"/>
      <c r="D799" s="9" t="n"/>
      <c r="E799" s="9" t="n"/>
      <c r="F799" s="9" t="n"/>
      <c r="G799" s="9">
        <f>IF(OR(E799="",F799=""),"",DATEDIF(E799,F799,"Y"))</f>
        <v/>
      </c>
      <c r="H799" s="9" t="n"/>
    </row>
    <row r="800" ht="14.25" customHeight="1" s="37">
      <c r="A800" s="9" t="n"/>
      <c r="B800" s="9" t="n"/>
      <c r="C800" s="9" t="n"/>
      <c r="D800" s="9" t="n"/>
      <c r="E800" s="9" t="n"/>
      <c r="F800" s="9" t="n"/>
      <c r="G800" s="9">
        <f>IF(OR(E800="",F800=""),"",DATEDIF(E800,F800,"Y"))</f>
        <v/>
      </c>
      <c r="H800" s="9" t="n"/>
    </row>
    <row r="801" ht="14.25" customHeight="1" s="37">
      <c r="A801" s="9" t="n"/>
      <c r="B801" s="9" t="n"/>
      <c r="C801" s="9" t="n"/>
      <c r="D801" s="9" t="n"/>
      <c r="E801" s="9" t="n"/>
      <c r="F801" s="9" t="n"/>
      <c r="G801" s="9">
        <f>IF(OR(E801="",F801=""),"",DATEDIF(E801,F801,"Y"))</f>
        <v/>
      </c>
      <c r="H801" s="9" t="n"/>
    </row>
    <row r="802" ht="14.25" customHeight="1" s="37">
      <c r="A802" s="9" t="n"/>
      <c r="B802" s="9" t="n"/>
      <c r="C802" s="9" t="n"/>
      <c r="D802" s="9" t="n"/>
      <c r="E802" s="9" t="n"/>
      <c r="F802" s="9" t="n"/>
      <c r="G802" s="9">
        <f>IF(OR(E802="",F802=""),"",DATEDIF(E802,F802,"Y"))</f>
        <v/>
      </c>
      <c r="H802" s="9" t="n"/>
    </row>
    <row r="803" ht="14.25" customHeight="1" s="37">
      <c r="A803" s="9" t="n"/>
      <c r="B803" s="9" t="n"/>
      <c r="C803" s="9" t="n"/>
      <c r="D803" s="9" t="n"/>
      <c r="E803" s="9" t="n"/>
      <c r="F803" s="9" t="n"/>
      <c r="G803" s="9">
        <f>IF(OR(E803="",F803=""),"",DATEDIF(E803,F803,"Y"))</f>
        <v/>
      </c>
      <c r="H803" s="9" t="n"/>
    </row>
    <row r="804" ht="14.25" customHeight="1" s="37">
      <c r="A804" s="9" t="n"/>
      <c r="B804" s="9" t="n"/>
      <c r="C804" s="9" t="n"/>
      <c r="D804" s="9" t="n"/>
      <c r="E804" s="9" t="n"/>
      <c r="F804" s="9" t="n"/>
      <c r="G804" s="9">
        <f>IF(OR(E804="",F804=""),"",DATEDIF(E804,F804,"Y"))</f>
        <v/>
      </c>
      <c r="H804" s="9" t="n"/>
    </row>
    <row r="805" ht="14.25" customHeight="1" s="37">
      <c r="A805" s="9" t="n"/>
      <c r="B805" s="9" t="n"/>
      <c r="C805" s="9" t="n"/>
      <c r="D805" s="9" t="n"/>
      <c r="E805" s="9" t="n"/>
      <c r="F805" s="9" t="n"/>
      <c r="G805" s="9">
        <f>IF(OR(E805="",F805=""),"",DATEDIF(E805,F805,"Y"))</f>
        <v/>
      </c>
      <c r="H805" s="9" t="n"/>
    </row>
    <row r="806" ht="14.25" customHeight="1" s="37">
      <c r="A806" s="9" t="n"/>
      <c r="B806" s="9" t="n"/>
      <c r="C806" s="9" t="n"/>
      <c r="D806" s="9" t="n"/>
      <c r="E806" s="9" t="n"/>
      <c r="F806" s="9" t="n"/>
      <c r="G806" s="9">
        <f>IF(OR(E806="",F806=""),"",DATEDIF(E806,F806,"Y"))</f>
        <v/>
      </c>
      <c r="H806" s="9" t="n"/>
    </row>
    <row r="807" ht="14.25" customHeight="1" s="37">
      <c r="A807" s="9" t="n"/>
      <c r="B807" s="9" t="n"/>
      <c r="C807" s="9" t="n"/>
      <c r="D807" s="9" t="n"/>
      <c r="E807" s="9" t="n"/>
      <c r="F807" s="9" t="n"/>
      <c r="G807" s="9">
        <f>IF(OR(E807="",F807=""),"",DATEDIF(E807,F807,"Y"))</f>
        <v/>
      </c>
      <c r="H807" s="9" t="n"/>
    </row>
    <row r="808" ht="14.25" customHeight="1" s="37">
      <c r="A808" s="9" t="n"/>
      <c r="B808" s="9" t="n"/>
      <c r="C808" s="9" t="n"/>
      <c r="D808" s="9" t="n"/>
      <c r="E808" s="9" t="n"/>
      <c r="F808" s="9" t="n"/>
      <c r="G808" s="9">
        <f>IF(OR(E808="",F808=""),"",DATEDIF(E808,F808,"Y"))</f>
        <v/>
      </c>
      <c r="H808" s="9" t="n"/>
    </row>
    <row r="809" ht="14.25" customHeight="1" s="37">
      <c r="A809" s="9" t="n"/>
      <c r="B809" s="9" t="n"/>
      <c r="C809" s="9" t="n"/>
      <c r="D809" s="9" t="n"/>
      <c r="E809" s="9" t="n"/>
      <c r="F809" s="9" t="n"/>
      <c r="G809" s="9">
        <f>IF(OR(E809="",F809=""),"",DATEDIF(E809,F809,"Y"))</f>
        <v/>
      </c>
      <c r="H809" s="9" t="n"/>
    </row>
    <row r="810" ht="14.25" customHeight="1" s="37">
      <c r="A810" s="9" t="n"/>
      <c r="B810" s="9" t="n"/>
      <c r="C810" s="9" t="n"/>
      <c r="D810" s="9" t="n"/>
      <c r="E810" s="9" t="n"/>
      <c r="F810" s="9" t="n"/>
      <c r="G810" s="9">
        <f>IF(OR(E810="",F810=""),"",DATEDIF(E810,F810,"Y"))</f>
        <v/>
      </c>
      <c r="H810" s="9" t="n"/>
    </row>
    <row r="811" ht="14.25" customHeight="1" s="37">
      <c r="A811" s="9" t="n"/>
      <c r="B811" s="9" t="n"/>
      <c r="C811" s="9" t="n"/>
      <c r="D811" s="9" t="n"/>
      <c r="E811" s="9" t="n"/>
      <c r="F811" s="9" t="n"/>
      <c r="G811" s="9">
        <f>IF(OR(E811="",F811=""),"",DATEDIF(E811,F811,"Y"))</f>
        <v/>
      </c>
      <c r="H811" s="9" t="n"/>
    </row>
    <row r="812" ht="14.25" customHeight="1" s="37">
      <c r="A812" s="9" t="n"/>
      <c r="B812" s="9" t="n"/>
      <c r="C812" s="9" t="n"/>
      <c r="D812" s="9" t="n"/>
      <c r="E812" s="9" t="n"/>
      <c r="F812" s="9" t="n"/>
      <c r="G812" s="9">
        <f>IF(OR(E812="",F812=""),"",DATEDIF(E812,F812,"Y"))</f>
        <v/>
      </c>
      <c r="H812" s="9" t="n"/>
    </row>
    <row r="813" ht="14.25" customHeight="1" s="37">
      <c r="A813" s="9" t="n"/>
      <c r="B813" s="9" t="n"/>
      <c r="C813" s="9" t="n"/>
      <c r="D813" s="9" t="n"/>
      <c r="E813" s="9" t="n"/>
      <c r="F813" s="9" t="n"/>
      <c r="G813" s="9">
        <f>IF(OR(E813="",F813=""),"",DATEDIF(E813,F813,"Y"))</f>
        <v/>
      </c>
      <c r="H813" s="9" t="n"/>
    </row>
    <row r="814" ht="14.25" customHeight="1" s="37">
      <c r="A814" s="9" t="n"/>
      <c r="B814" s="9" t="n"/>
      <c r="C814" s="9" t="n"/>
      <c r="D814" s="9" t="n"/>
      <c r="E814" s="9" t="n"/>
      <c r="F814" s="9" t="n"/>
      <c r="G814" s="9">
        <f>IF(OR(E814="",F814=""),"",DATEDIF(E814,F814,"Y"))</f>
        <v/>
      </c>
      <c r="H814" s="9" t="n"/>
    </row>
    <row r="815" ht="14.25" customHeight="1" s="37">
      <c r="A815" s="9" t="n"/>
      <c r="B815" s="9" t="n"/>
      <c r="C815" s="9" t="n"/>
      <c r="D815" s="9" t="n"/>
      <c r="E815" s="9" t="n"/>
      <c r="F815" s="9" t="n"/>
      <c r="G815" s="9">
        <f>IF(OR(E815="",F815=""),"",DATEDIF(E815,F815,"Y"))</f>
        <v/>
      </c>
      <c r="H815" s="9" t="n"/>
    </row>
    <row r="816" ht="14.25" customHeight="1" s="37">
      <c r="A816" s="9" t="n"/>
      <c r="B816" s="9" t="n"/>
      <c r="C816" s="9" t="n"/>
      <c r="D816" s="9" t="n"/>
      <c r="E816" s="9" t="n"/>
      <c r="F816" s="9" t="n"/>
      <c r="G816" s="9">
        <f>IF(OR(E816="",F816=""),"",DATEDIF(E816,F816,"Y"))</f>
        <v/>
      </c>
      <c r="H816" s="9" t="n"/>
    </row>
    <row r="817" ht="14.25" customHeight="1" s="37">
      <c r="A817" s="9" t="n"/>
      <c r="B817" s="9" t="n"/>
      <c r="C817" s="9" t="n"/>
      <c r="D817" s="9" t="n"/>
      <c r="E817" s="9" t="n"/>
      <c r="F817" s="9" t="n"/>
      <c r="G817" s="9">
        <f>IF(OR(E817="",F817=""),"",DATEDIF(E817,F817,"Y"))</f>
        <v/>
      </c>
      <c r="H817" s="9" t="n"/>
    </row>
    <row r="818" ht="14.25" customHeight="1" s="37">
      <c r="A818" s="9" t="n"/>
      <c r="B818" s="9" t="n"/>
      <c r="C818" s="9" t="n"/>
      <c r="D818" s="9" t="n"/>
      <c r="E818" s="9" t="n"/>
      <c r="F818" s="9" t="n"/>
      <c r="G818" s="9">
        <f>IF(OR(E818="",F818=""),"",DATEDIF(E818,F818,"Y"))</f>
        <v/>
      </c>
      <c r="H818" s="9" t="n"/>
    </row>
    <row r="819" ht="14.25" customHeight="1" s="37">
      <c r="A819" s="9" t="n"/>
      <c r="B819" s="9" t="n"/>
      <c r="C819" s="9" t="n"/>
      <c r="D819" s="9" t="n"/>
      <c r="E819" s="9" t="n"/>
      <c r="F819" s="9" t="n"/>
      <c r="G819" s="9">
        <f>IF(OR(E819="",F819=""),"",DATEDIF(E819,F819,"Y"))</f>
        <v/>
      </c>
      <c r="H819" s="9" t="n"/>
    </row>
    <row r="820" ht="14.25" customHeight="1" s="37">
      <c r="A820" s="9" t="n"/>
      <c r="B820" s="9" t="n"/>
      <c r="C820" s="9" t="n"/>
      <c r="D820" s="9" t="n"/>
      <c r="E820" s="9" t="n"/>
      <c r="F820" s="9" t="n"/>
      <c r="G820" s="9">
        <f>IF(OR(E820="",F820=""),"",DATEDIF(E820,F820,"Y"))</f>
        <v/>
      </c>
      <c r="H820" s="9" t="n"/>
    </row>
    <row r="821" ht="14.25" customHeight="1" s="37">
      <c r="A821" s="9" t="n"/>
      <c r="B821" s="9" t="n"/>
      <c r="C821" s="9" t="n"/>
      <c r="D821" s="9" t="n"/>
      <c r="E821" s="9" t="n"/>
      <c r="F821" s="9" t="n"/>
      <c r="G821" s="9">
        <f>IF(OR(E821="",F821=""),"",DATEDIF(E821,F821,"Y"))</f>
        <v/>
      </c>
      <c r="H821" s="9" t="n"/>
    </row>
    <row r="822" ht="14.25" customHeight="1" s="37">
      <c r="A822" s="9" t="n"/>
      <c r="B822" s="9" t="n"/>
      <c r="C822" s="9" t="n"/>
      <c r="D822" s="9" t="n"/>
      <c r="E822" s="9" t="n"/>
      <c r="F822" s="9" t="n"/>
      <c r="G822" s="9">
        <f>IF(OR(E822="",F822=""),"",DATEDIF(E822,F822,"Y"))</f>
        <v/>
      </c>
      <c r="H822" s="9" t="n"/>
    </row>
    <row r="823" ht="14.25" customHeight="1" s="37">
      <c r="A823" s="9" t="n"/>
      <c r="B823" s="9" t="n"/>
      <c r="C823" s="9" t="n"/>
      <c r="D823" s="9" t="n"/>
      <c r="E823" s="9" t="n"/>
      <c r="F823" s="9" t="n"/>
      <c r="G823" s="9">
        <f>IF(OR(E823="",F823=""),"",DATEDIF(E823,F823,"Y"))</f>
        <v/>
      </c>
      <c r="H823" s="9" t="n"/>
    </row>
    <row r="824" ht="14.25" customHeight="1" s="37">
      <c r="A824" s="9" t="n"/>
      <c r="B824" s="9" t="n"/>
      <c r="C824" s="9" t="n"/>
      <c r="D824" s="9" t="n"/>
      <c r="E824" s="9" t="n"/>
      <c r="F824" s="9" t="n"/>
      <c r="G824" s="9">
        <f>IF(OR(E824="",F824=""),"",DATEDIF(E824,F824,"Y"))</f>
        <v/>
      </c>
      <c r="H824" s="9" t="n"/>
    </row>
    <row r="825" ht="14.25" customHeight="1" s="37">
      <c r="A825" s="9" t="n"/>
      <c r="B825" s="9" t="n"/>
      <c r="C825" s="9" t="n"/>
      <c r="D825" s="9" t="n"/>
      <c r="E825" s="9" t="n"/>
      <c r="F825" s="9" t="n"/>
      <c r="G825" s="9">
        <f>IF(OR(E825="",F825=""),"",DATEDIF(E825,F825,"Y"))</f>
        <v/>
      </c>
      <c r="H825" s="9" t="n"/>
    </row>
    <row r="826" ht="14.25" customHeight="1" s="37">
      <c r="A826" s="9" t="n"/>
      <c r="B826" s="9" t="n"/>
      <c r="C826" s="9" t="n"/>
      <c r="D826" s="9" t="n"/>
      <c r="E826" s="9" t="n"/>
      <c r="F826" s="9" t="n"/>
      <c r="G826" s="9">
        <f>IF(OR(E826="",F826=""),"",DATEDIF(E826,F826,"Y"))</f>
        <v/>
      </c>
      <c r="H826" s="9" t="n"/>
    </row>
    <row r="827" ht="14.25" customHeight="1" s="37">
      <c r="A827" s="9" t="n"/>
      <c r="B827" s="9" t="n"/>
      <c r="C827" s="9" t="n"/>
      <c r="D827" s="9" t="n"/>
      <c r="E827" s="9" t="n"/>
      <c r="F827" s="9" t="n"/>
      <c r="G827" s="9">
        <f>IF(OR(E827="",F827=""),"",DATEDIF(E827,F827,"Y"))</f>
        <v/>
      </c>
      <c r="H827" s="9" t="n"/>
    </row>
    <row r="828" ht="14.25" customHeight="1" s="37">
      <c r="A828" s="9" t="n"/>
      <c r="B828" s="9" t="n"/>
      <c r="C828" s="9" t="n"/>
      <c r="D828" s="9" t="n"/>
      <c r="E828" s="9" t="n"/>
      <c r="F828" s="9" t="n"/>
      <c r="G828" s="9">
        <f>IF(OR(E828="",F828=""),"",DATEDIF(E828,F828,"Y"))</f>
        <v/>
      </c>
      <c r="H828" s="9" t="n"/>
    </row>
    <row r="829" ht="14.25" customHeight="1" s="37">
      <c r="A829" s="9" t="n"/>
      <c r="B829" s="9" t="n"/>
      <c r="C829" s="9" t="n"/>
      <c r="D829" s="9" t="n"/>
      <c r="E829" s="9" t="n"/>
      <c r="F829" s="9" t="n"/>
      <c r="G829" s="9">
        <f>IF(OR(E829="",F829=""),"",DATEDIF(E829,F829,"Y"))</f>
        <v/>
      </c>
      <c r="H829" s="9" t="n"/>
    </row>
    <row r="830" ht="14.25" customHeight="1" s="37">
      <c r="A830" s="9" t="n"/>
      <c r="B830" s="9" t="n"/>
      <c r="C830" s="9" t="n"/>
      <c r="D830" s="9" t="n"/>
      <c r="E830" s="9" t="n"/>
      <c r="F830" s="9" t="n"/>
      <c r="G830" s="9">
        <f>IF(OR(E830="",F830=""),"",DATEDIF(E830,F830,"Y"))</f>
        <v/>
      </c>
      <c r="H830" s="9" t="n"/>
    </row>
    <row r="831" ht="14.25" customHeight="1" s="37">
      <c r="A831" s="9" t="n"/>
      <c r="B831" s="9" t="n"/>
      <c r="C831" s="9" t="n"/>
      <c r="D831" s="9" t="n"/>
      <c r="E831" s="9" t="n"/>
      <c r="F831" s="9" t="n"/>
      <c r="G831" s="9">
        <f>IF(OR(E831="",F831=""),"",DATEDIF(E831,F831,"Y"))</f>
        <v/>
      </c>
      <c r="H831" s="9" t="n"/>
    </row>
    <row r="832" ht="14.25" customHeight="1" s="37">
      <c r="A832" s="9" t="n"/>
      <c r="B832" s="9" t="n"/>
      <c r="C832" s="9" t="n"/>
      <c r="D832" s="9" t="n"/>
      <c r="E832" s="9" t="n"/>
      <c r="F832" s="9" t="n"/>
      <c r="G832" s="9">
        <f>IF(OR(E832="",F832=""),"",DATEDIF(E832,F832,"Y"))</f>
        <v/>
      </c>
      <c r="H832" s="9" t="n"/>
    </row>
    <row r="833" ht="14.25" customHeight="1" s="37">
      <c r="A833" s="9" t="n"/>
      <c r="B833" s="9" t="n"/>
      <c r="C833" s="9" t="n"/>
      <c r="D833" s="9" t="n"/>
      <c r="E833" s="9" t="n"/>
      <c r="F833" s="9" t="n"/>
      <c r="G833" s="9">
        <f>IF(OR(E833="",F833=""),"",DATEDIF(E833,F833,"Y"))</f>
        <v/>
      </c>
      <c r="H833" s="9" t="n"/>
    </row>
    <row r="834" ht="14.25" customHeight="1" s="37">
      <c r="A834" s="9" t="n"/>
      <c r="B834" s="9" t="n"/>
      <c r="C834" s="9" t="n"/>
      <c r="D834" s="9" t="n"/>
      <c r="E834" s="9" t="n"/>
      <c r="F834" s="9" t="n"/>
      <c r="G834" s="9">
        <f>IF(OR(E834="",F834=""),"",DATEDIF(E834,F834,"Y"))</f>
        <v/>
      </c>
      <c r="H834" s="9" t="n"/>
    </row>
    <row r="835" ht="14.25" customHeight="1" s="37">
      <c r="A835" s="9" t="n"/>
      <c r="B835" s="9" t="n"/>
      <c r="C835" s="9" t="n"/>
      <c r="D835" s="9" t="n"/>
      <c r="E835" s="9" t="n"/>
      <c r="F835" s="9" t="n"/>
      <c r="G835" s="9">
        <f>IF(OR(E835="",F835=""),"",DATEDIF(E835,F835,"Y"))</f>
        <v/>
      </c>
      <c r="H835" s="9" t="n"/>
    </row>
    <row r="836" ht="14.25" customHeight="1" s="37">
      <c r="A836" s="9" t="n"/>
      <c r="B836" s="9" t="n"/>
      <c r="C836" s="9" t="n"/>
      <c r="D836" s="9" t="n"/>
      <c r="E836" s="9" t="n"/>
      <c r="F836" s="9" t="n"/>
      <c r="G836" s="9">
        <f>IF(OR(E836="",F836=""),"",DATEDIF(E836,F836,"Y"))</f>
        <v/>
      </c>
      <c r="H836" s="9" t="n"/>
    </row>
    <row r="837" ht="14.25" customHeight="1" s="37">
      <c r="A837" s="9" t="n"/>
      <c r="B837" s="9" t="n"/>
      <c r="C837" s="9" t="n"/>
      <c r="D837" s="9" t="n"/>
      <c r="E837" s="9" t="n"/>
      <c r="F837" s="9" t="n"/>
      <c r="G837" s="9">
        <f>IF(OR(E837="",F837=""),"",DATEDIF(E837,F837,"Y"))</f>
        <v/>
      </c>
      <c r="H837" s="9" t="n"/>
    </row>
    <row r="838" ht="14.25" customHeight="1" s="37">
      <c r="A838" s="9" t="n"/>
      <c r="B838" s="9" t="n"/>
      <c r="C838" s="9" t="n"/>
      <c r="D838" s="9" t="n"/>
      <c r="E838" s="9" t="n"/>
      <c r="F838" s="9" t="n"/>
      <c r="G838" s="9">
        <f>IF(OR(E838="",F838=""),"",DATEDIF(E838,F838,"Y"))</f>
        <v/>
      </c>
      <c r="H838" s="9" t="n"/>
    </row>
    <row r="839" ht="14.25" customHeight="1" s="37">
      <c r="A839" s="9" t="n"/>
      <c r="B839" s="9" t="n"/>
      <c r="C839" s="9" t="n"/>
      <c r="D839" s="9" t="n"/>
      <c r="E839" s="9" t="n"/>
      <c r="F839" s="9" t="n"/>
      <c r="G839" s="9">
        <f>IF(OR(E839="",F839=""),"",DATEDIF(E839,F839,"Y"))</f>
        <v/>
      </c>
      <c r="H839" s="9" t="n"/>
    </row>
    <row r="840" ht="14.25" customHeight="1" s="37">
      <c r="A840" s="9" t="n"/>
      <c r="B840" s="9" t="n"/>
      <c r="C840" s="9" t="n"/>
      <c r="D840" s="9" t="n"/>
      <c r="E840" s="9" t="n"/>
      <c r="F840" s="9" t="n"/>
      <c r="G840" s="9">
        <f>IF(OR(E840="",F840=""),"",DATEDIF(E840,F840,"Y"))</f>
        <v/>
      </c>
      <c r="H840" s="9" t="n"/>
    </row>
    <row r="841" ht="14.25" customHeight="1" s="37">
      <c r="A841" s="9" t="n"/>
      <c r="B841" s="9" t="n"/>
      <c r="C841" s="9" t="n"/>
      <c r="D841" s="9" t="n"/>
      <c r="E841" s="9" t="n"/>
      <c r="F841" s="9" t="n"/>
      <c r="G841" s="9">
        <f>IF(OR(E841="",F841=""),"",DATEDIF(E841,F841,"Y"))</f>
        <v/>
      </c>
      <c r="H841" s="9" t="n"/>
    </row>
    <row r="842" ht="14.25" customHeight="1" s="37">
      <c r="A842" s="9" t="n"/>
      <c r="B842" s="9" t="n"/>
      <c r="C842" s="9" t="n"/>
      <c r="D842" s="9" t="n"/>
      <c r="E842" s="9" t="n"/>
      <c r="F842" s="9" t="n"/>
      <c r="G842" s="9">
        <f>IF(OR(E842="",F842=""),"",DATEDIF(E842,F842,"Y"))</f>
        <v/>
      </c>
      <c r="H842" s="9" t="n"/>
    </row>
    <row r="843" ht="14.25" customHeight="1" s="37">
      <c r="A843" s="9" t="n"/>
      <c r="B843" s="9" t="n"/>
      <c r="C843" s="9" t="n"/>
      <c r="D843" s="9" t="n"/>
      <c r="E843" s="9" t="n"/>
      <c r="F843" s="9" t="n"/>
      <c r="G843" s="9">
        <f>IF(OR(E843="",F843=""),"",DATEDIF(E843,F843,"Y"))</f>
        <v/>
      </c>
      <c r="H843" s="9" t="n"/>
    </row>
    <row r="844" ht="14.25" customHeight="1" s="37">
      <c r="A844" s="9" t="n"/>
      <c r="B844" s="9" t="n"/>
      <c r="C844" s="9" t="n"/>
      <c r="D844" s="9" t="n"/>
      <c r="E844" s="9" t="n"/>
      <c r="F844" s="9" t="n"/>
      <c r="G844" s="9">
        <f>IF(OR(E844="",F844=""),"",DATEDIF(E844,F844,"Y"))</f>
        <v/>
      </c>
      <c r="H844" s="9" t="n"/>
    </row>
    <row r="845" ht="14.25" customHeight="1" s="37">
      <c r="A845" s="9" t="n"/>
      <c r="B845" s="9" t="n"/>
      <c r="C845" s="9" t="n"/>
      <c r="D845" s="9" t="n"/>
      <c r="E845" s="9" t="n"/>
      <c r="F845" s="9" t="n"/>
      <c r="G845" s="9">
        <f>IF(OR(E845="",F845=""),"",DATEDIF(E845,F845,"Y"))</f>
        <v/>
      </c>
      <c r="H845" s="9" t="n"/>
    </row>
    <row r="846" ht="14.25" customHeight="1" s="37">
      <c r="A846" s="9" t="n"/>
      <c r="B846" s="9" t="n"/>
      <c r="C846" s="9" t="n"/>
      <c r="D846" s="9" t="n"/>
      <c r="E846" s="9" t="n"/>
      <c r="F846" s="9" t="n"/>
      <c r="G846" s="9">
        <f>IF(OR(E846="",F846=""),"",DATEDIF(E846,F846,"Y"))</f>
        <v/>
      </c>
      <c r="H846" s="9" t="n"/>
    </row>
    <row r="847" ht="14.25" customHeight="1" s="37">
      <c r="A847" s="9" t="n"/>
      <c r="B847" s="9" t="n"/>
      <c r="C847" s="9" t="n"/>
      <c r="D847" s="9" t="n"/>
      <c r="E847" s="9" t="n"/>
      <c r="F847" s="9" t="n"/>
      <c r="G847" s="9">
        <f>IF(OR(E847="",F847=""),"",DATEDIF(E847,F847,"Y"))</f>
        <v/>
      </c>
      <c r="H847" s="9" t="n"/>
    </row>
    <row r="848" ht="14.25" customHeight="1" s="37">
      <c r="A848" s="9" t="n"/>
      <c r="B848" s="9" t="n"/>
      <c r="C848" s="9" t="n"/>
      <c r="D848" s="9" t="n"/>
      <c r="E848" s="9" t="n"/>
      <c r="F848" s="9" t="n"/>
      <c r="G848" s="9">
        <f>IF(OR(E848="",F848=""),"",DATEDIF(E848,F848,"Y"))</f>
        <v/>
      </c>
      <c r="H848" s="9" t="n"/>
    </row>
    <row r="849" ht="14.25" customHeight="1" s="37">
      <c r="A849" s="9" t="n"/>
      <c r="B849" s="9" t="n"/>
      <c r="C849" s="9" t="n"/>
      <c r="D849" s="9" t="n"/>
      <c r="E849" s="9" t="n"/>
      <c r="F849" s="9" t="n"/>
      <c r="G849" s="9">
        <f>IF(OR(E849="",F849=""),"",DATEDIF(E849,F849,"Y"))</f>
        <v/>
      </c>
      <c r="H849" s="9" t="n"/>
    </row>
    <row r="850" ht="14.25" customHeight="1" s="37">
      <c r="A850" s="9" t="n"/>
      <c r="B850" s="9" t="n"/>
      <c r="C850" s="9" t="n"/>
      <c r="D850" s="9" t="n"/>
      <c r="E850" s="9" t="n"/>
      <c r="F850" s="9" t="n"/>
      <c r="G850" s="9">
        <f>IF(OR(E850="",F850=""),"",DATEDIF(E850,F850,"Y"))</f>
        <v/>
      </c>
      <c r="H850" s="9" t="n"/>
    </row>
    <row r="851" ht="14.25" customHeight="1" s="37">
      <c r="A851" s="9" t="n"/>
      <c r="B851" s="9" t="n"/>
      <c r="C851" s="9" t="n"/>
      <c r="D851" s="9" t="n"/>
      <c r="E851" s="9" t="n"/>
      <c r="F851" s="9" t="n"/>
      <c r="G851" s="9">
        <f>IF(OR(E851="",F851=""),"",DATEDIF(E851,F851,"Y"))</f>
        <v/>
      </c>
      <c r="H851" s="9" t="n"/>
    </row>
    <row r="852" ht="14.25" customHeight="1" s="37">
      <c r="A852" s="9" t="n"/>
      <c r="B852" s="9" t="n"/>
      <c r="C852" s="9" t="n"/>
      <c r="D852" s="9" t="n"/>
      <c r="E852" s="9" t="n"/>
      <c r="F852" s="9" t="n"/>
      <c r="G852" s="9">
        <f>IF(OR(E852="",F852=""),"",DATEDIF(E852,F852,"Y"))</f>
        <v/>
      </c>
      <c r="H852" s="9" t="n"/>
    </row>
    <row r="853" ht="14.25" customHeight="1" s="37">
      <c r="A853" s="9" t="n"/>
      <c r="B853" s="9" t="n"/>
      <c r="C853" s="9" t="n"/>
      <c r="D853" s="9" t="n"/>
      <c r="E853" s="9" t="n"/>
      <c r="F853" s="9" t="n"/>
      <c r="G853" s="9">
        <f>IF(OR(E853="",F853=""),"",DATEDIF(E853,F853,"Y"))</f>
        <v/>
      </c>
      <c r="H853" s="9" t="n"/>
    </row>
    <row r="854" ht="14.25" customHeight="1" s="37">
      <c r="A854" s="9" t="n"/>
      <c r="B854" s="9" t="n"/>
      <c r="C854" s="9" t="n"/>
      <c r="D854" s="9" t="n"/>
      <c r="E854" s="9" t="n"/>
      <c r="F854" s="9" t="n"/>
      <c r="G854" s="9">
        <f>IF(OR(E854="",F854=""),"",DATEDIF(E854,F854,"Y"))</f>
        <v/>
      </c>
      <c r="H854" s="9" t="n"/>
    </row>
    <row r="855" ht="14.25" customHeight="1" s="37">
      <c r="A855" s="9" t="n"/>
      <c r="B855" s="9" t="n"/>
      <c r="C855" s="9" t="n"/>
      <c r="D855" s="9" t="n"/>
      <c r="E855" s="9" t="n"/>
      <c r="F855" s="9" t="n"/>
      <c r="G855" s="9">
        <f>IF(OR(E855="",F855=""),"",DATEDIF(E855,F855,"Y"))</f>
        <v/>
      </c>
      <c r="H855" s="9" t="n"/>
    </row>
    <row r="856" ht="14.25" customHeight="1" s="37">
      <c r="A856" s="9" t="n"/>
      <c r="B856" s="9" t="n"/>
      <c r="C856" s="9" t="n"/>
      <c r="D856" s="9" t="n"/>
      <c r="E856" s="9" t="n"/>
      <c r="F856" s="9" t="n"/>
      <c r="G856" s="9">
        <f>IF(OR(E856="",F856=""),"",DATEDIF(E856,F856,"Y"))</f>
        <v/>
      </c>
      <c r="H856" s="9" t="n"/>
    </row>
    <row r="857" ht="14.25" customHeight="1" s="37">
      <c r="A857" s="9" t="n"/>
      <c r="B857" s="9" t="n"/>
      <c r="C857" s="9" t="n"/>
      <c r="D857" s="9" t="n"/>
      <c r="E857" s="9" t="n"/>
      <c r="F857" s="9" t="n"/>
      <c r="G857" s="9">
        <f>IF(OR(E857="",F857=""),"",DATEDIF(E857,F857,"Y"))</f>
        <v/>
      </c>
      <c r="H857" s="9" t="n"/>
    </row>
    <row r="858" ht="14.25" customHeight="1" s="37">
      <c r="A858" s="9" t="n"/>
      <c r="B858" s="9" t="n"/>
      <c r="C858" s="9" t="n"/>
      <c r="D858" s="9" t="n"/>
      <c r="E858" s="9" t="n"/>
      <c r="F858" s="9" t="n"/>
      <c r="G858" s="9">
        <f>IF(OR(E858="",F858=""),"",DATEDIF(E858,F858,"Y"))</f>
        <v/>
      </c>
      <c r="H858" s="9" t="n"/>
    </row>
    <row r="859" ht="14.25" customHeight="1" s="37">
      <c r="A859" s="9" t="n"/>
      <c r="B859" s="9" t="n"/>
      <c r="C859" s="9" t="n"/>
      <c r="D859" s="9" t="n"/>
      <c r="E859" s="9" t="n"/>
      <c r="F859" s="9" t="n"/>
      <c r="G859" s="9">
        <f>IF(OR(E859="",F859=""),"",DATEDIF(E859,F859,"Y"))</f>
        <v/>
      </c>
      <c r="H859" s="9" t="n"/>
    </row>
    <row r="860" ht="14.25" customHeight="1" s="37">
      <c r="A860" s="9" t="n"/>
      <c r="B860" s="9" t="n"/>
      <c r="C860" s="9" t="n"/>
      <c r="D860" s="9" t="n"/>
      <c r="E860" s="9" t="n"/>
      <c r="F860" s="9" t="n"/>
      <c r="G860" s="9">
        <f>IF(OR(E860="",F860=""),"",DATEDIF(E860,F860,"Y"))</f>
        <v/>
      </c>
      <c r="H860" s="9" t="n"/>
    </row>
    <row r="861" ht="14.25" customHeight="1" s="37">
      <c r="A861" s="9" t="n"/>
      <c r="B861" s="9" t="n"/>
      <c r="C861" s="9" t="n"/>
      <c r="D861" s="9" t="n"/>
      <c r="E861" s="9" t="n"/>
      <c r="F861" s="9" t="n"/>
      <c r="G861" s="9">
        <f>IF(OR(E861="",F861=""),"",DATEDIF(E861,F861,"Y"))</f>
        <v/>
      </c>
      <c r="H861" s="9" t="n"/>
    </row>
    <row r="862" ht="14.25" customHeight="1" s="37">
      <c r="A862" s="9" t="n"/>
      <c r="B862" s="9" t="n"/>
      <c r="C862" s="9" t="n"/>
      <c r="D862" s="9" t="n"/>
      <c r="E862" s="9" t="n"/>
      <c r="F862" s="9" t="n"/>
      <c r="G862" s="9">
        <f>IF(OR(E862="",F862=""),"",DATEDIF(E862,F862,"Y"))</f>
        <v/>
      </c>
      <c r="H862" s="9" t="n"/>
    </row>
    <row r="863" ht="14.25" customHeight="1" s="37">
      <c r="A863" s="9" t="n"/>
      <c r="B863" s="9" t="n"/>
      <c r="C863" s="9" t="n"/>
      <c r="D863" s="9" t="n"/>
      <c r="E863" s="9" t="n"/>
      <c r="F863" s="9" t="n"/>
      <c r="G863" s="9">
        <f>IF(OR(E863="",F863=""),"",DATEDIF(E863,F863,"Y"))</f>
        <v/>
      </c>
      <c r="H863" s="9" t="n"/>
    </row>
    <row r="864" ht="14.25" customHeight="1" s="37">
      <c r="A864" s="9" t="n"/>
      <c r="B864" s="9" t="n"/>
      <c r="C864" s="9" t="n"/>
      <c r="D864" s="9" t="n"/>
      <c r="E864" s="9" t="n"/>
      <c r="F864" s="9" t="n"/>
      <c r="G864" s="9">
        <f>IF(OR(E864="",F864=""),"",DATEDIF(E864,F864,"Y"))</f>
        <v/>
      </c>
      <c r="H864" s="9" t="n"/>
    </row>
    <row r="865" ht="14.25" customHeight="1" s="37">
      <c r="A865" s="9" t="n"/>
      <c r="B865" s="9" t="n"/>
      <c r="C865" s="9" t="n"/>
      <c r="D865" s="9" t="n"/>
      <c r="E865" s="9" t="n"/>
      <c r="F865" s="9" t="n"/>
      <c r="G865" s="9">
        <f>IF(OR(E865="",F865=""),"",DATEDIF(E865,F865,"Y"))</f>
        <v/>
      </c>
      <c r="H865" s="9" t="n"/>
    </row>
    <row r="866" ht="14.25" customHeight="1" s="37">
      <c r="A866" s="9" t="n"/>
      <c r="B866" s="9" t="n"/>
      <c r="C866" s="9" t="n"/>
      <c r="D866" s="9" t="n"/>
      <c r="E866" s="9" t="n"/>
      <c r="F866" s="9" t="n"/>
      <c r="G866" s="9">
        <f>IF(OR(E866="",F866=""),"",DATEDIF(E866,F866,"Y"))</f>
        <v/>
      </c>
      <c r="H866" s="9" t="n"/>
    </row>
    <row r="867" ht="14.25" customHeight="1" s="37">
      <c r="A867" s="9" t="n"/>
      <c r="B867" s="9" t="n"/>
      <c r="C867" s="9" t="n"/>
      <c r="D867" s="9" t="n"/>
      <c r="E867" s="9" t="n"/>
      <c r="F867" s="9" t="n"/>
      <c r="G867" s="9">
        <f>IF(OR(E867="",F867=""),"",DATEDIF(E867,F867,"Y"))</f>
        <v/>
      </c>
      <c r="H867" s="9" t="n"/>
    </row>
    <row r="868" ht="14.25" customHeight="1" s="37">
      <c r="A868" s="9" t="n"/>
      <c r="B868" s="9" t="n"/>
      <c r="C868" s="9" t="n"/>
      <c r="D868" s="9" t="n"/>
      <c r="E868" s="9" t="n"/>
      <c r="F868" s="9" t="n"/>
      <c r="G868" s="9">
        <f>IF(OR(E868="",F868=""),"",DATEDIF(E868,F868,"Y"))</f>
        <v/>
      </c>
      <c r="H868" s="9" t="n"/>
    </row>
    <row r="869" ht="14.25" customHeight="1" s="37">
      <c r="A869" s="9" t="n"/>
      <c r="B869" s="9" t="n"/>
      <c r="C869" s="9" t="n"/>
      <c r="D869" s="9" t="n"/>
      <c r="E869" s="9" t="n"/>
      <c r="F869" s="9" t="n"/>
      <c r="G869" s="9">
        <f>IF(OR(E869="",F869=""),"",DATEDIF(E869,F869,"Y"))</f>
        <v/>
      </c>
      <c r="H869" s="9" t="n"/>
    </row>
    <row r="870" ht="14.25" customHeight="1" s="37">
      <c r="A870" s="9" t="n"/>
      <c r="B870" s="9" t="n"/>
      <c r="C870" s="9" t="n"/>
      <c r="D870" s="9" t="n"/>
      <c r="E870" s="9" t="n"/>
      <c r="F870" s="9" t="n"/>
      <c r="G870" s="9">
        <f>IF(OR(E870="",F870=""),"",DATEDIF(E870,F870,"Y"))</f>
        <v/>
      </c>
      <c r="H870" s="9" t="n"/>
    </row>
    <row r="871" ht="14.25" customHeight="1" s="37">
      <c r="A871" s="9" t="n"/>
      <c r="B871" s="9" t="n"/>
      <c r="C871" s="9" t="n"/>
      <c r="D871" s="9" t="n"/>
      <c r="E871" s="9" t="n"/>
      <c r="F871" s="9" t="n"/>
      <c r="G871" s="9">
        <f>IF(OR(E871="",F871=""),"",DATEDIF(E871,F871,"Y"))</f>
        <v/>
      </c>
      <c r="H871" s="9" t="n"/>
    </row>
    <row r="872" ht="14.25" customHeight="1" s="37">
      <c r="A872" s="9" t="n"/>
      <c r="B872" s="9" t="n"/>
      <c r="C872" s="9" t="n"/>
      <c r="D872" s="9" t="n"/>
      <c r="E872" s="9" t="n"/>
      <c r="F872" s="9" t="n"/>
      <c r="G872" s="9">
        <f>IF(OR(E872="",F872=""),"",DATEDIF(E872,F872,"Y"))</f>
        <v/>
      </c>
      <c r="H872" s="9" t="n"/>
    </row>
    <row r="873" ht="14.25" customHeight="1" s="37">
      <c r="A873" s="9" t="n"/>
      <c r="B873" s="9" t="n"/>
      <c r="C873" s="9" t="n"/>
      <c r="D873" s="9" t="n"/>
      <c r="E873" s="9" t="n"/>
      <c r="F873" s="9" t="n"/>
      <c r="G873" s="9">
        <f>IF(OR(E873="",F873=""),"",DATEDIF(E873,F873,"Y"))</f>
        <v/>
      </c>
      <c r="H873" s="9" t="n"/>
    </row>
    <row r="874" ht="14.25" customHeight="1" s="37">
      <c r="A874" s="9" t="n"/>
      <c r="B874" s="9" t="n"/>
      <c r="C874" s="9" t="n"/>
      <c r="D874" s="9" t="n"/>
      <c r="E874" s="9" t="n"/>
      <c r="F874" s="9" t="n"/>
      <c r="G874" s="9">
        <f>IF(OR(E874="",F874=""),"",DATEDIF(E874,F874,"Y"))</f>
        <v/>
      </c>
      <c r="H874" s="9" t="n"/>
    </row>
    <row r="875" ht="14.25" customHeight="1" s="37">
      <c r="A875" s="9" t="n"/>
      <c r="B875" s="9" t="n"/>
      <c r="C875" s="9" t="n"/>
      <c r="D875" s="9" t="n"/>
      <c r="E875" s="9" t="n"/>
      <c r="F875" s="9" t="n"/>
      <c r="G875" s="9">
        <f>IF(OR(E875="",F875=""),"",DATEDIF(E875,F875,"Y"))</f>
        <v/>
      </c>
      <c r="H875" s="9" t="n"/>
    </row>
    <row r="876" ht="14.25" customHeight="1" s="37">
      <c r="A876" s="9" t="n"/>
      <c r="B876" s="9" t="n"/>
      <c r="C876" s="9" t="n"/>
      <c r="D876" s="9" t="n"/>
      <c r="E876" s="9" t="n"/>
      <c r="F876" s="9" t="n"/>
      <c r="G876" s="9">
        <f>IF(OR(E876="",F876=""),"",DATEDIF(E876,F876,"Y"))</f>
        <v/>
      </c>
      <c r="H876" s="9" t="n"/>
    </row>
    <row r="877" ht="14.25" customHeight="1" s="37">
      <c r="A877" s="9" t="n"/>
      <c r="B877" s="9" t="n"/>
      <c r="C877" s="9" t="n"/>
      <c r="D877" s="9" t="n"/>
      <c r="E877" s="9" t="n"/>
      <c r="F877" s="9" t="n"/>
      <c r="G877" s="9">
        <f>IF(OR(E877="",F877=""),"",DATEDIF(E877,F877,"Y"))</f>
        <v/>
      </c>
      <c r="H877" s="9" t="n"/>
    </row>
    <row r="878" ht="14.25" customHeight="1" s="37">
      <c r="A878" s="9" t="n"/>
      <c r="B878" s="9" t="n"/>
      <c r="C878" s="9" t="n"/>
      <c r="D878" s="9" t="n"/>
      <c r="E878" s="9" t="n"/>
      <c r="F878" s="9" t="n"/>
      <c r="G878" s="9">
        <f>IF(OR(E878="",F878=""),"",DATEDIF(E878,F878,"Y"))</f>
        <v/>
      </c>
      <c r="H878" s="9" t="n"/>
    </row>
    <row r="879" ht="14.25" customHeight="1" s="37">
      <c r="A879" s="9" t="n"/>
      <c r="B879" s="9" t="n"/>
      <c r="C879" s="9" t="n"/>
      <c r="D879" s="9" t="n"/>
      <c r="E879" s="9" t="n"/>
      <c r="F879" s="9" t="n"/>
      <c r="G879" s="9">
        <f>IF(OR(E879="",F879=""),"",DATEDIF(E879,F879,"Y"))</f>
        <v/>
      </c>
      <c r="H879" s="9" t="n"/>
    </row>
    <row r="880" ht="14.25" customHeight="1" s="37">
      <c r="A880" s="9" t="n"/>
      <c r="B880" s="9" t="n"/>
      <c r="C880" s="9" t="n"/>
      <c r="D880" s="9" t="n"/>
      <c r="E880" s="9" t="n"/>
      <c r="F880" s="9" t="n"/>
      <c r="G880" s="9">
        <f>IF(OR(E880="",F880=""),"",DATEDIF(E880,F880,"Y"))</f>
        <v/>
      </c>
      <c r="H880" s="9" t="n"/>
    </row>
    <row r="881" ht="14.25" customHeight="1" s="37">
      <c r="A881" s="9" t="n"/>
      <c r="B881" s="9" t="n"/>
      <c r="C881" s="9" t="n"/>
      <c r="D881" s="9" t="n"/>
      <c r="E881" s="9" t="n"/>
      <c r="F881" s="9" t="n"/>
      <c r="G881" s="9">
        <f>IF(OR(E881="",F881=""),"",DATEDIF(E881,F881,"Y"))</f>
        <v/>
      </c>
      <c r="H881" s="9" t="n"/>
    </row>
    <row r="882" ht="14.25" customHeight="1" s="37">
      <c r="A882" s="9" t="n"/>
      <c r="B882" s="9" t="n"/>
      <c r="C882" s="9" t="n"/>
      <c r="D882" s="9" t="n"/>
      <c r="E882" s="9" t="n"/>
      <c r="F882" s="9" t="n"/>
      <c r="G882" s="9">
        <f>IF(OR(E882="",F882=""),"",DATEDIF(E882,F882,"Y"))</f>
        <v/>
      </c>
      <c r="H882" s="9" t="n"/>
    </row>
    <row r="883" ht="14.25" customHeight="1" s="37">
      <c r="A883" s="9" t="n"/>
      <c r="B883" s="9" t="n"/>
      <c r="C883" s="9" t="n"/>
      <c r="D883" s="9" t="n"/>
      <c r="E883" s="9" t="n"/>
      <c r="F883" s="9" t="n"/>
      <c r="G883" s="9">
        <f>IF(OR(E883="",F883=""),"",DATEDIF(E883,F883,"Y"))</f>
        <v/>
      </c>
      <c r="H883" s="9" t="n"/>
    </row>
    <row r="884" ht="14.25" customHeight="1" s="37">
      <c r="A884" s="9" t="n"/>
      <c r="B884" s="9" t="n"/>
      <c r="C884" s="9" t="n"/>
      <c r="D884" s="9" t="n"/>
      <c r="E884" s="9" t="n"/>
      <c r="F884" s="9" t="n"/>
      <c r="G884" s="9">
        <f>IF(OR(E884="",F884=""),"",DATEDIF(E884,F884,"Y"))</f>
        <v/>
      </c>
      <c r="H884" s="9" t="n"/>
    </row>
    <row r="885" ht="14.25" customHeight="1" s="37">
      <c r="A885" s="9" t="n"/>
      <c r="B885" s="9" t="n"/>
      <c r="C885" s="9" t="n"/>
      <c r="D885" s="9" t="n"/>
      <c r="E885" s="9" t="n"/>
      <c r="F885" s="9" t="n"/>
      <c r="G885" s="9">
        <f>IF(OR(E885="",F885=""),"",DATEDIF(E885,F885,"Y"))</f>
        <v/>
      </c>
      <c r="H885" s="9" t="n"/>
    </row>
    <row r="886" ht="14.25" customHeight="1" s="37">
      <c r="A886" s="9" t="n"/>
      <c r="B886" s="9" t="n"/>
      <c r="C886" s="9" t="n"/>
      <c r="D886" s="9" t="n"/>
      <c r="E886" s="9" t="n"/>
      <c r="F886" s="9" t="n"/>
      <c r="G886" s="9">
        <f>IF(OR(E886="",F886=""),"",DATEDIF(E886,F886,"Y"))</f>
        <v/>
      </c>
      <c r="H886" s="9" t="n"/>
    </row>
    <row r="887" ht="14.25" customHeight="1" s="37">
      <c r="A887" s="9" t="n"/>
      <c r="B887" s="9" t="n"/>
      <c r="C887" s="9" t="n"/>
      <c r="D887" s="9" t="n"/>
      <c r="E887" s="9" t="n"/>
      <c r="F887" s="9" t="n"/>
      <c r="G887" s="9">
        <f>IF(OR(E887="",F887=""),"",DATEDIF(E887,F887,"Y"))</f>
        <v/>
      </c>
      <c r="H887" s="9" t="n"/>
    </row>
    <row r="888" ht="14.25" customHeight="1" s="37">
      <c r="A888" s="9" t="n"/>
      <c r="B888" s="9" t="n"/>
      <c r="C888" s="9" t="n"/>
      <c r="D888" s="9" t="n"/>
      <c r="E888" s="9" t="n"/>
      <c r="F888" s="9" t="n"/>
      <c r="G888" s="9">
        <f>IF(OR(E888="",F888=""),"",DATEDIF(E888,F888,"Y"))</f>
        <v/>
      </c>
      <c r="H888" s="9" t="n"/>
    </row>
    <row r="889" ht="14.25" customHeight="1" s="37">
      <c r="A889" s="9" t="n"/>
      <c r="B889" s="9" t="n"/>
      <c r="C889" s="9" t="n"/>
      <c r="D889" s="9" t="n"/>
      <c r="E889" s="9" t="n"/>
      <c r="F889" s="9" t="n"/>
      <c r="G889" s="9">
        <f>IF(OR(E889="",F889=""),"",DATEDIF(E889,F889,"Y"))</f>
        <v/>
      </c>
      <c r="H889" s="9" t="n"/>
    </row>
    <row r="890" ht="14.25" customHeight="1" s="37">
      <c r="A890" s="9" t="n"/>
      <c r="B890" s="9" t="n"/>
      <c r="C890" s="9" t="n"/>
      <c r="D890" s="9" t="n"/>
      <c r="E890" s="9" t="n"/>
      <c r="F890" s="9" t="n"/>
      <c r="G890" s="9">
        <f>IF(OR(E890="",F890=""),"",DATEDIF(E890,F890,"Y"))</f>
        <v/>
      </c>
      <c r="H890" s="9" t="n"/>
    </row>
    <row r="891" ht="14.25" customHeight="1" s="37">
      <c r="A891" s="9" t="n"/>
      <c r="B891" s="9" t="n"/>
      <c r="C891" s="9" t="n"/>
      <c r="D891" s="9" t="n"/>
      <c r="E891" s="9" t="n"/>
      <c r="F891" s="9" t="n"/>
      <c r="G891" s="9">
        <f>IF(OR(E891="",F891=""),"",DATEDIF(E891,F891,"Y"))</f>
        <v/>
      </c>
      <c r="H891" s="9" t="n"/>
    </row>
    <row r="892" ht="14.25" customHeight="1" s="37">
      <c r="A892" s="9" t="n"/>
      <c r="B892" s="9" t="n"/>
      <c r="C892" s="9" t="n"/>
      <c r="D892" s="9" t="n"/>
      <c r="E892" s="9" t="n"/>
      <c r="F892" s="9" t="n"/>
      <c r="G892" s="9">
        <f>IF(OR(E892="",F892=""),"",DATEDIF(E892,F892,"Y"))</f>
        <v/>
      </c>
      <c r="H892" s="9" t="n"/>
    </row>
    <row r="893" ht="14.25" customHeight="1" s="37">
      <c r="A893" s="9" t="n"/>
      <c r="B893" s="9" t="n"/>
      <c r="C893" s="9" t="n"/>
      <c r="D893" s="9" t="n"/>
      <c r="E893" s="9" t="n"/>
      <c r="F893" s="9" t="n"/>
      <c r="G893" s="9">
        <f>IF(OR(E893="",F893=""),"",DATEDIF(E893,F893,"Y"))</f>
        <v/>
      </c>
      <c r="H893" s="9" t="n"/>
    </row>
    <row r="894" ht="14.25" customHeight="1" s="37">
      <c r="A894" s="9" t="n"/>
      <c r="B894" s="9" t="n"/>
      <c r="C894" s="9" t="n"/>
      <c r="D894" s="9" t="n"/>
      <c r="E894" s="9" t="n"/>
      <c r="F894" s="9" t="n"/>
      <c r="G894" s="9">
        <f>IF(OR(E894="",F894=""),"",DATEDIF(E894,F894,"Y"))</f>
        <v/>
      </c>
      <c r="H894" s="9" t="n"/>
    </row>
    <row r="895" ht="14.25" customHeight="1" s="37">
      <c r="A895" s="9" t="n"/>
      <c r="B895" s="9" t="n"/>
      <c r="C895" s="9" t="n"/>
      <c r="D895" s="9" t="n"/>
      <c r="E895" s="9" t="n"/>
      <c r="F895" s="9" t="n"/>
      <c r="G895" s="9">
        <f>IF(OR(E895="",F895=""),"",DATEDIF(E895,F895,"Y"))</f>
        <v/>
      </c>
      <c r="H895" s="9" t="n"/>
    </row>
    <row r="896" ht="14.25" customHeight="1" s="37">
      <c r="A896" s="9" t="n"/>
      <c r="B896" s="9" t="n"/>
      <c r="C896" s="9" t="n"/>
      <c r="D896" s="9" t="n"/>
      <c r="E896" s="9" t="n"/>
      <c r="F896" s="9" t="n"/>
      <c r="G896" s="9">
        <f>IF(OR(E896="",F896=""),"",DATEDIF(E896,F896,"Y"))</f>
        <v/>
      </c>
      <c r="H896" s="9" t="n"/>
    </row>
    <row r="897" ht="14.25" customHeight="1" s="37">
      <c r="A897" s="9" t="n"/>
      <c r="B897" s="9" t="n"/>
      <c r="C897" s="9" t="n"/>
      <c r="D897" s="9" t="n"/>
      <c r="E897" s="9" t="n"/>
      <c r="F897" s="9" t="n"/>
      <c r="G897" s="9">
        <f>IF(OR(E897="",F897=""),"",DATEDIF(E897,F897,"Y"))</f>
        <v/>
      </c>
      <c r="H897" s="9" t="n"/>
    </row>
    <row r="898" ht="14.25" customHeight="1" s="37">
      <c r="A898" s="9" t="n"/>
      <c r="B898" s="9" t="n"/>
      <c r="C898" s="9" t="n"/>
      <c r="D898" s="9" t="n"/>
      <c r="E898" s="9" t="n"/>
      <c r="F898" s="9" t="n"/>
      <c r="G898" s="9">
        <f>IF(OR(E898="",F898=""),"",DATEDIF(E898,F898,"Y"))</f>
        <v/>
      </c>
      <c r="H898" s="9" t="n"/>
    </row>
    <row r="899" ht="14.25" customHeight="1" s="37">
      <c r="A899" s="9" t="n"/>
      <c r="B899" s="9" t="n"/>
      <c r="C899" s="9" t="n"/>
      <c r="D899" s="9" t="n"/>
      <c r="E899" s="9" t="n"/>
      <c r="F899" s="9" t="n"/>
      <c r="G899" s="9">
        <f>IF(OR(E899="",F899=""),"",DATEDIF(E899,F899,"Y"))</f>
        <v/>
      </c>
      <c r="H899" s="9" t="n"/>
    </row>
    <row r="900" ht="14.25" customHeight="1" s="37">
      <c r="A900" s="9" t="n"/>
      <c r="B900" s="9" t="n"/>
      <c r="C900" s="9" t="n"/>
      <c r="D900" s="9" t="n"/>
      <c r="E900" s="9" t="n"/>
      <c r="F900" s="9" t="n"/>
      <c r="G900" s="9">
        <f>IF(OR(E900="",F900=""),"",DATEDIF(E900,F900,"Y"))</f>
        <v/>
      </c>
      <c r="H900" s="9" t="n"/>
    </row>
    <row r="901" ht="14.25" customHeight="1" s="37">
      <c r="A901" s="9" t="n"/>
      <c r="B901" s="9" t="n"/>
      <c r="C901" s="9" t="n"/>
      <c r="D901" s="9" t="n"/>
      <c r="E901" s="9" t="n"/>
      <c r="F901" s="9" t="n"/>
      <c r="G901" s="9">
        <f>IF(OR(E901="",F901=""),"",DATEDIF(E901,F901,"Y"))</f>
        <v/>
      </c>
      <c r="H901" s="9" t="n"/>
    </row>
    <row r="902" ht="14.25" customHeight="1" s="37">
      <c r="A902" s="9" t="n"/>
      <c r="B902" s="9" t="n"/>
      <c r="C902" s="9" t="n"/>
      <c r="D902" s="9" t="n"/>
      <c r="E902" s="9" t="n"/>
      <c r="F902" s="9" t="n"/>
      <c r="G902" s="9">
        <f>IF(OR(E902="",F902=""),"",DATEDIF(E902,F902,"Y"))</f>
        <v/>
      </c>
      <c r="H902" s="9" t="n"/>
    </row>
    <row r="903" ht="14.25" customHeight="1" s="37">
      <c r="A903" s="9" t="n"/>
      <c r="B903" s="9" t="n"/>
      <c r="C903" s="9" t="n"/>
      <c r="D903" s="9" t="n"/>
      <c r="E903" s="9" t="n"/>
      <c r="F903" s="9" t="n"/>
      <c r="G903" s="9">
        <f>IF(OR(E903="",F903=""),"",DATEDIF(E903,F903,"Y"))</f>
        <v/>
      </c>
      <c r="H903" s="9" t="n"/>
    </row>
    <row r="904" ht="14.25" customHeight="1" s="37">
      <c r="A904" s="9" t="n"/>
      <c r="B904" s="9" t="n"/>
      <c r="C904" s="9" t="n"/>
      <c r="D904" s="9" t="n"/>
      <c r="E904" s="9" t="n"/>
      <c r="F904" s="9" t="n"/>
      <c r="G904" s="9">
        <f>IF(OR(E904="",F904=""),"",DATEDIF(E904,F904,"Y"))</f>
        <v/>
      </c>
      <c r="H904" s="9" t="n"/>
    </row>
    <row r="905" ht="14.25" customHeight="1" s="37">
      <c r="A905" s="9" t="n"/>
      <c r="B905" s="9" t="n"/>
      <c r="C905" s="9" t="n"/>
      <c r="D905" s="9" t="n"/>
      <c r="E905" s="9" t="n"/>
      <c r="F905" s="9" t="n"/>
      <c r="G905" s="9">
        <f>IF(OR(E905="",F905=""),"",DATEDIF(E905,F905,"Y"))</f>
        <v/>
      </c>
      <c r="H905" s="9" t="n"/>
    </row>
    <row r="906" ht="14.25" customHeight="1" s="37">
      <c r="A906" s="9" t="n"/>
      <c r="B906" s="9" t="n"/>
      <c r="C906" s="9" t="n"/>
      <c r="D906" s="9" t="n"/>
      <c r="E906" s="9" t="n"/>
      <c r="F906" s="9" t="n"/>
      <c r="G906" s="9">
        <f>IF(OR(E906="",F906=""),"",DATEDIF(E906,F906,"Y"))</f>
        <v/>
      </c>
      <c r="H906" s="9" t="n"/>
    </row>
    <row r="907" ht="14.25" customHeight="1" s="37">
      <c r="A907" s="9" t="n"/>
      <c r="B907" s="9" t="n"/>
      <c r="C907" s="9" t="n"/>
      <c r="D907" s="9" t="n"/>
      <c r="E907" s="9" t="n"/>
      <c r="F907" s="9" t="n"/>
      <c r="G907" s="9">
        <f>IF(OR(E907="",F907=""),"",DATEDIF(E907,F907,"Y"))</f>
        <v/>
      </c>
      <c r="H907" s="9" t="n"/>
    </row>
    <row r="908" ht="14.25" customHeight="1" s="37">
      <c r="A908" s="9" t="n"/>
      <c r="B908" s="9" t="n"/>
      <c r="C908" s="9" t="n"/>
      <c r="D908" s="9" t="n"/>
      <c r="E908" s="9" t="n"/>
      <c r="F908" s="9" t="n"/>
      <c r="G908" s="9">
        <f>IF(OR(E908="",F908=""),"",DATEDIF(E908,F908,"Y"))</f>
        <v/>
      </c>
      <c r="H908" s="9" t="n"/>
    </row>
    <row r="909" ht="14.25" customHeight="1" s="37">
      <c r="A909" s="9" t="n"/>
      <c r="B909" s="9" t="n"/>
      <c r="C909" s="9" t="n"/>
      <c r="D909" s="9" t="n"/>
      <c r="E909" s="9" t="n"/>
      <c r="F909" s="9" t="n"/>
      <c r="G909" s="9">
        <f>IF(OR(E909="",F909=""),"",DATEDIF(E909,F909,"Y"))</f>
        <v/>
      </c>
      <c r="H909" s="9" t="n"/>
    </row>
    <row r="910" ht="14.25" customHeight="1" s="37">
      <c r="A910" s="9" t="n"/>
      <c r="B910" s="9" t="n"/>
      <c r="C910" s="9" t="n"/>
      <c r="D910" s="9" t="n"/>
      <c r="E910" s="9" t="n"/>
      <c r="F910" s="9" t="n"/>
      <c r="G910" s="9">
        <f>IF(OR(E910="",F910=""),"",DATEDIF(E910,F910,"Y"))</f>
        <v/>
      </c>
      <c r="H910" s="9" t="n"/>
    </row>
    <row r="911" ht="14.25" customHeight="1" s="37">
      <c r="A911" s="9" t="n"/>
      <c r="B911" s="9" t="n"/>
      <c r="C911" s="9" t="n"/>
      <c r="D911" s="9" t="n"/>
      <c r="E911" s="9" t="n"/>
      <c r="F911" s="9" t="n"/>
      <c r="G911" s="9">
        <f>IF(OR(E911="",F911=""),"",DATEDIF(E911,F911,"Y"))</f>
        <v/>
      </c>
      <c r="H911" s="9" t="n"/>
    </row>
    <row r="912" ht="14.25" customHeight="1" s="37">
      <c r="A912" s="9" t="n"/>
      <c r="B912" s="9" t="n"/>
      <c r="C912" s="9" t="n"/>
      <c r="D912" s="9" t="n"/>
      <c r="E912" s="9" t="n"/>
      <c r="F912" s="9" t="n"/>
      <c r="G912" s="9">
        <f>IF(OR(E912="",F912=""),"",DATEDIF(E912,F912,"Y"))</f>
        <v/>
      </c>
      <c r="H912" s="9" t="n"/>
    </row>
    <row r="913" ht="14.25" customHeight="1" s="37">
      <c r="A913" s="9" t="n"/>
      <c r="B913" s="9" t="n"/>
      <c r="C913" s="9" t="n"/>
      <c r="D913" s="9" t="n"/>
      <c r="E913" s="9" t="n"/>
      <c r="F913" s="9" t="n"/>
      <c r="G913" s="9">
        <f>IF(OR(E913="",F913=""),"",DATEDIF(E913,F913,"Y"))</f>
        <v/>
      </c>
      <c r="H913" s="9" t="n"/>
    </row>
    <row r="914" ht="14.25" customHeight="1" s="37">
      <c r="A914" s="9" t="n"/>
      <c r="B914" s="9" t="n"/>
      <c r="C914" s="9" t="n"/>
      <c r="D914" s="9" t="n"/>
      <c r="E914" s="9" t="n"/>
      <c r="F914" s="9" t="n"/>
      <c r="G914" s="9">
        <f>IF(OR(E914="",F914=""),"",DATEDIF(E914,F914,"Y"))</f>
        <v/>
      </c>
      <c r="H914" s="9" t="n"/>
    </row>
    <row r="915" ht="14.25" customHeight="1" s="37">
      <c r="A915" s="9" t="n"/>
      <c r="B915" s="9" t="n"/>
      <c r="C915" s="9" t="n"/>
      <c r="D915" s="9" t="n"/>
      <c r="E915" s="9" t="n"/>
      <c r="F915" s="9" t="n"/>
      <c r="G915" s="9">
        <f>IF(OR(E915="",F915=""),"",DATEDIF(E915,F915,"Y"))</f>
        <v/>
      </c>
      <c r="H915" s="9" t="n"/>
    </row>
    <row r="916" ht="14.25" customHeight="1" s="37">
      <c r="A916" s="9" t="n"/>
      <c r="B916" s="9" t="n"/>
      <c r="C916" s="9" t="n"/>
      <c r="D916" s="9" t="n"/>
      <c r="E916" s="9" t="n"/>
      <c r="F916" s="9" t="n"/>
      <c r="G916" s="9">
        <f>IF(OR(E916="",F916=""),"",DATEDIF(E916,F916,"Y"))</f>
        <v/>
      </c>
      <c r="H916" s="9" t="n"/>
    </row>
    <row r="917" ht="14.25" customHeight="1" s="37">
      <c r="A917" s="9" t="n"/>
      <c r="B917" s="9" t="n"/>
      <c r="C917" s="9" t="n"/>
      <c r="D917" s="9" t="n"/>
      <c r="E917" s="9" t="n"/>
      <c r="F917" s="9" t="n"/>
      <c r="G917" s="9">
        <f>IF(OR(E917="",F917=""),"",DATEDIF(E917,F917,"Y"))</f>
        <v/>
      </c>
      <c r="H917" s="9" t="n"/>
    </row>
    <row r="918" ht="14.25" customHeight="1" s="37">
      <c r="A918" s="9" t="n"/>
      <c r="B918" s="9" t="n"/>
      <c r="C918" s="9" t="n"/>
      <c r="D918" s="9" t="n"/>
      <c r="E918" s="9" t="n"/>
      <c r="F918" s="9" t="n"/>
      <c r="G918" s="9">
        <f>IF(OR(E918="",F918=""),"",DATEDIF(E918,F918,"Y"))</f>
        <v/>
      </c>
      <c r="H918" s="9" t="n"/>
    </row>
    <row r="919" ht="14.25" customHeight="1" s="37">
      <c r="A919" s="9" t="n"/>
      <c r="B919" s="9" t="n"/>
      <c r="C919" s="9" t="n"/>
      <c r="D919" s="9" t="n"/>
      <c r="E919" s="9" t="n"/>
      <c r="F919" s="9" t="n"/>
      <c r="G919" s="9">
        <f>IF(OR(E919="",F919=""),"",DATEDIF(E919,F919,"Y"))</f>
        <v/>
      </c>
      <c r="H919" s="9" t="n"/>
    </row>
    <row r="920" ht="14.25" customHeight="1" s="37">
      <c r="A920" s="9" t="n"/>
      <c r="B920" s="9" t="n"/>
      <c r="C920" s="9" t="n"/>
      <c r="D920" s="9" t="n"/>
      <c r="E920" s="9" t="n"/>
      <c r="F920" s="9" t="n"/>
      <c r="G920" s="9">
        <f>IF(OR(E920="",F920=""),"",DATEDIF(E920,F920,"Y"))</f>
        <v/>
      </c>
      <c r="H920" s="9" t="n"/>
    </row>
    <row r="921" ht="14.25" customHeight="1" s="37">
      <c r="A921" s="9" t="n"/>
      <c r="B921" s="9" t="n"/>
      <c r="C921" s="9" t="n"/>
      <c r="D921" s="9" t="n"/>
      <c r="E921" s="9" t="n"/>
      <c r="F921" s="9" t="n"/>
      <c r="G921" s="9">
        <f>IF(OR(E921="",F921=""),"",DATEDIF(E921,F921,"Y"))</f>
        <v/>
      </c>
      <c r="H921" s="9" t="n"/>
    </row>
    <row r="922" ht="14.25" customHeight="1" s="37">
      <c r="A922" s="9" t="n"/>
      <c r="B922" s="9" t="n"/>
      <c r="C922" s="9" t="n"/>
      <c r="D922" s="9" t="n"/>
      <c r="E922" s="9" t="n"/>
      <c r="F922" s="9" t="n"/>
      <c r="G922" s="9">
        <f>IF(OR(E922="",F922=""),"",DATEDIF(E922,F922,"Y"))</f>
        <v/>
      </c>
      <c r="H922" s="9" t="n"/>
    </row>
    <row r="923" ht="14.25" customHeight="1" s="37">
      <c r="A923" s="9" t="n"/>
      <c r="B923" s="9" t="n"/>
      <c r="C923" s="9" t="n"/>
      <c r="D923" s="9" t="n"/>
      <c r="E923" s="9" t="n"/>
      <c r="F923" s="9" t="n"/>
      <c r="G923" s="9">
        <f>IF(OR(E923="",F923=""),"",DATEDIF(E923,F923,"Y"))</f>
        <v/>
      </c>
      <c r="H923" s="9" t="n"/>
    </row>
    <row r="924" ht="14.25" customHeight="1" s="37">
      <c r="A924" s="9" t="n"/>
      <c r="B924" s="9" t="n"/>
      <c r="C924" s="9" t="n"/>
      <c r="D924" s="9" t="n"/>
      <c r="E924" s="9" t="n"/>
      <c r="F924" s="9" t="n"/>
      <c r="G924" s="9">
        <f>IF(OR(E924="",F924=""),"",DATEDIF(E924,F924,"Y"))</f>
        <v/>
      </c>
      <c r="H924" s="9" t="n"/>
    </row>
    <row r="925" ht="14.25" customHeight="1" s="37">
      <c r="A925" s="9" t="n"/>
      <c r="B925" s="9" t="n"/>
      <c r="C925" s="9" t="n"/>
      <c r="D925" s="9" t="n"/>
      <c r="E925" s="9" t="n"/>
      <c r="F925" s="9" t="n"/>
      <c r="G925" s="9">
        <f>IF(OR(E925="",F925=""),"",DATEDIF(E925,F925,"Y"))</f>
        <v/>
      </c>
      <c r="H925" s="9" t="n"/>
    </row>
    <row r="926" ht="14.25" customHeight="1" s="37">
      <c r="A926" s="9" t="n"/>
      <c r="B926" s="9" t="n"/>
      <c r="C926" s="9" t="n"/>
      <c r="D926" s="9" t="n"/>
      <c r="E926" s="9" t="n"/>
      <c r="F926" s="9" t="n"/>
      <c r="G926" s="9">
        <f>IF(OR(E926="",F926=""),"",DATEDIF(E926,F926,"Y"))</f>
        <v/>
      </c>
      <c r="H926" s="9" t="n"/>
    </row>
    <row r="927" ht="14.25" customHeight="1" s="37">
      <c r="A927" s="9" t="n"/>
      <c r="B927" s="9" t="n"/>
      <c r="C927" s="9" t="n"/>
      <c r="D927" s="9" t="n"/>
      <c r="E927" s="9" t="n"/>
      <c r="F927" s="9" t="n"/>
      <c r="G927" s="9">
        <f>IF(OR(E927="",F927=""),"",DATEDIF(E927,F927,"Y"))</f>
        <v/>
      </c>
      <c r="H927" s="9" t="n"/>
    </row>
    <row r="928" ht="14.25" customHeight="1" s="37">
      <c r="A928" s="9" t="n"/>
      <c r="B928" s="9" t="n"/>
      <c r="C928" s="9" t="n"/>
      <c r="D928" s="9" t="n"/>
      <c r="E928" s="9" t="n"/>
      <c r="F928" s="9" t="n"/>
      <c r="G928" s="9">
        <f>IF(OR(E928="",F928=""),"",DATEDIF(E928,F928,"Y"))</f>
        <v/>
      </c>
      <c r="H928" s="9" t="n"/>
    </row>
    <row r="929" ht="14.25" customHeight="1" s="37">
      <c r="A929" s="9" t="n"/>
      <c r="B929" s="9" t="n"/>
      <c r="C929" s="9" t="n"/>
      <c r="D929" s="9" t="n"/>
      <c r="E929" s="9" t="n"/>
      <c r="F929" s="9" t="n"/>
      <c r="G929" s="9">
        <f>IF(OR(E929="",F929=""),"",DATEDIF(E929,F929,"Y"))</f>
        <v/>
      </c>
      <c r="H929" s="9" t="n"/>
    </row>
    <row r="930" ht="14.25" customHeight="1" s="37">
      <c r="A930" s="9" t="n"/>
      <c r="B930" s="9" t="n"/>
      <c r="C930" s="9" t="n"/>
      <c r="D930" s="9" t="n"/>
      <c r="E930" s="9" t="n"/>
      <c r="F930" s="9" t="n"/>
      <c r="G930" s="9">
        <f>IF(OR(E930="",F930=""),"",DATEDIF(E930,F930,"Y"))</f>
        <v/>
      </c>
      <c r="H930" s="9" t="n"/>
    </row>
    <row r="931" ht="14.25" customHeight="1" s="37">
      <c r="A931" s="9" t="n"/>
      <c r="B931" s="9" t="n"/>
      <c r="C931" s="9" t="n"/>
      <c r="D931" s="9" t="n"/>
      <c r="E931" s="9" t="n"/>
      <c r="F931" s="9" t="n"/>
      <c r="G931" s="9">
        <f>IF(OR(E931="",F931=""),"",DATEDIF(E931,F931,"Y"))</f>
        <v/>
      </c>
      <c r="H931" s="9" t="n"/>
    </row>
    <row r="932" ht="14.25" customHeight="1" s="37">
      <c r="A932" s="9" t="n"/>
      <c r="B932" s="9" t="n"/>
      <c r="C932" s="9" t="n"/>
      <c r="D932" s="9" t="n"/>
      <c r="E932" s="9" t="n"/>
      <c r="F932" s="9" t="n"/>
      <c r="G932" s="9">
        <f>IF(OR(E932="",F932=""),"",DATEDIF(E932,F932,"Y"))</f>
        <v/>
      </c>
      <c r="H932" s="9" t="n"/>
    </row>
    <row r="933" ht="14.25" customHeight="1" s="37">
      <c r="A933" s="9" t="n"/>
      <c r="B933" s="9" t="n"/>
      <c r="C933" s="9" t="n"/>
      <c r="D933" s="9" t="n"/>
      <c r="E933" s="9" t="n"/>
      <c r="F933" s="9" t="n"/>
      <c r="G933" s="9">
        <f>IF(OR(E933="",F933=""),"",DATEDIF(E933,F933,"Y"))</f>
        <v/>
      </c>
      <c r="H933" s="9" t="n"/>
    </row>
    <row r="934" ht="14.25" customHeight="1" s="37">
      <c r="A934" s="9" t="n"/>
      <c r="B934" s="9" t="n"/>
      <c r="C934" s="9" t="n"/>
      <c r="D934" s="9" t="n"/>
      <c r="E934" s="9" t="n"/>
      <c r="F934" s="9" t="n"/>
      <c r="G934" s="9">
        <f>IF(OR(E934="",F934=""),"",DATEDIF(E934,F934,"Y"))</f>
        <v/>
      </c>
      <c r="H934" s="9" t="n"/>
    </row>
    <row r="935" ht="14.25" customHeight="1" s="37">
      <c r="A935" s="9" t="n"/>
      <c r="B935" s="9" t="n"/>
      <c r="C935" s="9" t="n"/>
      <c r="D935" s="9" t="n"/>
      <c r="E935" s="9" t="n"/>
      <c r="F935" s="9" t="n"/>
      <c r="G935" s="9">
        <f>IF(OR(E935="",F935=""),"",DATEDIF(E935,F935,"Y"))</f>
        <v/>
      </c>
      <c r="H935" s="9" t="n"/>
    </row>
    <row r="936" ht="14.25" customHeight="1" s="37">
      <c r="A936" s="9" t="n"/>
      <c r="B936" s="9" t="n"/>
      <c r="C936" s="9" t="n"/>
      <c r="D936" s="9" t="n"/>
      <c r="E936" s="9" t="n"/>
      <c r="F936" s="9" t="n"/>
      <c r="G936" s="9">
        <f>IF(OR(E936="",F936=""),"",DATEDIF(E936,F936,"Y"))</f>
        <v/>
      </c>
      <c r="H936" s="9" t="n"/>
    </row>
    <row r="937" ht="14.25" customHeight="1" s="37">
      <c r="A937" s="9" t="n"/>
      <c r="B937" s="9" t="n"/>
      <c r="C937" s="9" t="n"/>
      <c r="D937" s="9" t="n"/>
      <c r="E937" s="9" t="n"/>
      <c r="F937" s="9" t="n"/>
      <c r="G937" s="9">
        <f>IF(OR(E937="",F937=""),"",DATEDIF(E937,F937,"Y"))</f>
        <v/>
      </c>
      <c r="H937" s="9" t="n"/>
    </row>
    <row r="938" ht="14.25" customHeight="1" s="37">
      <c r="A938" s="9" t="n"/>
      <c r="B938" s="9" t="n"/>
      <c r="C938" s="9" t="n"/>
      <c r="D938" s="9" t="n"/>
      <c r="E938" s="9" t="n"/>
      <c r="F938" s="9" t="n"/>
      <c r="G938" s="9">
        <f>IF(OR(E938="",F938=""),"",DATEDIF(E938,F938,"Y"))</f>
        <v/>
      </c>
      <c r="H938" s="9" t="n"/>
    </row>
    <row r="939" ht="14.25" customHeight="1" s="37">
      <c r="A939" s="9" t="n"/>
      <c r="B939" s="9" t="n"/>
      <c r="C939" s="9" t="n"/>
      <c r="D939" s="9" t="n"/>
      <c r="E939" s="9" t="n"/>
      <c r="F939" s="9" t="n"/>
      <c r="G939" s="9">
        <f>IF(OR(E939="",F939=""),"",DATEDIF(E939,F939,"Y"))</f>
        <v/>
      </c>
      <c r="H939" s="9" t="n"/>
    </row>
    <row r="940" ht="14.25" customHeight="1" s="37">
      <c r="A940" s="9" t="n"/>
      <c r="B940" s="9" t="n"/>
      <c r="C940" s="9" t="n"/>
      <c r="D940" s="9" t="n"/>
      <c r="E940" s="9" t="n"/>
      <c r="F940" s="9" t="n"/>
      <c r="G940" s="9">
        <f>IF(OR(E940="",F940=""),"",DATEDIF(E940,F940,"Y"))</f>
        <v/>
      </c>
      <c r="H940" s="9" t="n"/>
    </row>
    <row r="941" ht="14.25" customHeight="1" s="37">
      <c r="A941" s="9" t="n"/>
      <c r="B941" s="9" t="n"/>
      <c r="C941" s="9" t="n"/>
      <c r="D941" s="9" t="n"/>
      <c r="E941" s="9" t="n"/>
      <c r="F941" s="9" t="n"/>
      <c r="G941" s="9">
        <f>IF(OR(E941="",F941=""),"",DATEDIF(E941,F941,"Y"))</f>
        <v/>
      </c>
      <c r="H941" s="9" t="n"/>
    </row>
    <row r="942" ht="14.25" customHeight="1" s="37">
      <c r="A942" s="9" t="n"/>
      <c r="B942" s="9" t="n"/>
      <c r="C942" s="9" t="n"/>
      <c r="D942" s="9" t="n"/>
      <c r="E942" s="9" t="n"/>
      <c r="F942" s="9" t="n"/>
      <c r="G942" s="9">
        <f>IF(OR(E942="",F942=""),"",DATEDIF(E942,F942,"Y"))</f>
        <v/>
      </c>
      <c r="H942" s="9" t="n"/>
    </row>
    <row r="943" ht="14.25" customHeight="1" s="37">
      <c r="A943" s="9" t="n"/>
      <c r="B943" s="9" t="n"/>
      <c r="C943" s="9" t="n"/>
      <c r="D943" s="9" t="n"/>
      <c r="E943" s="9" t="n"/>
      <c r="F943" s="9" t="n"/>
      <c r="G943" s="9">
        <f>IF(OR(E943="",F943=""),"",DATEDIF(E943,F943,"Y"))</f>
        <v/>
      </c>
      <c r="H943" s="9" t="n"/>
    </row>
    <row r="944" ht="14.25" customHeight="1" s="37">
      <c r="A944" s="9" t="n"/>
      <c r="B944" s="9" t="n"/>
      <c r="C944" s="9" t="n"/>
      <c r="D944" s="9" t="n"/>
      <c r="E944" s="9" t="n"/>
      <c r="F944" s="9" t="n"/>
      <c r="G944" s="9">
        <f>IF(OR(E944="",F944=""),"",DATEDIF(E944,F944,"Y"))</f>
        <v/>
      </c>
      <c r="H944" s="9" t="n"/>
    </row>
    <row r="945" ht="14.25" customHeight="1" s="37">
      <c r="A945" s="9" t="n"/>
      <c r="B945" s="9" t="n"/>
      <c r="C945" s="9" t="n"/>
      <c r="D945" s="9" t="n"/>
      <c r="E945" s="9" t="n"/>
      <c r="F945" s="9" t="n"/>
      <c r="G945" s="9">
        <f>IF(OR(E945="",F945=""),"",DATEDIF(E945,F945,"Y"))</f>
        <v/>
      </c>
      <c r="H945" s="9" t="n"/>
    </row>
    <row r="946" ht="14.25" customHeight="1" s="37">
      <c r="A946" s="9" t="n"/>
      <c r="B946" s="9" t="n"/>
      <c r="C946" s="9" t="n"/>
      <c r="D946" s="9" t="n"/>
      <c r="E946" s="9" t="n"/>
      <c r="F946" s="9" t="n"/>
      <c r="G946" s="9">
        <f>IF(OR(E946="",F946=""),"",DATEDIF(E946,F946,"Y"))</f>
        <v/>
      </c>
      <c r="H946" s="9" t="n"/>
    </row>
    <row r="947" ht="14.25" customHeight="1" s="37">
      <c r="A947" s="9" t="n"/>
      <c r="B947" s="9" t="n"/>
      <c r="C947" s="9" t="n"/>
      <c r="D947" s="9" t="n"/>
      <c r="E947" s="9" t="n"/>
      <c r="F947" s="9" t="n"/>
      <c r="G947" s="9">
        <f>IF(OR(E947="",F947=""),"",DATEDIF(E947,F947,"Y"))</f>
        <v/>
      </c>
      <c r="H947" s="9" t="n"/>
    </row>
    <row r="948" ht="14.25" customHeight="1" s="37">
      <c r="A948" s="9" t="n"/>
      <c r="B948" s="9" t="n"/>
      <c r="C948" s="9" t="n"/>
      <c r="D948" s="9" t="n"/>
      <c r="E948" s="9" t="n"/>
      <c r="F948" s="9" t="n"/>
      <c r="G948" s="9">
        <f>IF(OR(E948="",F948=""),"",DATEDIF(E948,F948,"Y"))</f>
        <v/>
      </c>
      <c r="H948" s="9" t="n"/>
    </row>
    <row r="949" ht="14.25" customHeight="1" s="37">
      <c r="A949" s="9" t="n"/>
      <c r="B949" s="9" t="n"/>
      <c r="C949" s="9" t="n"/>
      <c r="D949" s="9" t="n"/>
      <c r="E949" s="9" t="n"/>
      <c r="F949" s="9" t="n"/>
      <c r="G949" s="9">
        <f>IF(OR(E949="",F949=""),"",DATEDIF(E949,F949,"Y"))</f>
        <v/>
      </c>
      <c r="H949" s="9" t="n"/>
    </row>
    <row r="950" ht="14.25" customHeight="1" s="37">
      <c r="A950" s="9" t="n"/>
      <c r="B950" s="9" t="n"/>
      <c r="C950" s="9" t="n"/>
      <c r="D950" s="9" t="n"/>
      <c r="E950" s="9" t="n"/>
      <c r="F950" s="9" t="n"/>
      <c r="G950" s="9">
        <f>IF(OR(E950="",F950=""),"",DATEDIF(E950,F950,"Y"))</f>
        <v/>
      </c>
      <c r="H950" s="9" t="n"/>
    </row>
    <row r="951" ht="14.25" customHeight="1" s="37">
      <c r="A951" s="9" t="n"/>
      <c r="B951" s="9" t="n"/>
      <c r="C951" s="9" t="n"/>
      <c r="D951" s="9" t="n"/>
      <c r="E951" s="9" t="n"/>
      <c r="F951" s="9" t="n"/>
      <c r="G951" s="9">
        <f>IF(OR(E951="",F951=""),"",DATEDIF(E951,F951,"Y"))</f>
        <v/>
      </c>
      <c r="H951" s="9" t="n"/>
    </row>
    <row r="952" ht="14.25" customHeight="1" s="37">
      <c r="A952" s="9" t="n"/>
      <c r="B952" s="9" t="n"/>
      <c r="C952" s="9" t="n"/>
      <c r="D952" s="9" t="n"/>
      <c r="E952" s="9" t="n"/>
      <c r="F952" s="9" t="n"/>
      <c r="G952" s="9">
        <f>IF(OR(E952="",F952=""),"",DATEDIF(E952,F952,"Y"))</f>
        <v/>
      </c>
      <c r="H952" s="9" t="n"/>
    </row>
    <row r="953" ht="14.25" customHeight="1" s="37">
      <c r="A953" s="9" t="n"/>
      <c r="B953" s="9" t="n"/>
      <c r="C953" s="9" t="n"/>
      <c r="D953" s="9" t="n"/>
      <c r="E953" s="9" t="n"/>
      <c r="F953" s="9" t="n"/>
      <c r="G953" s="9">
        <f>IF(OR(E953="",F953=""),"",DATEDIF(E953,F953,"Y"))</f>
        <v/>
      </c>
      <c r="H953" s="9" t="n"/>
    </row>
    <row r="954" ht="14.25" customHeight="1" s="37">
      <c r="A954" s="9" t="n"/>
      <c r="B954" s="9" t="n"/>
      <c r="C954" s="9" t="n"/>
      <c r="D954" s="9" t="n"/>
      <c r="E954" s="9" t="n"/>
      <c r="F954" s="9" t="n"/>
      <c r="G954" s="9">
        <f>IF(OR(E954="",F954=""),"",DATEDIF(E954,F954,"Y"))</f>
        <v/>
      </c>
      <c r="H954" s="9" t="n"/>
    </row>
    <row r="955" ht="14.25" customHeight="1" s="37">
      <c r="A955" s="9" t="n"/>
      <c r="B955" s="9" t="n"/>
      <c r="C955" s="9" t="n"/>
      <c r="D955" s="9" t="n"/>
      <c r="E955" s="9" t="n"/>
      <c r="F955" s="9" t="n"/>
      <c r="G955" s="9">
        <f>IF(OR(E955="",F955=""),"",DATEDIF(E955,F955,"Y"))</f>
        <v/>
      </c>
      <c r="H955" s="9" t="n"/>
    </row>
    <row r="956" ht="14.25" customHeight="1" s="37">
      <c r="A956" s="9" t="n"/>
      <c r="B956" s="9" t="n"/>
      <c r="C956" s="9" t="n"/>
      <c r="D956" s="9" t="n"/>
      <c r="E956" s="9" t="n"/>
      <c r="F956" s="9" t="n"/>
      <c r="G956" s="9">
        <f>IF(OR(E956="",F956=""),"",DATEDIF(E956,F956,"Y"))</f>
        <v/>
      </c>
      <c r="H956" s="9" t="n"/>
    </row>
    <row r="957" ht="14.25" customHeight="1" s="37">
      <c r="A957" s="9" t="n"/>
      <c r="B957" s="9" t="n"/>
      <c r="C957" s="9" t="n"/>
      <c r="D957" s="9" t="n"/>
      <c r="E957" s="9" t="n"/>
      <c r="F957" s="9" t="n"/>
      <c r="G957" s="9">
        <f>IF(OR(E957="",F957=""),"",DATEDIF(E957,F957,"Y"))</f>
        <v/>
      </c>
      <c r="H957" s="9" t="n"/>
    </row>
    <row r="958" ht="14.25" customHeight="1" s="37">
      <c r="A958" s="9" t="n"/>
      <c r="B958" s="9" t="n"/>
      <c r="C958" s="9" t="n"/>
      <c r="D958" s="9" t="n"/>
      <c r="E958" s="9" t="n"/>
      <c r="F958" s="9" t="n"/>
      <c r="G958" s="9">
        <f>IF(OR(E958="",F958=""),"",DATEDIF(E958,F958,"Y"))</f>
        <v/>
      </c>
      <c r="H958" s="9" t="n"/>
    </row>
    <row r="959" ht="14.25" customHeight="1" s="37">
      <c r="A959" s="9" t="n"/>
      <c r="B959" s="9" t="n"/>
      <c r="C959" s="9" t="n"/>
      <c r="D959" s="9" t="n"/>
      <c r="E959" s="9" t="n"/>
      <c r="F959" s="9" t="n"/>
      <c r="G959" s="9">
        <f>IF(OR(E959="",F959=""),"",DATEDIF(E959,F959,"Y"))</f>
        <v/>
      </c>
      <c r="H959" s="9" t="n"/>
    </row>
    <row r="960" ht="14.25" customHeight="1" s="37">
      <c r="A960" s="9" t="n"/>
      <c r="B960" s="9" t="n"/>
      <c r="C960" s="9" t="n"/>
      <c r="D960" s="9" t="n"/>
      <c r="E960" s="9" t="n"/>
      <c r="F960" s="9" t="n"/>
      <c r="G960" s="9">
        <f>IF(OR(E960="",F960=""),"",DATEDIF(E960,F960,"Y"))</f>
        <v/>
      </c>
      <c r="H960" s="9" t="n"/>
    </row>
    <row r="961" ht="14.25" customHeight="1" s="37">
      <c r="A961" s="9" t="n"/>
      <c r="B961" s="9" t="n"/>
      <c r="C961" s="9" t="n"/>
      <c r="D961" s="9" t="n"/>
      <c r="E961" s="9" t="n"/>
      <c r="F961" s="9" t="n"/>
      <c r="G961" s="9">
        <f>IF(OR(E961="",F961=""),"",DATEDIF(E961,F961,"Y"))</f>
        <v/>
      </c>
      <c r="H961" s="9" t="n"/>
    </row>
    <row r="962" ht="14.25" customHeight="1" s="37">
      <c r="A962" s="9" t="n"/>
      <c r="B962" s="9" t="n"/>
      <c r="C962" s="9" t="n"/>
      <c r="D962" s="9" t="n"/>
      <c r="E962" s="9" t="n"/>
      <c r="F962" s="9" t="n"/>
      <c r="G962" s="9">
        <f>IF(OR(E962="",F962=""),"",DATEDIF(E962,F962,"Y"))</f>
        <v/>
      </c>
      <c r="H962" s="9" t="n"/>
    </row>
    <row r="963" ht="14.25" customHeight="1" s="37">
      <c r="A963" s="9" t="n"/>
      <c r="B963" s="9" t="n"/>
      <c r="C963" s="9" t="n"/>
      <c r="D963" s="9" t="n"/>
      <c r="E963" s="9" t="n"/>
      <c r="F963" s="9" t="n"/>
      <c r="G963" s="9">
        <f>IF(OR(E963="",F963=""),"",DATEDIF(E963,F963,"Y"))</f>
        <v/>
      </c>
      <c r="H963" s="9" t="n"/>
    </row>
    <row r="964" ht="14.25" customHeight="1" s="37">
      <c r="A964" s="9" t="n"/>
      <c r="B964" s="9" t="n"/>
      <c r="C964" s="9" t="n"/>
      <c r="D964" s="9" t="n"/>
      <c r="E964" s="9" t="n"/>
      <c r="F964" s="9" t="n"/>
      <c r="G964" s="9">
        <f>IF(OR(E964="",F964=""),"",DATEDIF(E964,F964,"Y"))</f>
        <v/>
      </c>
      <c r="H964" s="9" t="n"/>
    </row>
    <row r="965" ht="14.25" customHeight="1" s="37">
      <c r="A965" s="9" t="n"/>
      <c r="B965" s="9" t="n"/>
      <c r="C965" s="9" t="n"/>
      <c r="D965" s="9" t="n"/>
      <c r="E965" s="9" t="n"/>
      <c r="F965" s="9" t="n"/>
      <c r="G965" s="9">
        <f>IF(OR(E965="",F965=""),"",DATEDIF(E965,F965,"Y"))</f>
        <v/>
      </c>
      <c r="H965" s="9" t="n"/>
    </row>
    <row r="966" ht="14.25" customHeight="1" s="37">
      <c r="A966" s="9" t="n"/>
      <c r="B966" s="9" t="n"/>
      <c r="C966" s="9" t="n"/>
      <c r="D966" s="9" t="n"/>
      <c r="E966" s="9" t="n"/>
      <c r="F966" s="9" t="n"/>
      <c r="G966" s="9">
        <f>IF(OR(E966="",F966=""),"",DATEDIF(E966,F966,"Y"))</f>
        <v/>
      </c>
      <c r="H966" s="9" t="n"/>
    </row>
    <row r="967" ht="14.25" customHeight="1" s="37">
      <c r="A967" s="9" t="n"/>
      <c r="B967" s="9" t="n"/>
      <c r="C967" s="9" t="n"/>
      <c r="D967" s="9" t="n"/>
      <c r="E967" s="9" t="n"/>
      <c r="F967" s="9" t="n"/>
      <c r="G967" s="9">
        <f>IF(OR(E967="",F967=""),"",DATEDIF(E967,F967,"Y"))</f>
        <v/>
      </c>
      <c r="H967" s="9" t="n"/>
    </row>
    <row r="968" ht="14.25" customHeight="1" s="37">
      <c r="A968" s="9" t="n"/>
      <c r="B968" s="9" t="n"/>
      <c r="C968" s="9" t="n"/>
      <c r="D968" s="9" t="n"/>
      <c r="E968" s="9" t="n"/>
      <c r="F968" s="9" t="n"/>
      <c r="G968" s="9">
        <f>IF(OR(E968="",F968=""),"",DATEDIF(E968,F968,"Y"))</f>
        <v/>
      </c>
      <c r="H968" s="9" t="n"/>
    </row>
    <row r="969" ht="14.25" customHeight="1" s="37">
      <c r="A969" s="9" t="n"/>
      <c r="B969" s="9" t="n"/>
      <c r="C969" s="9" t="n"/>
      <c r="D969" s="9" t="n"/>
      <c r="E969" s="9" t="n"/>
      <c r="F969" s="9" t="n"/>
      <c r="G969" s="9">
        <f>IF(OR(E969="",F969=""),"",DATEDIF(E969,F969,"Y"))</f>
        <v/>
      </c>
      <c r="H969" s="9" t="n"/>
    </row>
    <row r="970" ht="14.25" customHeight="1" s="37">
      <c r="A970" s="9" t="n"/>
      <c r="B970" s="9" t="n"/>
      <c r="C970" s="9" t="n"/>
      <c r="D970" s="9" t="n"/>
      <c r="E970" s="9" t="n"/>
      <c r="F970" s="9" t="n"/>
      <c r="G970" s="9">
        <f>IF(OR(E970="",F970=""),"",DATEDIF(E970,F970,"Y"))</f>
        <v/>
      </c>
      <c r="H970" s="9" t="n"/>
    </row>
    <row r="971" ht="14.25" customHeight="1" s="37">
      <c r="A971" s="9" t="n"/>
      <c r="B971" s="9" t="n"/>
      <c r="C971" s="9" t="n"/>
      <c r="D971" s="9" t="n"/>
      <c r="E971" s="9" t="n"/>
      <c r="F971" s="9" t="n"/>
      <c r="G971" s="9">
        <f>IF(OR(E971="",F971=""),"",DATEDIF(E971,F971,"Y"))</f>
        <v/>
      </c>
      <c r="H971" s="9" t="n"/>
    </row>
    <row r="972" ht="14.25" customHeight="1" s="37">
      <c r="A972" s="9" t="n"/>
      <c r="B972" s="9" t="n"/>
      <c r="C972" s="9" t="n"/>
      <c r="D972" s="9" t="n"/>
      <c r="E972" s="9" t="n"/>
      <c r="F972" s="9" t="n"/>
      <c r="G972" s="9">
        <f>IF(OR(E972="",F972=""),"",DATEDIF(E972,F972,"Y"))</f>
        <v/>
      </c>
      <c r="H972" s="9" t="n"/>
    </row>
    <row r="973" ht="14.25" customHeight="1" s="37">
      <c r="A973" s="9" t="n"/>
      <c r="B973" s="9" t="n"/>
      <c r="C973" s="9" t="n"/>
      <c r="D973" s="9" t="n"/>
      <c r="E973" s="9" t="n"/>
      <c r="F973" s="9" t="n"/>
      <c r="G973" s="9">
        <f>IF(OR(E973="",F973=""),"",DATEDIF(E973,F973,"Y"))</f>
        <v/>
      </c>
      <c r="H973" s="9" t="n"/>
    </row>
    <row r="974" ht="14.25" customHeight="1" s="37">
      <c r="A974" s="9" t="n"/>
      <c r="B974" s="9" t="n"/>
      <c r="C974" s="9" t="n"/>
      <c r="D974" s="9" t="n"/>
      <c r="E974" s="9" t="n"/>
      <c r="F974" s="9" t="n"/>
      <c r="G974" s="9">
        <f>IF(OR(E974="",F974=""),"",DATEDIF(E974,F974,"Y"))</f>
        <v/>
      </c>
      <c r="H974" s="9" t="n"/>
    </row>
    <row r="975" ht="14.25" customHeight="1" s="37">
      <c r="A975" s="9" t="n"/>
      <c r="B975" s="9" t="n"/>
      <c r="C975" s="9" t="n"/>
      <c r="D975" s="9" t="n"/>
      <c r="E975" s="9" t="n"/>
      <c r="F975" s="9" t="n"/>
      <c r="G975" s="9">
        <f>IF(OR(E975="",F975=""),"",DATEDIF(E975,F975,"Y"))</f>
        <v/>
      </c>
      <c r="H975" s="9" t="n"/>
    </row>
    <row r="976" ht="14.25" customHeight="1" s="37">
      <c r="A976" s="9" t="n"/>
      <c r="B976" s="9" t="n"/>
      <c r="C976" s="9" t="n"/>
      <c r="D976" s="9" t="n"/>
      <c r="E976" s="9" t="n"/>
      <c r="F976" s="9" t="n"/>
      <c r="G976" s="9">
        <f>IF(OR(E976="",F976=""),"",DATEDIF(E976,F976,"Y"))</f>
        <v/>
      </c>
      <c r="H976" s="9" t="n"/>
    </row>
    <row r="977" ht="14.25" customHeight="1" s="37">
      <c r="A977" s="9" t="n"/>
      <c r="B977" s="9" t="n"/>
      <c r="C977" s="9" t="n"/>
      <c r="D977" s="9" t="n"/>
      <c r="E977" s="9" t="n"/>
      <c r="F977" s="9" t="n"/>
      <c r="G977" s="9">
        <f>IF(OR(E977="",F977=""),"",DATEDIF(E977,F977,"Y"))</f>
        <v/>
      </c>
      <c r="H977" s="9" t="n"/>
    </row>
    <row r="978" ht="14.25" customHeight="1" s="37">
      <c r="A978" s="9" t="n"/>
      <c r="B978" s="9" t="n"/>
      <c r="C978" s="9" t="n"/>
      <c r="D978" s="9" t="n"/>
      <c r="E978" s="9" t="n"/>
      <c r="F978" s="9" t="n"/>
      <c r="G978" s="9">
        <f>IF(OR(E978="",F978=""),"",DATEDIF(E978,F978,"Y"))</f>
        <v/>
      </c>
      <c r="H978" s="9" t="n"/>
    </row>
    <row r="979" ht="14.25" customHeight="1" s="37">
      <c r="A979" s="9" t="n"/>
      <c r="B979" s="9" t="n"/>
      <c r="C979" s="9" t="n"/>
      <c r="D979" s="9" t="n"/>
      <c r="E979" s="9" t="n"/>
      <c r="F979" s="9" t="n"/>
      <c r="G979" s="9">
        <f>IF(OR(E979="",F979=""),"",DATEDIF(E979,F979,"Y"))</f>
        <v/>
      </c>
      <c r="H979" s="9" t="n"/>
    </row>
    <row r="980" ht="14.25" customHeight="1" s="37">
      <c r="A980" s="9" t="n"/>
      <c r="B980" s="9" t="n"/>
      <c r="C980" s="9" t="n"/>
      <c r="D980" s="9" t="n"/>
      <c r="E980" s="9" t="n"/>
      <c r="F980" s="9" t="n"/>
      <c r="G980" s="9">
        <f>IF(OR(E980="",F980=""),"",DATEDIF(E980,F980,"Y"))</f>
        <v/>
      </c>
      <c r="H980" s="9" t="n"/>
    </row>
    <row r="981" ht="14.25" customHeight="1" s="37">
      <c r="A981" s="9" t="n"/>
      <c r="B981" s="9" t="n"/>
      <c r="C981" s="9" t="n"/>
      <c r="D981" s="9" t="n"/>
      <c r="E981" s="9" t="n"/>
      <c r="F981" s="9" t="n"/>
      <c r="G981" s="9">
        <f>IF(OR(E981="",F981=""),"",DATEDIF(E981,F981,"Y"))</f>
        <v/>
      </c>
      <c r="H981" s="9" t="n"/>
    </row>
    <row r="982" ht="14.25" customHeight="1" s="37">
      <c r="A982" s="9" t="n"/>
      <c r="B982" s="9" t="n"/>
      <c r="C982" s="9" t="n"/>
      <c r="D982" s="9" t="n"/>
      <c r="E982" s="9" t="n"/>
      <c r="F982" s="9" t="n"/>
      <c r="G982" s="9">
        <f>IF(OR(E982="",F982=""),"",DATEDIF(E982,F982,"Y"))</f>
        <v/>
      </c>
      <c r="H982" s="9" t="n"/>
    </row>
    <row r="983" ht="14.25" customHeight="1" s="37">
      <c r="A983" s="9" t="n"/>
      <c r="B983" s="9" t="n"/>
      <c r="C983" s="9" t="n"/>
      <c r="D983" s="9" t="n"/>
      <c r="E983" s="9" t="n"/>
      <c r="F983" s="9" t="n"/>
      <c r="G983" s="9">
        <f>IF(OR(E983="",F983=""),"",DATEDIF(E983,F983,"Y"))</f>
        <v/>
      </c>
      <c r="H983" s="9" t="n"/>
    </row>
    <row r="984" ht="14.25" customHeight="1" s="37">
      <c r="A984" s="9" t="n"/>
      <c r="B984" s="9" t="n"/>
      <c r="C984" s="9" t="n"/>
      <c r="D984" s="9" t="n"/>
      <c r="E984" s="9" t="n"/>
      <c r="F984" s="9" t="n"/>
      <c r="G984" s="9">
        <f>IF(OR(E984="",F984=""),"",DATEDIF(E984,F984,"Y"))</f>
        <v/>
      </c>
      <c r="H984" s="9" t="n"/>
    </row>
    <row r="985" ht="14.25" customHeight="1" s="37">
      <c r="A985" s="9" t="n"/>
      <c r="B985" s="9" t="n"/>
      <c r="C985" s="9" t="n"/>
      <c r="D985" s="9" t="n"/>
      <c r="E985" s="9" t="n"/>
      <c r="F985" s="9" t="n"/>
      <c r="G985" s="9">
        <f>IF(OR(E985="",F985=""),"",DATEDIF(E985,F985,"Y"))</f>
        <v/>
      </c>
      <c r="H985" s="9" t="n"/>
    </row>
    <row r="986" ht="14.25" customHeight="1" s="37">
      <c r="A986" s="9" t="n"/>
      <c r="B986" s="9" t="n"/>
      <c r="C986" s="9" t="n"/>
      <c r="D986" s="9" t="n"/>
      <c r="E986" s="9" t="n"/>
      <c r="F986" s="9" t="n"/>
      <c r="G986" s="9">
        <f>IF(OR(E986="",F986=""),"",DATEDIF(E986,F986,"Y"))</f>
        <v/>
      </c>
      <c r="H986" s="9" t="n"/>
    </row>
    <row r="987" ht="14.25" customHeight="1" s="37">
      <c r="A987" s="9" t="n"/>
      <c r="B987" s="9" t="n"/>
      <c r="C987" s="9" t="n"/>
      <c r="D987" s="9" t="n"/>
      <c r="E987" s="9" t="n"/>
      <c r="F987" s="9" t="n"/>
      <c r="G987" s="9">
        <f>IF(OR(E987="",F987=""),"",DATEDIF(E987,F987,"Y"))</f>
        <v/>
      </c>
      <c r="H987" s="9" t="n"/>
    </row>
    <row r="988" ht="14.25" customHeight="1" s="37">
      <c r="A988" s="9" t="n"/>
      <c r="B988" s="9" t="n"/>
      <c r="C988" s="9" t="n"/>
      <c r="D988" s="9" t="n"/>
      <c r="E988" s="9" t="n"/>
      <c r="F988" s="9" t="n"/>
      <c r="G988" s="9">
        <f>IF(OR(E988="",F988=""),"",DATEDIF(E988,F988,"Y"))</f>
        <v/>
      </c>
      <c r="H988" s="9" t="n"/>
    </row>
    <row r="989" ht="14.25" customHeight="1" s="37">
      <c r="A989" s="9" t="n"/>
      <c r="B989" s="9" t="n"/>
      <c r="C989" s="9" t="n"/>
      <c r="D989" s="9" t="n"/>
      <c r="E989" s="9" t="n"/>
      <c r="F989" s="9" t="n"/>
      <c r="G989" s="9">
        <f>IF(OR(E989="",F989=""),"",DATEDIF(E989,F989,"Y"))</f>
        <v/>
      </c>
      <c r="H989" s="9" t="n"/>
    </row>
    <row r="990" ht="14.25" customHeight="1" s="37">
      <c r="A990" s="9" t="n"/>
      <c r="B990" s="9" t="n"/>
      <c r="C990" s="9" t="n"/>
      <c r="D990" s="9" t="n"/>
      <c r="E990" s="9" t="n"/>
      <c r="F990" s="9" t="n"/>
      <c r="G990" s="9">
        <f>IF(OR(E990="",F990=""),"",DATEDIF(E990,F990,"Y"))</f>
        <v/>
      </c>
      <c r="H990" s="9" t="n"/>
    </row>
    <row r="991" ht="14.25" customHeight="1" s="37">
      <c r="A991" s="9" t="n"/>
      <c r="B991" s="9" t="n"/>
      <c r="C991" s="9" t="n"/>
      <c r="D991" s="9" t="n"/>
      <c r="E991" s="9" t="n"/>
      <c r="F991" s="9" t="n"/>
      <c r="G991" s="9">
        <f>IF(OR(E991="",F991=""),"",DATEDIF(E991,F991,"Y"))</f>
        <v/>
      </c>
      <c r="H991" s="9" t="n"/>
    </row>
    <row r="992" ht="14.25" customHeight="1" s="37">
      <c r="A992" s="9" t="n"/>
      <c r="B992" s="9" t="n"/>
      <c r="C992" s="9" t="n"/>
      <c r="D992" s="9" t="n"/>
      <c r="E992" s="9" t="n"/>
      <c r="F992" s="9" t="n"/>
      <c r="G992" s="9">
        <f>IF(OR(E992="",F992=""),"",DATEDIF(E992,F992,"Y"))</f>
        <v/>
      </c>
      <c r="H992" s="9" t="n"/>
    </row>
    <row r="993" ht="14.25" customHeight="1" s="37">
      <c r="A993" s="9" t="n"/>
      <c r="B993" s="9" t="n"/>
      <c r="C993" s="9" t="n"/>
      <c r="D993" s="9" t="n"/>
      <c r="E993" s="9" t="n"/>
      <c r="F993" s="9" t="n"/>
      <c r="G993" s="9">
        <f>IF(OR(E993="",F993=""),"",DATEDIF(E993,F993,"Y"))</f>
        <v/>
      </c>
      <c r="H993" s="9" t="n"/>
    </row>
    <row r="994" ht="14.25" customHeight="1" s="37">
      <c r="A994" s="9" t="n"/>
      <c r="B994" s="9" t="n"/>
      <c r="C994" s="9" t="n"/>
      <c r="D994" s="9" t="n"/>
      <c r="E994" s="9" t="n"/>
      <c r="F994" s="9" t="n"/>
      <c r="G994" s="9">
        <f>IF(OR(E994="",F994=""),"",DATEDIF(E994,F994,"Y"))</f>
        <v/>
      </c>
      <c r="H994" s="9" t="n"/>
    </row>
    <row r="995" ht="14.25" customHeight="1" s="37">
      <c r="A995" s="9" t="n"/>
      <c r="B995" s="9" t="n"/>
      <c r="C995" s="9" t="n"/>
      <c r="D995" s="9" t="n"/>
      <c r="E995" s="9" t="n"/>
      <c r="F995" s="9" t="n"/>
      <c r="G995" s="9">
        <f>IF(OR(E995="",F995=""),"",DATEDIF(E995,F995,"Y"))</f>
        <v/>
      </c>
      <c r="H995" s="9" t="n"/>
    </row>
    <row r="996" ht="14.25" customHeight="1" s="37">
      <c r="A996" s="9" t="n"/>
      <c r="B996" s="9" t="n"/>
      <c r="C996" s="9" t="n"/>
      <c r="D996" s="9" t="n"/>
      <c r="E996" s="9" t="n"/>
      <c r="F996" s="9" t="n"/>
      <c r="G996" s="9">
        <f>IF(OR(E996="",F996=""),"",DATEDIF(E996,F996,"Y"))</f>
        <v/>
      </c>
      <c r="H996" s="9" t="n"/>
    </row>
    <row r="997" ht="14.25" customHeight="1" s="37">
      <c r="A997" s="9" t="n"/>
      <c r="B997" s="9" t="n"/>
      <c r="C997" s="9" t="n"/>
      <c r="D997" s="9" t="n"/>
      <c r="E997" s="9" t="n"/>
      <c r="F997" s="9" t="n"/>
      <c r="G997" s="9">
        <f>IF(OR(E997="",F997=""),"",DATEDIF(E997,F997,"Y"))</f>
        <v/>
      </c>
      <c r="H997" s="9" t="n"/>
    </row>
    <row r="998" ht="14.25" customHeight="1" s="37">
      <c r="A998" s="9" t="n"/>
      <c r="B998" s="9" t="n"/>
      <c r="C998" s="9" t="n"/>
      <c r="D998" s="9" t="n"/>
      <c r="E998" s="9" t="n"/>
      <c r="F998" s="9" t="n"/>
      <c r="G998" s="9">
        <f>IF(OR(E998="",F998=""),"",DATEDIF(E998,F998,"Y"))</f>
        <v/>
      </c>
      <c r="H998" s="9" t="n"/>
    </row>
    <row r="999" ht="14.25" customHeight="1" s="37">
      <c r="A999" s="9" t="n"/>
      <c r="B999" s="9" t="n"/>
      <c r="C999" s="9" t="n"/>
      <c r="D999" s="9" t="n"/>
      <c r="E999" s="9" t="n"/>
      <c r="F999" s="9" t="n"/>
      <c r="G999" s="9">
        <f>IF(OR(E999="",F999=""),"",DATEDIF(E999,F999,"Y"))</f>
        <v/>
      </c>
      <c r="H999" s="9" t="n"/>
    </row>
    <row r="1000" ht="14.25" customHeight="1" s="37">
      <c r="A1000" s="9" t="n"/>
      <c r="B1000" s="9" t="n"/>
      <c r="C1000" s="9" t="n"/>
      <c r="D1000" s="9" t="n"/>
      <c r="E1000" s="9" t="n"/>
      <c r="F1000" s="9" t="n"/>
      <c r="G1000" s="9">
        <f>IF(OR(E1000="",F1000=""),"",DATEDIF(E1000,F1000,"Y"))</f>
        <v/>
      </c>
      <c r="H1000" s="9" t="n"/>
    </row>
    <row r="1001" ht="14.25" customHeight="1" s="37">
      <c r="A1001" s="9" t="n"/>
      <c r="B1001" s="9" t="n"/>
      <c r="C1001" s="9" t="n"/>
      <c r="D1001" s="9" t="n"/>
      <c r="E1001" s="9" t="n"/>
      <c r="F1001" s="9" t="n"/>
      <c r="G1001" s="9">
        <f>IF(OR(E1001="",F1001=""),"",DATEDIF(E1001,F1001,"Y"))</f>
        <v/>
      </c>
      <c r="H1001" s="9" t="n"/>
    </row>
  </sheetData>
  <autoFilter ref="$A$1:$H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15" customWidth="1" style="37" min="4" max="4"/>
    <col width="30" customWidth="1" style="37" min="5" max="5"/>
    <col width="15" customWidth="1" style="37" min="6" max="6"/>
    <col width="30" customWidth="1" style="37" min="7" max="7"/>
    <col width="9" customWidth="1" style="37" min="8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Tanggal Masuk</t>
        </is>
      </c>
      <c r="E1" s="7" t="inlineStr">
        <is>
          <t>Asal Gereja Kristen</t>
        </is>
      </c>
      <c r="F1" s="7" t="inlineStr">
        <is>
          <t>Tanpa Baptis</t>
        </is>
      </c>
      <c r="G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n"/>
      <c r="E2" s="9" t="n"/>
      <c r="F2" s="9" t="n"/>
      <c r="G2" s="9" t="n"/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n"/>
      <c r="E3" s="9" t="n"/>
      <c r="F3" s="9" t="n"/>
      <c r="G3" s="9" t="n"/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n"/>
      <c r="E4" s="9" t="n"/>
      <c r="F4" s="9" t="n"/>
      <c r="G4" s="9" t="n"/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n"/>
      <c r="E5" s="9" t="n"/>
      <c r="F5" s="9" t="n"/>
      <c r="G5" s="9" t="n"/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n"/>
      <c r="E6" s="9" t="n"/>
      <c r="F6" s="9" t="n"/>
      <c r="G6" s="9" t="n"/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n"/>
      <c r="E7" s="9" t="n"/>
      <c r="F7" s="9" t="n"/>
      <c r="G7" s="9" t="n"/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n"/>
      <c r="E8" s="9" t="n"/>
      <c r="F8" s="9" t="n"/>
      <c r="G8" s="9" t="n"/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n"/>
      <c r="E9" s="9" t="n"/>
      <c r="F9" s="9" t="n"/>
      <c r="G9" s="9" t="n"/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n"/>
      <c r="E10" s="9" t="n"/>
      <c r="F10" s="9" t="n"/>
      <c r="G10" s="9" t="n"/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n"/>
      <c r="E11" s="9" t="n"/>
      <c r="F11" s="9" t="n"/>
      <c r="G11" s="9" t="n"/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n"/>
      <c r="E12" s="9" t="n"/>
      <c r="F12" s="9" t="n"/>
      <c r="G12" s="9" t="n"/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n"/>
      <c r="E13" s="9" t="n"/>
      <c r="F13" s="9" t="n"/>
      <c r="G13" s="9" t="n"/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n"/>
      <c r="E14" s="9" t="n"/>
      <c r="F14" s="9" t="n"/>
      <c r="G14" s="9" t="n"/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n"/>
      <c r="E15" s="9" t="n"/>
      <c r="F15" s="9" t="n"/>
      <c r="G15" s="9" t="n"/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n"/>
      <c r="E16" s="9" t="n"/>
      <c r="F16" s="9" t="n"/>
      <c r="G16" s="9" t="n"/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9" t="n"/>
      <c r="F17" s="9" t="n"/>
      <c r="G17" s="9" t="n"/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n"/>
      <c r="E18" s="9" t="n"/>
      <c r="F18" s="9" t="n"/>
      <c r="G18" s="9" t="n"/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n"/>
      <c r="E19" s="9" t="n"/>
      <c r="F19" s="9" t="n"/>
      <c r="G19" s="9" t="n"/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n"/>
      <c r="E20" s="9" t="n"/>
      <c r="F20" s="9" t="n"/>
      <c r="G20" s="9" t="n"/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n"/>
      <c r="E21" s="9" t="n"/>
      <c r="F21" s="9" t="n"/>
      <c r="G21" s="9" t="n"/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n"/>
      <c r="E22" s="9" t="n"/>
      <c r="F22" s="9" t="n"/>
      <c r="G22" s="9" t="n"/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n"/>
      <c r="E23" s="9" t="n"/>
      <c r="F23" s="9" t="n"/>
      <c r="G23" s="9" t="n"/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n"/>
      <c r="E24" s="9" t="n"/>
      <c r="F24" s="9" t="n"/>
      <c r="G24" s="9" t="n"/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n"/>
      <c r="E25" s="9" t="n"/>
      <c r="F25" s="9" t="n"/>
      <c r="G25" s="9" t="n"/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n"/>
      <c r="E26" s="9" t="n"/>
      <c r="F26" s="9" t="n"/>
      <c r="G26" s="9" t="n"/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n"/>
      <c r="E27" s="9" t="n"/>
      <c r="F27" s="9" t="n"/>
      <c r="G27" s="9" t="n"/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n"/>
      <c r="E28" s="9" t="n"/>
      <c r="F28" s="9" t="n"/>
      <c r="G28" s="9" t="n"/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n"/>
      <c r="E29" s="9" t="n"/>
      <c r="F29" s="9" t="n"/>
      <c r="G29" s="9" t="n"/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n"/>
      <c r="E30" s="9" t="n"/>
      <c r="F30" s="9" t="n"/>
      <c r="G30" s="9" t="n"/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n"/>
      <c r="E31" s="9" t="n"/>
      <c r="F31" s="9" t="n"/>
      <c r="G31" s="9" t="n"/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  <c r="G32" s="9" t="n"/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  <c r="G33" s="9" t="n"/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  <c r="G34" s="9" t="n"/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n"/>
      <c r="E35" s="9" t="n"/>
      <c r="F35" s="9" t="n"/>
      <c r="G35" s="9" t="n"/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  <c r="G36" s="9" t="n"/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  <c r="G37" s="9" t="n"/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  <c r="G38" s="9" t="n"/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  <c r="G39" s="9" t="n"/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  <c r="G40" s="9" t="n"/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  <c r="G41" s="9" t="n"/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  <c r="G42" s="9" t="n"/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  <c r="G43" s="9" t="n"/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  <c r="G44" s="9" t="n"/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n"/>
      <c r="E45" s="9" t="n"/>
      <c r="F45" s="9" t="n"/>
      <c r="G45" s="9" t="n"/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n"/>
      <c r="E46" s="9" t="n"/>
      <c r="F46" s="9" t="n"/>
      <c r="G46" s="9" t="n"/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  <c r="G47" s="9" t="n"/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  <c r="G48" s="9" t="n"/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  <c r="G49" s="9" t="n"/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  <c r="G50" s="9" t="n"/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  <c r="G51" s="9" t="n"/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  <c r="G52" s="9" t="n"/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9" t="n"/>
      <c r="F53" s="9" t="n"/>
      <c r="G53" s="9" t="n"/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  <c r="G54" s="9" t="n"/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  <c r="G55" s="9" t="n"/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  <c r="G56" s="9" t="n"/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  <c r="G57" s="9" t="n"/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  <c r="G58" s="9" t="n"/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  <c r="G59" s="9" t="n"/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  <c r="G60" s="9" t="n"/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  <c r="G61" s="9" t="n"/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  <c r="G62" s="9" t="n"/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  <c r="G63" s="9" t="n"/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  <c r="G64" s="9" t="n"/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  <c r="G65" s="9" t="n"/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  <c r="G66" s="9" t="n"/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  <c r="G67" s="9" t="n"/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9" t="n"/>
      <c r="F68" s="9" t="n"/>
      <c r="G68" s="9" t="n"/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9" t="n"/>
      <c r="F69" s="9" t="n"/>
      <c r="G69" s="9" t="n"/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9" t="n"/>
      <c r="F70" s="9" t="n"/>
      <c r="G70" s="9" t="n"/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9" t="n"/>
      <c r="F71" s="9" t="n"/>
      <c r="G71" s="9" t="n"/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9" t="n"/>
      <c r="F72" s="9" t="n"/>
      <c r="G72" s="9" t="n"/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9" t="n"/>
      <c r="F73" s="9" t="n"/>
      <c r="G73" s="9" t="n"/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  <c r="G74" s="9" t="n"/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  <c r="G75" s="9" t="n"/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9" t="n"/>
      <c r="F76" s="9" t="n"/>
      <c r="G76" s="9" t="n"/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  <c r="G77" s="9" t="n"/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9" t="n"/>
      <c r="F78" s="9" t="n"/>
      <c r="G78" s="9" t="n"/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9" t="n"/>
      <c r="F79" s="9" t="n"/>
      <c r="G79" s="9" t="n"/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9" t="n"/>
      <c r="F80" s="9" t="n"/>
      <c r="G80" s="9" t="n"/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9" t="n"/>
      <c r="F81" s="9" t="n"/>
      <c r="G81" s="9" t="n"/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9" t="n"/>
      <c r="F82" s="9" t="n"/>
      <c r="G82" s="9" t="n"/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  <c r="G83" s="9" t="n"/>
    </row>
    <row r="84" ht="14.25" customHeight="1" s="37">
      <c r="A84" s="9" t="n"/>
      <c r="B84" s="9" t="n"/>
      <c r="C84" s="9" t="n"/>
      <c r="D84" s="9" t="n"/>
      <c r="E84" s="9" t="n"/>
      <c r="F84" s="9" t="n"/>
      <c r="G84" s="9" t="n"/>
    </row>
    <row r="85" ht="14.25" customHeight="1" s="37">
      <c r="A85" s="9" t="n"/>
      <c r="B85" s="9" t="n"/>
      <c r="C85" s="9" t="n"/>
      <c r="D85" s="9" t="n"/>
      <c r="E85" s="9" t="n"/>
      <c r="F85" s="9" t="n"/>
      <c r="G85" s="9" t="n"/>
    </row>
    <row r="86" ht="14.25" customHeight="1" s="37">
      <c r="A86" s="9" t="n"/>
      <c r="B86" s="9" t="n"/>
      <c r="C86" s="9" t="n"/>
      <c r="D86" s="9" t="n"/>
      <c r="E86" s="9" t="n"/>
      <c r="F86" s="9" t="n"/>
      <c r="G86" s="9" t="n"/>
    </row>
    <row r="87" ht="14.25" customHeight="1" s="37">
      <c r="A87" s="9" t="n"/>
      <c r="B87" s="9" t="n"/>
      <c r="C87" s="9" t="n"/>
      <c r="D87" s="9" t="n"/>
      <c r="E87" s="9" t="n"/>
      <c r="F87" s="9" t="n"/>
      <c r="G87" s="9" t="n"/>
    </row>
    <row r="88" ht="14.25" customHeight="1" s="37">
      <c r="A88" s="9" t="n"/>
      <c r="B88" s="9" t="n"/>
      <c r="C88" s="9" t="n"/>
      <c r="D88" s="9" t="n"/>
      <c r="E88" s="9" t="n"/>
      <c r="F88" s="9" t="n"/>
      <c r="G88" s="9" t="n"/>
    </row>
    <row r="89" ht="14.25" customHeight="1" s="37">
      <c r="A89" s="9" t="n"/>
      <c r="B89" s="9" t="n"/>
      <c r="C89" s="9" t="n"/>
      <c r="D89" s="9" t="n"/>
      <c r="E89" s="9" t="n"/>
      <c r="F89" s="9" t="n"/>
      <c r="G89" s="9" t="n"/>
    </row>
    <row r="90" ht="14.25" customHeight="1" s="37">
      <c r="A90" s="9" t="n"/>
      <c r="B90" s="9" t="n"/>
      <c r="C90" s="9" t="n"/>
      <c r="D90" s="9" t="n"/>
      <c r="E90" s="9" t="n"/>
      <c r="F90" s="9" t="n"/>
      <c r="G90" s="9" t="n"/>
    </row>
    <row r="91" ht="14.25" customHeight="1" s="37">
      <c r="A91" s="9" t="n"/>
      <c r="B91" s="9" t="n"/>
      <c r="C91" s="9" t="n"/>
      <c r="D91" s="9" t="n"/>
      <c r="E91" s="9" t="n"/>
      <c r="F91" s="9" t="n"/>
      <c r="G91" s="9" t="n"/>
    </row>
    <row r="92" ht="14.25" customHeight="1" s="37">
      <c r="A92" s="9" t="n"/>
      <c r="B92" s="9" t="n"/>
      <c r="C92" s="9" t="n"/>
      <c r="D92" s="9" t="n"/>
      <c r="E92" s="9" t="n"/>
      <c r="F92" s="9" t="n"/>
      <c r="G92" s="9" t="n"/>
    </row>
    <row r="93" ht="14.25" customHeight="1" s="37">
      <c r="A93" s="9" t="n"/>
      <c r="B93" s="9" t="n"/>
      <c r="C93" s="9" t="n"/>
      <c r="D93" s="9" t="n"/>
      <c r="E93" s="9" t="n"/>
      <c r="F93" s="9" t="n"/>
      <c r="G93" s="9" t="n"/>
    </row>
    <row r="94" ht="14.25" customHeight="1" s="37">
      <c r="A94" s="9" t="n"/>
      <c r="B94" s="9" t="n"/>
      <c r="C94" s="9" t="n"/>
      <c r="D94" s="9" t="n"/>
      <c r="E94" s="9" t="n"/>
      <c r="F94" s="9" t="n"/>
      <c r="G94" s="9" t="n"/>
    </row>
    <row r="95" ht="14.25" customHeight="1" s="37">
      <c r="A95" s="9" t="n"/>
      <c r="B95" s="9" t="n"/>
      <c r="C95" s="9" t="n"/>
      <c r="D95" s="9" t="n"/>
      <c r="E95" s="9" t="n"/>
      <c r="F95" s="9" t="n"/>
      <c r="G95" s="9" t="n"/>
    </row>
    <row r="96" ht="14.25" customHeight="1" s="37">
      <c r="A96" s="9" t="n"/>
      <c r="B96" s="9" t="n"/>
      <c r="C96" s="9" t="n"/>
      <c r="D96" s="9" t="n"/>
      <c r="E96" s="9" t="n"/>
      <c r="F96" s="9" t="n"/>
      <c r="G96" s="9" t="n"/>
    </row>
    <row r="97" ht="14.25" customHeight="1" s="37">
      <c r="A97" s="9" t="n"/>
      <c r="B97" s="9" t="n"/>
      <c r="C97" s="9" t="n"/>
      <c r="D97" s="9" t="n"/>
      <c r="E97" s="9" t="n"/>
      <c r="F97" s="9" t="n"/>
      <c r="G97" s="9" t="n"/>
    </row>
    <row r="98" ht="14.25" customHeight="1" s="37">
      <c r="A98" s="9" t="n"/>
      <c r="B98" s="9" t="n"/>
      <c r="C98" s="9" t="n"/>
      <c r="D98" s="9" t="n"/>
      <c r="E98" s="9" t="n"/>
      <c r="F98" s="9" t="n"/>
      <c r="G98" s="9" t="n"/>
    </row>
    <row r="99" ht="14.25" customHeight="1" s="37">
      <c r="A99" s="9" t="n"/>
      <c r="B99" s="9" t="n"/>
      <c r="C99" s="9" t="n"/>
      <c r="D99" s="9" t="n"/>
      <c r="E99" s="9" t="n"/>
      <c r="F99" s="9" t="n"/>
      <c r="G99" s="9" t="n"/>
    </row>
    <row r="100" ht="14.25" customHeight="1" s="37">
      <c r="A100" s="9" t="n"/>
      <c r="B100" s="9" t="n"/>
      <c r="C100" s="9" t="n"/>
      <c r="D100" s="9" t="n"/>
      <c r="E100" s="9" t="n"/>
      <c r="F100" s="9" t="n"/>
      <c r="G100" s="9" t="n"/>
    </row>
    <row r="101" ht="14.25" customHeight="1" s="37">
      <c r="A101" s="9" t="n"/>
      <c r="B101" s="9" t="n"/>
      <c r="C101" s="9" t="n"/>
      <c r="D101" s="9" t="n"/>
      <c r="E101" s="9" t="n"/>
      <c r="F101" s="9" t="n"/>
      <c r="G101" s="9" t="n"/>
    </row>
    <row r="102" ht="14.25" customHeight="1" s="37">
      <c r="A102" s="9" t="n"/>
      <c r="B102" s="9" t="n"/>
      <c r="C102" s="9" t="n"/>
      <c r="D102" s="9" t="n"/>
      <c r="E102" s="9" t="n"/>
      <c r="F102" s="9" t="n"/>
      <c r="G102" s="9" t="n"/>
    </row>
    <row r="103" ht="14.25" customHeight="1" s="37">
      <c r="A103" s="9" t="n"/>
      <c r="B103" s="9" t="n"/>
      <c r="C103" s="9" t="n"/>
      <c r="D103" s="9" t="n"/>
      <c r="E103" s="9" t="n"/>
      <c r="F103" s="9" t="n"/>
      <c r="G103" s="9" t="n"/>
    </row>
    <row r="104" ht="14.25" customHeight="1" s="37">
      <c r="A104" s="9" t="n"/>
      <c r="B104" s="9" t="n"/>
      <c r="C104" s="9" t="n"/>
      <c r="D104" s="9" t="n"/>
      <c r="E104" s="9" t="n"/>
      <c r="F104" s="9" t="n"/>
      <c r="G104" s="9" t="n"/>
    </row>
    <row r="105" ht="14.25" customHeight="1" s="37">
      <c r="A105" s="9" t="n"/>
      <c r="B105" s="9" t="n"/>
      <c r="C105" s="9" t="n"/>
      <c r="D105" s="9" t="n"/>
      <c r="E105" s="9" t="n"/>
      <c r="F105" s="9" t="n"/>
      <c r="G105" s="9" t="n"/>
    </row>
    <row r="106" ht="14.25" customHeight="1" s="37">
      <c r="A106" s="9" t="n"/>
      <c r="B106" s="9" t="n"/>
      <c r="C106" s="9" t="n"/>
      <c r="D106" s="9" t="n"/>
      <c r="E106" s="9" t="n"/>
      <c r="F106" s="9" t="n"/>
      <c r="G106" s="9" t="n"/>
    </row>
    <row r="107" ht="14.25" customHeight="1" s="37">
      <c r="A107" s="9" t="n"/>
      <c r="B107" s="9" t="n"/>
      <c r="C107" s="9" t="n"/>
      <c r="D107" s="9" t="n"/>
      <c r="E107" s="9" t="n"/>
      <c r="F107" s="9" t="n"/>
      <c r="G107" s="9" t="n"/>
    </row>
    <row r="108" ht="14.25" customHeight="1" s="37">
      <c r="A108" s="9" t="n"/>
      <c r="B108" s="9" t="n"/>
      <c r="C108" s="9" t="n"/>
      <c r="D108" s="9" t="n"/>
      <c r="E108" s="9" t="n"/>
      <c r="F108" s="9" t="n"/>
      <c r="G108" s="9" t="n"/>
    </row>
    <row r="109" ht="14.25" customHeight="1" s="37">
      <c r="A109" s="9" t="n"/>
      <c r="B109" s="9" t="n"/>
      <c r="C109" s="9" t="n"/>
      <c r="D109" s="9" t="n"/>
      <c r="E109" s="9" t="n"/>
      <c r="F109" s="9" t="n"/>
      <c r="G109" s="9" t="n"/>
    </row>
    <row r="110" ht="14.25" customHeight="1" s="37">
      <c r="A110" s="9" t="n"/>
      <c r="B110" s="9" t="n"/>
      <c r="C110" s="9" t="n"/>
      <c r="D110" s="9" t="n"/>
      <c r="E110" s="9" t="n"/>
      <c r="F110" s="9" t="n"/>
      <c r="G110" s="9" t="n"/>
    </row>
    <row r="111" ht="14.25" customHeight="1" s="37">
      <c r="A111" s="9" t="n"/>
      <c r="B111" s="9" t="n"/>
      <c r="C111" s="9" t="n"/>
      <c r="D111" s="9" t="n"/>
      <c r="E111" s="9" t="n"/>
      <c r="F111" s="9" t="n"/>
      <c r="G111" s="9" t="n"/>
    </row>
    <row r="112" ht="14.25" customHeight="1" s="37">
      <c r="A112" s="9" t="n"/>
      <c r="B112" s="9" t="n"/>
      <c r="C112" s="9" t="n"/>
      <c r="D112" s="9" t="n"/>
      <c r="E112" s="9" t="n"/>
      <c r="F112" s="9" t="n"/>
      <c r="G112" s="9" t="n"/>
    </row>
    <row r="113" ht="14.25" customHeight="1" s="37">
      <c r="A113" s="9" t="n"/>
      <c r="B113" s="9" t="n"/>
      <c r="C113" s="9" t="n"/>
      <c r="D113" s="9" t="n"/>
      <c r="E113" s="9" t="n"/>
      <c r="F113" s="9" t="n"/>
      <c r="G113" s="9" t="n"/>
    </row>
    <row r="114" ht="14.25" customHeight="1" s="37">
      <c r="A114" s="9" t="n"/>
      <c r="B114" s="9" t="n"/>
      <c r="C114" s="9" t="n"/>
      <c r="D114" s="9" t="n"/>
      <c r="E114" s="9" t="n"/>
      <c r="F114" s="9" t="n"/>
      <c r="G114" s="9" t="n"/>
    </row>
    <row r="115" ht="14.25" customHeight="1" s="37">
      <c r="A115" s="9" t="n"/>
      <c r="B115" s="9" t="n"/>
      <c r="C115" s="9" t="n"/>
      <c r="D115" s="9" t="n"/>
      <c r="E115" s="9" t="n"/>
      <c r="F115" s="9" t="n"/>
      <c r="G115" s="9" t="n"/>
    </row>
    <row r="116" ht="14.25" customHeight="1" s="37">
      <c r="A116" s="9" t="n"/>
      <c r="B116" s="9" t="n"/>
      <c r="C116" s="9" t="n"/>
      <c r="D116" s="9" t="n"/>
      <c r="E116" s="9" t="n"/>
      <c r="F116" s="9" t="n"/>
      <c r="G116" s="9" t="n"/>
    </row>
    <row r="117" ht="14.25" customHeight="1" s="37">
      <c r="A117" s="9" t="n"/>
      <c r="B117" s="9" t="n"/>
      <c r="C117" s="9" t="n"/>
      <c r="D117" s="9" t="n"/>
      <c r="E117" s="9" t="n"/>
      <c r="F117" s="9" t="n"/>
      <c r="G117" s="9" t="n"/>
    </row>
    <row r="118" ht="14.25" customHeight="1" s="37">
      <c r="A118" s="9" t="n"/>
      <c r="B118" s="9" t="n"/>
      <c r="C118" s="9" t="n"/>
      <c r="D118" s="9" t="n"/>
      <c r="E118" s="9" t="n"/>
      <c r="F118" s="9" t="n"/>
      <c r="G118" s="9" t="n"/>
    </row>
    <row r="119" ht="14.25" customHeight="1" s="37">
      <c r="A119" s="9" t="n"/>
      <c r="B119" s="9" t="n"/>
      <c r="C119" s="9" t="n"/>
      <c r="D119" s="9" t="n"/>
      <c r="E119" s="9" t="n"/>
      <c r="F119" s="9" t="n"/>
      <c r="G119" s="9" t="n"/>
    </row>
    <row r="120" ht="14.25" customHeight="1" s="37">
      <c r="A120" s="9" t="n"/>
      <c r="B120" s="9" t="n"/>
      <c r="C120" s="9" t="n"/>
      <c r="D120" s="9" t="n"/>
      <c r="E120" s="9" t="n"/>
      <c r="F120" s="9" t="n"/>
      <c r="G120" s="9" t="n"/>
    </row>
    <row r="121" ht="14.25" customHeight="1" s="37">
      <c r="A121" s="9" t="n"/>
      <c r="B121" s="9" t="n"/>
      <c r="C121" s="9" t="n"/>
      <c r="D121" s="9" t="n"/>
      <c r="E121" s="9" t="n"/>
      <c r="F121" s="9" t="n"/>
      <c r="G121" s="9" t="n"/>
    </row>
    <row r="122" ht="14.25" customHeight="1" s="37">
      <c r="A122" s="9" t="n"/>
      <c r="B122" s="9" t="n"/>
      <c r="C122" s="9" t="n"/>
      <c r="D122" s="9" t="n"/>
      <c r="E122" s="9" t="n"/>
      <c r="F122" s="9" t="n"/>
      <c r="G122" s="9" t="n"/>
    </row>
    <row r="123" ht="14.25" customHeight="1" s="37">
      <c r="A123" s="9" t="n"/>
      <c r="B123" s="9" t="n"/>
      <c r="C123" s="9" t="n"/>
      <c r="D123" s="9" t="n"/>
      <c r="E123" s="9" t="n"/>
      <c r="F123" s="9" t="n"/>
      <c r="G123" s="9" t="n"/>
    </row>
    <row r="124" ht="14.25" customHeight="1" s="37">
      <c r="A124" s="9" t="n"/>
      <c r="B124" s="9" t="n"/>
      <c r="C124" s="9" t="n"/>
      <c r="D124" s="9" t="n"/>
      <c r="E124" s="9" t="n"/>
      <c r="F124" s="9" t="n"/>
      <c r="G124" s="9" t="n"/>
    </row>
    <row r="125" ht="14.25" customHeight="1" s="37">
      <c r="A125" s="9" t="n"/>
      <c r="B125" s="9" t="n"/>
      <c r="C125" s="9" t="n"/>
      <c r="D125" s="9" t="n"/>
      <c r="E125" s="9" t="n"/>
      <c r="F125" s="9" t="n"/>
      <c r="G125" s="9" t="n"/>
    </row>
    <row r="126" ht="14.25" customHeight="1" s="37">
      <c r="A126" s="9" t="n"/>
      <c r="B126" s="9" t="n"/>
      <c r="C126" s="9" t="n"/>
      <c r="D126" s="9" t="n"/>
      <c r="E126" s="9" t="n"/>
      <c r="F126" s="9" t="n"/>
      <c r="G126" s="9" t="n"/>
    </row>
    <row r="127" ht="14.25" customHeight="1" s="37">
      <c r="A127" s="9" t="n"/>
      <c r="B127" s="9" t="n"/>
      <c r="C127" s="9" t="n"/>
      <c r="D127" s="9" t="n"/>
      <c r="E127" s="9" t="n"/>
      <c r="F127" s="9" t="n"/>
      <c r="G127" s="9" t="n"/>
    </row>
    <row r="128" ht="14.25" customHeight="1" s="37">
      <c r="A128" s="9" t="n"/>
      <c r="B128" s="9" t="n"/>
      <c r="C128" s="9" t="n"/>
      <c r="D128" s="9" t="n"/>
      <c r="E128" s="9" t="n"/>
      <c r="F128" s="9" t="n"/>
      <c r="G128" s="9" t="n"/>
    </row>
    <row r="129" ht="14.25" customHeight="1" s="37">
      <c r="A129" s="9" t="n"/>
      <c r="B129" s="9" t="n"/>
      <c r="C129" s="9" t="n"/>
      <c r="D129" s="9" t="n"/>
      <c r="E129" s="9" t="n"/>
      <c r="F129" s="9" t="n"/>
      <c r="G129" s="9" t="n"/>
    </row>
    <row r="130" ht="14.25" customHeight="1" s="37">
      <c r="A130" s="9" t="n"/>
      <c r="B130" s="9" t="n"/>
      <c r="C130" s="9" t="n"/>
      <c r="D130" s="9" t="n"/>
      <c r="E130" s="9" t="n"/>
      <c r="F130" s="9" t="n"/>
      <c r="G130" s="9" t="n"/>
    </row>
    <row r="131" ht="14.25" customHeight="1" s="37">
      <c r="A131" s="9" t="n"/>
      <c r="B131" s="9" t="n"/>
      <c r="C131" s="9" t="n"/>
      <c r="D131" s="9" t="n"/>
      <c r="E131" s="9" t="n"/>
      <c r="F131" s="9" t="n"/>
      <c r="G131" s="9" t="n"/>
    </row>
    <row r="132" ht="14.25" customHeight="1" s="37">
      <c r="A132" s="9" t="n"/>
      <c r="B132" s="9" t="n"/>
      <c r="C132" s="9" t="n"/>
      <c r="D132" s="9" t="n"/>
      <c r="E132" s="9" t="n"/>
      <c r="F132" s="9" t="n"/>
      <c r="G132" s="9" t="n"/>
    </row>
    <row r="133" ht="14.25" customHeight="1" s="37">
      <c r="A133" s="9" t="n"/>
      <c r="B133" s="9" t="n"/>
      <c r="C133" s="9" t="n"/>
      <c r="D133" s="9" t="n"/>
      <c r="E133" s="9" t="n"/>
      <c r="F133" s="9" t="n"/>
      <c r="G133" s="9" t="n"/>
    </row>
    <row r="134" ht="14.25" customHeight="1" s="37">
      <c r="A134" s="9" t="n"/>
      <c r="B134" s="9" t="n"/>
      <c r="C134" s="9" t="n"/>
      <c r="D134" s="9" t="n"/>
      <c r="E134" s="9" t="n"/>
      <c r="F134" s="9" t="n"/>
      <c r="G134" s="9" t="n"/>
    </row>
    <row r="135" ht="14.25" customHeight="1" s="37">
      <c r="A135" s="9" t="n"/>
      <c r="B135" s="9" t="n"/>
      <c r="C135" s="9" t="n"/>
      <c r="D135" s="9" t="n"/>
      <c r="E135" s="9" t="n"/>
      <c r="F135" s="9" t="n"/>
      <c r="G135" s="9" t="n"/>
    </row>
    <row r="136" ht="14.25" customHeight="1" s="37">
      <c r="A136" s="9" t="n"/>
      <c r="B136" s="9" t="n"/>
      <c r="C136" s="9" t="n"/>
      <c r="D136" s="9" t="n"/>
      <c r="E136" s="9" t="n"/>
      <c r="F136" s="9" t="n"/>
      <c r="G136" s="9" t="n"/>
    </row>
    <row r="137" ht="14.25" customHeight="1" s="37">
      <c r="A137" s="9" t="n"/>
      <c r="B137" s="9" t="n"/>
      <c r="C137" s="9" t="n"/>
      <c r="D137" s="9" t="n"/>
      <c r="E137" s="9" t="n"/>
      <c r="F137" s="9" t="n"/>
      <c r="G137" s="9" t="n"/>
    </row>
    <row r="138" ht="14.25" customHeight="1" s="37">
      <c r="A138" s="9" t="n"/>
      <c r="B138" s="9" t="n"/>
      <c r="C138" s="9" t="n"/>
      <c r="D138" s="9" t="n"/>
      <c r="E138" s="9" t="n"/>
      <c r="F138" s="9" t="n"/>
      <c r="G138" s="9" t="n"/>
    </row>
    <row r="139" ht="14.25" customHeight="1" s="37">
      <c r="A139" s="9" t="n"/>
      <c r="B139" s="9" t="n"/>
      <c r="C139" s="9" t="n"/>
      <c r="D139" s="9" t="n"/>
      <c r="E139" s="9" t="n"/>
      <c r="F139" s="9" t="n"/>
      <c r="G139" s="9" t="n"/>
    </row>
    <row r="140" ht="14.25" customHeight="1" s="37">
      <c r="A140" s="9" t="n"/>
      <c r="B140" s="9" t="n"/>
      <c r="C140" s="9" t="n"/>
      <c r="D140" s="9" t="n"/>
      <c r="E140" s="9" t="n"/>
      <c r="F140" s="9" t="n"/>
      <c r="G140" s="9" t="n"/>
    </row>
    <row r="141" ht="14.25" customHeight="1" s="37">
      <c r="A141" s="9" t="n"/>
      <c r="B141" s="9" t="n"/>
      <c r="C141" s="9" t="n"/>
      <c r="D141" s="9" t="n"/>
      <c r="E141" s="9" t="n"/>
      <c r="F141" s="9" t="n"/>
      <c r="G141" s="9" t="n"/>
    </row>
    <row r="142" ht="14.25" customHeight="1" s="37">
      <c r="A142" s="9" t="n"/>
      <c r="B142" s="9" t="n"/>
      <c r="C142" s="9" t="n"/>
      <c r="D142" s="9" t="n"/>
      <c r="E142" s="9" t="n"/>
      <c r="F142" s="9" t="n"/>
      <c r="G142" s="9" t="n"/>
    </row>
    <row r="143" ht="14.25" customHeight="1" s="37">
      <c r="A143" s="9" t="n"/>
      <c r="B143" s="9" t="n"/>
      <c r="C143" s="9" t="n"/>
      <c r="D143" s="9" t="n"/>
      <c r="E143" s="9" t="n"/>
      <c r="F143" s="9" t="n"/>
      <c r="G143" s="9" t="n"/>
    </row>
    <row r="144" ht="14.25" customHeight="1" s="37">
      <c r="A144" s="9" t="n"/>
      <c r="B144" s="9" t="n"/>
      <c r="C144" s="9" t="n"/>
      <c r="D144" s="9" t="n"/>
      <c r="E144" s="9" t="n"/>
      <c r="F144" s="9" t="n"/>
      <c r="G144" s="9" t="n"/>
    </row>
    <row r="145" ht="14.25" customHeight="1" s="37">
      <c r="A145" s="9" t="n"/>
      <c r="B145" s="9" t="n"/>
      <c r="C145" s="9" t="n"/>
      <c r="D145" s="9" t="n"/>
      <c r="E145" s="9" t="n"/>
      <c r="F145" s="9" t="n"/>
      <c r="G145" s="9" t="n"/>
    </row>
    <row r="146" ht="14.25" customHeight="1" s="37">
      <c r="A146" s="9" t="n"/>
      <c r="B146" s="9" t="n"/>
      <c r="C146" s="9" t="n"/>
      <c r="D146" s="9" t="n"/>
      <c r="E146" s="9" t="n"/>
      <c r="F146" s="9" t="n"/>
      <c r="G146" s="9" t="n"/>
    </row>
    <row r="147" ht="14.25" customHeight="1" s="37">
      <c r="A147" s="9" t="n"/>
      <c r="B147" s="9" t="n"/>
      <c r="C147" s="9" t="n"/>
      <c r="D147" s="9" t="n"/>
      <c r="E147" s="9" t="n"/>
      <c r="F147" s="9" t="n"/>
      <c r="G147" s="9" t="n"/>
    </row>
    <row r="148" ht="14.25" customHeight="1" s="37">
      <c r="A148" s="9" t="n"/>
      <c r="B148" s="9" t="n"/>
      <c r="C148" s="9" t="n"/>
      <c r="D148" s="9" t="n"/>
      <c r="E148" s="9" t="n"/>
      <c r="F148" s="9" t="n"/>
      <c r="G148" s="9" t="n"/>
    </row>
    <row r="149" ht="14.25" customHeight="1" s="37">
      <c r="A149" s="9" t="n"/>
      <c r="B149" s="9" t="n"/>
      <c r="C149" s="9" t="n"/>
      <c r="D149" s="9" t="n"/>
      <c r="E149" s="9" t="n"/>
      <c r="F149" s="9" t="n"/>
      <c r="G149" s="9" t="n"/>
    </row>
    <row r="150" ht="14.25" customHeight="1" s="37">
      <c r="A150" s="9" t="n"/>
      <c r="B150" s="9" t="n"/>
      <c r="C150" s="9" t="n"/>
      <c r="D150" s="9" t="n"/>
      <c r="E150" s="9" t="n"/>
      <c r="F150" s="9" t="n"/>
      <c r="G150" s="9" t="n"/>
    </row>
    <row r="151" ht="14.25" customHeight="1" s="37">
      <c r="A151" s="9" t="n"/>
      <c r="B151" s="9" t="n"/>
      <c r="C151" s="9" t="n"/>
      <c r="D151" s="9" t="n"/>
      <c r="E151" s="9" t="n"/>
      <c r="F151" s="9" t="n"/>
      <c r="G151" s="9" t="n"/>
    </row>
    <row r="152" ht="14.25" customHeight="1" s="37">
      <c r="A152" s="9" t="n"/>
      <c r="B152" s="9" t="n"/>
      <c r="C152" s="9" t="n"/>
      <c r="D152" s="9" t="n"/>
      <c r="E152" s="9" t="n"/>
      <c r="F152" s="9" t="n"/>
      <c r="G152" s="9" t="n"/>
    </row>
    <row r="153" ht="14.25" customHeight="1" s="37">
      <c r="A153" s="9" t="n"/>
      <c r="B153" s="9" t="n"/>
      <c r="C153" s="9" t="n"/>
      <c r="D153" s="9" t="n"/>
      <c r="E153" s="9" t="n"/>
      <c r="F153" s="9" t="n"/>
      <c r="G153" s="9" t="n"/>
    </row>
    <row r="154" ht="14.25" customHeight="1" s="37">
      <c r="A154" s="9" t="n"/>
      <c r="B154" s="9" t="n"/>
      <c r="C154" s="9" t="n"/>
      <c r="D154" s="9" t="n"/>
      <c r="E154" s="9" t="n"/>
      <c r="F154" s="9" t="n"/>
      <c r="G154" s="9" t="n"/>
    </row>
    <row r="155" ht="14.25" customHeight="1" s="37">
      <c r="A155" s="9" t="n"/>
      <c r="B155" s="9" t="n"/>
      <c r="C155" s="9" t="n"/>
      <c r="D155" s="9" t="n"/>
      <c r="E155" s="9" t="n"/>
      <c r="F155" s="9" t="n"/>
      <c r="G155" s="9" t="n"/>
    </row>
    <row r="156" ht="14.25" customHeight="1" s="37">
      <c r="A156" s="9" t="n"/>
      <c r="B156" s="9" t="n"/>
      <c r="C156" s="9" t="n"/>
      <c r="D156" s="9" t="n"/>
      <c r="E156" s="9" t="n"/>
      <c r="F156" s="9" t="n"/>
      <c r="G156" s="9" t="n"/>
    </row>
    <row r="157" ht="14.25" customHeight="1" s="37">
      <c r="A157" s="9" t="n"/>
      <c r="B157" s="9" t="n"/>
      <c r="C157" s="9" t="n"/>
      <c r="D157" s="9" t="n"/>
      <c r="E157" s="9" t="n"/>
      <c r="F157" s="9" t="n"/>
      <c r="G157" s="9" t="n"/>
    </row>
    <row r="158" ht="14.25" customHeight="1" s="37">
      <c r="A158" s="9" t="n"/>
      <c r="B158" s="9" t="n"/>
      <c r="C158" s="9" t="n"/>
      <c r="D158" s="9" t="n"/>
      <c r="E158" s="9" t="n"/>
      <c r="F158" s="9" t="n"/>
      <c r="G158" s="9" t="n"/>
    </row>
    <row r="159" ht="14.25" customHeight="1" s="37">
      <c r="A159" s="9" t="n"/>
      <c r="B159" s="9" t="n"/>
      <c r="C159" s="9" t="n"/>
      <c r="D159" s="9" t="n"/>
      <c r="E159" s="9" t="n"/>
      <c r="F159" s="9" t="n"/>
      <c r="G159" s="9" t="n"/>
    </row>
    <row r="160" ht="14.25" customHeight="1" s="37">
      <c r="A160" s="9" t="n"/>
      <c r="B160" s="9" t="n"/>
      <c r="C160" s="9" t="n"/>
      <c r="D160" s="9" t="n"/>
      <c r="E160" s="9" t="n"/>
      <c r="F160" s="9" t="n"/>
      <c r="G160" s="9" t="n"/>
    </row>
    <row r="161" ht="14.25" customHeight="1" s="37">
      <c r="A161" s="9" t="n"/>
      <c r="B161" s="9" t="n"/>
      <c r="C161" s="9" t="n"/>
      <c r="D161" s="9" t="n"/>
      <c r="E161" s="9" t="n"/>
      <c r="F161" s="9" t="n"/>
      <c r="G161" s="9" t="n"/>
    </row>
    <row r="162" ht="14.25" customHeight="1" s="37">
      <c r="A162" s="9" t="n"/>
      <c r="B162" s="9" t="n"/>
      <c r="C162" s="9" t="n"/>
      <c r="D162" s="9" t="n"/>
      <c r="E162" s="9" t="n"/>
      <c r="F162" s="9" t="n"/>
      <c r="G162" s="9" t="n"/>
    </row>
    <row r="163" ht="14.25" customHeight="1" s="37">
      <c r="A163" s="9" t="n"/>
      <c r="B163" s="9" t="n"/>
      <c r="C163" s="9" t="n"/>
      <c r="D163" s="9" t="n"/>
      <c r="E163" s="9" t="n"/>
      <c r="F163" s="9" t="n"/>
      <c r="G163" s="9" t="n"/>
    </row>
    <row r="164" ht="14.25" customHeight="1" s="37">
      <c r="A164" s="9" t="n"/>
      <c r="B164" s="9" t="n"/>
      <c r="C164" s="9" t="n"/>
      <c r="D164" s="9" t="n"/>
      <c r="E164" s="9" t="n"/>
      <c r="F164" s="9" t="n"/>
      <c r="G164" s="9" t="n"/>
    </row>
    <row r="165" ht="14.25" customHeight="1" s="37">
      <c r="A165" s="9" t="n"/>
      <c r="B165" s="9" t="n"/>
      <c r="C165" s="9" t="n"/>
      <c r="D165" s="9" t="n"/>
      <c r="E165" s="9" t="n"/>
      <c r="F165" s="9" t="n"/>
      <c r="G165" s="9" t="n"/>
    </row>
    <row r="166" ht="14.25" customHeight="1" s="37">
      <c r="A166" s="9" t="n"/>
      <c r="B166" s="9" t="n"/>
      <c r="C166" s="9" t="n"/>
      <c r="D166" s="9" t="n"/>
      <c r="E166" s="9" t="n"/>
      <c r="F166" s="9" t="n"/>
      <c r="G166" s="9" t="n"/>
    </row>
    <row r="167" ht="14.25" customHeight="1" s="37">
      <c r="A167" s="9" t="n"/>
      <c r="B167" s="9" t="n"/>
      <c r="C167" s="9" t="n"/>
      <c r="D167" s="9" t="n"/>
      <c r="E167" s="9" t="n"/>
      <c r="F167" s="9" t="n"/>
      <c r="G167" s="9" t="n"/>
    </row>
    <row r="168" ht="14.25" customHeight="1" s="37">
      <c r="A168" s="9" t="n"/>
      <c r="B168" s="9" t="n"/>
      <c r="C168" s="9" t="n"/>
      <c r="D168" s="9" t="n"/>
      <c r="E168" s="9" t="n"/>
      <c r="F168" s="9" t="n"/>
      <c r="G168" s="9" t="n"/>
    </row>
    <row r="169" ht="14.25" customHeight="1" s="37">
      <c r="A169" s="9" t="n"/>
      <c r="B169" s="9" t="n"/>
      <c r="C169" s="9" t="n"/>
      <c r="D169" s="9" t="n"/>
      <c r="E169" s="9" t="n"/>
      <c r="F169" s="9" t="n"/>
      <c r="G169" s="9" t="n"/>
    </row>
    <row r="170" ht="14.25" customHeight="1" s="37">
      <c r="A170" s="9" t="n"/>
      <c r="B170" s="9" t="n"/>
      <c r="C170" s="9" t="n"/>
      <c r="D170" s="9" t="n"/>
      <c r="E170" s="9" t="n"/>
      <c r="F170" s="9" t="n"/>
      <c r="G170" s="9" t="n"/>
    </row>
    <row r="171" ht="14.25" customHeight="1" s="37">
      <c r="A171" s="9" t="n"/>
      <c r="B171" s="9" t="n"/>
      <c r="C171" s="9" t="n"/>
      <c r="D171" s="9" t="n"/>
      <c r="E171" s="9" t="n"/>
      <c r="F171" s="9" t="n"/>
      <c r="G171" s="9" t="n"/>
    </row>
    <row r="172" ht="14.25" customHeight="1" s="37">
      <c r="A172" s="9" t="n"/>
      <c r="B172" s="9" t="n"/>
      <c r="C172" s="9" t="n"/>
      <c r="D172" s="9" t="n"/>
      <c r="E172" s="9" t="n"/>
      <c r="F172" s="9" t="n"/>
      <c r="G172" s="9" t="n"/>
    </row>
    <row r="173" ht="14.25" customHeight="1" s="37">
      <c r="A173" s="9" t="n"/>
      <c r="B173" s="9" t="n"/>
      <c r="C173" s="9" t="n"/>
      <c r="D173" s="9" t="n"/>
      <c r="E173" s="9" t="n"/>
      <c r="F173" s="9" t="n"/>
      <c r="G173" s="9" t="n"/>
    </row>
    <row r="174" ht="14.25" customHeight="1" s="37">
      <c r="A174" s="9" t="n"/>
      <c r="B174" s="9" t="n"/>
      <c r="C174" s="9" t="n"/>
      <c r="D174" s="9" t="n"/>
      <c r="E174" s="9" t="n"/>
      <c r="F174" s="9" t="n"/>
      <c r="G174" s="9" t="n"/>
    </row>
    <row r="175" ht="14.25" customHeight="1" s="37">
      <c r="A175" s="9" t="n"/>
      <c r="B175" s="9" t="n"/>
      <c r="C175" s="9" t="n"/>
      <c r="D175" s="9" t="n"/>
      <c r="E175" s="9" t="n"/>
      <c r="F175" s="9" t="n"/>
      <c r="G175" s="9" t="n"/>
    </row>
    <row r="176" ht="14.25" customHeight="1" s="37">
      <c r="A176" s="9" t="n"/>
      <c r="B176" s="9" t="n"/>
      <c r="C176" s="9" t="n"/>
      <c r="D176" s="9" t="n"/>
      <c r="E176" s="9" t="n"/>
      <c r="F176" s="9" t="n"/>
      <c r="G176" s="9" t="n"/>
    </row>
    <row r="177" ht="14.25" customHeight="1" s="37">
      <c r="A177" s="9" t="n"/>
      <c r="B177" s="9" t="n"/>
      <c r="C177" s="9" t="n"/>
      <c r="D177" s="9" t="n"/>
      <c r="E177" s="9" t="n"/>
      <c r="F177" s="9" t="n"/>
      <c r="G177" s="9" t="n"/>
    </row>
    <row r="178" ht="14.25" customHeight="1" s="37">
      <c r="A178" s="9" t="n"/>
      <c r="B178" s="9" t="n"/>
      <c r="C178" s="9" t="n"/>
      <c r="D178" s="9" t="n"/>
      <c r="E178" s="9" t="n"/>
      <c r="F178" s="9" t="n"/>
      <c r="G178" s="9" t="n"/>
    </row>
    <row r="179" ht="14.25" customHeight="1" s="37">
      <c r="A179" s="9" t="n"/>
      <c r="B179" s="9" t="n"/>
      <c r="C179" s="9" t="n"/>
      <c r="D179" s="9" t="n"/>
      <c r="E179" s="9" t="n"/>
      <c r="F179" s="9" t="n"/>
      <c r="G179" s="9" t="n"/>
    </row>
    <row r="180" ht="14.25" customHeight="1" s="37">
      <c r="A180" s="9" t="n"/>
      <c r="B180" s="9" t="n"/>
      <c r="C180" s="9" t="n"/>
      <c r="D180" s="9" t="n"/>
      <c r="E180" s="9" t="n"/>
      <c r="F180" s="9" t="n"/>
      <c r="G180" s="9" t="n"/>
    </row>
    <row r="181" ht="14.25" customHeight="1" s="37">
      <c r="A181" s="9" t="n"/>
      <c r="B181" s="9" t="n"/>
      <c r="C181" s="9" t="n"/>
      <c r="D181" s="9" t="n"/>
      <c r="E181" s="9" t="n"/>
      <c r="F181" s="9" t="n"/>
      <c r="G181" s="9" t="n"/>
    </row>
    <row r="182" ht="14.25" customHeight="1" s="37">
      <c r="A182" s="9" t="n"/>
      <c r="B182" s="9" t="n"/>
      <c r="C182" s="9" t="n"/>
      <c r="D182" s="9" t="n"/>
      <c r="E182" s="9" t="n"/>
      <c r="F182" s="9" t="n"/>
      <c r="G182" s="9" t="n"/>
    </row>
    <row r="183" ht="14.25" customHeight="1" s="37">
      <c r="A183" s="9" t="n"/>
      <c r="B183" s="9" t="n"/>
      <c r="C183" s="9" t="n"/>
      <c r="D183" s="9" t="n"/>
      <c r="E183" s="9" t="n"/>
      <c r="F183" s="9" t="n"/>
      <c r="G183" s="9" t="n"/>
    </row>
    <row r="184" ht="14.25" customHeight="1" s="37">
      <c r="A184" s="9" t="n"/>
      <c r="B184" s="9" t="n"/>
      <c r="C184" s="9" t="n"/>
      <c r="D184" s="9" t="n"/>
      <c r="E184" s="9" t="n"/>
      <c r="F184" s="9" t="n"/>
      <c r="G184" s="9" t="n"/>
    </row>
    <row r="185" ht="14.25" customHeight="1" s="37">
      <c r="A185" s="9" t="n"/>
      <c r="B185" s="9" t="n"/>
      <c r="C185" s="9" t="n"/>
      <c r="D185" s="9" t="n"/>
      <c r="E185" s="9" t="n"/>
      <c r="F185" s="9" t="n"/>
      <c r="G185" s="9" t="n"/>
    </row>
    <row r="186" ht="14.25" customHeight="1" s="37">
      <c r="A186" s="9" t="n"/>
      <c r="B186" s="9" t="n"/>
      <c r="C186" s="9" t="n"/>
      <c r="D186" s="9" t="n"/>
      <c r="E186" s="9" t="n"/>
      <c r="F186" s="9" t="n"/>
      <c r="G186" s="9" t="n"/>
    </row>
    <row r="187" ht="14.25" customHeight="1" s="37">
      <c r="A187" s="9" t="n"/>
      <c r="B187" s="9" t="n"/>
      <c r="C187" s="9" t="n"/>
      <c r="D187" s="9" t="n"/>
      <c r="E187" s="9" t="n"/>
      <c r="F187" s="9" t="n"/>
      <c r="G187" s="9" t="n"/>
    </row>
    <row r="188" ht="14.25" customHeight="1" s="37">
      <c r="A188" s="9" t="n"/>
      <c r="B188" s="9" t="n"/>
      <c r="C188" s="9" t="n"/>
      <c r="D188" s="9" t="n"/>
      <c r="E188" s="9" t="n"/>
      <c r="F188" s="9" t="n"/>
      <c r="G188" s="9" t="n"/>
    </row>
    <row r="189" ht="14.25" customHeight="1" s="37">
      <c r="A189" s="9" t="n"/>
      <c r="B189" s="9" t="n"/>
      <c r="C189" s="9" t="n"/>
      <c r="D189" s="9" t="n"/>
      <c r="E189" s="9" t="n"/>
      <c r="F189" s="9" t="n"/>
      <c r="G189" s="9" t="n"/>
    </row>
    <row r="190" ht="14.25" customHeight="1" s="37">
      <c r="A190" s="9" t="n"/>
      <c r="B190" s="9" t="n"/>
      <c r="C190" s="9" t="n"/>
      <c r="D190" s="9" t="n"/>
      <c r="E190" s="9" t="n"/>
      <c r="F190" s="9" t="n"/>
      <c r="G190" s="9" t="n"/>
    </row>
    <row r="191" ht="14.25" customHeight="1" s="37">
      <c r="A191" s="9" t="n"/>
      <c r="B191" s="9" t="n"/>
      <c r="C191" s="9" t="n"/>
      <c r="D191" s="9" t="n"/>
      <c r="E191" s="9" t="n"/>
      <c r="F191" s="9" t="n"/>
      <c r="G191" s="9" t="n"/>
    </row>
    <row r="192" ht="14.25" customHeight="1" s="37">
      <c r="A192" s="9" t="n"/>
      <c r="B192" s="9" t="n"/>
      <c r="C192" s="9" t="n"/>
      <c r="D192" s="9" t="n"/>
      <c r="E192" s="9" t="n"/>
      <c r="F192" s="9" t="n"/>
      <c r="G192" s="9" t="n"/>
    </row>
    <row r="193" ht="14.25" customHeight="1" s="37">
      <c r="A193" s="9" t="n"/>
      <c r="B193" s="9" t="n"/>
      <c r="C193" s="9" t="n"/>
      <c r="D193" s="9" t="n"/>
      <c r="E193" s="9" t="n"/>
      <c r="F193" s="9" t="n"/>
      <c r="G193" s="9" t="n"/>
    </row>
    <row r="194" ht="14.25" customHeight="1" s="37">
      <c r="A194" s="9" t="n"/>
      <c r="B194" s="9" t="n"/>
      <c r="C194" s="9" t="n"/>
      <c r="D194" s="9" t="n"/>
      <c r="E194" s="9" t="n"/>
      <c r="F194" s="9" t="n"/>
      <c r="G194" s="9" t="n"/>
    </row>
    <row r="195" ht="14.25" customHeight="1" s="37">
      <c r="A195" s="9" t="n"/>
      <c r="B195" s="9" t="n"/>
      <c r="C195" s="9" t="n"/>
      <c r="D195" s="9" t="n"/>
      <c r="E195" s="9" t="n"/>
      <c r="F195" s="9" t="n"/>
      <c r="G195" s="9" t="n"/>
    </row>
    <row r="196" ht="14.25" customHeight="1" s="37">
      <c r="A196" s="9" t="n"/>
      <c r="B196" s="9" t="n"/>
      <c r="C196" s="9" t="n"/>
      <c r="D196" s="9" t="n"/>
      <c r="E196" s="9" t="n"/>
      <c r="F196" s="9" t="n"/>
      <c r="G196" s="9" t="n"/>
    </row>
    <row r="197" ht="14.25" customHeight="1" s="37">
      <c r="A197" s="9" t="n"/>
      <c r="B197" s="9" t="n"/>
      <c r="C197" s="9" t="n"/>
      <c r="D197" s="9" t="n"/>
      <c r="E197" s="9" t="n"/>
      <c r="F197" s="9" t="n"/>
      <c r="G197" s="9" t="n"/>
    </row>
    <row r="198" ht="14.25" customHeight="1" s="37">
      <c r="A198" s="9" t="n"/>
      <c r="B198" s="9" t="n"/>
      <c r="C198" s="9" t="n"/>
      <c r="D198" s="9" t="n"/>
      <c r="E198" s="9" t="n"/>
      <c r="F198" s="9" t="n"/>
      <c r="G198" s="9" t="n"/>
    </row>
    <row r="199" ht="14.25" customHeight="1" s="37">
      <c r="A199" s="9" t="n"/>
      <c r="B199" s="9" t="n"/>
      <c r="C199" s="9" t="n"/>
      <c r="D199" s="9" t="n"/>
      <c r="E199" s="9" t="n"/>
      <c r="F199" s="9" t="n"/>
      <c r="G199" s="9" t="n"/>
    </row>
    <row r="200" ht="14.25" customHeight="1" s="37">
      <c r="A200" s="9" t="n"/>
      <c r="B200" s="9" t="n"/>
      <c r="C200" s="9" t="n"/>
      <c r="D200" s="9" t="n"/>
      <c r="E200" s="9" t="n"/>
      <c r="F200" s="9" t="n"/>
      <c r="G200" s="9" t="n"/>
    </row>
    <row r="201" ht="14.25" customHeight="1" s="37">
      <c r="A201" s="9" t="n"/>
      <c r="B201" s="9" t="n"/>
      <c r="C201" s="9" t="n"/>
      <c r="D201" s="9" t="n"/>
      <c r="E201" s="9" t="n"/>
      <c r="F201" s="9" t="n"/>
      <c r="G201" s="9" t="n"/>
    </row>
    <row r="202" ht="14.25" customHeight="1" s="37">
      <c r="A202" s="9" t="n"/>
      <c r="B202" s="9" t="n"/>
      <c r="C202" s="9" t="n"/>
      <c r="D202" s="9" t="n"/>
      <c r="E202" s="9" t="n"/>
      <c r="F202" s="9" t="n"/>
      <c r="G202" s="9" t="n"/>
    </row>
    <row r="203" ht="14.25" customHeight="1" s="37">
      <c r="A203" s="9" t="n"/>
      <c r="B203" s="9" t="n"/>
      <c r="C203" s="9" t="n"/>
      <c r="D203" s="9" t="n"/>
      <c r="E203" s="9" t="n"/>
      <c r="F203" s="9" t="n"/>
      <c r="G203" s="9" t="n"/>
    </row>
    <row r="204" ht="14.25" customHeight="1" s="37">
      <c r="A204" s="9" t="n"/>
      <c r="B204" s="9" t="n"/>
      <c r="C204" s="9" t="n"/>
      <c r="D204" s="9" t="n"/>
      <c r="E204" s="9" t="n"/>
      <c r="F204" s="9" t="n"/>
      <c r="G204" s="9" t="n"/>
    </row>
    <row r="205" ht="14.25" customHeight="1" s="37">
      <c r="A205" s="9" t="n"/>
      <c r="B205" s="9" t="n"/>
      <c r="C205" s="9" t="n"/>
      <c r="D205" s="9" t="n"/>
      <c r="E205" s="9" t="n"/>
      <c r="F205" s="9" t="n"/>
      <c r="G205" s="9" t="n"/>
    </row>
    <row r="206" ht="14.25" customHeight="1" s="37">
      <c r="A206" s="9" t="n"/>
      <c r="B206" s="9" t="n"/>
      <c r="C206" s="9" t="n"/>
      <c r="D206" s="9" t="n"/>
      <c r="E206" s="9" t="n"/>
      <c r="F206" s="9" t="n"/>
      <c r="G206" s="9" t="n"/>
    </row>
    <row r="207" ht="14.25" customHeight="1" s="37">
      <c r="A207" s="9" t="n"/>
      <c r="B207" s="9" t="n"/>
      <c r="C207" s="9" t="n"/>
      <c r="D207" s="9" t="n"/>
      <c r="E207" s="9" t="n"/>
      <c r="F207" s="9" t="n"/>
      <c r="G207" s="9" t="n"/>
    </row>
    <row r="208" ht="14.25" customHeight="1" s="37">
      <c r="A208" s="9" t="n"/>
      <c r="B208" s="9" t="n"/>
      <c r="C208" s="9" t="n"/>
      <c r="D208" s="9" t="n"/>
      <c r="E208" s="9" t="n"/>
      <c r="F208" s="9" t="n"/>
      <c r="G208" s="9" t="n"/>
    </row>
    <row r="209" ht="14.25" customHeight="1" s="37">
      <c r="A209" s="9" t="n"/>
      <c r="B209" s="9" t="n"/>
      <c r="C209" s="9" t="n"/>
      <c r="D209" s="9" t="n"/>
      <c r="E209" s="9" t="n"/>
      <c r="F209" s="9" t="n"/>
      <c r="G209" s="9" t="n"/>
    </row>
    <row r="210" ht="14.25" customHeight="1" s="37">
      <c r="A210" s="9" t="n"/>
      <c r="B210" s="9" t="n"/>
      <c r="C210" s="9" t="n"/>
      <c r="D210" s="9" t="n"/>
      <c r="E210" s="9" t="n"/>
      <c r="F210" s="9" t="n"/>
      <c r="G210" s="9" t="n"/>
    </row>
    <row r="211" ht="14.25" customHeight="1" s="37">
      <c r="A211" s="9" t="n"/>
      <c r="B211" s="9" t="n"/>
      <c r="C211" s="9" t="n"/>
      <c r="D211" s="9" t="n"/>
      <c r="E211" s="9" t="n"/>
      <c r="F211" s="9" t="n"/>
      <c r="G211" s="9" t="n"/>
    </row>
    <row r="212" ht="14.25" customHeight="1" s="37">
      <c r="A212" s="9" t="n"/>
      <c r="B212" s="9" t="n"/>
      <c r="C212" s="9" t="n"/>
      <c r="D212" s="9" t="n"/>
      <c r="E212" s="9" t="n"/>
      <c r="F212" s="9" t="n"/>
      <c r="G212" s="9" t="n"/>
    </row>
    <row r="213" ht="14.25" customHeight="1" s="37">
      <c r="A213" s="9" t="n"/>
      <c r="B213" s="9" t="n"/>
      <c r="C213" s="9" t="n"/>
      <c r="D213" s="9" t="n"/>
      <c r="E213" s="9" t="n"/>
      <c r="F213" s="9" t="n"/>
      <c r="G213" s="9" t="n"/>
    </row>
    <row r="214" ht="14.25" customHeight="1" s="37">
      <c r="A214" s="9" t="n"/>
      <c r="B214" s="9" t="n"/>
      <c r="C214" s="9" t="n"/>
      <c r="D214" s="9" t="n"/>
      <c r="E214" s="9" t="n"/>
      <c r="F214" s="9" t="n"/>
      <c r="G214" s="9" t="n"/>
    </row>
    <row r="215" ht="14.25" customHeight="1" s="37">
      <c r="A215" s="9" t="n"/>
      <c r="B215" s="9" t="n"/>
      <c r="C215" s="9" t="n"/>
      <c r="D215" s="9" t="n"/>
      <c r="E215" s="9" t="n"/>
      <c r="F215" s="9" t="n"/>
      <c r="G215" s="9" t="n"/>
    </row>
    <row r="216" ht="14.25" customHeight="1" s="37">
      <c r="A216" s="9" t="n"/>
      <c r="B216" s="9" t="n"/>
      <c r="C216" s="9" t="n"/>
      <c r="D216" s="9" t="n"/>
      <c r="E216" s="9" t="n"/>
      <c r="F216" s="9" t="n"/>
      <c r="G216" s="9" t="n"/>
    </row>
    <row r="217" ht="14.25" customHeight="1" s="37">
      <c r="A217" s="9" t="n"/>
      <c r="B217" s="9" t="n"/>
      <c r="C217" s="9" t="n"/>
      <c r="D217" s="9" t="n"/>
      <c r="E217" s="9" t="n"/>
      <c r="F217" s="9" t="n"/>
      <c r="G217" s="9" t="n"/>
    </row>
    <row r="218" ht="14.25" customHeight="1" s="37">
      <c r="A218" s="9" t="n"/>
      <c r="B218" s="9" t="n"/>
      <c r="C218" s="9" t="n"/>
      <c r="D218" s="9" t="n"/>
      <c r="E218" s="9" t="n"/>
      <c r="F218" s="9" t="n"/>
      <c r="G218" s="9" t="n"/>
    </row>
    <row r="219" ht="14.25" customHeight="1" s="37">
      <c r="A219" s="9" t="n"/>
      <c r="B219" s="9" t="n"/>
      <c r="C219" s="9" t="n"/>
      <c r="D219" s="9" t="n"/>
      <c r="E219" s="9" t="n"/>
      <c r="F219" s="9" t="n"/>
      <c r="G219" s="9" t="n"/>
    </row>
    <row r="220" ht="14.25" customHeight="1" s="37">
      <c r="A220" s="9" t="n"/>
      <c r="B220" s="9" t="n"/>
      <c r="C220" s="9" t="n"/>
      <c r="D220" s="9" t="n"/>
      <c r="E220" s="9" t="n"/>
      <c r="F220" s="9" t="n"/>
      <c r="G220" s="9" t="n"/>
    </row>
    <row r="221" ht="14.25" customHeight="1" s="37">
      <c r="F221" s="11" t="n"/>
    </row>
    <row r="222" ht="14.25" customHeight="1" s="37">
      <c r="F222" s="11" t="n"/>
    </row>
    <row r="223" ht="14.25" customHeight="1" s="37">
      <c r="F223" s="11" t="n"/>
    </row>
    <row r="224" ht="14.25" customHeight="1" s="37">
      <c r="F224" s="11" t="n"/>
    </row>
    <row r="225" ht="14.25" customHeight="1" s="37">
      <c r="F225" s="11" t="n"/>
    </row>
    <row r="226" ht="14.25" customHeight="1" s="37">
      <c r="F226" s="11" t="n"/>
    </row>
    <row r="227" ht="14.25" customHeight="1" s="37">
      <c r="F227" s="11" t="n"/>
    </row>
    <row r="228" ht="14.25" customHeight="1" s="37">
      <c r="F228" s="11" t="n"/>
    </row>
    <row r="229" ht="14.25" customHeight="1" s="37">
      <c r="F229" s="11" t="n"/>
    </row>
    <row r="230" ht="14.25" customHeight="1" s="37">
      <c r="F230" s="11" t="n"/>
    </row>
    <row r="231" ht="14.25" customHeight="1" s="37">
      <c r="F231" s="11" t="n"/>
    </row>
    <row r="232" ht="14.25" customHeight="1" s="37">
      <c r="F232" s="11" t="n"/>
    </row>
    <row r="233" ht="14.25" customHeight="1" s="37">
      <c r="F233" s="11" t="n"/>
    </row>
    <row r="234" ht="14.25" customHeight="1" s="37">
      <c r="F234" s="11" t="n"/>
    </row>
    <row r="235" ht="14.25" customHeight="1" s="37">
      <c r="F235" s="11" t="n"/>
    </row>
    <row r="236" ht="14.25" customHeight="1" s="37">
      <c r="F236" s="11" t="n"/>
    </row>
    <row r="237" ht="14.25" customHeight="1" s="37">
      <c r="F237" s="11" t="n"/>
    </row>
    <row r="238" ht="14.25" customHeight="1" s="37">
      <c r="F238" s="11" t="n"/>
    </row>
    <row r="239" ht="14.25" customHeight="1" s="37">
      <c r="F239" s="11" t="n"/>
    </row>
    <row r="240" ht="14.25" customHeight="1" s="37">
      <c r="F240" s="11" t="n"/>
    </row>
    <row r="241" ht="14.25" customHeight="1" s="37">
      <c r="F241" s="11" t="n"/>
    </row>
    <row r="242" ht="14.25" customHeight="1" s="37">
      <c r="F242" s="11" t="n"/>
    </row>
    <row r="243" ht="14.25" customHeight="1" s="37">
      <c r="F243" s="11" t="n"/>
    </row>
    <row r="244" ht="14.25" customHeight="1" s="37">
      <c r="F244" s="11" t="n"/>
    </row>
    <row r="245" ht="14.25" customHeight="1" s="37">
      <c r="F245" s="11" t="n"/>
    </row>
    <row r="246" ht="14.25" customHeight="1" s="37">
      <c r="F246" s="11" t="n"/>
    </row>
    <row r="247" ht="14.25" customHeight="1" s="37">
      <c r="F247" s="11" t="n"/>
    </row>
    <row r="248" ht="14.25" customHeight="1" s="37">
      <c r="F248" s="11" t="n"/>
    </row>
    <row r="249" ht="14.25" customHeight="1" s="37">
      <c r="F249" s="11" t="n"/>
    </row>
    <row r="250" ht="14.25" customHeight="1" s="37">
      <c r="F250" s="11" t="n"/>
    </row>
    <row r="251" ht="14.25" customHeight="1" s="37">
      <c r="F251" s="11" t="n"/>
    </row>
    <row r="252" ht="14.25" customHeight="1" s="37">
      <c r="F252" s="11" t="n"/>
    </row>
    <row r="253" ht="14.25" customHeight="1" s="37">
      <c r="F253" s="11" t="n"/>
    </row>
    <row r="254" ht="14.25" customHeight="1" s="37">
      <c r="F254" s="11" t="n"/>
    </row>
    <row r="255" ht="14.25" customHeight="1" s="37">
      <c r="F255" s="11" t="n"/>
    </row>
    <row r="256" ht="14.25" customHeight="1" s="37">
      <c r="F256" s="11" t="n"/>
    </row>
    <row r="257" ht="14.25" customHeight="1" s="37">
      <c r="F257" s="11" t="n"/>
    </row>
    <row r="258" ht="14.25" customHeight="1" s="37">
      <c r="F258" s="11" t="n"/>
    </row>
    <row r="259" ht="14.25" customHeight="1" s="37">
      <c r="F259" s="11" t="n"/>
    </row>
    <row r="260" ht="14.25" customHeight="1" s="37">
      <c r="F260" s="11" t="n"/>
    </row>
    <row r="261" ht="14.25" customHeight="1" s="37">
      <c r="F261" s="11" t="n"/>
    </row>
    <row r="262" ht="14.25" customHeight="1" s="37">
      <c r="F262" s="11" t="n"/>
    </row>
    <row r="263" ht="14.25" customHeight="1" s="37">
      <c r="F263" s="11" t="n"/>
    </row>
    <row r="264" ht="14.25" customHeight="1" s="37">
      <c r="F264" s="11" t="n"/>
    </row>
    <row r="265" ht="14.25" customHeight="1" s="37">
      <c r="F265" s="11" t="n"/>
    </row>
    <row r="266" ht="14.25" customHeight="1" s="37">
      <c r="F266" s="11" t="n"/>
    </row>
    <row r="267" ht="14.25" customHeight="1" s="37">
      <c r="F267" s="11" t="n"/>
    </row>
    <row r="268" ht="14.25" customHeight="1" s="37">
      <c r="F268" s="11" t="n"/>
    </row>
    <row r="269" ht="14.25" customHeight="1" s="37">
      <c r="F269" s="11" t="n"/>
    </row>
    <row r="270" ht="14.25" customHeight="1" s="37">
      <c r="F270" s="11" t="n"/>
    </row>
    <row r="271" ht="14.25" customHeight="1" s="37">
      <c r="F271" s="11" t="n"/>
    </row>
    <row r="272" ht="14.25" customHeight="1" s="37">
      <c r="F272" s="11" t="n"/>
    </row>
    <row r="273" ht="14.25" customHeight="1" s="37">
      <c r="F273" s="11" t="n"/>
    </row>
    <row r="274" ht="14.25" customHeight="1" s="37">
      <c r="F274" s="11" t="n"/>
    </row>
    <row r="275" ht="14.25" customHeight="1" s="37">
      <c r="F275" s="11" t="n"/>
    </row>
    <row r="276" ht="14.25" customHeight="1" s="37">
      <c r="F276" s="11" t="n"/>
    </row>
    <row r="277" ht="14.25" customHeight="1" s="37">
      <c r="F277" s="11" t="n"/>
    </row>
    <row r="278" ht="14.25" customHeight="1" s="37">
      <c r="F278" s="11" t="n"/>
    </row>
    <row r="279" ht="14.25" customHeight="1" s="37">
      <c r="F279" s="11" t="n"/>
    </row>
    <row r="280" ht="14.25" customHeight="1" s="37">
      <c r="F280" s="11" t="n"/>
    </row>
    <row r="281" ht="14.25" customHeight="1" s="37">
      <c r="F281" s="11" t="n"/>
    </row>
    <row r="282" ht="14.25" customHeight="1" s="37">
      <c r="F282" s="11" t="n"/>
    </row>
    <row r="283" ht="14.25" customHeight="1" s="37">
      <c r="F283" s="11" t="n"/>
    </row>
    <row r="284" ht="14.25" customHeight="1" s="37">
      <c r="F284" s="11" t="n"/>
    </row>
    <row r="285" ht="14.25" customHeight="1" s="37">
      <c r="F285" s="11" t="n"/>
    </row>
    <row r="286" ht="14.25" customHeight="1" s="37">
      <c r="F286" s="11" t="n"/>
    </row>
    <row r="287" ht="14.25" customHeight="1" s="37">
      <c r="F287" s="11" t="n"/>
    </row>
    <row r="288" ht="14.25" customHeight="1" s="37">
      <c r="F288" s="11" t="n"/>
    </row>
    <row r="289" ht="14.25" customHeight="1" s="37">
      <c r="F289" s="11" t="n"/>
    </row>
    <row r="290" ht="14.25" customHeight="1" s="37">
      <c r="F290" s="11" t="n"/>
    </row>
    <row r="291" ht="14.25" customHeight="1" s="37">
      <c r="F291" s="11" t="n"/>
    </row>
    <row r="292" ht="14.25" customHeight="1" s="37">
      <c r="F292" s="11" t="n"/>
    </row>
    <row r="293" ht="14.25" customHeight="1" s="37">
      <c r="F293" s="11" t="n"/>
    </row>
    <row r="294" ht="14.25" customHeight="1" s="37">
      <c r="F294" s="11" t="n"/>
    </row>
    <row r="295" ht="14.25" customHeight="1" s="37">
      <c r="F295" s="11" t="n"/>
    </row>
    <row r="296" ht="14.25" customHeight="1" s="37">
      <c r="F296" s="11" t="n"/>
    </row>
    <row r="297" ht="14.25" customHeight="1" s="37">
      <c r="F297" s="11" t="n"/>
    </row>
    <row r="298" ht="14.25" customHeight="1" s="37">
      <c r="F298" s="11" t="n"/>
    </row>
    <row r="299" ht="14.25" customHeight="1" s="37">
      <c r="F299" s="11" t="n"/>
    </row>
    <row r="300" ht="14.25" customHeight="1" s="37">
      <c r="F300" s="11" t="n"/>
    </row>
    <row r="301" ht="14.25" customHeight="1" s="37">
      <c r="F301" s="11" t="n"/>
    </row>
    <row r="302" ht="14.25" customHeight="1" s="37">
      <c r="F302" s="11" t="n"/>
    </row>
    <row r="303" ht="14.25" customHeight="1" s="37">
      <c r="F303" s="11" t="n"/>
    </row>
    <row r="304" ht="14.25" customHeight="1" s="37">
      <c r="F304" s="11" t="n"/>
    </row>
    <row r="305" ht="14.25" customHeight="1" s="37">
      <c r="F305" s="11" t="n"/>
    </row>
    <row r="306" ht="14.25" customHeight="1" s="37">
      <c r="F306" s="11" t="n"/>
    </row>
    <row r="307" ht="14.25" customHeight="1" s="37">
      <c r="F307" s="11" t="n"/>
    </row>
    <row r="308" ht="14.25" customHeight="1" s="37">
      <c r="F308" s="11" t="n"/>
    </row>
    <row r="309" ht="14.25" customHeight="1" s="37">
      <c r="F309" s="11" t="n"/>
    </row>
    <row r="310" ht="14.25" customHeight="1" s="37">
      <c r="F310" s="11" t="n"/>
    </row>
    <row r="311" ht="14.25" customHeight="1" s="37">
      <c r="F311" s="11" t="n"/>
    </row>
    <row r="312" ht="14.25" customHeight="1" s="37">
      <c r="F312" s="11" t="n"/>
    </row>
    <row r="313" ht="14.25" customHeight="1" s="37">
      <c r="F313" s="11" t="n"/>
    </row>
    <row r="314" ht="14.25" customHeight="1" s="37">
      <c r="F314" s="11" t="n"/>
    </row>
    <row r="315" ht="14.25" customHeight="1" s="37">
      <c r="F315" s="11" t="n"/>
    </row>
    <row r="316" ht="14.25" customHeight="1" s="37">
      <c r="F316" s="11" t="n"/>
    </row>
    <row r="317" ht="14.25" customHeight="1" s="37">
      <c r="F317" s="11" t="n"/>
    </row>
    <row r="318" ht="14.25" customHeight="1" s="37">
      <c r="F318" s="11" t="n"/>
    </row>
    <row r="319" ht="14.25" customHeight="1" s="37">
      <c r="F319" s="11" t="n"/>
    </row>
    <row r="320" ht="14.25" customHeight="1" s="37">
      <c r="F320" s="11" t="n"/>
    </row>
    <row r="321" ht="14.25" customHeight="1" s="37">
      <c r="F321" s="11" t="n"/>
    </row>
    <row r="322" ht="14.25" customHeight="1" s="37">
      <c r="F322" s="11" t="n"/>
    </row>
    <row r="323" ht="14.25" customHeight="1" s="37">
      <c r="F323" s="11" t="n"/>
    </row>
    <row r="324" ht="14.25" customHeight="1" s="37">
      <c r="F324" s="11" t="n"/>
    </row>
    <row r="325" ht="14.25" customHeight="1" s="37">
      <c r="F325" s="11" t="n"/>
    </row>
    <row r="326" ht="14.25" customHeight="1" s="37">
      <c r="F326" s="11" t="n"/>
    </row>
    <row r="327" ht="14.25" customHeight="1" s="37">
      <c r="F327" s="11" t="n"/>
    </row>
    <row r="328" ht="14.25" customHeight="1" s="37">
      <c r="F328" s="11" t="n"/>
    </row>
    <row r="329" ht="14.25" customHeight="1" s="37">
      <c r="F329" s="11" t="n"/>
    </row>
    <row r="330" ht="14.25" customHeight="1" s="37">
      <c r="F330" s="11" t="n"/>
    </row>
    <row r="331" ht="14.25" customHeight="1" s="37">
      <c r="F331" s="11" t="n"/>
    </row>
    <row r="332" ht="14.25" customHeight="1" s="37">
      <c r="F332" s="11" t="n"/>
    </row>
    <row r="333" ht="14.25" customHeight="1" s="37">
      <c r="F333" s="11" t="n"/>
    </row>
    <row r="334" ht="14.25" customHeight="1" s="37">
      <c r="F334" s="11" t="n"/>
    </row>
    <row r="335" ht="14.25" customHeight="1" s="37">
      <c r="F335" s="11" t="n"/>
    </row>
    <row r="336" ht="14.25" customHeight="1" s="37">
      <c r="F336" s="11" t="n"/>
    </row>
    <row r="337" ht="14.25" customHeight="1" s="37">
      <c r="F337" s="11" t="n"/>
    </row>
    <row r="338" ht="14.25" customHeight="1" s="37">
      <c r="F338" s="11" t="n"/>
    </row>
    <row r="339" ht="14.25" customHeight="1" s="37">
      <c r="F339" s="11" t="n"/>
    </row>
    <row r="340" ht="14.25" customHeight="1" s="37">
      <c r="F340" s="11" t="n"/>
    </row>
    <row r="341" ht="14.25" customHeight="1" s="37">
      <c r="F341" s="11" t="n"/>
    </row>
    <row r="342" ht="14.25" customHeight="1" s="37">
      <c r="F342" s="11" t="n"/>
    </row>
    <row r="343" ht="14.25" customHeight="1" s="37">
      <c r="F343" s="11" t="n"/>
    </row>
    <row r="344" ht="14.25" customHeight="1" s="37">
      <c r="F344" s="11" t="n"/>
    </row>
    <row r="345" ht="14.25" customHeight="1" s="37">
      <c r="F345" s="11" t="n"/>
    </row>
    <row r="346" ht="14.25" customHeight="1" s="37">
      <c r="F346" s="11" t="n"/>
    </row>
    <row r="347" ht="14.25" customHeight="1" s="37">
      <c r="F347" s="11" t="n"/>
    </row>
    <row r="348" ht="14.25" customHeight="1" s="37">
      <c r="F348" s="11" t="n"/>
    </row>
    <row r="349" ht="14.25" customHeight="1" s="37">
      <c r="F349" s="11" t="n"/>
    </row>
    <row r="350" ht="14.25" customHeight="1" s="37">
      <c r="F350" s="11" t="n"/>
    </row>
    <row r="351" ht="14.25" customHeight="1" s="37">
      <c r="F351" s="11" t="n"/>
    </row>
    <row r="352" ht="14.25" customHeight="1" s="37">
      <c r="F352" s="11" t="n"/>
    </row>
    <row r="353" ht="14.25" customHeight="1" s="37">
      <c r="F353" s="11" t="n"/>
    </row>
    <row r="354" ht="14.25" customHeight="1" s="37">
      <c r="F354" s="11" t="n"/>
    </row>
    <row r="355" ht="14.25" customHeight="1" s="37">
      <c r="F355" s="11" t="n"/>
    </row>
    <row r="356" ht="14.25" customHeight="1" s="37">
      <c r="F356" s="11" t="n"/>
    </row>
    <row r="357" ht="14.25" customHeight="1" s="37">
      <c r="F357" s="11" t="n"/>
    </row>
    <row r="358" ht="14.25" customHeight="1" s="37">
      <c r="F358" s="11" t="n"/>
    </row>
    <row r="359" ht="14.25" customHeight="1" s="37">
      <c r="F359" s="11" t="n"/>
    </row>
    <row r="360" ht="14.25" customHeight="1" s="37">
      <c r="F360" s="11" t="n"/>
    </row>
    <row r="361" ht="14.25" customHeight="1" s="37">
      <c r="F361" s="11" t="n"/>
    </row>
    <row r="362" ht="14.25" customHeight="1" s="37">
      <c r="F362" s="11" t="n"/>
    </row>
    <row r="363" ht="14.25" customHeight="1" s="37">
      <c r="F363" s="11" t="n"/>
    </row>
    <row r="364" ht="14.25" customHeight="1" s="37">
      <c r="F364" s="11" t="n"/>
    </row>
    <row r="365" ht="14.25" customHeight="1" s="37">
      <c r="F365" s="11" t="n"/>
    </row>
    <row r="366" ht="14.25" customHeight="1" s="37">
      <c r="F366" s="11" t="n"/>
    </row>
    <row r="367" ht="14.25" customHeight="1" s="37">
      <c r="F367" s="11" t="n"/>
    </row>
    <row r="368" ht="14.25" customHeight="1" s="37">
      <c r="F368" s="11" t="n"/>
    </row>
    <row r="369" ht="14.25" customHeight="1" s="37">
      <c r="F369" s="11" t="n"/>
    </row>
    <row r="370" ht="14.25" customHeight="1" s="37">
      <c r="F370" s="11" t="n"/>
    </row>
    <row r="371" ht="14.25" customHeight="1" s="37">
      <c r="F371" s="11" t="n"/>
    </row>
    <row r="372" ht="14.25" customHeight="1" s="37">
      <c r="F372" s="11" t="n"/>
    </row>
    <row r="373" ht="14.25" customHeight="1" s="37">
      <c r="F373" s="11" t="n"/>
    </row>
    <row r="374" ht="14.25" customHeight="1" s="37">
      <c r="F374" s="11" t="n"/>
    </row>
    <row r="375" ht="14.25" customHeight="1" s="37">
      <c r="F375" s="11" t="n"/>
    </row>
    <row r="376" ht="14.25" customHeight="1" s="37">
      <c r="F376" s="11" t="n"/>
    </row>
    <row r="377" ht="14.25" customHeight="1" s="37">
      <c r="F377" s="11" t="n"/>
    </row>
    <row r="378" ht="14.25" customHeight="1" s="37">
      <c r="F378" s="11" t="n"/>
    </row>
    <row r="379" ht="14.25" customHeight="1" s="37">
      <c r="F379" s="11" t="n"/>
    </row>
    <row r="380" ht="14.25" customHeight="1" s="37">
      <c r="F380" s="11" t="n"/>
    </row>
    <row r="381" ht="14.25" customHeight="1" s="37">
      <c r="F381" s="11" t="n"/>
    </row>
    <row r="382" ht="14.25" customHeight="1" s="37">
      <c r="F382" s="11" t="n"/>
    </row>
    <row r="383" ht="14.25" customHeight="1" s="37">
      <c r="F383" s="11" t="n"/>
    </row>
    <row r="384" ht="14.25" customHeight="1" s="37">
      <c r="F384" s="11" t="n"/>
    </row>
    <row r="385" ht="14.25" customHeight="1" s="37">
      <c r="F385" s="11" t="n"/>
    </row>
    <row r="386" ht="14.25" customHeight="1" s="37">
      <c r="F386" s="11" t="n"/>
    </row>
    <row r="387" ht="14.25" customHeight="1" s="37">
      <c r="F387" s="11" t="n"/>
    </row>
    <row r="388" ht="14.25" customHeight="1" s="37">
      <c r="F388" s="11" t="n"/>
    </row>
    <row r="389" ht="14.25" customHeight="1" s="37">
      <c r="F389" s="11" t="n"/>
    </row>
    <row r="390" ht="14.25" customHeight="1" s="37">
      <c r="F390" s="11" t="n"/>
    </row>
    <row r="391" ht="14.25" customHeight="1" s="37">
      <c r="F391" s="11" t="n"/>
    </row>
    <row r="392" ht="14.25" customHeight="1" s="37">
      <c r="F392" s="11" t="n"/>
    </row>
    <row r="393" ht="14.25" customHeight="1" s="37">
      <c r="F393" s="11" t="n"/>
    </row>
    <row r="394" ht="14.25" customHeight="1" s="37">
      <c r="F394" s="11" t="n"/>
    </row>
    <row r="395" ht="14.25" customHeight="1" s="37">
      <c r="F395" s="11" t="n"/>
    </row>
    <row r="396" ht="14.25" customHeight="1" s="37">
      <c r="F396" s="11" t="n"/>
    </row>
    <row r="397" ht="14.25" customHeight="1" s="37">
      <c r="F397" s="11" t="n"/>
    </row>
    <row r="398" ht="14.25" customHeight="1" s="37">
      <c r="F398" s="11" t="n"/>
    </row>
    <row r="399" ht="14.25" customHeight="1" s="37">
      <c r="F399" s="11" t="n"/>
    </row>
    <row r="400" ht="14.25" customHeight="1" s="37">
      <c r="F400" s="11" t="n"/>
    </row>
    <row r="401" ht="14.25" customHeight="1" s="37">
      <c r="F401" s="11" t="n"/>
    </row>
    <row r="402" ht="14.25" customHeight="1" s="37">
      <c r="F402" s="11" t="n"/>
    </row>
    <row r="403" ht="14.25" customHeight="1" s="37">
      <c r="F403" s="11" t="n"/>
    </row>
    <row r="404" ht="14.25" customHeight="1" s="37">
      <c r="F404" s="11" t="n"/>
    </row>
    <row r="405" ht="14.25" customHeight="1" s="37">
      <c r="F405" s="11" t="n"/>
    </row>
    <row r="406" ht="14.25" customHeight="1" s="37">
      <c r="F406" s="11" t="n"/>
    </row>
    <row r="407" ht="14.25" customHeight="1" s="37">
      <c r="F407" s="11" t="n"/>
    </row>
    <row r="408" ht="14.25" customHeight="1" s="37">
      <c r="F408" s="11" t="n"/>
    </row>
    <row r="409" ht="14.25" customHeight="1" s="37">
      <c r="F409" s="11" t="n"/>
    </row>
    <row r="410" ht="14.25" customHeight="1" s="37">
      <c r="F410" s="11" t="n"/>
    </row>
    <row r="411" ht="14.25" customHeight="1" s="37">
      <c r="F411" s="11" t="n"/>
    </row>
    <row r="412" ht="14.25" customHeight="1" s="37">
      <c r="F412" s="11" t="n"/>
    </row>
    <row r="413" ht="14.25" customHeight="1" s="37">
      <c r="F413" s="11" t="n"/>
    </row>
    <row r="414" ht="14.25" customHeight="1" s="37">
      <c r="F414" s="11" t="n"/>
    </row>
    <row r="415" ht="14.25" customHeight="1" s="37">
      <c r="F415" s="11" t="n"/>
    </row>
    <row r="416" ht="14.25" customHeight="1" s="37">
      <c r="F416" s="11" t="n"/>
    </row>
    <row r="417" ht="14.25" customHeight="1" s="37">
      <c r="F417" s="11" t="n"/>
    </row>
    <row r="418" ht="14.25" customHeight="1" s="37">
      <c r="F418" s="11" t="n"/>
    </row>
    <row r="419" ht="14.25" customHeight="1" s="37">
      <c r="F419" s="11" t="n"/>
    </row>
    <row r="420" ht="14.25" customHeight="1" s="37">
      <c r="F420" s="11" t="n"/>
    </row>
    <row r="421" ht="14.25" customHeight="1" s="37">
      <c r="F421" s="11" t="n"/>
    </row>
    <row r="422" ht="14.25" customHeight="1" s="37">
      <c r="F422" s="11" t="n"/>
    </row>
    <row r="423" ht="14.25" customHeight="1" s="37">
      <c r="F423" s="11" t="n"/>
    </row>
    <row r="424" ht="14.25" customHeight="1" s="37">
      <c r="F424" s="11" t="n"/>
    </row>
    <row r="425" ht="14.25" customHeight="1" s="37">
      <c r="F425" s="11" t="n"/>
    </row>
    <row r="426" ht="14.25" customHeight="1" s="37">
      <c r="F426" s="11" t="n"/>
    </row>
    <row r="427" ht="14.25" customHeight="1" s="37">
      <c r="F427" s="11" t="n"/>
    </row>
    <row r="428" ht="14.25" customHeight="1" s="37">
      <c r="F428" s="11" t="n"/>
    </row>
    <row r="429" ht="14.25" customHeight="1" s="37">
      <c r="F429" s="11" t="n"/>
    </row>
    <row r="430" ht="14.25" customHeight="1" s="37">
      <c r="F430" s="11" t="n"/>
    </row>
    <row r="431" ht="14.25" customHeight="1" s="37">
      <c r="F431" s="11" t="n"/>
    </row>
    <row r="432" ht="14.25" customHeight="1" s="37">
      <c r="F432" s="11" t="n"/>
    </row>
    <row r="433" ht="14.25" customHeight="1" s="37">
      <c r="F433" s="11" t="n"/>
    </row>
    <row r="434" ht="14.25" customHeight="1" s="37">
      <c r="F434" s="11" t="n"/>
    </row>
    <row r="435" ht="14.25" customHeight="1" s="37">
      <c r="F435" s="11" t="n"/>
    </row>
    <row r="436" ht="14.25" customHeight="1" s="37">
      <c r="F436" s="11" t="n"/>
    </row>
    <row r="437" ht="14.25" customHeight="1" s="37">
      <c r="F437" s="11" t="n"/>
    </row>
    <row r="438" ht="14.25" customHeight="1" s="37">
      <c r="F438" s="11" t="n"/>
    </row>
    <row r="439" ht="14.25" customHeight="1" s="37">
      <c r="F439" s="11" t="n"/>
    </row>
    <row r="440" ht="14.25" customHeight="1" s="37">
      <c r="F440" s="11" t="n"/>
    </row>
    <row r="441" ht="14.25" customHeight="1" s="37">
      <c r="F441" s="11" t="n"/>
    </row>
    <row r="442" ht="14.25" customHeight="1" s="37">
      <c r="F442" s="11" t="n"/>
    </row>
    <row r="443" ht="14.25" customHeight="1" s="37">
      <c r="F443" s="11" t="n"/>
    </row>
    <row r="444" ht="14.25" customHeight="1" s="37">
      <c r="F444" s="11" t="n"/>
    </row>
    <row r="445" ht="14.25" customHeight="1" s="37">
      <c r="F445" s="11" t="n"/>
    </row>
    <row r="446" ht="14.25" customHeight="1" s="37">
      <c r="F446" s="11" t="n"/>
    </row>
    <row r="447" ht="14.25" customHeight="1" s="37">
      <c r="F447" s="11" t="n"/>
    </row>
    <row r="448" ht="14.25" customHeight="1" s="37">
      <c r="F448" s="11" t="n"/>
    </row>
    <row r="449" ht="14.25" customHeight="1" s="37">
      <c r="F449" s="11" t="n"/>
    </row>
    <row r="450" ht="14.25" customHeight="1" s="37">
      <c r="F450" s="11" t="n"/>
    </row>
    <row r="451" ht="14.25" customHeight="1" s="37">
      <c r="F451" s="11" t="n"/>
    </row>
    <row r="452" ht="14.25" customHeight="1" s="37">
      <c r="F452" s="11" t="n"/>
    </row>
    <row r="453" ht="14.25" customHeight="1" s="37">
      <c r="F453" s="11" t="n"/>
    </row>
    <row r="454" ht="14.25" customHeight="1" s="37">
      <c r="F454" s="11" t="n"/>
    </row>
    <row r="455" ht="14.25" customHeight="1" s="37">
      <c r="F455" s="11" t="n"/>
    </row>
    <row r="456" ht="14.25" customHeight="1" s="37">
      <c r="F456" s="11" t="n"/>
    </row>
    <row r="457" ht="14.25" customHeight="1" s="37">
      <c r="F457" s="11" t="n"/>
    </row>
    <row r="458" ht="14.25" customHeight="1" s="37">
      <c r="F458" s="11" t="n"/>
    </row>
    <row r="459" ht="14.25" customHeight="1" s="37">
      <c r="F459" s="11" t="n"/>
    </row>
    <row r="460" ht="14.25" customHeight="1" s="37">
      <c r="F460" s="11" t="n"/>
    </row>
    <row r="461" ht="14.25" customHeight="1" s="37">
      <c r="F461" s="11" t="n"/>
    </row>
    <row r="462" ht="14.25" customHeight="1" s="37">
      <c r="F462" s="11" t="n"/>
    </row>
    <row r="463" ht="14.25" customHeight="1" s="37">
      <c r="F463" s="11" t="n"/>
    </row>
    <row r="464" ht="14.25" customHeight="1" s="37">
      <c r="F464" s="11" t="n"/>
    </row>
    <row r="465" ht="14.25" customHeight="1" s="37">
      <c r="F465" s="11" t="n"/>
    </row>
    <row r="466" ht="14.25" customHeight="1" s="37">
      <c r="F466" s="11" t="n"/>
    </row>
    <row r="467" ht="14.25" customHeight="1" s="37">
      <c r="F467" s="11" t="n"/>
    </row>
    <row r="468" ht="14.25" customHeight="1" s="37">
      <c r="F468" s="11" t="n"/>
    </row>
    <row r="469" ht="14.25" customHeight="1" s="37">
      <c r="F469" s="11" t="n"/>
    </row>
    <row r="470" ht="14.25" customHeight="1" s="37">
      <c r="F470" s="11" t="n"/>
    </row>
    <row r="471" ht="14.25" customHeight="1" s="37">
      <c r="F471" s="11" t="n"/>
    </row>
    <row r="472" ht="14.25" customHeight="1" s="37">
      <c r="F472" s="11" t="n"/>
    </row>
    <row r="473" ht="14.25" customHeight="1" s="37">
      <c r="F473" s="11" t="n"/>
    </row>
    <row r="474" ht="14.25" customHeight="1" s="37">
      <c r="F474" s="11" t="n"/>
    </row>
    <row r="475" ht="14.25" customHeight="1" s="37">
      <c r="F475" s="11" t="n"/>
    </row>
    <row r="476" ht="14.25" customHeight="1" s="37">
      <c r="F476" s="11" t="n"/>
    </row>
    <row r="477" ht="14.25" customHeight="1" s="37">
      <c r="F477" s="11" t="n"/>
    </row>
    <row r="478" ht="14.25" customHeight="1" s="37">
      <c r="F478" s="11" t="n"/>
    </row>
    <row r="479" ht="14.25" customHeight="1" s="37">
      <c r="F479" s="11" t="n"/>
    </row>
    <row r="480" ht="14.25" customHeight="1" s="37">
      <c r="F480" s="11" t="n"/>
    </row>
    <row r="481" ht="14.25" customHeight="1" s="37">
      <c r="F481" s="11" t="n"/>
    </row>
    <row r="482" ht="14.25" customHeight="1" s="37">
      <c r="F482" s="11" t="n"/>
    </row>
    <row r="483" ht="14.25" customHeight="1" s="37">
      <c r="F483" s="11" t="n"/>
    </row>
    <row r="484" ht="14.25" customHeight="1" s="37">
      <c r="F484" s="11" t="n"/>
    </row>
    <row r="485" ht="14.25" customHeight="1" s="37">
      <c r="F485" s="11" t="n"/>
    </row>
    <row r="486" ht="14.25" customHeight="1" s="37">
      <c r="F486" s="11" t="n"/>
    </row>
    <row r="487" ht="14.25" customHeight="1" s="37">
      <c r="F487" s="11" t="n"/>
    </row>
    <row r="488" ht="14.25" customHeight="1" s="37">
      <c r="F488" s="11" t="n"/>
    </row>
    <row r="489" ht="14.25" customHeight="1" s="37">
      <c r="F489" s="11" t="n"/>
    </row>
    <row r="490" ht="14.25" customHeight="1" s="37">
      <c r="F490" s="11" t="n"/>
    </row>
    <row r="491" ht="14.25" customHeight="1" s="37">
      <c r="F491" s="11" t="n"/>
    </row>
    <row r="492" ht="14.25" customHeight="1" s="37">
      <c r="F492" s="11" t="n"/>
    </row>
    <row r="493" ht="14.25" customHeight="1" s="37">
      <c r="F493" s="11" t="n"/>
    </row>
    <row r="494" ht="14.25" customHeight="1" s="37">
      <c r="F494" s="11" t="n"/>
    </row>
    <row r="495" ht="14.25" customHeight="1" s="37">
      <c r="F495" s="11" t="n"/>
    </row>
    <row r="496" ht="14.25" customHeight="1" s="37">
      <c r="F496" s="11" t="n"/>
    </row>
    <row r="497" ht="14.25" customHeight="1" s="37">
      <c r="F497" s="11" t="n"/>
    </row>
    <row r="498" ht="14.25" customHeight="1" s="37">
      <c r="F498" s="11" t="n"/>
    </row>
    <row r="499" ht="14.25" customHeight="1" s="37">
      <c r="F499" s="11" t="n"/>
    </row>
    <row r="500" ht="14.25" customHeight="1" s="37">
      <c r="F500" s="11" t="n"/>
    </row>
    <row r="501" ht="14.25" customHeight="1" s="37">
      <c r="F501" s="11" t="n"/>
    </row>
    <row r="502" ht="14.25" customHeight="1" s="37">
      <c r="F502" s="11" t="n"/>
    </row>
    <row r="503" ht="14.25" customHeight="1" s="37">
      <c r="F503" s="11" t="n"/>
    </row>
    <row r="504" ht="14.25" customHeight="1" s="37">
      <c r="F504" s="11" t="n"/>
    </row>
    <row r="505" ht="14.25" customHeight="1" s="37">
      <c r="F505" s="11" t="n"/>
    </row>
    <row r="506" ht="14.25" customHeight="1" s="37">
      <c r="F506" s="11" t="n"/>
    </row>
    <row r="507" ht="14.25" customHeight="1" s="37">
      <c r="F507" s="11" t="n"/>
    </row>
    <row r="508" ht="14.25" customHeight="1" s="37">
      <c r="F508" s="11" t="n"/>
    </row>
    <row r="509" ht="14.25" customHeight="1" s="37">
      <c r="F509" s="11" t="n"/>
    </row>
    <row r="510" ht="14.25" customHeight="1" s="37">
      <c r="F510" s="11" t="n"/>
    </row>
    <row r="511" ht="14.25" customHeight="1" s="37">
      <c r="F511" s="11" t="n"/>
    </row>
    <row r="512" ht="14.25" customHeight="1" s="37">
      <c r="F512" s="11" t="n"/>
    </row>
    <row r="513" ht="14.25" customHeight="1" s="37">
      <c r="F513" s="11" t="n"/>
    </row>
    <row r="514" ht="14.25" customHeight="1" s="37">
      <c r="F514" s="11" t="n"/>
    </row>
    <row r="515" ht="14.25" customHeight="1" s="37">
      <c r="F515" s="11" t="n"/>
    </row>
    <row r="516" ht="14.25" customHeight="1" s="37">
      <c r="F516" s="11" t="n"/>
    </row>
    <row r="517" ht="14.25" customHeight="1" s="37">
      <c r="F517" s="11" t="n"/>
    </row>
    <row r="518" ht="14.25" customHeight="1" s="37">
      <c r="F518" s="11" t="n"/>
    </row>
    <row r="519" ht="14.25" customHeight="1" s="37">
      <c r="F519" s="11" t="n"/>
    </row>
    <row r="520" ht="14.25" customHeight="1" s="37">
      <c r="F520" s="11" t="n"/>
    </row>
    <row r="521" ht="14.25" customHeight="1" s="37">
      <c r="F521" s="11" t="n"/>
    </row>
    <row r="522" ht="14.25" customHeight="1" s="37">
      <c r="F522" s="11" t="n"/>
    </row>
    <row r="523" ht="14.25" customHeight="1" s="37">
      <c r="F523" s="11" t="n"/>
    </row>
    <row r="524" ht="14.25" customHeight="1" s="37">
      <c r="F524" s="11" t="n"/>
    </row>
    <row r="525" ht="14.25" customHeight="1" s="37">
      <c r="F525" s="11" t="n"/>
    </row>
    <row r="526" ht="14.25" customHeight="1" s="37">
      <c r="F526" s="11" t="n"/>
    </row>
    <row r="527" ht="14.25" customHeight="1" s="37">
      <c r="F527" s="11" t="n"/>
    </row>
    <row r="528" ht="14.25" customHeight="1" s="37">
      <c r="F528" s="11" t="n"/>
    </row>
    <row r="529" ht="14.25" customHeight="1" s="37">
      <c r="F529" s="11" t="n"/>
    </row>
    <row r="530" ht="14.25" customHeight="1" s="37">
      <c r="F530" s="11" t="n"/>
    </row>
    <row r="531" ht="14.25" customHeight="1" s="37">
      <c r="F531" s="11" t="n"/>
    </row>
    <row r="532" ht="14.25" customHeight="1" s="37">
      <c r="F532" s="11" t="n"/>
    </row>
    <row r="533" ht="14.25" customHeight="1" s="37">
      <c r="F533" s="11" t="n"/>
    </row>
    <row r="534" ht="14.25" customHeight="1" s="37">
      <c r="F534" s="11" t="n"/>
    </row>
    <row r="535" ht="14.25" customHeight="1" s="37">
      <c r="F535" s="11" t="n"/>
    </row>
    <row r="536" ht="14.25" customHeight="1" s="37">
      <c r="F536" s="11" t="n"/>
    </row>
    <row r="537" ht="14.25" customHeight="1" s="37">
      <c r="F537" s="11" t="n"/>
    </row>
    <row r="538" ht="14.25" customHeight="1" s="37">
      <c r="F538" s="11" t="n"/>
    </row>
    <row r="539" ht="14.25" customHeight="1" s="37">
      <c r="F539" s="11" t="n"/>
    </row>
    <row r="540" ht="14.25" customHeight="1" s="37">
      <c r="F540" s="11" t="n"/>
    </row>
    <row r="541" ht="14.25" customHeight="1" s="37">
      <c r="F541" s="11" t="n"/>
    </row>
    <row r="542" ht="14.25" customHeight="1" s="37">
      <c r="F542" s="11" t="n"/>
    </row>
    <row r="543" ht="14.25" customHeight="1" s="37">
      <c r="F543" s="11" t="n"/>
    </row>
    <row r="544" ht="14.25" customHeight="1" s="37">
      <c r="F544" s="11" t="n"/>
    </row>
    <row r="545" ht="14.25" customHeight="1" s="37">
      <c r="F545" s="11" t="n"/>
    </row>
    <row r="546" ht="14.25" customHeight="1" s="37">
      <c r="F546" s="11" t="n"/>
    </row>
    <row r="547" ht="14.25" customHeight="1" s="37">
      <c r="F547" s="11" t="n"/>
    </row>
    <row r="548" ht="14.25" customHeight="1" s="37">
      <c r="F548" s="11" t="n"/>
    </row>
    <row r="549" ht="14.25" customHeight="1" s="37">
      <c r="F549" s="11" t="n"/>
    </row>
    <row r="550" ht="14.25" customHeight="1" s="37">
      <c r="F550" s="11" t="n"/>
    </row>
    <row r="551" ht="14.25" customHeight="1" s="37">
      <c r="F551" s="11" t="n"/>
    </row>
    <row r="552" ht="14.25" customHeight="1" s="37">
      <c r="F552" s="11" t="n"/>
    </row>
    <row r="553" ht="14.25" customHeight="1" s="37">
      <c r="F553" s="11" t="n"/>
    </row>
    <row r="554" ht="14.25" customHeight="1" s="37">
      <c r="F554" s="11" t="n"/>
    </row>
    <row r="555" ht="14.25" customHeight="1" s="37">
      <c r="F555" s="11" t="n"/>
    </row>
    <row r="556" ht="14.25" customHeight="1" s="37">
      <c r="F556" s="11" t="n"/>
    </row>
    <row r="557" ht="14.25" customHeight="1" s="37">
      <c r="F557" s="11" t="n"/>
    </row>
    <row r="558" ht="14.25" customHeight="1" s="37">
      <c r="F558" s="11" t="n"/>
    </row>
    <row r="559" ht="14.25" customHeight="1" s="37">
      <c r="F559" s="11" t="n"/>
    </row>
    <row r="560" ht="14.25" customHeight="1" s="37">
      <c r="F560" s="11" t="n"/>
    </row>
    <row r="561" ht="14.25" customHeight="1" s="37">
      <c r="F561" s="11" t="n"/>
    </row>
    <row r="562" ht="14.25" customHeight="1" s="37">
      <c r="F562" s="11" t="n"/>
    </row>
    <row r="563" ht="14.25" customHeight="1" s="37">
      <c r="F563" s="11" t="n"/>
    </row>
    <row r="564" ht="14.25" customHeight="1" s="37">
      <c r="F564" s="11" t="n"/>
    </row>
    <row r="565" ht="14.25" customHeight="1" s="37">
      <c r="F565" s="11" t="n"/>
    </row>
    <row r="566" ht="14.25" customHeight="1" s="37">
      <c r="F566" s="11" t="n"/>
    </row>
    <row r="567" ht="14.25" customHeight="1" s="37">
      <c r="F567" s="11" t="n"/>
    </row>
    <row r="568" ht="14.25" customHeight="1" s="37">
      <c r="F568" s="11" t="n"/>
    </row>
    <row r="569" ht="14.25" customHeight="1" s="37">
      <c r="F569" s="11" t="n"/>
    </row>
    <row r="570" ht="14.25" customHeight="1" s="37">
      <c r="F570" s="11" t="n"/>
    </row>
    <row r="571" ht="14.25" customHeight="1" s="37">
      <c r="F571" s="11" t="n"/>
    </row>
    <row r="572" ht="14.25" customHeight="1" s="37">
      <c r="F572" s="11" t="n"/>
    </row>
    <row r="573" ht="14.25" customHeight="1" s="37">
      <c r="F573" s="11" t="n"/>
    </row>
    <row r="574" ht="14.25" customHeight="1" s="37">
      <c r="F574" s="11" t="n"/>
    </row>
    <row r="575" ht="14.25" customHeight="1" s="37">
      <c r="F575" s="11" t="n"/>
    </row>
    <row r="576" ht="14.25" customHeight="1" s="37">
      <c r="F576" s="11" t="n"/>
    </row>
    <row r="577" ht="14.25" customHeight="1" s="37">
      <c r="F577" s="11" t="n"/>
    </row>
    <row r="578" ht="14.25" customHeight="1" s="37">
      <c r="F578" s="11" t="n"/>
    </row>
    <row r="579" ht="14.25" customHeight="1" s="37">
      <c r="F579" s="11" t="n"/>
    </row>
    <row r="580" ht="14.25" customHeight="1" s="37">
      <c r="F580" s="11" t="n"/>
    </row>
    <row r="581" ht="14.25" customHeight="1" s="37">
      <c r="F581" s="11" t="n"/>
    </row>
    <row r="582" ht="14.25" customHeight="1" s="37">
      <c r="F582" s="11" t="n"/>
    </row>
    <row r="583" ht="14.25" customHeight="1" s="37">
      <c r="F583" s="11" t="n"/>
    </row>
    <row r="584" ht="14.25" customHeight="1" s="37">
      <c r="F584" s="11" t="n"/>
    </row>
    <row r="585" ht="14.25" customHeight="1" s="37">
      <c r="F585" s="11" t="n"/>
    </row>
    <row r="586" ht="14.25" customHeight="1" s="37">
      <c r="F586" s="11" t="n"/>
    </row>
    <row r="587" ht="14.25" customHeight="1" s="37">
      <c r="F587" s="11" t="n"/>
    </row>
    <row r="588" ht="14.25" customHeight="1" s="37">
      <c r="F588" s="11" t="n"/>
    </row>
    <row r="589" ht="14.25" customHeight="1" s="37">
      <c r="F589" s="11" t="n"/>
    </row>
    <row r="590" ht="14.25" customHeight="1" s="37">
      <c r="F590" s="11" t="n"/>
    </row>
    <row r="591" ht="14.25" customHeight="1" s="37">
      <c r="F591" s="11" t="n"/>
    </row>
    <row r="592" ht="14.25" customHeight="1" s="37">
      <c r="F592" s="11" t="n"/>
    </row>
    <row r="593" ht="14.25" customHeight="1" s="37">
      <c r="F593" s="11" t="n"/>
    </row>
    <row r="594" ht="14.25" customHeight="1" s="37">
      <c r="F594" s="11" t="n"/>
    </row>
    <row r="595" ht="14.25" customHeight="1" s="37">
      <c r="F595" s="11" t="n"/>
    </row>
    <row r="596" ht="14.25" customHeight="1" s="37">
      <c r="F596" s="11" t="n"/>
    </row>
    <row r="597" ht="14.25" customHeight="1" s="37">
      <c r="F597" s="11" t="n"/>
    </row>
    <row r="598" ht="14.25" customHeight="1" s="37">
      <c r="F598" s="11" t="n"/>
    </row>
    <row r="599" ht="14.25" customHeight="1" s="37">
      <c r="F599" s="11" t="n"/>
    </row>
    <row r="600" ht="14.25" customHeight="1" s="37">
      <c r="F600" s="11" t="n"/>
    </row>
    <row r="601" ht="14.25" customHeight="1" s="37">
      <c r="F601" s="11" t="n"/>
    </row>
    <row r="602" ht="14.25" customHeight="1" s="37">
      <c r="F602" s="11" t="n"/>
    </row>
    <row r="603" ht="14.25" customHeight="1" s="37">
      <c r="F603" s="11" t="n"/>
    </row>
    <row r="604" ht="14.25" customHeight="1" s="37">
      <c r="F604" s="11" t="n"/>
    </row>
    <row r="605" ht="14.25" customHeight="1" s="37">
      <c r="F605" s="11" t="n"/>
    </row>
    <row r="606" ht="14.25" customHeight="1" s="37">
      <c r="F606" s="11" t="n"/>
    </row>
    <row r="607" ht="14.25" customHeight="1" s="37">
      <c r="F607" s="11" t="n"/>
    </row>
    <row r="608" ht="14.25" customHeight="1" s="37">
      <c r="F608" s="11" t="n"/>
    </row>
    <row r="609" ht="14.25" customHeight="1" s="37">
      <c r="F609" s="11" t="n"/>
    </row>
    <row r="610" ht="14.25" customHeight="1" s="37">
      <c r="F610" s="11" t="n"/>
    </row>
    <row r="611" ht="14.25" customHeight="1" s="37">
      <c r="F611" s="11" t="n"/>
    </row>
    <row r="612" ht="14.25" customHeight="1" s="37">
      <c r="F612" s="11" t="n"/>
    </row>
    <row r="613" ht="14.25" customHeight="1" s="37">
      <c r="F613" s="11" t="n"/>
    </row>
    <row r="614" ht="14.25" customHeight="1" s="37">
      <c r="F614" s="11" t="n"/>
    </row>
    <row r="615" ht="14.25" customHeight="1" s="37">
      <c r="F615" s="11" t="n"/>
    </row>
    <row r="616" ht="14.25" customHeight="1" s="37">
      <c r="F616" s="11" t="n"/>
    </row>
    <row r="617" ht="14.25" customHeight="1" s="37">
      <c r="F617" s="11" t="n"/>
    </row>
    <row r="618" ht="14.25" customHeight="1" s="37">
      <c r="F618" s="11" t="n"/>
    </row>
    <row r="619" ht="14.25" customHeight="1" s="37">
      <c r="F619" s="11" t="n"/>
    </row>
    <row r="620" ht="14.25" customHeight="1" s="37">
      <c r="F620" s="11" t="n"/>
    </row>
    <row r="621" ht="14.25" customHeight="1" s="37">
      <c r="F621" s="11" t="n"/>
    </row>
    <row r="622" ht="14.25" customHeight="1" s="37">
      <c r="F622" s="11" t="n"/>
    </row>
    <row r="623" ht="14.25" customHeight="1" s="37">
      <c r="F623" s="11" t="n"/>
    </row>
    <row r="624" ht="14.25" customHeight="1" s="37">
      <c r="F624" s="11" t="n"/>
    </row>
    <row r="625" ht="14.25" customHeight="1" s="37">
      <c r="F625" s="11" t="n"/>
    </row>
    <row r="626" ht="14.25" customHeight="1" s="37">
      <c r="F626" s="11" t="n"/>
    </row>
    <row r="627" ht="14.25" customHeight="1" s="37">
      <c r="F627" s="11" t="n"/>
    </row>
    <row r="628" ht="14.25" customHeight="1" s="37">
      <c r="F628" s="11" t="n"/>
    </row>
    <row r="629" ht="14.25" customHeight="1" s="37">
      <c r="F629" s="11" t="n"/>
    </row>
    <row r="630" ht="14.25" customHeight="1" s="37">
      <c r="F630" s="11" t="n"/>
    </row>
    <row r="631" ht="14.25" customHeight="1" s="37">
      <c r="F631" s="11" t="n"/>
    </row>
    <row r="632" ht="14.25" customHeight="1" s="37">
      <c r="F632" s="11" t="n"/>
    </row>
    <row r="633" ht="14.25" customHeight="1" s="37">
      <c r="F633" s="11" t="n"/>
    </row>
    <row r="634" ht="14.25" customHeight="1" s="37">
      <c r="F634" s="11" t="n"/>
    </row>
    <row r="635" ht="14.25" customHeight="1" s="37">
      <c r="F635" s="11" t="n"/>
    </row>
    <row r="636" ht="14.25" customHeight="1" s="37">
      <c r="F636" s="11" t="n"/>
    </row>
    <row r="637" ht="14.25" customHeight="1" s="37">
      <c r="F637" s="11" t="n"/>
    </row>
    <row r="638" ht="14.25" customHeight="1" s="37">
      <c r="F638" s="11" t="n"/>
    </row>
    <row r="639" ht="14.25" customHeight="1" s="37">
      <c r="F639" s="11" t="n"/>
    </row>
    <row r="640" ht="14.25" customHeight="1" s="37">
      <c r="F640" s="11" t="n"/>
    </row>
    <row r="641" ht="14.25" customHeight="1" s="37">
      <c r="F641" s="11" t="n"/>
    </row>
    <row r="642" ht="14.25" customHeight="1" s="37">
      <c r="F642" s="11" t="n"/>
    </row>
    <row r="643" ht="14.25" customHeight="1" s="37">
      <c r="F643" s="11" t="n"/>
    </row>
    <row r="644" ht="14.25" customHeight="1" s="37">
      <c r="F644" s="11" t="n"/>
    </row>
    <row r="645" ht="14.25" customHeight="1" s="37">
      <c r="F645" s="11" t="n"/>
    </row>
    <row r="646" ht="14.25" customHeight="1" s="37">
      <c r="F646" s="11" t="n"/>
    </row>
    <row r="647" ht="14.25" customHeight="1" s="37">
      <c r="F647" s="11" t="n"/>
    </row>
    <row r="648" ht="14.25" customHeight="1" s="37">
      <c r="F648" s="11" t="n"/>
    </row>
    <row r="649" ht="14.25" customHeight="1" s="37">
      <c r="F649" s="11" t="n"/>
    </row>
    <row r="650" ht="14.25" customHeight="1" s="37">
      <c r="F650" s="11" t="n"/>
    </row>
    <row r="651" ht="14.25" customHeight="1" s="37">
      <c r="F651" s="11" t="n"/>
    </row>
    <row r="652" ht="14.25" customHeight="1" s="37">
      <c r="F652" s="11" t="n"/>
    </row>
    <row r="653" ht="14.25" customHeight="1" s="37">
      <c r="F653" s="11" t="n"/>
    </row>
    <row r="654" ht="14.25" customHeight="1" s="37">
      <c r="F654" s="11" t="n"/>
    </row>
    <row r="655" ht="14.25" customHeight="1" s="37">
      <c r="F655" s="11" t="n"/>
    </row>
    <row r="656" ht="14.25" customHeight="1" s="37">
      <c r="F656" s="11" t="n"/>
    </row>
    <row r="657" ht="14.25" customHeight="1" s="37">
      <c r="F657" s="11" t="n"/>
    </row>
    <row r="658" ht="14.25" customHeight="1" s="37">
      <c r="F658" s="11" t="n"/>
    </row>
    <row r="659" ht="14.25" customHeight="1" s="37">
      <c r="F659" s="11" t="n"/>
    </row>
    <row r="660" ht="14.25" customHeight="1" s="37">
      <c r="F660" s="11" t="n"/>
    </row>
    <row r="661" ht="14.25" customHeight="1" s="37">
      <c r="F661" s="11" t="n"/>
    </row>
    <row r="662" ht="14.25" customHeight="1" s="37">
      <c r="F662" s="11" t="n"/>
    </row>
    <row r="663" ht="14.25" customHeight="1" s="37">
      <c r="F663" s="11" t="n"/>
    </row>
    <row r="664" ht="14.25" customHeight="1" s="37">
      <c r="F664" s="11" t="n"/>
    </row>
    <row r="665" ht="14.25" customHeight="1" s="37">
      <c r="F665" s="11" t="n"/>
    </row>
    <row r="666" ht="14.25" customHeight="1" s="37">
      <c r="F666" s="11" t="n"/>
    </row>
    <row r="667" ht="14.25" customHeight="1" s="37">
      <c r="F667" s="11" t="n"/>
    </row>
    <row r="668" ht="14.25" customHeight="1" s="37">
      <c r="F668" s="11" t="n"/>
    </row>
    <row r="669" ht="14.25" customHeight="1" s="37">
      <c r="F669" s="11" t="n"/>
    </row>
    <row r="670" ht="14.25" customHeight="1" s="37">
      <c r="F670" s="11" t="n"/>
    </row>
    <row r="671" ht="14.25" customHeight="1" s="37">
      <c r="F671" s="11" t="n"/>
    </row>
    <row r="672" ht="14.25" customHeight="1" s="37">
      <c r="F672" s="11" t="n"/>
    </row>
    <row r="673" ht="14.25" customHeight="1" s="37">
      <c r="F673" s="11" t="n"/>
    </row>
    <row r="674" ht="14.25" customHeight="1" s="37">
      <c r="F674" s="11" t="n"/>
    </row>
    <row r="675" ht="14.25" customHeight="1" s="37">
      <c r="F675" s="11" t="n"/>
    </row>
    <row r="676" ht="14.25" customHeight="1" s="37">
      <c r="F676" s="11" t="n"/>
    </row>
    <row r="677" ht="14.25" customHeight="1" s="37">
      <c r="F677" s="11" t="n"/>
    </row>
    <row r="678" ht="14.25" customHeight="1" s="37">
      <c r="F678" s="11" t="n"/>
    </row>
    <row r="679" ht="14.25" customHeight="1" s="37">
      <c r="F679" s="11" t="n"/>
    </row>
    <row r="680" ht="14.25" customHeight="1" s="37">
      <c r="F680" s="11" t="n"/>
    </row>
    <row r="681" ht="14.25" customHeight="1" s="37">
      <c r="F681" s="11" t="n"/>
    </row>
    <row r="682" ht="14.25" customHeight="1" s="37">
      <c r="F682" s="11" t="n"/>
    </row>
    <row r="683" ht="14.25" customHeight="1" s="37">
      <c r="F683" s="11" t="n"/>
    </row>
    <row r="684" ht="14.25" customHeight="1" s="37">
      <c r="F684" s="11" t="n"/>
    </row>
    <row r="685" ht="14.25" customHeight="1" s="37">
      <c r="F685" s="11" t="n"/>
    </row>
    <row r="686" ht="14.25" customHeight="1" s="37">
      <c r="F686" s="11" t="n"/>
    </row>
    <row r="687" ht="14.25" customHeight="1" s="37">
      <c r="F687" s="11" t="n"/>
    </row>
    <row r="688" ht="14.25" customHeight="1" s="37">
      <c r="F688" s="11" t="n"/>
    </row>
    <row r="689" ht="14.25" customHeight="1" s="37">
      <c r="F689" s="11" t="n"/>
    </row>
    <row r="690" ht="14.25" customHeight="1" s="37">
      <c r="F690" s="11" t="n"/>
    </row>
    <row r="691" ht="14.25" customHeight="1" s="37">
      <c r="F691" s="11" t="n"/>
    </row>
    <row r="692" ht="14.25" customHeight="1" s="37">
      <c r="F692" s="11" t="n"/>
    </row>
    <row r="693" ht="14.25" customHeight="1" s="37">
      <c r="F693" s="11" t="n"/>
    </row>
    <row r="694" ht="14.25" customHeight="1" s="37">
      <c r="F694" s="11" t="n"/>
    </row>
    <row r="695" ht="14.25" customHeight="1" s="37">
      <c r="F695" s="11" t="n"/>
    </row>
    <row r="696" ht="14.25" customHeight="1" s="37">
      <c r="F696" s="11" t="n"/>
    </row>
    <row r="697" ht="14.25" customHeight="1" s="37">
      <c r="F697" s="11" t="n"/>
    </row>
    <row r="698" ht="14.25" customHeight="1" s="37">
      <c r="F698" s="11" t="n"/>
    </row>
    <row r="699" ht="14.25" customHeight="1" s="37">
      <c r="F699" s="11" t="n"/>
    </row>
    <row r="700" ht="14.25" customHeight="1" s="37">
      <c r="F700" s="11" t="n"/>
    </row>
    <row r="701" ht="14.25" customHeight="1" s="37">
      <c r="F701" s="11" t="n"/>
    </row>
    <row r="702" ht="14.25" customHeight="1" s="37">
      <c r="F702" s="11" t="n"/>
    </row>
    <row r="703" ht="14.25" customHeight="1" s="37">
      <c r="F703" s="11" t="n"/>
    </row>
    <row r="704" ht="14.25" customHeight="1" s="37">
      <c r="F704" s="11" t="n"/>
    </row>
    <row r="705" ht="14.25" customHeight="1" s="37">
      <c r="F705" s="11" t="n"/>
    </row>
    <row r="706" ht="14.25" customHeight="1" s="37">
      <c r="F706" s="11" t="n"/>
    </row>
    <row r="707" ht="14.25" customHeight="1" s="37">
      <c r="F707" s="11" t="n"/>
    </row>
    <row r="708" ht="14.25" customHeight="1" s="37">
      <c r="F708" s="11" t="n"/>
    </row>
    <row r="709" ht="14.25" customHeight="1" s="37">
      <c r="F709" s="11" t="n"/>
    </row>
    <row r="710" ht="14.25" customHeight="1" s="37">
      <c r="F710" s="11" t="n"/>
    </row>
    <row r="711" ht="14.25" customHeight="1" s="37">
      <c r="F711" s="11" t="n"/>
    </row>
    <row r="712" ht="14.25" customHeight="1" s="37">
      <c r="F712" s="11" t="n"/>
    </row>
    <row r="713" ht="14.25" customHeight="1" s="37">
      <c r="F713" s="11" t="n"/>
    </row>
    <row r="714" ht="14.25" customHeight="1" s="37">
      <c r="F714" s="11" t="n"/>
    </row>
    <row r="715" ht="14.25" customHeight="1" s="37">
      <c r="F715" s="11" t="n"/>
    </row>
    <row r="716" ht="14.25" customHeight="1" s="37">
      <c r="F716" s="11" t="n"/>
    </row>
    <row r="717" ht="14.25" customHeight="1" s="37">
      <c r="F717" s="11" t="n"/>
    </row>
    <row r="718" ht="14.25" customHeight="1" s="37">
      <c r="F718" s="11" t="n"/>
    </row>
    <row r="719" ht="14.25" customHeight="1" s="37">
      <c r="F719" s="11" t="n"/>
    </row>
    <row r="720" ht="14.25" customHeight="1" s="37">
      <c r="F720" s="11" t="n"/>
    </row>
    <row r="721" ht="14.25" customHeight="1" s="37">
      <c r="F721" s="11" t="n"/>
    </row>
    <row r="722" ht="14.25" customHeight="1" s="37">
      <c r="F722" s="11" t="n"/>
    </row>
    <row r="723" ht="14.25" customHeight="1" s="37">
      <c r="F723" s="11" t="n"/>
    </row>
    <row r="724" ht="14.25" customHeight="1" s="37">
      <c r="F724" s="11" t="n"/>
    </row>
    <row r="725" ht="14.25" customHeight="1" s="37">
      <c r="F725" s="11" t="n"/>
    </row>
    <row r="726" ht="14.25" customHeight="1" s="37">
      <c r="F726" s="11" t="n"/>
    </row>
    <row r="727" ht="14.25" customHeight="1" s="37">
      <c r="F727" s="11" t="n"/>
    </row>
    <row r="728" ht="14.25" customHeight="1" s="37">
      <c r="F728" s="11" t="n"/>
    </row>
    <row r="729" ht="14.25" customHeight="1" s="37">
      <c r="F729" s="11" t="n"/>
    </row>
    <row r="730" ht="14.25" customHeight="1" s="37">
      <c r="F730" s="11" t="n"/>
    </row>
    <row r="731" ht="14.25" customHeight="1" s="37">
      <c r="F731" s="11" t="n"/>
    </row>
    <row r="732" ht="14.25" customHeight="1" s="37">
      <c r="F732" s="11" t="n"/>
    </row>
    <row r="733" ht="14.25" customHeight="1" s="37">
      <c r="F733" s="11" t="n"/>
    </row>
    <row r="734" ht="14.25" customHeight="1" s="37">
      <c r="F734" s="11" t="n"/>
    </row>
    <row r="735" ht="14.25" customHeight="1" s="37">
      <c r="F735" s="11" t="n"/>
    </row>
    <row r="736" ht="14.25" customHeight="1" s="37">
      <c r="F736" s="11" t="n"/>
    </row>
    <row r="737" ht="14.25" customHeight="1" s="37">
      <c r="F737" s="11" t="n"/>
    </row>
    <row r="738" ht="14.25" customHeight="1" s="37">
      <c r="F738" s="11" t="n"/>
    </row>
    <row r="739" ht="14.25" customHeight="1" s="37">
      <c r="F739" s="11" t="n"/>
    </row>
    <row r="740" ht="14.25" customHeight="1" s="37">
      <c r="F740" s="11" t="n"/>
    </row>
    <row r="741" ht="14.25" customHeight="1" s="37">
      <c r="F741" s="11" t="n"/>
    </row>
    <row r="742" ht="14.25" customHeight="1" s="37">
      <c r="F742" s="11" t="n"/>
    </row>
    <row r="743" ht="14.25" customHeight="1" s="37">
      <c r="F743" s="11" t="n"/>
    </row>
    <row r="744" ht="14.25" customHeight="1" s="37">
      <c r="F744" s="11" t="n"/>
    </row>
    <row r="745" ht="14.25" customHeight="1" s="37">
      <c r="F745" s="11" t="n"/>
    </row>
    <row r="746" ht="14.25" customHeight="1" s="37">
      <c r="F746" s="11" t="n"/>
    </row>
    <row r="747" ht="14.25" customHeight="1" s="37">
      <c r="F747" s="11" t="n"/>
    </row>
    <row r="748" ht="14.25" customHeight="1" s="37">
      <c r="F748" s="11" t="n"/>
    </row>
    <row r="749" ht="14.25" customHeight="1" s="37">
      <c r="F749" s="11" t="n"/>
    </row>
    <row r="750" ht="14.25" customHeight="1" s="37">
      <c r="F750" s="11" t="n"/>
    </row>
    <row r="751" ht="14.25" customHeight="1" s="37">
      <c r="F751" s="11" t="n"/>
    </row>
    <row r="752" ht="14.25" customHeight="1" s="37">
      <c r="F752" s="11" t="n"/>
    </row>
    <row r="753" ht="14.25" customHeight="1" s="37">
      <c r="F753" s="11" t="n"/>
    </row>
    <row r="754" ht="14.25" customHeight="1" s="37">
      <c r="F754" s="11" t="n"/>
    </row>
    <row r="755" ht="14.25" customHeight="1" s="37">
      <c r="F755" s="11" t="n"/>
    </row>
    <row r="756" ht="14.25" customHeight="1" s="37">
      <c r="F756" s="11" t="n"/>
    </row>
    <row r="757" ht="14.25" customHeight="1" s="37">
      <c r="F757" s="11" t="n"/>
    </row>
    <row r="758" ht="14.25" customHeight="1" s="37">
      <c r="F758" s="11" t="n"/>
    </row>
    <row r="759" ht="14.25" customHeight="1" s="37">
      <c r="F759" s="11" t="n"/>
    </row>
    <row r="760" ht="14.25" customHeight="1" s="37">
      <c r="F760" s="11" t="n"/>
    </row>
    <row r="761" ht="14.25" customHeight="1" s="37">
      <c r="F761" s="11" t="n"/>
    </row>
    <row r="762" ht="14.25" customHeight="1" s="37">
      <c r="F762" s="11" t="n"/>
    </row>
    <row r="763" ht="14.25" customHeight="1" s="37">
      <c r="F763" s="11" t="n"/>
    </row>
    <row r="764" ht="14.25" customHeight="1" s="37">
      <c r="F764" s="11" t="n"/>
    </row>
    <row r="765" ht="14.25" customHeight="1" s="37">
      <c r="F765" s="11" t="n"/>
    </row>
    <row r="766" ht="14.25" customHeight="1" s="37">
      <c r="F766" s="11" t="n"/>
    </row>
    <row r="767" ht="14.25" customHeight="1" s="37">
      <c r="F767" s="11" t="n"/>
    </row>
    <row r="768" ht="14.25" customHeight="1" s="37">
      <c r="F768" s="11" t="n"/>
    </row>
    <row r="769" ht="14.25" customHeight="1" s="37">
      <c r="F769" s="11" t="n"/>
    </row>
    <row r="770" ht="14.25" customHeight="1" s="37">
      <c r="F770" s="11" t="n"/>
    </row>
    <row r="771" ht="14.25" customHeight="1" s="37">
      <c r="F771" s="11" t="n"/>
    </row>
    <row r="772" ht="14.25" customHeight="1" s="37">
      <c r="F772" s="11" t="n"/>
    </row>
    <row r="773" ht="14.25" customHeight="1" s="37">
      <c r="F773" s="11" t="n"/>
    </row>
    <row r="774" ht="14.25" customHeight="1" s="37">
      <c r="F774" s="11" t="n"/>
    </row>
    <row r="775" ht="14.25" customHeight="1" s="37">
      <c r="F775" s="11" t="n"/>
    </row>
    <row r="776" ht="14.25" customHeight="1" s="37">
      <c r="F776" s="11" t="n"/>
    </row>
    <row r="777" ht="14.25" customHeight="1" s="37">
      <c r="F777" s="11" t="n"/>
    </row>
    <row r="778" ht="14.25" customHeight="1" s="37">
      <c r="F778" s="11" t="n"/>
    </row>
    <row r="779" ht="14.25" customHeight="1" s="37">
      <c r="F779" s="11" t="n"/>
    </row>
    <row r="780" ht="14.25" customHeight="1" s="37">
      <c r="F780" s="11" t="n"/>
    </row>
    <row r="781" ht="14.25" customHeight="1" s="37">
      <c r="F781" s="11" t="n"/>
    </row>
    <row r="782" ht="14.25" customHeight="1" s="37">
      <c r="F782" s="11" t="n"/>
    </row>
    <row r="783" ht="14.25" customHeight="1" s="37">
      <c r="F783" s="11" t="n"/>
    </row>
    <row r="784" ht="14.25" customHeight="1" s="37">
      <c r="F784" s="11" t="n"/>
    </row>
    <row r="785" ht="14.25" customHeight="1" s="37">
      <c r="F785" s="11" t="n"/>
    </row>
    <row r="786" ht="14.25" customHeight="1" s="37">
      <c r="F786" s="11" t="n"/>
    </row>
    <row r="787" ht="14.25" customHeight="1" s="37">
      <c r="F787" s="11" t="n"/>
    </row>
    <row r="788" ht="14.25" customHeight="1" s="37">
      <c r="F788" s="11" t="n"/>
    </row>
    <row r="789" ht="14.25" customHeight="1" s="37">
      <c r="F789" s="11" t="n"/>
    </row>
    <row r="790" ht="14.25" customHeight="1" s="37">
      <c r="F790" s="11" t="n"/>
    </row>
    <row r="791" ht="14.25" customHeight="1" s="37">
      <c r="F791" s="11" t="n"/>
    </row>
    <row r="792" ht="14.25" customHeight="1" s="37">
      <c r="F792" s="11" t="n"/>
    </row>
    <row r="793" ht="14.25" customHeight="1" s="37">
      <c r="F793" s="11" t="n"/>
    </row>
    <row r="794" ht="14.25" customHeight="1" s="37">
      <c r="F794" s="11" t="n"/>
    </row>
    <row r="795" ht="14.25" customHeight="1" s="37">
      <c r="F795" s="11" t="n"/>
    </row>
    <row r="796" ht="14.25" customHeight="1" s="37">
      <c r="F796" s="11" t="n"/>
    </row>
    <row r="797" ht="14.25" customHeight="1" s="37">
      <c r="F797" s="11" t="n"/>
    </row>
    <row r="798" ht="14.25" customHeight="1" s="37">
      <c r="F798" s="11" t="n"/>
    </row>
    <row r="799" ht="14.25" customHeight="1" s="37">
      <c r="F799" s="11" t="n"/>
    </row>
    <row r="800" ht="14.25" customHeight="1" s="37">
      <c r="F800" s="11" t="n"/>
    </row>
    <row r="801" ht="14.25" customHeight="1" s="37">
      <c r="F801" s="11" t="n"/>
    </row>
    <row r="802" ht="14.25" customHeight="1" s="37">
      <c r="F802" s="11" t="n"/>
    </row>
    <row r="803" ht="14.25" customHeight="1" s="37">
      <c r="F803" s="11" t="n"/>
    </row>
    <row r="804" ht="14.25" customHeight="1" s="37">
      <c r="F804" s="11" t="n"/>
    </row>
    <row r="805" ht="14.25" customHeight="1" s="37">
      <c r="F805" s="11" t="n"/>
    </row>
    <row r="806" ht="14.25" customHeight="1" s="37">
      <c r="F806" s="11" t="n"/>
    </row>
    <row r="807" ht="14.25" customHeight="1" s="37">
      <c r="F807" s="11" t="n"/>
    </row>
    <row r="808" ht="14.25" customHeight="1" s="37">
      <c r="F808" s="11" t="n"/>
    </row>
    <row r="809" ht="14.25" customHeight="1" s="37">
      <c r="F809" s="11" t="n"/>
    </row>
    <row r="810" ht="14.25" customHeight="1" s="37">
      <c r="F810" s="11" t="n"/>
    </row>
    <row r="811" ht="14.25" customHeight="1" s="37">
      <c r="F811" s="11" t="n"/>
    </row>
    <row r="812" ht="14.25" customHeight="1" s="37">
      <c r="F812" s="11" t="n"/>
    </row>
    <row r="813" ht="14.25" customHeight="1" s="37">
      <c r="F813" s="11" t="n"/>
    </row>
    <row r="814" ht="14.25" customHeight="1" s="37">
      <c r="F814" s="11" t="n"/>
    </row>
    <row r="815" ht="14.25" customHeight="1" s="37">
      <c r="F815" s="11" t="n"/>
    </row>
    <row r="816" ht="14.25" customHeight="1" s="37">
      <c r="F816" s="11" t="n"/>
    </row>
    <row r="817" ht="14.25" customHeight="1" s="37">
      <c r="F817" s="11" t="n"/>
    </row>
    <row r="818" ht="14.25" customHeight="1" s="37">
      <c r="F818" s="11" t="n"/>
    </row>
    <row r="819" ht="14.25" customHeight="1" s="37">
      <c r="F819" s="11" t="n"/>
    </row>
    <row r="820" ht="14.25" customHeight="1" s="37">
      <c r="F820" s="11" t="n"/>
    </row>
    <row r="821" ht="14.25" customHeight="1" s="37">
      <c r="F821" s="11" t="n"/>
    </row>
    <row r="822" ht="14.25" customHeight="1" s="37">
      <c r="F822" s="11" t="n"/>
    </row>
    <row r="823" ht="14.25" customHeight="1" s="37">
      <c r="F823" s="11" t="n"/>
    </row>
    <row r="824" ht="14.25" customHeight="1" s="37">
      <c r="F824" s="11" t="n"/>
    </row>
    <row r="825" ht="14.25" customHeight="1" s="37">
      <c r="F825" s="11" t="n"/>
    </row>
    <row r="826" ht="14.25" customHeight="1" s="37">
      <c r="F826" s="11" t="n"/>
    </row>
    <row r="827" ht="14.25" customHeight="1" s="37">
      <c r="F827" s="11" t="n"/>
    </row>
    <row r="828" ht="14.25" customHeight="1" s="37">
      <c r="F828" s="11" t="n"/>
    </row>
    <row r="829" ht="14.25" customHeight="1" s="37">
      <c r="F829" s="11" t="n"/>
    </row>
    <row r="830" ht="14.25" customHeight="1" s="37">
      <c r="F830" s="11" t="n"/>
    </row>
    <row r="831" ht="14.25" customHeight="1" s="37">
      <c r="F831" s="11" t="n"/>
    </row>
    <row r="832" ht="14.25" customHeight="1" s="37">
      <c r="F832" s="11" t="n"/>
    </row>
    <row r="833" ht="14.25" customHeight="1" s="37">
      <c r="F833" s="11" t="n"/>
    </row>
    <row r="834" ht="14.25" customHeight="1" s="37">
      <c r="F834" s="11" t="n"/>
    </row>
    <row r="835" ht="14.25" customHeight="1" s="37">
      <c r="F835" s="11" t="n"/>
    </row>
    <row r="836" ht="14.25" customHeight="1" s="37">
      <c r="F836" s="11" t="n"/>
    </row>
    <row r="837" ht="14.25" customHeight="1" s="37">
      <c r="F837" s="11" t="n"/>
    </row>
    <row r="838" ht="14.25" customHeight="1" s="37">
      <c r="F838" s="11" t="n"/>
    </row>
    <row r="839" ht="14.25" customHeight="1" s="37">
      <c r="F839" s="11" t="n"/>
    </row>
    <row r="840" ht="14.25" customHeight="1" s="37">
      <c r="F840" s="11" t="n"/>
    </row>
    <row r="841" ht="14.25" customHeight="1" s="37">
      <c r="F841" s="11" t="n"/>
    </row>
    <row r="842" ht="14.25" customHeight="1" s="37">
      <c r="F842" s="11" t="n"/>
    </row>
    <row r="843" ht="14.25" customHeight="1" s="37">
      <c r="F843" s="11" t="n"/>
    </row>
    <row r="844" ht="14.25" customHeight="1" s="37">
      <c r="F844" s="11" t="n"/>
    </row>
    <row r="845" ht="14.25" customHeight="1" s="37">
      <c r="F845" s="11" t="n"/>
    </row>
    <row r="846" ht="14.25" customHeight="1" s="37">
      <c r="F846" s="11" t="n"/>
    </row>
    <row r="847" ht="14.25" customHeight="1" s="37">
      <c r="F847" s="11" t="n"/>
    </row>
    <row r="848" ht="14.25" customHeight="1" s="37">
      <c r="F848" s="11" t="n"/>
    </row>
    <row r="849" ht="14.25" customHeight="1" s="37">
      <c r="F849" s="11" t="n"/>
    </row>
    <row r="850" ht="14.25" customHeight="1" s="37">
      <c r="F850" s="11" t="n"/>
    </row>
    <row r="851" ht="14.25" customHeight="1" s="37">
      <c r="F851" s="11" t="n"/>
    </row>
    <row r="852" ht="14.25" customHeight="1" s="37">
      <c r="F852" s="11" t="n"/>
    </row>
    <row r="853" ht="14.25" customHeight="1" s="37">
      <c r="F853" s="11" t="n"/>
    </row>
    <row r="854" ht="14.25" customHeight="1" s="37">
      <c r="F854" s="11" t="n"/>
    </row>
    <row r="855" ht="14.25" customHeight="1" s="37">
      <c r="F855" s="11" t="n"/>
    </row>
    <row r="856" ht="14.25" customHeight="1" s="37">
      <c r="F856" s="11" t="n"/>
    </row>
    <row r="857" ht="14.25" customHeight="1" s="37">
      <c r="F857" s="11" t="n"/>
    </row>
    <row r="858" ht="14.25" customHeight="1" s="37">
      <c r="F858" s="11" t="n"/>
    </row>
    <row r="859" ht="14.25" customHeight="1" s="37">
      <c r="F859" s="11" t="n"/>
    </row>
    <row r="860" ht="14.25" customHeight="1" s="37">
      <c r="F860" s="11" t="n"/>
    </row>
    <row r="861" ht="14.25" customHeight="1" s="37">
      <c r="F861" s="11" t="n"/>
    </row>
    <row r="862" ht="14.25" customHeight="1" s="37">
      <c r="F862" s="11" t="n"/>
    </row>
    <row r="863" ht="14.25" customHeight="1" s="37">
      <c r="F863" s="11" t="n"/>
    </row>
    <row r="864" ht="14.25" customHeight="1" s="37">
      <c r="F864" s="11" t="n"/>
    </row>
    <row r="865" ht="14.25" customHeight="1" s="37">
      <c r="F865" s="11" t="n"/>
    </row>
    <row r="866" ht="14.25" customHeight="1" s="37">
      <c r="F866" s="11" t="n"/>
    </row>
    <row r="867" ht="14.25" customHeight="1" s="37">
      <c r="F867" s="11" t="n"/>
    </row>
    <row r="868" ht="14.25" customHeight="1" s="37">
      <c r="F868" s="11" t="n"/>
    </row>
    <row r="869" ht="14.25" customHeight="1" s="37">
      <c r="F869" s="11" t="n"/>
    </row>
    <row r="870" ht="14.25" customHeight="1" s="37">
      <c r="F870" s="11" t="n"/>
    </row>
    <row r="871" ht="14.25" customHeight="1" s="37">
      <c r="F871" s="11" t="n"/>
    </row>
    <row r="872" ht="14.25" customHeight="1" s="37">
      <c r="F872" s="11" t="n"/>
    </row>
    <row r="873" ht="14.25" customHeight="1" s="37">
      <c r="F873" s="11" t="n"/>
    </row>
    <row r="874" ht="14.25" customHeight="1" s="37">
      <c r="F874" s="11" t="n"/>
    </row>
    <row r="875" ht="14.25" customHeight="1" s="37">
      <c r="F875" s="11" t="n"/>
    </row>
    <row r="876" ht="14.25" customHeight="1" s="37">
      <c r="F876" s="11" t="n"/>
    </row>
    <row r="877" ht="14.25" customHeight="1" s="37">
      <c r="F877" s="11" t="n"/>
    </row>
    <row r="878" ht="14.25" customHeight="1" s="37">
      <c r="F878" s="11" t="n"/>
    </row>
    <row r="879" ht="14.25" customHeight="1" s="37">
      <c r="F879" s="11" t="n"/>
    </row>
    <row r="880" ht="14.25" customHeight="1" s="37">
      <c r="F880" s="11" t="n"/>
    </row>
    <row r="881" ht="14.25" customHeight="1" s="37">
      <c r="F881" s="11" t="n"/>
    </row>
    <row r="882" ht="14.25" customHeight="1" s="37">
      <c r="F882" s="11" t="n"/>
    </row>
    <row r="883" ht="14.25" customHeight="1" s="37">
      <c r="F883" s="11" t="n"/>
    </row>
    <row r="884" ht="14.25" customHeight="1" s="37">
      <c r="F884" s="11" t="n"/>
    </row>
    <row r="885" ht="14.25" customHeight="1" s="37">
      <c r="F885" s="11" t="n"/>
    </row>
    <row r="886" ht="14.25" customHeight="1" s="37">
      <c r="F886" s="11" t="n"/>
    </row>
    <row r="887" ht="14.25" customHeight="1" s="37">
      <c r="F887" s="11" t="n"/>
    </row>
    <row r="888" ht="14.25" customHeight="1" s="37">
      <c r="F888" s="11" t="n"/>
    </row>
    <row r="889" ht="14.25" customHeight="1" s="37">
      <c r="F889" s="11" t="n"/>
    </row>
    <row r="890" ht="14.25" customHeight="1" s="37">
      <c r="F890" s="11" t="n"/>
    </row>
    <row r="891" ht="14.25" customHeight="1" s="37">
      <c r="F891" s="11" t="n"/>
    </row>
    <row r="892" ht="14.25" customHeight="1" s="37">
      <c r="F892" s="11" t="n"/>
    </row>
    <row r="893" ht="14.25" customHeight="1" s="37">
      <c r="F893" s="11" t="n"/>
    </row>
    <row r="894" ht="14.25" customHeight="1" s="37">
      <c r="F894" s="11" t="n"/>
    </row>
    <row r="895" ht="14.25" customHeight="1" s="37">
      <c r="F895" s="11" t="n"/>
    </row>
    <row r="896" ht="14.25" customHeight="1" s="37">
      <c r="F896" s="11" t="n"/>
    </row>
    <row r="897" ht="14.25" customHeight="1" s="37">
      <c r="F897" s="11" t="n"/>
    </row>
    <row r="898" ht="14.25" customHeight="1" s="37">
      <c r="F898" s="11" t="n"/>
    </row>
    <row r="899" ht="14.25" customHeight="1" s="37">
      <c r="F899" s="11" t="n"/>
    </row>
    <row r="900" ht="14.25" customHeight="1" s="37">
      <c r="F900" s="11" t="n"/>
    </row>
    <row r="901" ht="14.25" customHeight="1" s="37">
      <c r="F901" s="11" t="n"/>
    </row>
    <row r="902" ht="14.25" customHeight="1" s="37">
      <c r="F902" s="11" t="n"/>
    </row>
    <row r="903" ht="14.25" customHeight="1" s="37">
      <c r="F903" s="11" t="n"/>
    </row>
    <row r="904" ht="14.25" customHeight="1" s="37">
      <c r="F904" s="11" t="n"/>
    </row>
    <row r="905" ht="14.25" customHeight="1" s="37">
      <c r="F905" s="11" t="n"/>
    </row>
    <row r="906" ht="14.25" customHeight="1" s="37">
      <c r="F906" s="11" t="n"/>
    </row>
    <row r="907" ht="14.25" customHeight="1" s="37">
      <c r="F907" s="11" t="n"/>
    </row>
    <row r="908" ht="14.25" customHeight="1" s="37">
      <c r="F908" s="11" t="n"/>
    </row>
    <row r="909" ht="14.25" customHeight="1" s="37">
      <c r="F909" s="11" t="n"/>
    </row>
    <row r="910" ht="14.25" customHeight="1" s="37">
      <c r="F910" s="11" t="n"/>
    </row>
    <row r="911" ht="14.25" customHeight="1" s="37">
      <c r="F911" s="11" t="n"/>
    </row>
    <row r="912" ht="14.25" customHeight="1" s="37">
      <c r="F912" s="11" t="n"/>
    </row>
    <row r="913" ht="14.25" customHeight="1" s="37">
      <c r="F913" s="11" t="n"/>
    </row>
    <row r="914" ht="14.25" customHeight="1" s="37">
      <c r="F914" s="11" t="n"/>
    </row>
    <row r="915" ht="14.25" customHeight="1" s="37">
      <c r="F915" s="11" t="n"/>
    </row>
    <row r="916" ht="14.25" customHeight="1" s="37">
      <c r="F916" s="11" t="n"/>
    </row>
    <row r="917" ht="14.25" customHeight="1" s="37">
      <c r="F917" s="11" t="n"/>
    </row>
    <row r="918" ht="14.25" customHeight="1" s="37">
      <c r="F918" s="11" t="n"/>
    </row>
    <row r="919" ht="14.25" customHeight="1" s="37">
      <c r="F919" s="11" t="n"/>
    </row>
    <row r="920" ht="14.25" customHeight="1" s="37">
      <c r="F920" s="11" t="n"/>
    </row>
    <row r="921" ht="14.25" customHeight="1" s="37">
      <c r="F921" s="11" t="n"/>
    </row>
    <row r="922" ht="14.25" customHeight="1" s="37">
      <c r="F922" s="11" t="n"/>
    </row>
    <row r="923" ht="14.25" customHeight="1" s="37">
      <c r="F923" s="11" t="n"/>
    </row>
    <row r="924" ht="14.25" customHeight="1" s="37">
      <c r="F924" s="11" t="n"/>
    </row>
    <row r="925" ht="14.25" customHeight="1" s="37">
      <c r="F925" s="11" t="n"/>
    </row>
    <row r="926" ht="14.25" customHeight="1" s="37">
      <c r="F926" s="11" t="n"/>
    </row>
    <row r="927" ht="14.25" customHeight="1" s="37">
      <c r="F927" s="11" t="n"/>
    </row>
    <row r="928" ht="14.25" customHeight="1" s="37">
      <c r="F928" s="11" t="n"/>
    </row>
    <row r="929" ht="14.25" customHeight="1" s="37">
      <c r="F929" s="11" t="n"/>
    </row>
    <row r="930" ht="14.25" customHeight="1" s="37">
      <c r="F930" s="11" t="n"/>
    </row>
    <row r="931" ht="14.25" customHeight="1" s="37">
      <c r="F931" s="11" t="n"/>
    </row>
    <row r="932" ht="14.25" customHeight="1" s="37">
      <c r="F932" s="11" t="n"/>
    </row>
    <row r="933" ht="14.25" customHeight="1" s="37">
      <c r="F933" s="11" t="n"/>
    </row>
    <row r="934" ht="14.25" customHeight="1" s="37">
      <c r="F934" s="11" t="n"/>
    </row>
    <row r="935" ht="14.25" customHeight="1" s="37">
      <c r="F935" s="11" t="n"/>
    </row>
    <row r="936" ht="14.25" customHeight="1" s="37">
      <c r="F936" s="11" t="n"/>
    </row>
    <row r="937" ht="14.25" customHeight="1" s="37">
      <c r="F937" s="11" t="n"/>
    </row>
    <row r="938" ht="14.25" customHeight="1" s="37">
      <c r="F938" s="11" t="n"/>
    </row>
    <row r="939" ht="14.25" customHeight="1" s="37">
      <c r="F939" s="11" t="n"/>
    </row>
    <row r="940" ht="14.25" customHeight="1" s="37">
      <c r="F940" s="11" t="n"/>
    </row>
    <row r="941" ht="14.25" customHeight="1" s="37">
      <c r="F941" s="11" t="n"/>
    </row>
    <row r="942" ht="14.25" customHeight="1" s="37">
      <c r="F942" s="11" t="n"/>
    </row>
    <row r="943" ht="14.25" customHeight="1" s="37">
      <c r="F943" s="11" t="n"/>
    </row>
    <row r="944" ht="14.25" customHeight="1" s="37">
      <c r="F944" s="11" t="n"/>
    </row>
    <row r="945" ht="14.25" customHeight="1" s="37">
      <c r="F945" s="11" t="n"/>
    </row>
    <row r="946" ht="14.25" customHeight="1" s="37">
      <c r="F946" s="11" t="n"/>
    </row>
    <row r="947" ht="14.25" customHeight="1" s="37">
      <c r="F947" s="11" t="n"/>
    </row>
    <row r="948" ht="14.25" customHeight="1" s="37">
      <c r="F948" s="11" t="n"/>
    </row>
    <row r="949" ht="14.25" customHeight="1" s="37">
      <c r="F949" s="11" t="n"/>
    </row>
    <row r="950" ht="14.25" customHeight="1" s="37">
      <c r="F950" s="11" t="n"/>
    </row>
    <row r="951" ht="14.25" customHeight="1" s="37">
      <c r="F951" s="11" t="n"/>
    </row>
    <row r="952" ht="14.25" customHeight="1" s="37">
      <c r="F952" s="11" t="n"/>
    </row>
    <row r="953" ht="14.25" customHeight="1" s="37">
      <c r="F953" s="11" t="n"/>
    </row>
    <row r="954" ht="14.25" customHeight="1" s="37">
      <c r="F954" s="11" t="n"/>
    </row>
    <row r="955" ht="14.25" customHeight="1" s="37">
      <c r="F955" s="11" t="n"/>
    </row>
    <row r="956" ht="14.25" customHeight="1" s="37">
      <c r="F956" s="11" t="n"/>
    </row>
    <row r="957" ht="14.25" customHeight="1" s="37">
      <c r="F957" s="11" t="n"/>
    </row>
    <row r="958" ht="14.25" customHeight="1" s="37">
      <c r="F958" s="11" t="n"/>
    </row>
    <row r="959" ht="14.25" customHeight="1" s="37">
      <c r="F959" s="11" t="n"/>
    </row>
    <row r="960" ht="14.25" customHeight="1" s="37">
      <c r="F960" s="11" t="n"/>
    </row>
    <row r="961" ht="14.25" customHeight="1" s="37">
      <c r="F961" s="11" t="n"/>
    </row>
    <row r="962" ht="14.25" customHeight="1" s="37">
      <c r="F962" s="11" t="n"/>
    </row>
    <row r="963" ht="14.25" customHeight="1" s="37">
      <c r="F963" s="11" t="n"/>
    </row>
    <row r="964" ht="14.25" customHeight="1" s="37">
      <c r="F964" s="11" t="n"/>
    </row>
    <row r="965" ht="14.25" customHeight="1" s="37">
      <c r="F965" s="11" t="n"/>
    </row>
    <row r="966" ht="14.25" customHeight="1" s="37">
      <c r="F966" s="11" t="n"/>
    </row>
    <row r="967" ht="14.25" customHeight="1" s="37">
      <c r="F967" s="11" t="n"/>
    </row>
    <row r="968" ht="14.25" customHeight="1" s="37">
      <c r="F968" s="11" t="n"/>
    </row>
    <row r="969" ht="14.25" customHeight="1" s="37">
      <c r="F969" s="11" t="n"/>
    </row>
    <row r="970" ht="14.25" customHeight="1" s="37">
      <c r="F970" s="11" t="n"/>
    </row>
    <row r="971" ht="14.25" customHeight="1" s="37">
      <c r="F971" s="11" t="n"/>
    </row>
    <row r="972" ht="14.25" customHeight="1" s="37">
      <c r="F972" s="11" t="n"/>
    </row>
    <row r="973" ht="14.25" customHeight="1" s="37">
      <c r="F973" s="11" t="n"/>
    </row>
    <row r="974" ht="14.25" customHeight="1" s="37">
      <c r="F974" s="11" t="n"/>
    </row>
    <row r="975" ht="14.25" customHeight="1" s="37">
      <c r="F975" s="11" t="n"/>
    </row>
    <row r="976" ht="14.25" customHeight="1" s="37">
      <c r="F976" s="11" t="n"/>
    </row>
    <row r="977" ht="14.25" customHeight="1" s="37">
      <c r="F977" s="11" t="n"/>
    </row>
    <row r="978" ht="14.25" customHeight="1" s="37">
      <c r="F978" s="11" t="n"/>
    </row>
    <row r="979" ht="14.25" customHeight="1" s="37">
      <c r="F979" s="11" t="n"/>
    </row>
    <row r="980" ht="14.25" customHeight="1" s="37">
      <c r="F980" s="11" t="n"/>
    </row>
    <row r="981" ht="14.25" customHeight="1" s="37">
      <c r="F981" s="11" t="n"/>
    </row>
    <row r="982" ht="14.25" customHeight="1" s="37">
      <c r="F982" s="11" t="n"/>
    </row>
    <row r="983" ht="14.25" customHeight="1" s="37">
      <c r="F983" s="11" t="n"/>
    </row>
    <row r="984" ht="14.25" customHeight="1" s="37">
      <c r="F984" s="11" t="n"/>
    </row>
    <row r="985" ht="14.25" customHeight="1" s="37">
      <c r="F985" s="11" t="n"/>
    </row>
    <row r="986" ht="14.25" customHeight="1" s="37">
      <c r="F986" s="11" t="n"/>
    </row>
    <row r="987" ht="14.25" customHeight="1" s="37">
      <c r="F987" s="11" t="n"/>
    </row>
    <row r="988" ht="14.25" customHeight="1" s="37">
      <c r="F988" s="11" t="n"/>
    </row>
    <row r="989" ht="14.25" customHeight="1" s="37">
      <c r="F989" s="11" t="n"/>
    </row>
    <row r="990" ht="14.25" customHeight="1" s="37">
      <c r="F990" s="11" t="n"/>
    </row>
    <row r="991" ht="14.25" customHeight="1" s="37">
      <c r="F991" s="11" t="n"/>
    </row>
    <row r="992" ht="14.25" customHeight="1" s="37">
      <c r="F992" s="11" t="n"/>
    </row>
    <row r="993" ht="14.25" customHeight="1" s="37">
      <c r="F993" s="11" t="n"/>
    </row>
    <row r="994" ht="14.25" customHeight="1" s="37">
      <c r="F994" s="11" t="n"/>
    </row>
    <row r="995" ht="14.25" customHeight="1" s="37">
      <c r="F995" s="11" t="n"/>
    </row>
    <row r="996" ht="14.25" customHeight="1" s="37">
      <c r="F996" s="11" t="n"/>
    </row>
    <row r="997" ht="14.25" customHeight="1" s="37">
      <c r="F997" s="11" t="n"/>
    </row>
    <row r="998" ht="14.25" customHeight="1" s="37">
      <c r="F998" s="11" t="n"/>
    </row>
    <row r="999" ht="14.25" customHeight="1" s="37">
      <c r="F999" s="11" t="n"/>
    </row>
    <row r="1000" ht="14.25" customHeight="1" s="37">
      <c r="F1000" s="11" t="n"/>
    </row>
    <row r="1001" ht="14.25" customHeight="1" s="37">
      <c r="F1001" s="11" t="n"/>
    </row>
  </sheetData>
  <autoFilter ref="$A$1:$G$1001"/>
  <dataValidations count="1">
    <dataValidation sqref="F2:F1001" showDropDown="0" showInputMessage="0" showErrorMessage="0" allowBlank="1" type="list">
      <formula1>"Ya,Tidak"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15" customWidth="1" style="37" min="4" max="5"/>
    <col width="32" customWidth="1" style="37" min="6" max="6"/>
    <col width="28" customWidth="1" style="37" min="7" max="8"/>
    <col width="30" customWidth="1" style="37" min="9" max="9"/>
    <col width="9" customWidth="1" style="37" min="10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Mutasi</t>
        </is>
      </c>
      <c r="E1" s="7" t="inlineStr">
        <is>
          <t>Tanggal Mutasi</t>
        </is>
      </c>
      <c r="F1" s="7" t="inlineStr">
        <is>
          <t>Rute</t>
        </is>
      </c>
      <c r="G1" s="7" t="inlineStr">
        <is>
          <t>Asal/Tujuan</t>
        </is>
      </c>
      <c r="H1" s="7" t="inlineStr">
        <is>
          <t>Paroki/Keuskupan</t>
        </is>
      </c>
      <c r="I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n"/>
      <c r="E2" s="9" t="n"/>
      <c r="F2" s="9" t="n"/>
      <c r="G2" s="9" t="n"/>
      <c r="H2" s="9" t="n"/>
      <c r="I2" s="9" t="n"/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n"/>
      <c r="E3" s="9" t="n"/>
      <c r="F3" s="9" t="n"/>
      <c r="G3" s="9" t="n"/>
      <c r="H3" s="9" t="n"/>
      <c r="I3" s="9" t="n"/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n"/>
      <c r="E4" s="9" t="n"/>
      <c r="F4" s="9" t="n"/>
      <c r="G4" s="9" t="n"/>
      <c r="H4" s="9" t="n"/>
      <c r="I4" s="9" t="n"/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n"/>
      <c r="E5" s="9" t="n"/>
      <c r="F5" s="9" t="n"/>
      <c r="G5" s="9" t="n"/>
      <c r="H5" s="9" t="n"/>
      <c r="I5" s="9" t="n"/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n"/>
      <c r="E6" s="9" t="n"/>
      <c r="F6" s="9" t="n"/>
      <c r="G6" s="9" t="n"/>
      <c r="H6" s="9" t="n"/>
      <c r="I6" s="9" t="n"/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n"/>
      <c r="E7" s="9" t="n"/>
      <c r="F7" s="9" t="n"/>
      <c r="G7" s="9" t="n"/>
      <c r="H7" s="9" t="n"/>
      <c r="I7" s="9" t="n"/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n"/>
      <c r="E8" s="9" t="n"/>
      <c r="F8" s="9" t="n"/>
      <c r="G8" s="9" t="n"/>
      <c r="H8" s="9" t="n"/>
      <c r="I8" s="9" t="n"/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n"/>
      <c r="E9" s="9" t="n"/>
      <c r="F9" s="9" t="n"/>
      <c r="G9" s="9" t="n"/>
      <c r="H9" s="9" t="n"/>
      <c r="I9" s="9" t="n"/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n"/>
      <c r="E10" s="9" t="n"/>
      <c r="F10" s="9" t="n"/>
      <c r="G10" s="9" t="n"/>
      <c r="H10" s="9" t="n"/>
      <c r="I10" s="9" t="n"/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n"/>
      <c r="E11" s="9" t="n"/>
      <c r="F11" s="9" t="n"/>
      <c r="G11" s="9" t="n"/>
      <c r="H11" s="9" t="n"/>
      <c r="I11" s="9" t="n"/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n"/>
      <c r="E12" s="9" t="n"/>
      <c r="F12" s="9" t="n"/>
      <c r="G12" s="9" t="n"/>
      <c r="H12" s="9" t="n"/>
      <c r="I12" s="9" t="n"/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n"/>
      <c r="E13" s="9" t="n"/>
      <c r="F13" s="9" t="n"/>
      <c r="G13" s="9" t="n"/>
      <c r="H13" s="9" t="n"/>
      <c r="I13" s="9" t="n"/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n"/>
      <c r="E14" s="9" t="n"/>
      <c r="F14" s="9" t="n"/>
      <c r="G14" s="9" t="n"/>
      <c r="H14" s="9" t="n"/>
      <c r="I14" s="9" t="n"/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n"/>
      <c r="E15" s="9" t="n"/>
      <c r="F15" s="9" t="n"/>
      <c r="G15" s="9" t="n"/>
      <c r="H15" s="9" t="n"/>
      <c r="I15" s="9" t="n"/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n"/>
      <c r="E16" s="9" t="n"/>
      <c r="F16" s="9" t="n"/>
      <c r="G16" s="9" t="n"/>
      <c r="H16" s="9" t="n"/>
      <c r="I16" s="9" t="n"/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9" t="n"/>
      <c r="F17" s="9" t="n"/>
      <c r="G17" s="9" t="n"/>
      <c r="H17" s="9" t="n"/>
      <c r="I17" s="9" t="n"/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n"/>
      <c r="E18" s="9" t="n"/>
      <c r="F18" s="9" t="n"/>
      <c r="G18" s="9" t="n"/>
      <c r="H18" s="9" t="n"/>
      <c r="I18" s="9" t="n"/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n"/>
      <c r="E19" s="9" t="n"/>
      <c r="F19" s="9" t="n"/>
      <c r="G19" s="9" t="n"/>
      <c r="H19" s="9" t="n"/>
      <c r="I19" s="9" t="n"/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n"/>
      <c r="E20" s="9" t="n"/>
      <c r="F20" s="9" t="n"/>
      <c r="G20" s="9" t="n"/>
      <c r="H20" s="9" t="n"/>
      <c r="I20" s="9" t="n"/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n"/>
      <c r="E21" s="9" t="n"/>
      <c r="F21" s="9" t="n"/>
      <c r="G21" s="9" t="n"/>
      <c r="H21" s="9" t="n"/>
      <c r="I21" s="9" t="n"/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n"/>
      <c r="E22" s="9" t="n"/>
      <c r="F22" s="9" t="n"/>
      <c r="G22" s="9" t="n"/>
      <c r="H22" s="9" t="n"/>
      <c r="I22" s="9" t="n"/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n"/>
      <c r="E23" s="9" t="n"/>
      <c r="F23" s="9" t="n"/>
      <c r="G23" s="9" t="n"/>
      <c r="H23" s="9" t="n"/>
      <c r="I23" s="9" t="n"/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n"/>
      <c r="E24" s="9" t="n"/>
      <c r="F24" s="9" t="n"/>
      <c r="G24" s="9" t="n"/>
      <c r="H24" s="9" t="n"/>
      <c r="I24" s="9" t="n"/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n"/>
      <c r="E25" s="9" t="n"/>
      <c r="F25" s="9" t="n"/>
      <c r="G25" s="9" t="n"/>
      <c r="H25" s="9" t="n"/>
      <c r="I25" s="9" t="n"/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n"/>
      <c r="E26" s="9" t="n"/>
      <c r="F26" s="9" t="n"/>
      <c r="G26" s="9" t="n"/>
      <c r="H26" s="9" t="n"/>
      <c r="I26" s="9" t="n"/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n"/>
      <c r="E27" s="9" t="n"/>
      <c r="F27" s="9" t="n"/>
      <c r="G27" s="9" t="n"/>
      <c r="H27" s="9" t="n"/>
      <c r="I27" s="9" t="n"/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n"/>
      <c r="E28" s="9" t="n"/>
      <c r="F28" s="9" t="n"/>
      <c r="G28" s="9" t="n"/>
      <c r="H28" s="9" t="n"/>
      <c r="I28" s="9" t="n"/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n"/>
      <c r="E29" s="9" t="n"/>
      <c r="F29" s="9" t="n"/>
      <c r="G29" s="9" t="n"/>
      <c r="H29" s="9" t="n"/>
      <c r="I29" s="9" t="n"/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n"/>
      <c r="E30" s="9" t="n"/>
      <c r="F30" s="9" t="n"/>
      <c r="G30" s="9" t="n"/>
      <c r="H30" s="9" t="n"/>
      <c r="I30" s="9" t="n"/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n"/>
      <c r="E31" s="9" t="n"/>
      <c r="F31" s="9" t="n"/>
      <c r="G31" s="9" t="n"/>
      <c r="H31" s="9" t="n"/>
      <c r="I31" s="9" t="n"/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  <c r="G32" s="9" t="n"/>
      <c r="H32" s="9" t="n"/>
      <c r="I32" s="9" t="n"/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  <c r="G33" s="9" t="n"/>
      <c r="H33" s="9" t="n"/>
      <c r="I33" s="9" t="n"/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  <c r="G34" s="9" t="n"/>
      <c r="H34" s="9" t="n"/>
      <c r="I34" s="9" t="n"/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n"/>
      <c r="E35" s="9" t="n"/>
      <c r="F35" s="9" t="n"/>
      <c r="G35" s="9" t="n"/>
      <c r="H35" s="9" t="n"/>
      <c r="I35" s="9" t="n"/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  <c r="G36" s="9" t="n"/>
      <c r="H36" s="9" t="n"/>
      <c r="I36" s="9" t="n"/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  <c r="G37" s="9" t="n"/>
      <c r="H37" s="9" t="n"/>
      <c r="I37" s="9" t="n"/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  <c r="G38" s="9" t="n"/>
      <c r="H38" s="9" t="n"/>
      <c r="I38" s="9" t="n"/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  <c r="G39" s="9" t="n"/>
      <c r="H39" s="9" t="n"/>
      <c r="I39" s="9" t="n"/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  <c r="G40" s="9" t="n"/>
      <c r="H40" s="9" t="n"/>
      <c r="I40" s="9" t="n"/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  <c r="G41" s="9" t="n"/>
      <c r="H41" s="9" t="n"/>
      <c r="I41" s="9" t="n"/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  <c r="G42" s="9" t="n"/>
      <c r="H42" s="9" t="n"/>
      <c r="I42" s="9" t="n"/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  <c r="G43" s="9" t="n"/>
      <c r="H43" s="9" t="n"/>
      <c r="I43" s="9" t="n"/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  <c r="G44" s="9" t="n"/>
      <c r="H44" s="9" t="n"/>
      <c r="I44" s="9" t="n"/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n"/>
      <c r="E45" s="9" t="n"/>
      <c r="F45" s="9" t="n"/>
      <c r="G45" s="9" t="n"/>
      <c r="H45" s="9" t="n"/>
      <c r="I45" s="9" t="n"/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n"/>
      <c r="E46" s="9" t="n"/>
      <c r="F46" s="9" t="n"/>
      <c r="G46" s="9" t="n"/>
      <c r="H46" s="9" t="n"/>
      <c r="I46" s="9" t="n"/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  <c r="G47" s="9" t="n"/>
      <c r="H47" s="9" t="n"/>
      <c r="I47" s="9" t="n"/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  <c r="G48" s="9" t="n"/>
      <c r="H48" s="9" t="n"/>
      <c r="I48" s="9" t="n"/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  <c r="G49" s="9" t="n"/>
      <c r="H49" s="9" t="n"/>
      <c r="I49" s="9" t="n"/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  <c r="G50" s="9" t="n"/>
      <c r="H50" s="9" t="n"/>
      <c r="I50" s="9" t="n"/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  <c r="G51" s="9" t="n"/>
      <c r="H51" s="9" t="n"/>
      <c r="I51" s="9" t="n"/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  <c r="G52" s="9" t="n"/>
      <c r="H52" s="9" t="n"/>
      <c r="I52" s="9" t="n"/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9" t="n"/>
      <c r="F53" s="9" t="n"/>
      <c r="G53" s="9" t="n"/>
      <c r="H53" s="9" t="n"/>
      <c r="I53" s="9" t="n"/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  <c r="G54" s="9" t="n"/>
      <c r="H54" s="9" t="n"/>
      <c r="I54" s="9" t="n"/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  <c r="G55" s="9" t="n"/>
      <c r="H55" s="9" t="n"/>
      <c r="I55" s="9" t="n"/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  <c r="G56" s="9" t="n"/>
      <c r="H56" s="9" t="n"/>
      <c r="I56" s="9" t="n"/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  <c r="G57" s="9" t="n"/>
      <c r="H57" s="9" t="n"/>
      <c r="I57" s="9" t="n"/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  <c r="G58" s="9" t="n"/>
      <c r="H58" s="9" t="n"/>
      <c r="I58" s="9" t="n"/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  <c r="G59" s="9" t="n"/>
      <c r="H59" s="9" t="n"/>
      <c r="I59" s="9" t="n"/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  <c r="G60" s="9" t="n"/>
      <c r="H60" s="9" t="n"/>
      <c r="I60" s="9" t="n"/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  <c r="G61" s="9" t="n"/>
      <c r="H61" s="9" t="n"/>
      <c r="I61" s="9" t="n"/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  <c r="G62" s="9" t="n"/>
      <c r="H62" s="9" t="n"/>
      <c r="I62" s="9" t="n"/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  <c r="G63" s="9" t="n"/>
      <c r="H63" s="9" t="n"/>
      <c r="I63" s="9" t="n"/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  <c r="G64" s="9" t="n"/>
      <c r="H64" s="9" t="n"/>
      <c r="I64" s="9" t="n"/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  <c r="G65" s="9" t="n"/>
      <c r="H65" s="9" t="n"/>
      <c r="I65" s="9" t="n"/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  <c r="G66" s="9" t="n"/>
      <c r="H66" s="9" t="n"/>
      <c r="I66" s="9" t="n"/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  <c r="G67" s="9" t="n"/>
      <c r="H67" s="9" t="n"/>
      <c r="I67" s="9" t="n"/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9" t="n"/>
      <c r="F68" s="9" t="n"/>
      <c r="G68" s="9" t="n"/>
      <c r="H68" s="9" t="n"/>
      <c r="I68" s="9" t="n"/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9" t="n"/>
      <c r="F69" s="9" t="n"/>
      <c r="G69" s="9" t="n"/>
      <c r="H69" s="9" t="n"/>
      <c r="I69" s="9" t="n"/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9" t="n"/>
      <c r="F70" s="9" t="n"/>
      <c r="G70" s="9" t="n"/>
      <c r="H70" s="9" t="n"/>
      <c r="I70" s="9" t="n"/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9" t="n"/>
      <c r="F71" s="9" t="n"/>
      <c r="G71" s="9" t="n"/>
      <c r="H71" s="9" t="n"/>
      <c r="I71" s="9" t="n"/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9" t="n"/>
      <c r="F72" s="9" t="n"/>
      <c r="G72" s="9" t="n"/>
      <c r="H72" s="9" t="n"/>
      <c r="I72" s="9" t="n"/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9" t="n"/>
      <c r="F73" s="9" t="n"/>
      <c r="G73" s="9" t="n"/>
      <c r="H73" s="9" t="n"/>
      <c r="I73" s="9" t="n"/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  <c r="G74" s="9" t="n"/>
      <c r="H74" s="9" t="n"/>
      <c r="I74" s="9" t="n"/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  <c r="G75" s="9" t="n"/>
      <c r="H75" s="9" t="n"/>
      <c r="I75" s="9" t="n"/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9" t="n"/>
      <c r="F76" s="9" t="n"/>
      <c r="G76" s="9" t="n"/>
      <c r="H76" s="9" t="n"/>
      <c r="I76" s="9" t="n"/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  <c r="G77" s="9" t="n"/>
      <c r="H77" s="9" t="n"/>
      <c r="I77" s="9" t="n"/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9" t="n"/>
      <c r="F78" s="9" t="n"/>
      <c r="G78" s="9" t="n"/>
      <c r="H78" s="9" t="n"/>
      <c r="I78" s="9" t="n"/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9" t="n"/>
      <c r="F79" s="9" t="n"/>
      <c r="G79" s="9" t="n"/>
      <c r="H79" s="9" t="n"/>
      <c r="I79" s="9" t="n"/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9" t="n"/>
      <c r="F80" s="9" t="n"/>
      <c r="G80" s="9" t="n"/>
      <c r="H80" s="9" t="n"/>
      <c r="I80" s="9" t="n"/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9" t="n"/>
      <c r="F81" s="9" t="n"/>
      <c r="G81" s="9" t="n"/>
      <c r="H81" s="9" t="n"/>
      <c r="I81" s="9" t="n"/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9" t="n"/>
      <c r="F82" s="9" t="n"/>
      <c r="G82" s="9" t="n"/>
      <c r="H82" s="9" t="n"/>
      <c r="I82" s="9" t="n"/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  <c r="G83" s="9" t="n"/>
      <c r="H83" s="9" t="n"/>
      <c r="I83" s="9" t="n"/>
    </row>
    <row r="84" ht="14.25" customHeight="1" s="37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14.25" customHeight="1" s="37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 ht="14.25" customHeight="1" s="37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14.25" customHeight="1" s="3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 ht="14.25" customHeight="1" s="37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14.25" customHeight="1" s="37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 ht="14.25" customHeight="1" s="37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14.25" customHeight="1" s="37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 ht="14.25" customHeight="1" s="37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14.25" customHeight="1" s="37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 ht="14.25" customHeight="1" s="37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14.25" customHeight="1" s="37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 ht="14.25" customHeight="1" s="37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14.25" customHeight="1" s="3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 ht="14.25" customHeight="1" s="37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14.25" customHeight="1" s="37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 ht="14.25" customHeight="1" s="37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14.25" customHeight="1" s="37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 ht="14.25" customHeight="1" s="37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14.25" customHeight="1" s="37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 ht="14.25" customHeight="1" s="37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14.25" customHeight="1" s="37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  <row r="106" ht="14.25" customHeight="1" s="37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14.25" customHeight="1" s="3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</row>
    <row r="108" ht="14.25" customHeight="1" s="37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14.25" customHeight="1" s="37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</row>
    <row r="110" ht="14.25" customHeight="1" s="37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14.25" customHeight="1" s="37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</row>
    <row r="112" ht="14.25" customHeight="1" s="37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14.25" customHeight="1" s="37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</row>
    <row r="114" ht="14.25" customHeight="1" s="37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14.25" customHeight="1" s="37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</row>
    <row r="116" ht="14.25" customHeight="1" s="37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14.25" customHeight="1" s="3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</row>
    <row r="118" ht="14.25" customHeight="1" s="37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14.25" customHeight="1" s="37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</row>
    <row r="120" ht="14.25" customHeight="1" s="37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14.25" customHeight="1" s="37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</row>
    <row r="122" ht="14.25" customHeight="1" s="37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14.25" customHeight="1" s="37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</row>
    <row r="124" ht="14.25" customHeight="1" s="37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14.25" customHeight="1" s="37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 ht="14.25" customHeight="1" s="37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14.25" customHeight="1" s="3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</row>
    <row r="128" ht="14.25" customHeight="1" s="37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14.25" customHeight="1" s="37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</row>
    <row r="130" ht="14.25" customHeight="1" s="37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14.25" customHeight="1" s="37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</row>
    <row r="132" ht="14.25" customHeight="1" s="37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14.25" customHeight="1" s="37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</row>
    <row r="134" ht="14.25" customHeight="1" s="37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14.25" customHeight="1" s="37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</row>
    <row r="136" ht="14.25" customHeight="1" s="37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14.25" customHeight="1" s="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</row>
    <row r="138" ht="14.25" customHeight="1" s="37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14.25" customHeight="1" s="37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</row>
    <row r="140" ht="14.25" customHeight="1" s="37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14.25" customHeight="1" s="37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</row>
    <row r="142" ht="14.25" customHeight="1" s="37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14.25" customHeight="1" s="37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</row>
    <row r="144" ht="14.25" customHeight="1" s="37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14.25" customHeight="1" s="37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</row>
    <row r="146" ht="14.25" customHeight="1" s="37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14.25" customHeight="1" s="3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</row>
    <row r="148" ht="14.25" customHeight="1" s="37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14.25" customHeight="1" s="37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</row>
    <row r="150" ht="14.25" customHeight="1" s="37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14.25" customHeight="1" s="37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</row>
    <row r="152" ht="14.25" customHeight="1" s="37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14.25" customHeight="1" s="37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</row>
    <row r="154" ht="14.25" customHeight="1" s="37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14.25" customHeight="1" s="37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</row>
    <row r="156" ht="14.25" customHeight="1" s="37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14.25" customHeight="1" s="3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</row>
    <row r="158" ht="14.25" customHeight="1" s="37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14.25" customHeight="1" s="37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</row>
    <row r="160" ht="14.25" customHeight="1" s="37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14.25" customHeight="1" s="37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</row>
    <row r="162" ht="14.25" customHeight="1" s="37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14.25" customHeight="1" s="37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</row>
    <row r="164" ht="14.25" customHeight="1" s="37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14.25" customHeight="1" s="37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</row>
    <row r="166" ht="14.25" customHeight="1" s="37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14.25" customHeight="1" s="3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</row>
    <row r="168" ht="14.25" customHeight="1" s="37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14.25" customHeight="1" s="37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</row>
    <row r="170" ht="14.25" customHeight="1" s="37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14.25" customHeight="1" s="37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</row>
    <row r="172" ht="14.25" customHeight="1" s="37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14.25" customHeight="1" s="37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</row>
    <row r="174" ht="14.25" customHeight="1" s="37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14.25" customHeight="1" s="37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</row>
    <row r="176" ht="14.25" customHeight="1" s="37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14.25" customHeight="1" s="3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</row>
    <row r="178" ht="14.25" customHeight="1" s="37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14.25" customHeight="1" s="37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</row>
    <row r="180" ht="14.25" customHeight="1" s="37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14.25" customHeight="1" s="37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</row>
    <row r="182" ht="14.25" customHeight="1" s="37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14.25" customHeight="1" s="37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</row>
    <row r="184" ht="14.25" customHeight="1" s="37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14.25" customHeight="1" s="37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</row>
    <row r="186" ht="14.25" customHeight="1" s="37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14.25" customHeight="1" s="3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</row>
    <row r="188" ht="14.25" customHeight="1" s="37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14.25" customHeight="1" s="37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</row>
    <row r="190" ht="14.25" customHeight="1" s="37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14.25" customHeight="1" s="37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</row>
    <row r="192" ht="14.25" customHeight="1" s="37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14.25" customHeight="1" s="37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</row>
    <row r="194" ht="14.25" customHeight="1" s="37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14.25" customHeight="1" s="37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</row>
    <row r="196" ht="14.25" customHeight="1" s="37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14.25" customHeight="1" s="3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</row>
    <row r="198" ht="14.25" customHeight="1" s="37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14.25" customHeight="1" s="37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</row>
    <row r="200" ht="14.25" customHeight="1" s="37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14.25" customHeight="1" s="37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</row>
    <row r="202" ht="14.25" customHeight="1" s="37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</row>
    <row r="203" ht="14.25" customHeight="1" s="37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</row>
    <row r="204" ht="14.25" customHeight="1" s="37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</row>
    <row r="205" ht="14.25" customHeight="1" s="37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</row>
    <row r="206" ht="14.25" customHeight="1" s="37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</row>
    <row r="207" ht="14.25" customHeight="1" s="3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</row>
    <row r="208" ht="14.25" customHeight="1" s="37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</row>
    <row r="209" ht="14.25" customHeight="1" s="37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</row>
    <row r="210" ht="14.25" customHeight="1" s="37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</row>
    <row r="211" ht="14.25" customHeight="1" s="37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</row>
    <row r="212" ht="14.25" customHeight="1" s="37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</row>
    <row r="213" ht="14.25" customHeight="1" s="37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</row>
    <row r="214" ht="14.25" customHeight="1" s="37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</row>
    <row r="215" ht="14.25" customHeight="1" s="37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</row>
    <row r="216" ht="14.25" customHeight="1" s="37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</row>
    <row r="217" ht="14.25" customHeight="1" s="3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</row>
    <row r="218" ht="14.25" customHeight="1" s="37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</row>
    <row r="219" ht="14.25" customHeight="1" s="37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</row>
    <row r="220" ht="14.25" customHeight="1" s="37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</row>
    <row r="221" ht="14.25" customHeight="1" s="37">
      <c r="D221" s="11" t="n"/>
      <c r="F221" s="11" t="n"/>
    </row>
    <row r="222" ht="14.25" customHeight="1" s="37">
      <c r="D222" s="11" t="n"/>
      <c r="F222" s="11" t="n"/>
    </row>
    <row r="223" ht="14.25" customHeight="1" s="37">
      <c r="D223" s="11" t="n"/>
      <c r="F223" s="11" t="n"/>
    </row>
    <row r="224" ht="14.25" customHeight="1" s="37">
      <c r="D224" s="11" t="n"/>
      <c r="F224" s="11" t="n"/>
    </row>
    <row r="225" ht="14.25" customHeight="1" s="37">
      <c r="D225" s="11" t="n"/>
      <c r="F225" s="11" t="n"/>
    </row>
    <row r="226" ht="14.25" customHeight="1" s="37">
      <c r="D226" s="11" t="n"/>
      <c r="F226" s="11" t="n"/>
    </row>
    <row r="227" ht="14.25" customHeight="1" s="37">
      <c r="D227" s="11" t="n"/>
      <c r="F227" s="11" t="n"/>
    </row>
    <row r="228" ht="14.25" customHeight="1" s="37">
      <c r="D228" s="11" t="n"/>
      <c r="F228" s="11" t="n"/>
    </row>
    <row r="229" ht="14.25" customHeight="1" s="37">
      <c r="D229" s="11" t="n"/>
      <c r="F229" s="11" t="n"/>
    </row>
    <row r="230" ht="14.25" customHeight="1" s="37">
      <c r="D230" s="11" t="n"/>
      <c r="F230" s="11" t="n"/>
    </row>
    <row r="231" ht="14.25" customHeight="1" s="37">
      <c r="D231" s="11" t="n"/>
      <c r="F231" s="11" t="n"/>
    </row>
    <row r="232" ht="14.25" customHeight="1" s="37">
      <c r="D232" s="11" t="n"/>
      <c r="F232" s="11" t="n"/>
    </row>
    <row r="233" ht="14.25" customHeight="1" s="37">
      <c r="D233" s="11" t="n"/>
      <c r="F233" s="11" t="n"/>
    </row>
    <row r="234" ht="14.25" customHeight="1" s="37">
      <c r="D234" s="11" t="n"/>
      <c r="F234" s="11" t="n"/>
    </row>
    <row r="235" ht="14.25" customHeight="1" s="37">
      <c r="D235" s="11" t="n"/>
      <c r="F235" s="11" t="n"/>
    </row>
    <row r="236" ht="14.25" customHeight="1" s="37">
      <c r="D236" s="11" t="n"/>
      <c r="F236" s="11" t="n"/>
    </row>
    <row r="237" ht="14.25" customHeight="1" s="37">
      <c r="D237" s="11" t="n"/>
      <c r="F237" s="11" t="n"/>
    </row>
    <row r="238" ht="14.25" customHeight="1" s="37">
      <c r="D238" s="11" t="n"/>
      <c r="F238" s="11" t="n"/>
    </row>
    <row r="239" ht="14.25" customHeight="1" s="37">
      <c r="D239" s="11" t="n"/>
      <c r="F239" s="11" t="n"/>
    </row>
    <row r="240" ht="14.25" customHeight="1" s="37">
      <c r="D240" s="11" t="n"/>
      <c r="F240" s="11" t="n"/>
    </row>
    <row r="241" ht="14.25" customHeight="1" s="37">
      <c r="D241" s="11" t="n"/>
      <c r="F241" s="11" t="n"/>
    </row>
    <row r="242" ht="14.25" customHeight="1" s="37">
      <c r="D242" s="11" t="n"/>
      <c r="F242" s="11" t="n"/>
    </row>
    <row r="243" ht="14.25" customHeight="1" s="37">
      <c r="D243" s="11" t="n"/>
      <c r="F243" s="11" t="n"/>
    </row>
    <row r="244" ht="14.25" customHeight="1" s="37">
      <c r="D244" s="11" t="n"/>
      <c r="F244" s="11" t="n"/>
    </row>
    <row r="245" ht="14.25" customHeight="1" s="37">
      <c r="D245" s="11" t="n"/>
      <c r="F245" s="11" t="n"/>
    </row>
    <row r="246" ht="14.25" customHeight="1" s="37">
      <c r="D246" s="11" t="n"/>
      <c r="F246" s="11" t="n"/>
    </row>
    <row r="247" ht="14.25" customHeight="1" s="37">
      <c r="D247" s="11" t="n"/>
      <c r="F247" s="11" t="n"/>
    </row>
    <row r="248" ht="14.25" customHeight="1" s="37">
      <c r="D248" s="11" t="n"/>
      <c r="F248" s="11" t="n"/>
    </row>
    <row r="249" ht="14.25" customHeight="1" s="37">
      <c r="D249" s="11" t="n"/>
      <c r="F249" s="11" t="n"/>
    </row>
    <row r="250" ht="14.25" customHeight="1" s="37">
      <c r="D250" s="11" t="n"/>
      <c r="F250" s="11" t="n"/>
    </row>
    <row r="251" ht="14.25" customHeight="1" s="37">
      <c r="D251" s="11" t="n"/>
      <c r="F251" s="11" t="n"/>
    </row>
    <row r="252" ht="14.25" customHeight="1" s="37">
      <c r="D252" s="11" t="n"/>
      <c r="F252" s="11" t="n"/>
    </row>
    <row r="253" ht="14.25" customHeight="1" s="37">
      <c r="D253" s="11" t="n"/>
      <c r="F253" s="11" t="n"/>
    </row>
    <row r="254" ht="14.25" customHeight="1" s="37">
      <c r="D254" s="11" t="n"/>
      <c r="F254" s="11" t="n"/>
    </row>
    <row r="255" ht="14.25" customHeight="1" s="37">
      <c r="D255" s="11" t="n"/>
      <c r="F255" s="11" t="n"/>
    </row>
    <row r="256" ht="14.25" customHeight="1" s="37">
      <c r="D256" s="11" t="n"/>
      <c r="F256" s="11" t="n"/>
    </row>
    <row r="257" ht="14.25" customHeight="1" s="37">
      <c r="D257" s="11" t="n"/>
      <c r="F257" s="11" t="n"/>
    </row>
    <row r="258" ht="14.25" customHeight="1" s="37">
      <c r="D258" s="11" t="n"/>
      <c r="F258" s="11" t="n"/>
    </row>
    <row r="259" ht="14.25" customHeight="1" s="37">
      <c r="D259" s="11" t="n"/>
      <c r="F259" s="11" t="n"/>
    </row>
    <row r="260" ht="14.25" customHeight="1" s="37">
      <c r="D260" s="11" t="n"/>
      <c r="F260" s="11" t="n"/>
    </row>
    <row r="261" ht="14.25" customHeight="1" s="37">
      <c r="D261" s="11" t="n"/>
      <c r="F261" s="11" t="n"/>
    </row>
    <row r="262" ht="14.25" customHeight="1" s="37">
      <c r="D262" s="11" t="n"/>
      <c r="F262" s="11" t="n"/>
    </row>
    <row r="263" ht="14.25" customHeight="1" s="37">
      <c r="D263" s="11" t="n"/>
      <c r="F263" s="11" t="n"/>
    </row>
    <row r="264" ht="14.25" customHeight="1" s="37">
      <c r="D264" s="11" t="n"/>
      <c r="F264" s="11" t="n"/>
    </row>
    <row r="265" ht="14.25" customHeight="1" s="37">
      <c r="D265" s="11" t="n"/>
      <c r="F265" s="11" t="n"/>
    </row>
    <row r="266" ht="14.25" customHeight="1" s="37">
      <c r="D266" s="11" t="n"/>
      <c r="F266" s="11" t="n"/>
    </row>
    <row r="267" ht="14.25" customHeight="1" s="37">
      <c r="D267" s="11" t="n"/>
      <c r="F267" s="11" t="n"/>
    </row>
    <row r="268" ht="14.25" customHeight="1" s="37">
      <c r="D268" s="11" t="n"/>
      <c r="F268" s="11" t="n"/>
    </row>
    <row r="269" ht="14.25" customHeight="1" s="37">
      <c r="D269" s="11" t="n"/>
      <c r="F269" s="11" t="n"/>
    </row>
    <row r="270" ht="14.25" customHeight="1" s="37">
      <c r="D270" s="11" t="n"/>
      <c r="F270" s="11" t="n"/>
    </row>
    <row r="271" ht="14.25" customHeight="1" s="37">
      <c r="D271" s="11" t="n"/>
      <c r="F271" s="11" t="n"/>
    </row>
    <row r="272" ht="14.25" customHeight="1" s="37">
      <c r="D272" s="11" t="n"/>
      <c r="F272" s="11" t="n"/>
    </row>
    <row r="273" ht="14.25" customHeight="1" s="37">
      <c r="D273" s="11" t="n"/>
      <c r="F273" s="11" t="n"/>
    </row>
    <row r="274" ht="14.25" customHeight="1" s="37">
      <c r="D274" s="11" t="n"/>
      <c r="F274" s="11" t="n"/>
    </row>
    <row r="275" ht="14.25" customHeight="1" s="37">
      <c r="D275" s="11" t="n"/>
      <c r="F275" s="11" t="n"/>
    </row>
    <row r="276" ht="14.25" customHeight="1" s="37">
      <c r="D276" s="11" t="n"/>
      <c r="F276" s="11" t="n"/>
    </row>
    <row r="277" ht="14.25" customHeight="1" s="37">
      <c r="D277" s="11" t="n"/>
      <c r="F277" s="11" t="n"/>
    </row>
    <row r="278" ht="14.25" customHeight="1" s="37">
      <c r="D278" s="11" t="n"/>
      <c r="F278" s="11" t="n"/>
    </row>
    <row r="279" ht="14.25" customHeight="1" s="37">
      <c r="D279" s="11" t="n"/>
      <c r="F279" s="11" t="n"/>
    </row>
    <row r="280" ht="14.25" customHeight="1" s="37">
      <c r="D280" s="11" t="n"/>
      <c r="F280" s="11" t="n"/>
    </row>
    <row r="281" ht="14.25" customHeight="1" s="37">
      <c r="D281" s="11" t="n"/>
      <c r="F281" s="11" t="n"/>
    </row>
    <row r="282" ht="14.25" customHeight="1" s="37">
      <c r="D282" s="11" t="n"/>
      <c r="F282" s="11" t="n"/>
    </row>
    <row r="283" ht="14.25" customHeight="1" s="37">
      <c r="D283" s="11" t="n"/>
      <c r="F283" s="11" t="n"/>
    </row>
    <row r="284" ht="14.25" customHeight="1" s="37">
      <c r="D284" s="11" t="n"/>
      <c r="F284" s="11" t="n"/>
    </row>
    <row r="285" ht="14.25" customHeight="1" s="37">
      <c r="D285" s="11" t="n"/>
      <c r="F285" s="11" t="n"/>
    </row>
    <row r="286" ht="14.25" customHeight="1" s="37">
      <c r="D286" s="11" t="n"/>
      <c r="F286" s="11" t="n"/>
    </row>
    <row r="287" ht="14.25" customHeight="1" s="37">
      <c r="D287" s="11" t="n"/>
      <c r="F287" s="11" t="n"/>
    </row>
    <row r="288" ht="14.25" customHeight="1" s="37">
      <c r="D288" s="11" t="n"/>
      <c r="F288" s="11" t="n"/>
    </row>
    <row r="289" ht="14.25" customHeight="1" s="37">
      <c r="D289" s="11" t="n"/>
      <c r="F289" s="11" t="n"/>
    </row>
    <row r="290" ht="14.25" customHeight="1" s="37">
      <c r="D290" s="11" t="n"/>
      <c r="F290" s="11" t="n"/>
    </row>
    <row r="291" ht="14.25" customHeight="1" s="37">
      <c r="D291" s="11" t="n"/>
      <c r="F291" s="11" t="n"/>
    </row>
    <row r="292" ht="14.25" customHeight="1" s="37">
      <c r="D292" s="11" t="n"/>
      <c r="F292" s="11" t="n"/>
    </row>
    <row r="293" ht="14.25" customHeight="1" s="37">
      <c r="D293" s="11" t="n"/>
      <c r="F293" s="11" t="n"/>
    </row>
    <row r="294" ht="14.25" customHeight="1" s="37">
      <c r="D294" s="11" t="n"/>
      <c r="F294" s="11" t="n"/>
    </row>
    <row r="295" ht="14.25" customHeight="1" s="37">
      <c r="D295" s="11" t="n"/>
      <c r="F295" s="11" t="n"/>
    </row>
    <row r="296" ht="14.25" customHeight="1" s="37">
      <c r="D296" s="11" t="n"/>
      <c r="F296" s="11" t="n"/>
    </row>
    <row r="297" ht="14.25" customHeight="1" s="37">
      <c r="D297" s="11" t="n"/>
      <c r="F297" s="11" t="n"/>
    </row>
    <row r="298" ht="14.25" customHeight="1" s="37">
      <c r="D298" s="11" t="n"/>
      <c r="F298" s="11" t="n"/>
    </row>
    <row r="299" ht="14.25" customHeight="1" s="37">
      <c r="D299" s="11" t="n"/>
      <c r="F299" s="11" t="n"/>
    </row>
    <row r="300" ht="14.25" customHeight="1" s="37">
      <c r="D300" s="11" t="n"/>
      <c r="F300" s="11" t="n"/>
    </row>
    <row r="301" ht="14.25" customHeight="1" s="37">
      <c r="D301" s="11" t="n"/>
      <c r="F301" s="11" t="n"/>
    </row>
    <row r="302" ht="14.25" customHeight="1" s="37">
      <c r="D302" s="11" t="n"/>
      <c r="F302" s="11" t="n"/>
    </row>
    <row r="303" ht="14.25" customHeight="1" s="37">
      <c r="D303" s="11" t="n"/>
      <c r="F303" s="11" t="n"/>
    </row>
    <row r="304" ht="14.25" customHeight="1" s="37">
      <c r="D304" s="11" t="n"/>
      <c r="F304" s="11" t="n"/>
    </row>
    <row r="305" ht="14.25" customHeight="1" s="37">
      <c r="D305" s="11" t="n"/>
      <c r="F305" s="11" t="n"/>
    </row>
    <row r="306" ht="14.25" customHeight="1" s="37">
      <c r="D306" s="11" t="n"/>
      <c r="F306" s="11" t="n"/>
    </row>
    <row r="307" ht="14.25" customHeight="1" s="37">
      <c r="D307" s="11" t="n"/>
      <c r="F307" s="11" t="n"/>
    </row>
    <row r="308" ht="14.25" customHeight="1" s="37">
      <c r="D308" s="11" t="n"/>
      <c r="F308" s="11" t="n"/>
    </row>
    <row r="309" ht="14.25" customHeight="1" s="37">
      <c r="D309" s="11" t="n"/>
      <c r="F309" s="11" t="n"/>
    </row>
    <row r="310" ht="14.25" customHeight="1" s="37">
      <c r="D310" s="11" t="n"/>
      <c r="F310" s="11" t="n"/>
    </row>
    <row r="311" ht="14.25" customHeight="1" s="37">
      <c r="D311" s="11" t="n"/>
      <c r="F311" s="11" t="n"/>
    </row>
    <row r="312" ht="14.25" customHeight="1" s="37">
      <c r="D312" s="11" t="n"/>
      <c r="F312" s="11" t="n"/>
    </row>
    <row r="313" ht="14.25" customHeight="1" s="37">
      <c r="D313" s="11" t="n"/>
      <c r="F313" s="11" t="n"/>
    </row>
    <row r="314" ht="14.25" customHeight="1" s="37">
      <c r="D314" s="11" t="n"/>
      <c r="F314" s="11" t="n"/>
    </row>
    <row r="315" ht="14.25" customHeight="1" s="37">
      <c r="D315" s="11" t="n"/>
      <c r="F315" s="11" t="n"/>
    </row>
    <row r="316" ht="14.25" customHeight="1" s="37">
      <c r="D316" s="11" t="n"/>
      <c r="F316" s="11" t="n"/>
    </row>
    <row r="317" ht="14.25" customHeight="1" s="37">
      <c r="D317" s="11" t="n"/>
      <c r="F317" s="11" t="n"/>
    </row>
    <row r="318" ht="14.25" customHeight="1" s="37">
      <c r="D318" s="11" t="n"/>
      <c r="F318" s="11" t="n"/>
    </row>
    <row r="319" ht="14.25" customHeight="1" s="37">
      <c r="D319" s="11" t="n"/>
      <c r="F319" s="11" t="n"/>
    </row>
    <row r="320" ht="14.25" customHeight="1" s="37">
      <c r="D320" s="11" t="n"/>
      <c r="F320" s="11" t="n"/>
    </row>
    <row r="321" ht="14.25" customHeight="1" s="37">
      <c r="D321" s="11" t="n"/>
      <c r="F321" s="11" t="n"/>
    </row>
    <row r="322" ht="14.25" customHeight="1" s="37">
      <c r="D322" s="11" t="n"/>
      <c r="F322" s="11" t="n"/>
    </row>
    <row r="323" ht="14.25" customHeight="1" s="37">
      <c r="D323" s="11" t="n"/>
      <c r="F323" s="11" t="n"/>
    </row>
    <row r="324" ht="14.25" customHeight="1" s="37">
      <c r="D324" s="11" t="n"/>
      <c r="F324" s="11" t="n"/>
    </row>
    <row r="325" ht="14.25" customHeight="1" s="37">
      <c r="D325" s="11" t="n"/>
      <c r="F325" s="11" t="n"/>
    </row>
    <row r="326" ht="14.25" customHeight="1" s="37">
      <c r="D326" s="11" t="n"/>
      <c r="F326" s="11" t="n"/>
    </row>
    <row r="327" ht="14.25" customHeight="1" s="37">
      <c r="D327" s="11" t="n"/>
      <c r="F327" s="11" t="n"/>
    </row>
    <row r="328" ht="14.25" customHeight="1" s="37">
      <c r="D328" s="11" t="n"/>
      <c r="F328" s="11" t="n"/>
    </row>
    <row r="329" ht="14.25" customHeight="1" s="37">
      <c r="D329" s="11" t="n"/>
      <c r="F329" s="11" t="n"/>
    </row>
    <row r="330" ht="14.25" customHeight="1" s="37">
      <c r="D330" s="11" t="n"/>
      <c r="F330" s="11" t="n"/>
    </row>
    <row r="331" ht="14.25" customHeight="1" s="37">
      <c r="D331" s="11" t="n"/>
      <c r="F331" s="11" t="n"/>
    </row>
    <row r="332" ht="14.25" customHeight="1" s="37">
      <c r="D332" s="11" t="n"/>
      <c r="F332" s="11" t="n"/>
    </row>
    <row r="333" ht="14.25" customHeight="1" s="37">
      <c r="D333" s="11" t="n"/>
      <c r="F333" s="11" t="n"/>
    </row>
    <row r="334" ht="14.25" customHeight="1" s="37">
      <c r="D334" s="11" t="n"/>
      <c r="F334" s="11" t="n"/>
    </row>
    <row r="335" ht="14.25" customHeight="1" s="37">
      <c r="D335" s="11" t="n"/>
      <c r="F335" s="11" t="n"/>
    </row>
    <row r="336" ht="14.25" customHeight="1" s="37">
      <c r="D336" s="11" t="n"/>
      <c r="F336" s="11" t="n"/>
    </row>
    <row r="337" ht="14.25" customHeight="1" s="37">
      <c r="D337" s="11" t="n"/>
      <c r="F337" s="11" t="n"/>
    </row>
    <row r="338" ht="14.25" customHeight="1" s="37">
      <c r="D338" s="11" t="n"/>
      <c r="F338" s="11" t="n"/>
    </row>
    <row r="339" ht="14.25" customHeight="1" s="37">
      <c r="D339" s="11" t="n"/>
      <c r="F339" s="11" t="n"/>
    </row>
    <row r="340" ht="14.25" customHeight="1" s="37">
      <c r="D340" s="11" t="n"/>
      <c r="F340" s="11" t="n"/>
    </row>
    <row r="341" ht="14.25" customHeight="1" s="37">
      <c r="D341" s="11" t="n"/>
      <c r="F341" s="11" t="n"/>
    </row>
    <row r="342" ht="14.25" customHeight="1" s="37">
      <c r="D342" s="11" t="n"/>
      <c r="F342" s="11" t="n"/>
    </row>
    <row r="343" ht="14.25" customHeight="1" s="37">
      <c r="D343" s="11" t="n"/>
      <c r="F343" s="11" t="n"/>
    </row>
    <row r="344" ht="14.25" customHeight="1" s="37">
      <c r="D344" s="11" t="n"/>
      <c r="F344" s="11" t="n"/>
    </row>
    <row r="345" ht="14.25" customHeight="1" s="37">
      <c r="D345" s="11" t="n"/>
      <c r="F345" s="11" t="n"/>
    </row>
    <row r="346" ht="14.25" customHeight="1" s="37">
      <c r="D346" s="11" t="n"/>
      <c r="F346" s="11" t="n"/>
    </row>
    <row r="347" ht="14.25" customHeight="1" s="37">
      <c r="D347" s="11" t="n"/>
      <c r="F347" s="11" t="n"/>
    </row>
    <row r="348" ht="14.25" customHeight="1" s="37">
      <c r="D348" s="11" t="n"/>
      <c r="F348" s="11" t="n"/>
    </row>
    <row r="349" ht="14.25" customHeight="1" s="37">
      <c r="D349" s="11" t="n"/>
      <c r="F349" s="11" t="n"/>
    </row>
    <row r="350" ht="14.25" customHeight="1" s="37">
      <c r="D350" s="11" t="n"/>
      <c r="F350" s="11" t="n"/>
    </row>
    <row r="351" ht="14.25" customHeight="1" s="37">
      <c r="D351" s="11" t="n"/>
      <c r="F351" s="11" t="n"/>
    </row>
    <row r="352" ht="14.25" customHeight="1" s="37">
      <c r="D352" s="11" t="n"/>
      <c r="F352" s="11" t="n"/>
    </row>
    <row r="353" ht="14.25" customHeight="1" s="37">
      <c r="D353" s="11" t="n"/>
      <c r="F353" s="11" t="n"/>
    </row>
    <row r="354" ht="14.25" customHeight="1" s="37">
      <c r="D354" s="11" t="n"/>
      <c r="F354" s="11" t="n"/>
    </row>
    <row r="355" ht="14.25" customHeight="1" s="37">
      <c r="D355" s="11" t="n"/>
      <c r="F355" s="11" t="n"/>
    </row>
    <row r="356" ht="14.25" customHeight="1" s="37">
      <c r="D356" s="11" t="n"/>
      <c r="F356" s="11" t="n"/>
    </row>
    <row r="357" ht="14.25" customHeight="1" s="37">
      <c r="D357" s="11" t="n"/>
      <c r="F357" s="11" t="n"/>
    </row>
    <row r="358" ht="14.25" customHeight="1" s="37">
      <c r="D358" s="11" t="n"/>
      <c r="F358" s="11" t="n"/>
    </row>
    <row r="359" ht="14.25" customHeight="1" s="37">
      <c r="D359" s="11" t="n"/>
      <c r="F359" s="11" t="n"/>
    </row>
    <row r="360" ht="14.25" customHeight="1" s="37">
      <c r="D360" s="11" t="n"/>
      <c r="F360" s="11" t="n"/>
    </row>
    <row r="361" ht="14.25" customHeight="1" s="37">
      <c r="D361" s="11" t="n"/>
      <c r="F361" s="11" t="n"/>
    </row>
    <row r="362" ht="14.25" customHeight="1" s="37">
      <c r="D362" s="11" t="n"/>
      <c r="F362" s="11" t="n"/>
    </row>
    <row r="363" ht="14.25" customHeight="1" s="37">
      <c r="D363" s="11" t="n"/>
      <c r="F363" s="11" t="n"/>
    </row>
    <row r="364" ht="14.25" customHeight="1" s="37">
      <c r="D364" s="11" t="n"/>
      <c r="F364" s="11" t="n"/>
    </row>
    <row r="365" ht="14.25" customHeight="1" s="37">
      <c r="D365" s="11" t="n"/>
      <c r="F365" s="11" t="n"/>
    </row>
    <row r="366" ht="14.25" customHeight="1" s="37">
      <c r="D366" s="11" t="n"/>
      <c r="F366" s="11" t="n"/>
    </row>
    <row r="367" ht="14.25" customHeight="1" s="37">
      <c r="D367" s="11" t="n"/>
      <c r="F367" s="11" t="n"/>
    </row>
    <row r="368" ht="14.25" customHeight="1" s="37">
      <c r="D368" s="11" t="n"/>
      <c r="F368" s="11" t="n"/>
    </row>
    <row r="369" ht="14.25" customHeight="1" s="37">
      <c r="D369" s="11" t="n"/>
      <c r="F369" s="11" t="n"/>
    </row>
    <row r="370" ht="14.25" customHeight="1" s="37">
      <c r="D370" s="11" t="n"/>
      <c r="F370" s="11" t="n"/>
    </row>
    <row r="371" ht="14.25" customHeight="1" s="37">
      <c r="D371" s="11" t="n"/>
      <c r="F371" s="11" t="n"/>
    </row>
    <row r="372" ht="14.25" customHeight="1" s="37">
      <c r="D372" s="11" t="n"/>
      <c r="F372" s="11" t="n"/>
    </row>
    <row r="373" ht="14.25" customHeight="1" s="37">
      <c r="D373" s="11" t="n"/>
      <c r="F373" s="11" t="n"/>
    </row>
    <row r="374" ht="14.25" customHeight="1" s="37">
      <c r="D374" s="11" t="n"/>
      <c r="F374" s="11" t="n"/>
    </row>
    <row r="375" ht="14.25" customHeight="1" s="37">
      <c r="D375" s="11" t="n"/>
      <c r="F375" s="11" t="n"/>
    </row>
    <row r="376" ht="14.25" customHeight="1" s="37">
      <c r="D376" s="11" t="n"/>
      <c r="F376" s="11" t="n"/>
    </row>
    <row r="377" ht="14.25" customHeight="1" s="37">
      <c r="D377" s="11" t="n"/>
      <c r="F377" s="11" t="n"/>
    </row>
    <row r="378" ht="14.25" customHeight="1" s="37">
      <c r="D378" s="11" t="n"/>
      <c r="F378" s="11" t="n"/>
    </row>
    <row r="379" ht="14.25" customHeight="1" s="37">
      <c r="D379" s="11" t="n"/>
      <c r="F379" s="11" t="n"/>
    </row>
    <row r="380" ht="14.25" customHeight="1" s="37">
      <c r="D380" s="11" t="n"/>
      <c r="F380" s="11" t="n"/>
    </row>
    <row r="381" ht="14.25" customHeight="1" s="37">
      <c r="D381" s="11" t="n"/>
      <c r="F381" s="11" t="n"/>
    </row>
    <row r="382" ht="14.25" customHeight="1" s="37">
      <c r="D382" s="11" t="n"/>
      <c r="F382" s="11" t="n"/>
    </row>
    <row r="383" ht="14.25" customHeight="1" s="37">
      <c r="D383" s="11" t="n"/>
      <c r="F383" s="11" t="n"/>
    </row>
    <row r="384" ht="14.25" customHeight="1" s="37">
      <c r="D384" s="11" t="n"/>
      <c r="F384" s="11" t="n"/>
    </row>
    <row r="385" ht="14.25" customHeight="1" s="37">
      <c r="D385" s="11" t="n"/>
      <c r="F385" s="11" t="n"/>
    </row>
    <row r="386" ht="14.25" customHeight="1" s="37">
      <c r="D386" s="11" t="n"/>
      <c r="F386" s="11" t="n"/>
    </row>
    <row r="387" ht="14.25" customHeight="1" s="37">
      <c r="D387" s="11" t="n"/>
      <c r="F387" s="11" t="n"/>
    </row>
    <row r="388" ht="14.25" customHeight="1" s="37">
      <c r="D388" s="11" t="n"/>
      <c r="F388" s="11" t="n"/>
    </row>
    <row r="389" ht="14.25" customHeight="1" s="37">
      <c r="D389" s="11" t="n"/>
      <c r="F389" s="11" t="n"/>
    </row>
    <row r="390" ht="14.25" customHeight="1" s="37">
      <c r="D390" s="11" t="n"/>
      <c r="F390" s="11" t="n"/>
    </row>
    <row r="391" ht="14.25" customHeight="1" s="37">
      <c r="D391" s="11" t="n"/>
      <c r="F391" s="11" t="n"/>
    </row>
    <row r="392" ht="14.25" customHeight="1" s="37">
      <c r="D392" s="11" t="n"/>
      <c r="F392" s="11" t="n"/>
    </row>
    <row r="393" ht="14.25" customHeight="1" s="37">
      <c r="D393" s="11" t="n"/>
      <c r="F393" s="11" t="n"/>
    </row>
    <row r="394" ht="14.25" customHeight="1" s="37">
      <c r="D394" s="11" t="n"/>
      <c r="F394" s="11" t="n"/>
    </row>
    <row r="395" ht="14.25" customHeight="1" s="37">
      <c r="D395" s="11" t="n"/>
      <c r="F395" s="11" t="n"/>
    </row>
    <row r="396" ht="14.25" customHeight="1" s="37">
      <c r="D396" s="11" t="n"/>
      <c r="F396" s="11" t="n"/>
    </row>
    <row r="397" ht="14.25" customHeight="1" s="37">
      <c r="D397" s="11" t="n"/>
      <c r="F397" s="11" t="n"/>
    </row>
    <row r="398" ht="14.25" customHeight="1" s="37">
      <c r="D398" s="11" t="n"/>
      <c r="F398" s="11" t="n"/>
    </row>
    <row r="399" ht="14.25" customHeight="1" s="37">
      <c r="D399" s="11" t="n"/>
      <c r="F399" s="11" t="n"/>
    </row>
    <row r="400" ht="14.25" customHeight="1" s="37">
      <c r="D400" s="11" t="n"/>
      <c r="F400" s="11" t="n"/>
    </row>
    <row r="401" ht="14.25" customHeight="1" s="37">
      <c r="D401" s="11" t="n"/>
      <c r="F401" s="11" t="n"/>
    </row>
    <row r="402" ht="14.25" customHeight="1" s="37">
      <c r="D402" s="11" t="n"/>
      <c r="F402" s="11" t="n"/>
    </row>
    <row r="403" ht="14.25" customHeight="1" s="37">
      <c r="D403" s="11" t="n"/>
      <c r="F403" s="11" t="n"/>
    </row>
    <row r="404" ht="14.25" customHeight="1" s="37">
      <c r="D404" s="11" t="n"/>
      <c r="F404" s="11" t="n"/>
    </row>
    <row r="405" ht="14.25" customHeight="1" s="37">
      <c r="D405" s="11" t="n"/>
      <c r="F405" s="11" t="n"/>
    </row>
    <row r="406" ht="14.25" customHeight="1" s="37">
      <c r="D406" s="11" t="n"/>
      <c r="F406" s="11" t="n"/>
    </row>
    <row r="407" ht="14.25" customHeight="1" s="37">
      <c r="D407" s="11" t="n"/>
      <c r="F407" s="11" t="n"/>
    </row>
    <row r="408" ht="14.25" customHeight="1" s="37">
      <c r="D408" s="11" t="n"/>
      <c r="F408" s="11" t="n"/>
    </row>
    <row r="409" ht="14.25" customHeight="1" s="37">
      <c r="D409" s="11" t="n"/>
      <c r="F409" s="11" t="n"/>
    </row>
    <row r="410" ht="14.25" customHeight="1" s="37">
      <c r="D410" s="11" t="n"/>
      <c r="F410" s="11" t="n"/>
    </row>
    <row r="411" ht="14.25" customHeight="1" s="37">
      <c r="D411" s="11" t="n"/>
      <c r="F411" s="11" t="n"/>
    </row>
    <row r="412" ht="14.25" customHeight="1" s="37">
      <c r="D412" s="11" t="n"/>
      <c r="F412" s="11" t="n"/>
    </row>
    <row r="413" ht="14.25" customHeight="1" s="37">
      <c r="D413" s="11" t="n"/>
      <c r="F413" s="11" t="n"/>
    </row>
    <row r="414" ht="14.25" customHeight="1" s="37">
      <c r="D414" s="11" t="n"/>
      <c r="F414" s="11" t="n"/>
    </row>
    <row r="415" ht="14.25" customHeight="1" s="37">
      <c r="D415" s="11" t="n"/>
      <c r="F415" s="11" t="n"/>
    </row>
    <row r="416" ht="14.25" customHeight="1" s="37">
      <c r="D416" s="11" t="n"/>
      <c r="F416" s="11" t="n"/>
    </row>
    <row r="417" ht="14.25" customHeight="1" s="37">
      <c r="D417" s="11" t="n"/>
      <c r="F417" s="11" t="n"/>
    </row>
    <row r="418" ht="14.25" customHeight="1" s="37">
      <c r="D418" s="11" t="n"/>
      <c r="F418" s="11" t="n"/>
    </row>
    <row r="419" ht="14.25" customHeight="1" s="37">
      <c r="D419" s="11" t="n"/>
      <c r="F419" s="11" t="n"/>
    </row>
    <row r="420" ht="14.25" customHeight="1" s="37">
      <c r="D420" s="11" t="n"/>
      <c r="F420" s="11" t="n"/>
    </row>
    <row r="421" ht="14.25" customHeight="1" s="37">
      <c r="D421" s="11" t="n"/>
      <c r="F421" s="11" t="n"/>
    </row>
    <row r="422" ht="14.25" customHeight="1" s="37">
      <c r="D422" s="11" t="n"/>
      <c r="F422" s="11" t="n"/>
    </row>
    <row r="423" ht="14.25" customHeight="1" s="37">
      <c r="D423" s="11" t="n"/>
      <c r="F423" s="11" t="n"/>
    </row>
    <row r="424" ht="14.25" customHeight="1" s="37">
      <c r="D424" s="11" t="n"/>
      <c r="F424" s="11" t="n"/>
    </row>
    <row r="425" ht="14.25" customHeight="1" s="37">
      <c r="D425" s="11" t="n"/>
      <c r="F425" s="11" t="n"/>
    </row>
    <row r="426" ht="14.25" customHeight="1" s="37">
      <c r="D426" s="11" t="n"/>
      <c r="F426" s="11" t="n"/>
    </row>
    <row r="427" ht="14.25" customHeight="1" s="37">
      <c r="D427" s="11" t="n"/>
      <c r="F427" s="11" t="n"/>
    </row>
    <row r="428" ht="14.25" customHeight="1" s="37">
      <c r="D428" s="11" t="n"/>
      <c r="F428" s="11" t="n"/>
    </row>
    <row r="429" ht="14.25" customHeight="1" s="37">
      <c r="D429" s="11" t="n"/>
      <c r="F429" s="11" t="n"/>
    </row>
    <row r="430" ht="14.25" customHeight="1" s="37">
      <c r="D430" s="11" t="n"/>
      <c r="F430" s="11" t="n"/>
    </row>
    <row r="431" ht="14.25" customHeight="1" s="37">
      <c r="D431" s="11" t="n"/>
      <c r="F431" s="11" t="n"/>
    </row>
    <row r="432" ht="14.25" customHeight="1" s="37">
      <c r="D432" s="11" t="n"/>
      <c r="F432" s="11" t="n"/>
    </row>
    <row r="433" ht="14.25" customHeight="1" s="37">
      <c r="D433" s="11" t="n"/>
      <c r="F433" s="11" t="n"/>
    </row>
    <row r="434" ht="14.25" customHeight="1" s="37">
      <c r="D434" s="11" t="n"/>
      <c r="F434" s="11" t="n"/>
    </row>
    <row r="435" ht="14.25" customHeight="1" s="37">
      <c r="D435" s="11" t="n"/>
      <c r="F435" s="11" t="n"/>
    </row>
    <row r="436" ht="14.25" customHeight="1" s="37">
      <c r="D436" s="11" t="n"/>
      <c r="F436" s="11" t="n"/>
    </row>
    <row r="437" ht="14.25" customHeight="1" s="37">
      <c r="D437" s="11" t="n"/>
      <c r="F437" s="11" t="n"/>
    </row>
    <row r="438" ht="14.25" customHeight="1" s="37">
      <c r="D438" s="11" t="n"/>
      <c r="F438" s="11" t="n"/>
    </row>
    <row r="439" ht="14.25" customHeight="1" s="37">
      <c r="D439" s="11" t="n"/>
      <c r="F439" s="11" t="n"/>
    </row>
    <row r="440" ht="14.25" customHeight="1" s="37">
      <c r="D440" s="11" t="n"/>
      <c r="F440" s="11" t="n"/>
    </row>
    <row r="441" ht="14.25" customHeight="1" s="37">
      <c r="D441" s="11" t="n"/>
      <c r="F441" s="11" t="n"/>
    </row>
    <row r="442" ht="14.25" customHeight="1" s="37">
      <c r="D442" s="11" t="n"/>
      <c r="F442" s="11" t="n"/>
    </row>
    <row r="443" ht="14.25" customHeight="1" s="37">
      <c r="D443" s="11" t="n"/>
      <c r="F443" s="11" t="n"/>
    </row>
    <row r="444" ht="14.25" customHeight="1" s="37">
      <c r="D444" s="11" t="n"/>
      <c r="F444" s="11" t="n"/>
    </row>
    <row r="445" ht="14.25" customHeight="1" s="37">
      <c r="D445" s="11" t="n"/>
      <c r="F445" s="11" t="n"/>
    </row>
    <row r="446" ht="14.25" customHeight="1" s="37">
      <c r="D446" s="11" t="n"/>
      <c r="F446" s="11" t="n"/>
    </row>
    <row r="447" ht="14.25" customHeight="1" s="37">
      <c r="D447" s="11" t="n"/>
      <c r="F447" s="11" t="n"/>
    </row>
    <row r="448" ht="14.25" customHeight="1" s="37">
      <c r="D448" s="11" t="n"/>
      <c r="F448" s="11" t="n"/>
    </row>
    <row r="449" ht="14.25" customHeight="1" s="37">
      <c r="D449" s="11" t="n"/>
      <c r="F449" s="11" t="n"/>
    </row>
    <row r="450" ht="14.25" customHeight="1" s="37">
      <c r="D450" s="11" t="n"/>
      <c r="F450" s="11" t="n"/>
    </row>
    <row r="451" ht="14.25" customHeight="1" s="37">
      <c r="D451" s="11" t="n"/>
      <c r="F451" s="11" t="n"/>
    </row>
    <row r="452" ht="14.25" customHeight="1" s="37">
      <c r="D452" s="11" t="n"/>
      <c r="F452" s="11" t="n"/>
    </row>
    <row r="453" ht="14.25" customHeight="1" s="37">
      <c r="D453" s="11" t="n"/>
      <c r="F453" s="11" t="n"/>
    </row>
    <row r="454" ht="14.25" customHeight="1" s="37">
      <c r="D454" s="11" t="n"/>
      <c r="F454" s="11" t="n"/>
    </row>
    <row r="455" ht="14.25" customHeight="1" s="37">
      <c r="D455" s="11" t="n"/>
      <c r="F455" s="11" t="n"/>
    </row>
    <row r="456" ht="14.25" customHeight="1" s="37">
      <c r="D456" s="11" t="n"/>
      <c r="F456" s="11" t="n"/>
    </row>
    <row r="457" ht="14.25" customHeight="1" s="37">
      <c r="D457" s="11" t="n"/>
      <c r="F457" s="11" t="n"/>
    </row>
    <row r="458" ht="14.25" customHeight="1" s="37">
      <c r="D458" s="11" t="n"/>
      <c r="F458" s="11" t="n"/>
    </row>
    <row r="459" ht="14.25" customHeight="1" s="37">
      <c r="D459" s="11" t="n"/>
      <c r="F459" s="11" t="n"/>
    </row>
    <row r="460" ht="14.25" customHeight="1" s="37">
      <c r="D460" s="11" t="n"/>
      <c r="F460" s="11" t="n"/>
    </row>
    <row r="461" ht="14.25" customHeight="1" s="37">
      <c r="D461" s="11" t="n"/>
      <c r="F461" s="11" t="n"/>
    </row>
    <row r="462" ht="14.25" customHeight="1" s="37">
      <c r="D462" s="11" t="n"/>
      <c r="F462" s="11" t="n"/>
    </row>
    <row r="463" ht="14.25" customHeight="1" s="37">
      <c r="D463" s="11" t="n"/>
      <c r="F463" s="11" t="n"/>
    </row>
    <row r="464" ht="14.25" customHeight="1" s="37">
      <c r="D464" s="11" t="n"/>
      <c r="F464" s="11" t="n"/>
    </row>
    <row r="465" ht="14.25" customHeight="1" s="37">
      <c r="D465" s="11" t="n"/>
      <c r="F465" s="11" t="n"/>
    </row>
    <row r="466" ht="14.25" customHeight="1" s="37">
      <c r="D466" s="11" t="n"/>
      <c r="F466" s="11" t="n"/>
    </row>
    <row r="467" ht="14.25" customHeight="1" s="37">
      <c r="D467" s="11" t="n"/>
      <c r="F467" s="11" t="n"/>
    </row>
    <row r="468" ht="14.25" customHeight="1" s="37">
      <c r="D468" s="11" t="n"/>
      <c r="F468" s="11" t="n"/>
    </row>
    <row r="469" ht="14.25" customHeight="1" s="37">
      <c r="D469" s="11" t="n"/>
      <c r="F469" s="11" t="n"/>
    </row>
    <row r="470" ht="14.25" customHeight="1" s="37">
      <c r="D470" s="11" t="n"/>
      <c r="F470" s="11" t="n"/>
    </row>
    <row r="471" ht="14.25" customHeight="1" s="37">
      <c r="D471" s="11" t="n"/>
      <c r="F471" s="11" t="n"/>
    </row>
    <row r="472" ht="14.25" customHeight="1" s="37">
      <c r="D472" s="11" t="n"/>
      <c r="F472" s="11" t="n"/>
    </row>
    <row r="473" ht="14.25" customHeight="1" s="37">
      <c r="D473" s="11" t="n"/>
      <c r="F473" s="11" t="n"/>
    </row>
    <row r="474" ht="14.25" customHeight="1" s="37">
      <c r="D474" s="11" t="n"/>
      <c r="F474" s="11" t="n"/>
    </row>
    <row r="475" ht="14.25" customHeight="1" s="37">
      <c r="D475" s="11" t="n"/>
      <c r="F475" s="11" t="n"/>
    </row>
    <row r="476" ht="14.25" customHeight="1" s="37">
      <c r="D476" s="11" t="n"/>
      <c r="F476" s="11" t="n"/>
    </row>
    <row r="477" ht="14.25" customHeight="1" s="37">
      <c r="D477" s="11" t="n"/>
      <c r="F477" s="11" t="n"/>
    </row>
    <row r="478" ht="14.25" customHeight="1" s="37">
      <c r="D478" s="11" t="n"/>
      <c r="F478" s="11" t="n"/>
    </row>
    <row r="479" ht="14.25" customHeight="1" s="37">
      <c r="D479" s="11" t="n"/>
      <c r="F479" s="11" t="n"/>
    </row>
    <row r="480" ht="14.25" customHeight="1" s="37">
      <c r="D480" s="11" t="n"/>
      <c r="F480" s="11" t="n"/>
    </row>
    <row r="481" ht="14.25" customHeight="1" s="37">
      <c r="D481" s="11" t="n"/>
      <c r="F481" s="11" t="n"/>
    </row>
    <row r="482" ht="14.25" customHeight="1" s="37">
      <c r="D482" s="11" t="n"/>
      <c r="F482" s="11" t="n"/>
    </row>
    <row r="483" ht="14.25" customHeight="1" s="37">
      <c r="D483" s="11" t="n"/>
      <c r="F483" s="11" t="n"/>
    </row>
    <row r="484" ht="14.25" customHeight="1" s="37">
      <c r="D484" s="11" t="n"/>
      <c r="F484" s="11" t="n"/>
    </row>
    <row r="485" ht="14.25" customHeight="1" s="37">
      <c r="D485" s="11" t="n"/>
      <c r="F485" s="11" t="n"/>
    </row>
    <row r="486" ht="14.25" customHeight="1" s="37">
      <c r="D486" s="11" t="n"/>
      <c r="F486" s="11" t="n"/>
    </row>
    <row r="487" ht="14.25" customHeight="1" s="37">
      <c r="D487" s="11" t="n"/>
      <c r="F487" s="11" t="n"/>
    </row>
    <row r="488" ht="14.25" customHeight="1" s="37">
      <c r="D488" s="11" t="n"/>
      <c r="F488" s="11" t="n"/>
    </row>
    <row r="489" ht="14.25" customHeight="1" s="37">
      <c r="D489" s="11" t="n"/>
      <c r="F489" s="11" t="n"/>
    </row>
    <row r="490" ht="14.25" customHeight="1" s="37">
      <c r="D490" s="11" t="n"/>
      <c r="F490" s="11" t="n"/>
    </row>
    <row r="491" ht="14.25" customHeight="1" s="37">
      <c r="D491" s="11" t="n"/>
      <c r="F491" s="11" t="n"/>
    </row>
    <row r="492" ht="14.25" customHeight="1" s="37">
      <c r="D492" s="11" t="n"/>
      <c r="F492" s="11" t="n"/>
    </row>
    <row r="493" ht="14.25" customHeight="1" s="37">
      <c r="D493" s="11" t="n"/>
      <c r="F493" s="11" t="n"/>
    </row>
    <row r="494" ht="14.25" customHeight="1" s="37">
      <c r="D494" s="11" t="n"/>
      <c r="F494" s="11" t="n"/>
    </row>
    <row r="495" ht="14.25" customHeight="1" s="37">
      <c r="D495" s="11" t="n"/>
      <c r="F495" s="11" t="n"/>
    </row>
    <row r="496" ht="14.25" customHeight="1" s="37">
      <c r="D496" s="11" t="n"/>
      <c r="F496" s="11" t="n"/>
    </row>
    <row r="497" ht="14.25" customHeight="1" s="37">
      <c r="D497" s="11" t="n"/>
      <c r="F497" s="11" t="n"/>
    </row>
    <row r="498" ht="14.25" customHeight="1" s="37">
      <c r="D498" s="11" t="n"/>
      <c r="F498" s="11" t="n"/>
    </row>
    <row r="499" ht="14.25" customHeight="1" s="37">
      <c r="D499" s="11" t="n"/>
      <c r="F499" s="11" t="n"/>
    </row>
    <row r="500" ht="14.25" customHeight="1" s="37">
      <c r="D500" s="11" t="n"/>
      <c r="F500" s="11" t="n"/>
    </row>
    <row r="501" ht="14.25" customHeight="1" s="37">
      <c r="D501" s="11" t="n"/>
      <c r="F501" s="11" t="n"/>
    </row>
    <row r="502" ht="14.25" customHeight="1" s="37">
      <c r="D502" s="11" t="n"/>
      <c r="F502" s="11" t="n"/>
    </row>
    <row r="503" ht="14.25" customHeight="1" s="37">
      <c r="D503" s="11" t="n"/>
      <c r="F503" s="11" t="n"/>
    </row>
    <row r="504" ht="14.25" customHeight="1" s="37">
      <c r="D504" s="11" t="n"/>
      <c r="F504" s="11" t="n"/>
    </row>
    <row r="505" ht="14.25" customHeight="1" s="37">
      <c r="D505" s="11" t="n"/>
      <c r="F505" s="11" t="n"/>
    </row>
    <row r="506" ht="14.25" customHeight="1" s="37">
      <c r="D506" s="11" t="n"/>
      <c r="F506" s="11" t="n"/>
    </row>
    <row r="507" ht="14.25" customHeight="1" s="37">
      <c r="D507" s="11" t="n"/>
      <c r="F507" s="11" t="n"/>
    </row>
    <row r="508" ht="14.25" customHeight="1" s="37">
      <c r="D508" s="11" t="n"/>
      <c r="F508" s="11" t="n"/>
    </row>
    <row r="509" ht="14.25" customHeight="1" s="37">
      <c r="D509" s="11" t="n"/>
      <c r="F509" s="11" t="n"/>
    </row>
    <row r="510" ht="14.25" customHeight="1" s="37">
      <c r="D510" s="11" t="n"/>
      <c r="F510" s="11" t="n"/>
    </row>
    <row r="511" ht="14.25" customHeight="1" s="37">
      <c r="D511" s="11" t="n"/>
      <c r="F511" s="11" t="n"/>
    </row>
    <row r="512" ht="14.25" customHeight="1" s="37">
      <c r="D512" s="11" t="n"/>
      <c r="F512" s="11" t="n"/>
    </row>
    <row r="513" ht="14.25" customHeight="1" s="37">
      <c r="D513" s="11" t="n"/>
      <c r="F513" s="11" t="n"/>
    </row>
    <row r="514" ht="14.25" customHeight="1" s="37">
      <c r="D514" s="11" t="n"/>
      <c r="F514" s="11" t="n"/>
    </row>
    <row r="515" ht="14.25" customHeight="1" s="37">
      <c r="D515" s="11" t="n"/>
      <c r="F515" s="11" t="n"/>
    </row>
    <row r="516" ht="14.25" customHeight="1" s="37">
      <c r="D516" s="11" t="n"/>
      <c r="F516" s="11" t="n"/>
    </row>
    <row r="517" ht="14.25" customHeight="1" s="37">
      <c r="D517" s="11" t="n"/>
      <c r="F517" s="11" t="n"/>
    </row>
    <row r="518" ht="14.25" customHeight="1" s="37">
      <c r="D518" s="11" t="n"/>
      <c r="F518" s="11" t="n"/>
    </row>
    <row r="519" ht="14.25" customHeight="1" s="37">
      <c r="D519" s="11" t="n"/>
      <c r="F519" s="11" t="n"/>
    </row>
    <row r="520" ht="14.25" customHeight="1" s="37">
      <c r="D520" s="11" t="n"/>
      <c r="F520" s="11" t="n"/>
    </row>
    <row r="521" ht="14.25" customHeight="1" s="37">
      <c r="D521" s="11" t="n"/>
      <c r="F521" s="11" t="n"/>
    </row>
    <row r="522" ht="14.25" customHeight="1" s="37">
      <c r="D522" s="11" t="n"/>
      <c r="F522" s="11" t="n"/>
    </row>
    <row r="523" ht="14.25" customHeight="1" s="37">
      <c r="D523" s="11" t="n"/>
      <c r="F523" s="11" t="n"/>
    </row>
    <row r="524" ht="14.25" customHeight="1" s="37">
      <c r="D524" s="11" t="n"/>
      <c r="F524" s="11" t="n"/>
    </row>
    <row r="525" ht="14.25" customHeight="1" s="37">
      <c r="D525" s="11" t="n"/>
      <c r="F525" s="11" t="n"/>
    </row>
    <row r="526" ht="14.25" customHeight="1" s="37">
      <c r="D526" s="11" t="n"/>
      <c r="F526" s="11" t="n"/>
    </row>
    <row r="527" ht="14.25" customHeight="1" s="37">
      <c r="D527" s="11" t="n"/>
      <c r="F527" s="11" t="n"/>
    </row>
    <row r="528" ht="14.25" customHeight="1" s="37">
      <c r="D528" s="11" t="n"/>
      <c r="F528" s="11" t="n"/>
    </row>
    <row r="529" ht="14.25" customHeight="1" s="37">
      <c r="D529" s="11" t="n"/>
      <c r="F529" s="11" t="n"/>
    </row>
    <row r="530" ht="14.25" customHeight="1" s="37">
      <c r="D530" s="11" t="n"/>
      <c r="F530" s="11" t="n"/>
    </row>
    <row r="531" ht="14.25" customHeight="1" s="37">
      <c r="D531" s="11" t="n"/>
      <c r="F531" s="11" t="n"/>
    </row>
    <row r="532" ht="14.25" customHeight="1" s="37">
      <c r="D532" s="11" t="n"/>
      <c r="F532" s="11" t="n"/>
    </row>
    <row r="533" ht="14.25" customHeight="1" s="37">
      <c r="D533" s="11" t="n"/>
      <c r="F533" s="11" t="n"/>
    </row>
    <row r="534" ht="14.25" customHeight="1" s="37">
      <c r="D534" s="11" t="n"/>
      <c r="F534" s="11" t="n"/>
    </row>
    <row r="535" ht="14.25" customHeight="1" s="37">
      <c r="D535" s="11" t="n"/>
      <c r="F535" s="11" t="n"/>
    </row>
    <row r="536" ht="14.25" customHeight="1" s="37">
      <c r="D536" s="11" t="n"/>
      <c r="F536" s="11" t="n"/>
    </row>
    <row r="537" ht="14.25" customHeight="1" s="37">
      <c r="D537" s="11" t="n"/>
      <c r="F537" s="11" t="n"/>
    </row>
    <row r="538" ht="14.25" customHeight="1" s="37">
      <c r="D538" s="11" t="n"/>
      <c r="F538" s="11" t="n"/>
    </row>
    <row r="539" ht="14.25" customHeight="1" s="37">
      <c r="D539" s="11" t="n"/>
      <c r="F539" s="11" t="n"/>
    </row>
    <row r="540" ht="14.25" customHeight="1" s="37">
      <c r="D540" s="11" t="n"/>
      <c r="F540" s="11" t="n"/>
    </row>
    <row r="541" ht="14.25" customHeight="1" s="37">
      <c r="D541" s="11" t="n"/>
      <c r="F541" s="11" t="n"/>
    </row>
    <row r="542" ht="14.25" customHeight="1" s="37">
      <c r="D542" s="11" t="n"/>
      <c r="F542" s="11" t="n"/>
    </row>
    <row r="543" ht="14.25" customHeight="1" s="37">
      <c r="D543" s="11" t="n"/>
      <c r="F543" s="11" t="n"/>
    </row>
    <row r="544" ht="14.25" customHeight="1" s="37">
      <c r="D544" s="11" t="n"/>
      <c r="F544" s="11" t="n"/>
    </row>
    <row r="545" ht="14.25" customHeight="1" s="37">
      <c r="D545" s="11" t="n"/>
      <c r="F545" s="11" t="n"/>
    </row>
    <row r="546" ht="14.25" customHeight="1" s="37">
      <c r="D546" s="11" t="n"/>
      <c r="F546" s="11" t="n"/>
    </row>
    <row r="547" ht="14.25" customHeight="1" s="37">
      <c r="D547" s="11" t="n"/>
      <c r="F547" s="11" t="n"/>
    </row>
    <row r="548" ht="14.25" customHeight="1" s="37">
      <c r="D548" s="11" t="n"/>
      <c r="F548" s="11" t="n"/>
    </row>
    <row r="549" ht="14.25" customHeight="1" s="37">
      <c r="D549" s="11" t="n"/>
      <c r="F549" s="11" t="n"/>
    </row>
    <row r="550" ht="14.25" customHeight="1" s="37">
      <c r="D550" s="11" t="n"/>
      <c r="F550" s="11" t="n"/>
    </row>
    <row r="551" ht="14.25" customHeight="1" s="37">
      <c r="D551" s="11" t="n"/>
      <c r="F551" s="11" t="n"/>
    </row>
    <row r="552" ht="14.25" customHeight="1" s="37">
      <c r="D552" s="11" t="n"/>
      <c r="F552" s="11" t="n"/>
    </row>
    <row r="553" ht="14.25" customHeight="1" s="37">
      <c r="D553" s="11" t="n"/>
      <c r="F553" s="11" t="n"/>
    </row>
    <row r="554" ht="14.25" customHeight="1" s="37">
      <c r="D554" s="11" t="n"/>
      <c r="F554" s="11" t="n"/>
    </row>
    <row r="555" ht="14.25" customHeight="1" s="37">
      <c r="D555" s="11" t="n"/>
      <c r="F555" s="11" t="n"/>
    </row>
    <row r="556" ht="14.25" customHeight="1" s="37">
      <c r="D556" s="11" t="n"/>
      <c r="F556" s="11" t="n"/>
    </row>
    <row r="557" ht="14.25" customHeight="1" s="37">
      <c r="D557" s="11" t="n"/>
      <c r="F557" s="11" t="n"/>
    </row>
    <row r="558" ht="14.25" customHeight="1" s="37">
      <c r="D558" s="11" t="n"/>
      <c r="F558" s="11" t="n"/>
    </row>
    <row r="559" ht="14.25" customHeight="1" s="37">
      <c r="D559" s="11" t="n"/>
      <c r="F559" s="11" t="n"/>
    </row>
    <row r="560" ht="14.25" customHeight="1" s="37">
      <c r="D560" s="11" t="n"/>
      <c r="F560" s="11" t="n"/>
    </row>
    <row r="561" ht="14.25" customHeight="1" s="37">
      <c r="D561" s="11" t="n"/>
      <c r="F561" s="11" t="n"/>
    </row>
    <row r="562" ht="14.25" customHeight="1" s="37">
      <c r="D562" s="11" t="n"/>
      <c r="F562" s="11" t="n"/>
    </row>
    <row r="563" ht="14.25" customHeight="1" s="37">
      <c r="D563" s="11" t="n"/>
      <c r="F563" s="11" t="n"/>
    </row>
    <row r="564" ht="14.25" customHeight="1" s="37">
      <c r="D564" s="11" t="n"/>
      <c r="F564" s="11" t="n"/>
    </row>
    <row r="565" ht="14.25" customHeight="1" s="37">
      <c r="D565" s="11" t="n"/>
      <c r="F565" s="11" t="n"/>
    </row>
    <row r="566" ht="14.25" customHeight="1" s="37">
      <c r="D566" s="11" t="n"/>
      <c r="F566" s="11" t="n"/>
    </row>
    <row r="567" ht="14.25" customHeight="1" s="37">
      <c r="D567" s="11" t="n"/>
      <c r="F567" s="11" t="n"/>
    </row>
    <row r="568" ht="14.25" customHeight="1" s="37">
      <c r="D568" s="11" t="n"/>
      <c r="F568" s="11" t="n"/>
    </row>
    <row r="569" ht="14.25" customHeight="1" s="37">
      <c r="D569" s="11" t="n"/>
      <c r="F569" s="11" t="n"/>
    </row>
    <row r="570" ht="14.25" customHeight="1" s="37">
      <c r="D570" s="11" t="n"/>
      <c r="F570" s="11" t="n"/>
    </row>
    <row r="571" ht="14.25" customHeight="1" s="37">
      <c r="D571" s="11" t="n"/>
      <c r="F571" s="11" t="n"/>
    </row>
    <row r="572" ht="14.25" customHeight="1" s="37">
      <c r="D572" s="11" t="n"/>
      <c r="F572" s="11" t="n"/>
    </row>
    <row r="573" ht="14.25" customHeight="1" s="37">
      <c r="D573" s="11" t="n"/>
      <c r="F573" s="11" t="n"/>
    </row>
    <row r="574" ht="14.25" customHeight="1" s="37">
      <c r="D574" s="11" t="n"/>
      <c r="F574" s="11" t="n"/>
    </row>
    <row r="575" ht="14.25" customHeight="1" s="37">
      <c r="D575" s="11" t="n"/>
      <c r="F575" s="11" t="n"/>
    </row>
    <row r="576" ht="14.25" customHeight="1" s="37">
      <c r="D576" s="11" t="n"/>
      <c r="F576" s="11" t="n"/>
    </row>
    <row r="577" ht="14.25" customHeight="1" s="37">
      <c r="D577" s="11" t="n"/>
      <c r="F577" s="11" t="n"/>
    </row>
    <row r="578" ht="14.25" customHeight="1" s="37">
      <c r="D578" s="11" t="n"/>
      <c r="F578" s="11" t="n"/>
    </row>
    <row r="579" ht="14.25" customHeight="1" s="37">
      <c r="D579" s="11" t="n"/>
      <c r="F579" s="11" t="n"/>
    </row>
    <row r="580" ht="14.25" customHeight="1" s="37">
      <c r="D580" s="11" t="n"/>
      <c r="F580" s="11" t="n"/>
    </row>
    <row r="581" ht="14.25" customHeight="1" s="37">
      <c r="D581" s="11" t="n"/>
      <c r="F581" s="11" t="n"/>
    </row>
    <row r="582" ht="14.25" customHeight="1" s="37">
      <c r="D582" s="11" t="n"/>
      <c r="F582" s="11" t="n"/>
    </row>
    <row r="583" ht="14.25" customHeight="1" s="37">
      <c r="D583" s="11" t="n"/>
      <c r="F583" s="11" t="n"/>
    </row>
    <row r="584" ht="14.25" customHeight="1" s="37">
      <c r="D584" s="11" t="n"/>
      <c r="F584" s="11" t="n"/>
    </row>
    <row r="585" ht="14.25" customHeight="1" s="37">
      <c r="D585" s="11" t="n"/>
      <c r="F585" s="11" t="n"/>
    </row>
    <row r="586" ht="14.25" customHeight="1" s="37">
      <c r="D586" s="11" t="n"/>
      <c r="F586" s="11" t="n"/>
    </row>
    <row r="587" ht="14.25" customHeight="1" s="37">
      <c r="D587" s="11" t="n"/>
      <c r="F587" s="11" t="n"/>
    </row>
    <row r="588" ht="14.25" customHeight="1" s="37">
      <c r="D588" s="11" t="n"/>
      <c r="F588" s="11" t="n"/>
    </row>
    <row r="589" ht="14.25" customHeight="1" s="37">
      <c r="D589" s="11" t="n"/>
      <c r="F589" s="11" t="n"/>
    </row>
    <row r="590" ht="14.25" customHeight="1" s="37">
      <c r="D590" s="11" t="n"/>
      <c r="F590" s="11" t="n"/>
    </row>
    <row r="591" ht="14.25" customHeight="1" s="37">
      <c r="D591" s="11" t="n"/>
      <c r="F591" s="11" t="n"/>
    </row>
    <row r="592" ht="14.25" customHeight="1" s="37">
      <c r="D592" s="11" t="n"/>
      <c r="F592" s="11" t="n"/>
    </row>
    <row r="593" ht="14.25" customHeight="1" s="37">
      <c r="D593" s="11" t="n"/>
      <c r="F593" s="11" t="n"/>
    </row>
    <row r="594" ht="14.25" customHeight="1" s="37">
      <c r="D594" s="11" t="n"/>
      <c r="F594" s="11" t="n"/>
    </row>
    <row r="595" ht="14.25" customHeight="1" s="37">
      <c r="D595" s="11" t="n"/>
      <c r="F595" s="11" t="n"/>
    </row>
    <row r="596" ht="14.25" customHeight="1" s="37">
      <c r="D596" s="11" t="n"/>
      <c r="F596" s="11" t="n"/>
    </row>
    <row r="597" ht="14.25" customHeight="1" s="37">
      <c r="D597" s="11" t="n"/>
      <c r="F597" s="11" t="n"/>
    </row>
    <row r="598" ht="14.25" customHeight="1" s="37">
      <c r="D598" s="11" t="n"/>
      <c r="F598" s="11" t="n"/>
    </row>
    <row r="599" ht="14.25" customHeight="1" s="37">
      <c r="D599" s="11" t="n"/>
      <c r="F599" s="11" t="n"/>
    </row>
    <row r="600" ht="14.25" customHeight="1" s="37">
      <c r="D600" s="11" t="n"/>
      <c r="F600" s="11" t="n"/>
    </row>
    <row r="601" ht="14.25" customHeight="1" s="37">
      <c r="D601" s="11" t="n"/>
      <c r="F601" s="11" t="n"/>
    </row>
    <row r="602" ht="14.25" customHeight="1" s="37">
      <c r="D602" s="11" t="n"/>
      <c r="F602" s="11" t="n"/>
    </row>
    <row r="603" ht="14.25" customHeight="1" s="37">
      <c r="D603" s="11" t="n"/>
      <c r="F603" s="11" t="n"/>
    </row>
    <row r="604" ht="14.25" customHeight="1" s="37">
      <c r="D604" s="11" t="n"/>
      <c r="F604" s="11" t="n"/>
    </row>
    <row r="605" ht="14.25" customHeight="1" s="37">
      <c r="D605" s="11" t="n"/>
      <c r="F605" s="11" t="n"/>
    </row>
    <row r="606" ht="14.25" customHeight="1" s="37">
      <c r="D606" s="11" t="n"/>
      <c r="F606" s="11" t="n"/>
    </row>
    <row r="607" ht="14.25" customHeight="1" s="37">
      <c r="D607" s="11" t="n"/>
      <c r="F607" s="11" t="n"/>
    </row>
    <row r="608" ht="14.25" customHeight="1" s="37">
      <c r="D608" s="11" t="n"/>
      <c r="F608" s="11" t="n"/>
    </row>
    <row r="609" ht="14.25" customHeight="1" s="37">
      <c r="D609" s="11" t="n"/>
      <c r="F609" s="11" t="n"/>
    </row>
    <row r="610" ht="14.25" customHeight="1" s="37">
      <c r="D610" s="11" t="n"/>
      <c r="F610" s="11" t="n"/>
    </row>
    <row r="611" ht="14.25" customHeight="1" s="37">
      <c r="D611" s="11" t="n"/>
      <c r="F611" s="11" t="n"/>
    </row>
    <row r="612" ht="14.25" customHeight="1" s="37">
      <c r="D612" s="11" t="n"/>
      <c r="F612" s="11" t="n"/>
    </row>
    <row r="613" ht="14.25" customHeight="1" s="37">
      <c r="D613" s="11" t="n"/>
      <c r="F613" s="11" t="n"/>
    </row>
    <row r="614" ht="14.25" customHeight="1" s="37">
      <c r="D614" s="11" t="n"/>
      <c r="F614" s="11" t="n"/>
    </row>
    <row r="615" ht="14.25" customHeight="1" s="37">
      <c r="D615" s="11" t="n"/>
      <c r="F615" s="11" t="n"/>
    </row>
    <row r="616" ht="14.25" customHeight="1" s="37">
      <c r="D616" s="11" t="n"/>
      <c r="F616" s="11" t="n"/>
    </row>
    <row r="617" ht="14.25" customHeight="1" s="37">
      <c r="D617" s="11" t="n"/>
      <c r="F617" s="11" t="n"/>
    </row>
    <row r="618" ht="14.25" customHeight="1" s="37">
      <c r="D618" s="11" t="n"/>
      <c r="F618" s="11" t="n"/>
    </row>
    <row r="619" ht="14.25" customHeight="1" s="37">
      <c r="D619" s="11" t="n"/>
      <c r="F619" s="11" t="n"/>
    </row>
    <row r="620" ht="14.25" customHeight="1" s="37">
      <c r="D620" s="11" t="n"/>
      <c r="F620" s="11" t="n"/>
    </row>
    <row r="621" ht="14.25" customHeight="1" s="37">
      <c r="D621" s="11" t="n"/>
      <c r="F621" s="11" t="n"/>
    </row>
    <row r="622" ht="14.25" customHeight="1" s="37">
      <c r="D622" s="11" t="n"/>
      <c r="F622" s="11" t="n"/>
    </row>
    <row r="623" ht="14.25" customHeight="1" s="37">
      <c r="D623" s="11" t="n"/>
      <c r="F623" s="11" t="n"/>
    </row>
    <row r="624" ht="14.25" customHeight="1" s="37">
      <c r="D624" s="11" t="n"/>
      <c r="F624" s="11" t="n"/>
    </row>
    <row r="625" ht="14.25" customHeight="1" s="37">
      <c r="D625" s="11" t="n"/>
      <c r="F625" s="11" t="n"/>
    </row>
    <row r="626" ht="14.25" customHeight="1" s="37">
      <c r="D626" s="11" t="n"/>
      <c r="F626" s="11" t="n"/>
    </row>
    <row r="627" ht="14.25" customHeight="1" s="37">
      <c r="D627" s="11" t="n"/>
      <c r="F627" s="11" t="n"/>
    </row>
    <row r="628" ht="14.25" customHeight="1" s="37">
      <c r="D628" s="11" t="n"/>
      <c r="F628" s="11" t="n"/>
    </row>
    <row r="629" ht="14.25" customHeight="1" s="37">
      <c r="D629" s="11" t="n"/>
      <c r="F629" s="11" t="n"/>
    </row>
    <row r="630" ht="14.25" customHeight="1" s="37">
      <c r="D630" s="11" t="n"/>
      <c r="F630" s="11" t="n"/>
    </row>
    <row r="631" ht="14.25" customHeight="1" s="37">
      <c r="D631" s="11" t="n"/>
      <c r="F631" s="11" t="n"/>
    </row>
    <row r="632" ht="14.25" customHeight="1" s="37">
      <c r="D632" s="11" t="n"/>
      <c r="F632" s="11" t="n"/>
    </row>
    <row r="633" ht="14.25" customHeight="1" s="37">
      <c r="D633" s="11" t="n"/>
      <c r="F633" s="11" t="n"/>
    </row>
    <row r="634" ht="14.25" customHeight="1" s="37">
      <c r="D634" s="11" t="n"/>
      <c r="F634" s="11" t="n"/>
    </row>
    <row r="635" ht="14.25" customHeight="1" s="37">
      <c r="D635" s="11" t="n"/>
      <c r="F635" s="11" t="n"/>
    </row>
    <row r="636" ht="14.25" customHeight="1" s="37">
      <c r="D636" s="11" t="n"/>
      <c r="F636" s="11" t="n"/>
    </row>
    <row r="637" ht="14.25" customHeight="1" s="37">
      <c r="D637" s="11" t="n"/>
      <c r="F637" s="11" t="n"/>
    </row>
    <row r="638" ht="14.25" customHeight="1" s="37">
      <c r="D638" s="11" t="n"/>
      <c r="F638" s="11" t="n"/>
    </row>
    <row r="639" ht="14.25" customHeight="1" s="37">
      <c r="D639" s="11" t="n"/>
      <c r="F639" s="11" t="n"/>
    </row>
    <row r="640" ht="14.25" customHeight="1" s="37">
      <c r="D640" s="11" t="n"/>
      <c r="F640" s="11" t="n"/>
    </row>
    <row r="641" ht="14.25" customHeight="1" s="37">
      <c r="D641" s="11" t="n"/>
      <c r="F641" s="11" t="n"/>
    </row>
    <row r="642" ht="14.25" customHeight="1" s="37">
      <c r="D642" s="11" t="n"/>
      <c r="F642" s="11" t="n"/>
    </row>
    <row r="643" ht="14.25" customHeight="1" s="37">
      <c r="D643" s="11" t="n"/>
      <c r="F643" s="11" t="n"/>
    </row>
    <row r="644" ht="14.25" customHeight="1" s="37">
      <c r="D644" s="11" t="n"/>
      <c r="F644" s="11" t="n"/>
    </row>
    <row r="645" ht="14.25" customHeight="1" s="37">
      <c r="D645" s="11" t="n"/>
      <c r="F645" s="11" t="n"/>
    </row>
    <row r="646" ht="14.25" customHeight="1" s="37">
      <c r="D646" s="11" t="n"/>
      <c r="F646" s="11" t="n"/>
    </row>
    <row r="647" ht="14.25" customHeight="1" s="37">
      <c r="D647" s="11" t="n"/>
      <c r="F647" s="11" t="n"/>
    </row>
    <row r="648" ht="14.25" customHeight="1" s="37">
      <c r="D648" s="11" t="n"/>
      <c r="F648" s="11" t="n"/>
    </row>
    <row r="649" ht="14.25" customHeight="1" s="37">
      <c r="D649" s="11" t="n"/>
      <c r="F649" s="11" t="n"/>
    </row>
    <row r="650" ht="14.25" customHeight="1" s="37">
      <c r="D650" s="11" t="n"/>
      <c r="F650" s="11" t="n"/>
    </row>
    <row r="651" ht="14.25" customHeight="1" s="37">
      <c r="D651" s="11" t="n"/>
      <c r="F651" s="11" t="n"/>
    </row>
    <row r="652" ht="14.25" customHeight="1" s="37">
      <c r="D652" s="11" t="n"/>
      <c r="F652" s="11" t="n"/>
    </row>
    <row r="653" ht="14.25" customHeight="1" s="37">
      <c r="D653" s="11" t="n"/>
      <c r="F653" s="11" t="n"/>
    </row>
    <row r="654" ht="14.25" customHeight="1" s="37">
      <c r="D654" s="11" t="n"/>
      <c r="F654" s="11" t="n"/>
    </row>
    <row r="655" ht="14.25" customHeight="1" s="37">
      <c r="D655" s="11" t="n"/>
      <c r="F655" s="11" t="n"/>
    </row>
    <row r="656" ht="14.25" customHeight="1" s="37">
      <c r="D656" s="11" t="n"/>
      <c r="F656" s="11" t="n"/>
    </row>
    <row r="657" ht="14.25" customHeight="1" s="37">
      <c r="D657" s="11" t="n"/>
      <c r="F657" s="11" t="n"/>
    </row>
    <row r="658" ht="14.25" customHeight="1" s="37">
      <c r="D658" s="11" t="n"/>
      <c r="F658" s="11" t="n"/>
    </row>
    <row r="659" ht="14.25" customHeight="1" s="37">
      <c r="D659" s="11" t="n"/>
      <c r="F659" s="11" t="n"/>
    </row>
    <row r="660" ht="14.25" customHeight="1" s="37">
      <c r="D660" s="11" t="n"/>
      <c r="F660" s="11" t="n"/>
    </row>
    <row r="661" ht="14.25" customHeight="1" s="37">
      <c r="D661" s="11" t="n"/>
      <c r="F661" s="11" t="n"/>
    </row>
    <row r="662" ht="14.25" customHeight="1" s="37">
      <c r="D662" s="11" t="n"/>
      <c r="F662" s="11" t="n"/>
    </row>
    <row r="663" ht="14.25" customHeight="1" s="37">
      <c r="D663" s="11" t="n"/>
      <c r="F663" s="11" t="n"/>
    </row>
    <row r="664" ht="14.25" customHeight="1" s="37">
      <c r="D664" s="11" t="n"/>
      <c r="F664" s="11" t="n"/>
    </row>
    <row r="665" ht="14.25" customHeight="1" s="37">
      <c r="D665" s="11" t="n"/>
      <c r="F665" s="11" t="n"/>
    </row>
    <row r="666" ht="14.25" customHeight="1" s="37">
      <c r="D666" s="11" t="n"/>
      <c r="F666" s="11" t="n"/>
    </row>
    <row r="667" ht="14.25" customHeight="1" s="37">
      <c r="D667" s="11" t="n"/>
      <c r="F667" s="11" t="n"/>
    </row>
    <row r="668" ht="14.25" customHeight="1" s="37">
      <c r="D668" s="11" t="n"/>
      <c r="F668" s="11" t="n"/>
    </row>
    <row r="669" ht="14.25" customHeight="1" s="37">
      <c r="D669" s="11" t="n"/>
      <c r="F669" s="11" t="n"/>
    </row>
    <row r="670" ht="14.25" customHeight="1" s="37">
      <c r="D670" s="11" t="n"/>
      <c r="F670" s="11" t="n"/>
    </row>
    <row r="671" ht="14.25" customHeight="1" s="37">
      <c r="D671" s="11" t="n"/>
      <c r="F671" s="11" t="n"/>
    </row>
    <row r="672" ht="14.25" customHeight="1" s="37">
      <c r="D672" s="11" t="n"/>
      <c r="F672" s="11" t="n"/>
    </row>
    <row r="673" ht="14.25" customHeight="1" s="37">
      <c r="D673" s="11" t="n"/>
      <c r="F673" s="11" t="n"/>
    </row>
    <row r="674" ht="14.25" customHeight="1" s="37">
      <c r="D674" s="11" t="n"/>
      <c r="F674" s="11" t="n"/>
    </row>
    <row r="675" ht="14.25" customHeight="1" s="37">
      <c r="D675" s="11" t="n"/>
      <c r="F675" s="11" t="n"/>
    </row>
    <row r="676" ht="14.25" customHeight="1" s="37">
      <c r="D676" s="11" t="n"/>
      <c r="F676" s="11" t="n"/>
    </row>
    <row r="677" ht="14.25" customHeight="1" s="37">
      <c r="D677" s="11" t="n"/>
      <c r="F677" s="11" t="n"/>
    </row>
    <row r="678" ht="14.25" customHeight="1" s="37">
      <c r="D678" s="11" t="n"/>
      <c r="F678" s="11" t="n"/>
    </row>
    <row r="679" ht="14.25" customHeight="1" s="37">
      <c r="D679" s="11" t="n"/>
      <c r="F679" s="11" t="n"/>
    </row>
    <row r="680" ht="14.25" customHeight="1" s="37">
      <c r="D680" s="11" t="n"/>
      <c r="F680" s="11" t="n"/>
    </row>
    <row r="681" ht="14.25" customHeight="1" s="37">
      <c r="D681" s="11" t="n"/>
      <c r="F681" s="11" t="n"/>
    </row>
    <row r="682" ht="14.25" customHeight="1" s="37">
      <c r="D682" s="11" t="n"/>
      <c r="F682" s="11" t="n"/>
    </row>
    <row r="683" ht="14.25" customHeight="1" s="37">
      <c r="D683" s="11" t="n"/>
      <c r="F683" s="11" t="n"/>
    </row>
    <row r="684" ht="14.25" customHeight="1" s="37">
      <c r="D684" s="11" t="n"/>
      <c r="F684" s="11" t="n"/>
    </row>
    <row r="685" ht="14.25" customHeight="1" s="37">
      <c r="D685" s="11" t="n"/>
      <c r="F685" s="11" t="n"/>
    </row>
    <row r="686" ht="14.25" customHeight="1" s="37">
      <c r="D686" s="11" t="n"/>
      <c r="F686" s="11" t="n"/>
    </row>
    <row r="687" ht="14.25" customHeight="1" s="37">
      <c r="D687" s="11" t="n"/>
      <c r="F687" s="11" t="n"/>
    </row>
    <row r="688" ht="14.25" customHeight="1" s="37">
      <c r="D688" s="11" t="n"/>
      <c r="F688" s="11" t="n"/>
    </row>
    <row r="689" ht="14.25" customHeight="1" s="37">
      <c r="D689" s="11" t="n"/>
      <c r="F689" s="11" t="n"/>
    </row>
    <row r="690" ht="14.25" customHeight="1" s="37">
      <c r="D690" s="11" t="n"/>
      <c r="F690" s="11" t="n"/>
    </row>
    <row r="691" ht="14.25" customHeight="1" s="37">
      <c r="D691" s="11" t="n"/>
      <c r="F691" s="11" t="n"/>
    </row>
    <row r="692" ht="14.25" customHeight="1" s="37">
      <c r="D692" s="11" t="n"/>
      <c r="F692" s="11" t="n"/>
    </row>
    <row r="693" ht="14.25" customHeight="1" s="37">
      <c r="D693" s="11" t="n"/>
      <c r="F693" s="11" t="n"/>
    </row>
    <row r="694" ht="14.25" customHeight="1" s="37">
      <c r="D694" s="11" t="n"/>
      <c r="F694" s="11" t="n"/>
    </row>
    <row r="695" ht="14.25" customHeight="1" s="37">
      <c r="D695" s="11" t="n"/>
      <c r="F695" s="11" t="n"/>
    </row>
    <row r="696" ht="14.25" customHeight="1" s="37">
      <c r="D696" s="11" t="n"/>
      <c r="F696" s="11" t="n"/>
    </row>
    <row r="697" ht="14.25" customHeight="1" s="37">
      <c r="D697" s="11" t="n"/>
      <c r="F697" s="11" t="n"/>
    </row>
    <row r="698" ht="14.25" customHeight="1" s="37">
      <c r="D698" s="11" t="n"/>
      <c r="F698" s="11" t="n"/>
    </row>
    <row r="699" ht="14.25" customHeight="1" s="37">
      <c r="D699" s="11" t="n"/>
      <c r="F699" s="11" t="n"/>
    </row>
    <row r="700" ht="14.25" customHeight="1" s="37">
      <c r="D700" s="11" t="n"/>
      <c r="F700" s="11" t="n"/>
    </row>
    <row r="701" ht="14.25" customHeight="1" s="37">
      <c r="D701" s="11" t="n"/>
      <c r="F701" s="11" t="n"/>
    </row>
    <row r="702" ht="14.25" customHeight="1" s="37">
      <c r="D702" s="11" t="n"/>
      <c r="F702" s="11" t="n"/>
    </row>
    <row r="703" ht="14.25" customHeight="1" s="37">
      <c r="D703" s="11" t="n"/>
      <c r="F703" s="11" t="n"/>
    </row>
    <row r="704" ht="14.25" customHeight="1" s="37">
      <c r="D704" s="11" t="n"/>
      <c r="F704" s="11" t="n"/>
    </row>
    <row r="705" ht="14.25" customHeight="1" s="37">
      <c r="D705" s="11" t="n"/>
      <c r="F705" s="11" t="n"/>
    </row>
    <row r="706" ht="14.25" customHeight="1" s="37">
      <c r="D706" s="11" t="n"/>
      <c r="F706" s="11" t="n"/>
    </row>
    <row r="707" ht="14.25" customHeight="1" s="37">
      <c r="D707" s="11" t="n"/>
      <c r="F707" s="11" t="n"/>
    </row>
    <row r="708" ht="14.25" customHeight="1" s="37">
      <c r="D708" s="11" t="n"/>
      <c r="F708" s="11" t="n"/>
    </row>
    <row r="709" ht="14.25" customHeight="1" s="37">
      <c r="D709" s="11" t="n"/>
      <c r="F709" s="11" t="n"/>
    </row>
    <row r="710" ht="14.25" customHeight="1" s="37">
      <c r="D710" s="11" t="n"/>
      <c r="F710" s="11" t="n"/>
    </row>
    <row r="711" ht="14.25" customHeight="1" s="37">
      <c r="D711" s="11" t="n"/>
      <c r="F711" s="11" t="n"/>
    </row>
    <row r="712" ht="14.25" customHeight="1" s="37">
      <c r="D712" s="11" t="n"/>
      <c r="F712" s="11" t="n"/>
    </row>
    <row r="713" ht="14.25" customHeight="1" s="37">
      <c r="D713" s="11" t="n"/>
      <c r="F713" s="11" t="n"/>
    </row>
    <row r="714" ht="14.25" customHeight="1" s="37">
      <c r="D714" s="11" t="n"/>
      <c r="F714" s="11" t="n"/>
    </row>
    <row r="715" ht="14.25" customHeight="1" s="37">
      <c r="D715" s="11" t="n"/>
      <c r="F715" s="11" t="n"/>
    </row>
    <row r="716" ht="14.25" customHeight="1" s="37">
      <c r="D716" s="11" t="n"/>
      <c r="F716" s="11" t="n"/>
    </row>
    <row r="717" ht="14.25" customHeight="1" s="37">
      <c r="D717" s="11" t="n"/>
      <c r="F717" s="11" t="n"/>
    </row>
    <row r="718" ht="14.25" customHeight="1" s="37">
      <c r="D718" s="11" t="n"/>
      <c r="F718" s="11" t="n"/>
    </row>
    <row r="719" ht="14.25" customHeight="1" s="37">
      <c r="D719" s="11" t="n"/>
      <c r="F719" s="11" t="n"/>
    </row>
    <row r="720" ht="14.25" customHeight="1" s="37">
      <c r="D720" s="11" t="n"/>
      <c r="F720" s="11" t="n"/>
    </row>
    <row r="721" ht="14.25" customHeight="1" s="37">
      <c r="D721" s="11" t="n"/>
      <c r="F721" s="11" t="n"/>
    </row>
    <row r="722" ht="14.25" customHeight="1" s="37">
      <c r="D722" s="11" t="n"/>
      <c r="F722" s="11" t="n"/>
    </row>
    <row r="723" ht="14.25" customHeight="1" s="37">
      <c r="D723" s="11" t="n"/>
      <c r="F723" s="11" t="n"/>
    </row>
    <row r="724" ht="14.25" customHeight="1" s="37">
      <c r="D724" s="11" t="n"/>
      <c r="F724" s="11" t="n"/>
    </row>
    <row r="725" ht="14.25" customHeight="1" s="37">
      <c r="D725" s="11" t="n"/>
      <c r="F725" s="11" t="n"/>
    </row>
    <row r="726" ht="14.25" customHeight="1" s="37">
      <c r="D726" s="11" t="n"/>
      <c r="F726" s="11" t="n"/>
    </row>
    <row r="727" ht="14.25" customHeight="1" s="37">
      <c r="D727" s="11" t="n"/>
      <c r="F727" s="11" t="n"/>
    </row>
    <row r="728" ht="14.25" customHeight="1" s="37">
      <c r="D728" s="11" t="n"/>
      <c r="F728" s="11" t="n"/>
    </row>
    <row r="729" ht="14.25" customHeight="1" s="37">
      <c r="D729" s="11" t="n"/>
      <c r="F729" s="11" t="n"/>
    </row>
    <row r="730" ht="14.25" customHeight="1" s="37">
      <c r="D730" s="11" t="n"/>
      <c r="F730" s="11" t="n"/>
    </row>
    <row r="731" ht="14.25" customHeight="1" s="37">
      <c r="D731" s="11" t="n"/>
      <c r="F731" s="11" t="n"/>
    </row>
    <row r="732" ht="14.25" customHeight="1" s="37">
      <c r="D732" s="11" t="n"/>
      <c r="F732" s="11" t="n"/>
    </row>
    <row r="733" ht="14.25" customHeight="1" s="37">
      <c r="D733" s="11" t="n"/>
      <c r="F733" s="11" t="n"/>
    </row>
    <row r="734" ht="14.25" customHeight="1" s="37">
      <c r="D734" s="11" t="n"/>
      <c r="F734" s="11" t="n"/>
    </row>
    <row r="735" ht="14.25" customHeight="1" s="37">
      <c r="D735" s="11" t="n"/>
      <c r="F735" s="11" t="n"/>
    </row>
    <row r="736" ht="14.25" customHeight="1" s="37">
      <c r="D736" s="11" t="n"/>
      <c r="F736" s="11" t="n"/>
    </row>
    <row r="737" ht="14.25" customHeight="1" s="37">
      <c r="D737" s="11" t="n"/>
      <c r="F737" s="11" t="n"/>
    </row>
    <row r="738" ht="14.25" customHeight="1" s="37">
      <c r="D738" s="11" t="n"/>
      <c r="F738" s="11" t="n"/>
    </row>
    <row r="739" ht="14.25" customHeight="1" s="37">
      <c r="D739" s="11" t="n"/>
      <c r="F739" s="11" t="n"/>
    </row>
    <row r="740" ht="14.25" customHeight="1" s="37">
      <c r="D740" s="11" t="n"/>
      <c r="F740" s="11" t="n"/>
    </row>
    <row r="741" ht="14.25" customHeight="1" s="37">
      <c r="D741" s="11" t="n"/>
      <c r="F741" s="11" t="n"/>
    </row>
    <row r="742" ht="14.25" customHeight="1" s="37">
      <c r="D742" s="11" t="n"/>
      <c r="F742" s="11" t="n"/>
    </row>
    <row r="743" ht="14.25" customHeight="1" s="37">
      <c r="D743" s="11" t="n"/>
      <c r="F743" s="11" t="n"/>
    </row>
    <row r="744" ht="14.25" customHeight="1" s="37">
      <c r="D744" s="11" t="n"/>
      <c r="F744" s="11" t="n"/>
    </row>
    <row r="745" ht="14.25" customHeight="1" s="37">
      <c r="D745" s="11" t="n"/>
      <c r="F745" s="11" t="n"/>
    </row>
    <row r="746" ht="14.25" customHeight="1" s="37">
      <c r="D746" s="11" t="n"/>
      <c r="F746" s="11" t="n"/>
    </row>
    <row r="747" ht="14.25" customHeight="1" s="37">
      <c r="D747" s="11" t="n"/>
      <c r="F747" s="11" t="n"/>
    </row>
    <row r="748" ht="14.25" customHeight="1" s="37">
      <c r="D748" s="11" t="n"/>
      <c r="F748" s="11" t="n"/>
    </row>
    <row r="749" ht="14.25" customHeight="1" s="37">
      <c r="D749" s="11" t="n"/>
      <c r="F749" s="11" t="n"/>
    </row>
    <row r="750" ht="14.25" customHeight="1" s="37">
      <c r="D750" s="11" t="n"/>
      <c r="F750" s="11" t="n"/>
    </row>
    <row r="751" ht="14.25" customHeight="1" s="37">
      <c r="D751" s="11" t="n"/>
      <c r="F751" s="11" t="n"/>
    </row>
    <row r="752" ht="14.25" customHeight="1" s="37">
      <c r="D752" s="11" t="n"/>
      <c r="F752" s="11" t="n"/>
    </row>
    <row r="753" ht="14.25" customHeight="1" s="37">
      <c r="D753" s="11" t="n"/>
      <c r="F753" s="11" t="n"/>
    </row>
    <row r="754" ht="14.25" customHeight="1" s="37">
      <c r="D754" s="11" t="n"/>
      <c r="F754" s="11" t="n"/>
    </row>
    <row r="755" ht="14.25" customHeight="1" s="37">
      <c r="D755" s="11" t="n"/>
      <c r="F755" s="11" t="n"/>
    </row>
    <row r="756" ht="14.25" customHeight="1" s="37">
      <c r="D756" s="11" t="n"/>
      <c r="F756" s="11" t="n"/>
    </row>
    <row r="757" ht="14.25" customHeight="1" s="37">
      <c r="D757" s="11" t="n"/>
      <c r="F757" s="11" t="n"/>
    </row>
    <row r="758" ht="14.25" customHeight="1" s="37">
      <c r="D758" s="11" t="n"/>
      <c r="F758" s="11" t="n"/>
    </row>
    <row r="759" ht="14.25" customHeight="1" s="37">
      <c r="D759" s="11" t="n"/>
      <c r="F759" s="11" t="n"/>
    </row>
    <row r="760" ht="14.25" customHeight="1" s="37">
      <c r="D760" s="11" t="n"/>
      <c r="F760" s="11" t="n"/>
    </row>
    <row r="761" ht="14.25" customHeight="1" s="37">
      <c r="D761" s="11" t="n"/>
      <c r="F761" s="11" t="n"/>
    </row>
    <row r="762" ht="14.25" customHeight="1" s="37">
      <c r="D762" s="11" t="n"/>
      <c r="F762" s="11" t="n"/>
    </row>
    <row r="763" ht="14.25" customHeight="1" s="37">
      <c r="D763" s="11" t="n"/>
      <c r="F763" s="11" t="n"/>
    </row>
    <row r="764" ht="14.25" customHeight="1" s="37">
      <c r="D764" s="11" t="n"/>
      <c r="F764" s="11" t="n"/>
    </row>
    <row r="765" ht="14.25" customHeight="1" s="37">
      <c r="D765" s="11" t="n"/>
      <c r="F765" s="11" t="n"/>
    </row>
    <row r="766" ht="14.25" customHeight="1" s="37">
      <c r="D766" s="11" t="n"/>
      <c r="F766" s="11" t="n"/>
    </row>
    <row r="767" ht="14.25" customHeight="1" s="37">
      <c r="D767" s="11" t="n"/>
      <c r="F767" s="11" t="n"/>
    </row>
    <row r="768" ht="14.25" customHeight="1" s="37">
      <c r="D768" s="11" t="n"/>
      <c r="F768" s="11" t="n"/>
    </row>
    <row r="769" ht="14.25" customHeight="1" s="37">
      <c r="D769" s="11" t="n"/>
      <c r="F769" s="11" t="n"/>
    </row>
    <row r="770" ht="14.25" customHeight="1" s="37">
      <c r="D770" s="11" t="n"/>
      <c r="F770" s="11" t="n"/>
    </row>
    <row r="771" ht="14.25" customHeight="1" s="37">
      <c r="D771" s="11" t="n"/>
      <c r="F771" s="11" t="n"/>
    </row>
    <row r="772" ht="14.25" customHeight="1" s="37">
      <c r="D772" s="11" t="n"/>
      <c r="F772" s="11" t="n"/>
    </row>
    <row r="773" ht="14.25" customHeight="1" s="37">
      <c r="D773" s="11" t="n"/>
      <c r="F773" s="11" t="n"/>
    </row>
    <row r="774" ht="14.25" customHeight="1" s="37">
      <c r="D774" s="11" t="n"/>
      <c r="F774" s="11" t="n"/>
    </row>
    <row r="775" ht="14.25" customHeight="1" s="37">
      <c r="D775" s="11" t="n"/>
      <c r="F775" s="11" t="n"/>
    </row>
    <row r="776" ht="14.25" customHeight="1" s="37">
      <c r="D776" s="11" t="n"/>
      <c r="F776" s="11" t="n"/>
    </row>
    <row r="777" ht="14.25" customHeight="1" s="37">
      <c r="D777" s="11" t="n"/>
      <c r="F777" s="11" t="n"/>
    </row>
    <row r="778" ht="14.25" customHeight="1" s="37">
      <c r="D778" s="11" t="n"/>
      <c r="F778" s="11" t="n"/>
    </row>
    <row r="779" ht="14.25" customHeight="1" s="37">
      <c r="D779" s="11" t="n"/>
      <c r="F779" s="11" t="n"/>
    </row>
    <row r="780" ht="14.25" customHeight="1" s="37">
      <c r="D780" s="11" t="n"/>
      <c r="F780" s="11" t="n"/>
    </row>
    <row r="781" ht="14.25" customHeight="1" s="37">
      <c r="D781" s="11" t="n"/>
      <c r="F781" s="11" t="n"/>
    </row>
    <row r="782" ht="14.25" customHeight="1" s="37">
      <c r="D782" s="11" t="n"/>
      <c r="F782" s="11" t="n"/>
    </row>
    <row r="783" ht="14.25" customHeight="1" s="37">
      <c r="D783" s="11" t="n"/>
      <c r="F783" s="11" t="n"/>
    </row>
    <row r="784" ht="14.25" customHeight="1" s="37">
      <c r="D784" s="11" t="n"/>
      <c r="F784" s="11" t="n"/>
    </row>
    <row r="785" ht="14.25" customHeight="1" s="37">
      <c r="D785" s="11" t="n"/>
      <c r="F785" s="11" t="n"/>
    </row>
    <row r="786" ht="14.25" customHeight="1" s="37">
      <c r="D786" s="11" t="n"/>
      <c r="F786" s="11" t="n"/>
    </row>
    <row r="787" ht="14.25" customHeight="1" s="37">
      <c r="D787" s="11" t="n"/>
      <c r="F787" s="11" t="n"/>
    </row>
    <row r="788" ht="14.25" customHeight="1" s="37">
      <c r="D788" s="11" t="n"/>
      <c r="F788" s="11" t="n"/>
    </row>
    <row r="789" ht="14.25" customHeight="1" s="37">
      <c r="D789" s="11" t="n"/>
      <c r="F789" s="11" t="n"/>
    </row>
    <row r="790" ht="14.25" customHeight="1" s="37">
      <c r="D790" s="11" t="n"/>
      <c r="F790" s="11" t="n"/>
    </row>
    <row r="791" ht="14.25" customHeight="1" s="37">
      <c r="D791" s="11" t="n"/>
      <c r="F791" s="11" t="n"/>
    </row>
    <row r="792" ht="14.25" customHeight="1" s="37">
      <c r="D792" s="11" t="n"/>
      <c r="F792" s="11" t="n"/>
    </row>
    <row r="793" ht="14.25" customHeight="1" s="37">
      <c r="D793" s="11" t="n"/>
      <c r="F793" s="11" t="n"/>
    </row>
    <row r="794" ht="14.25" customHeight="1" s="37">
      <c r="D794" s="11" t="n"/>
      <c r="F794" s="11" t="n"/>
    </row>
    <row r="795" ht="14.25" customHeight="1" s="37">
      <c r="D795" s="11" t="n"/>
      <c r="F795" s="11" t="n"/>
    </row>
    <row r="796" ht="14.25" customHeight="1" s="37">
      <c r="D796" s="11" t="n"/>
      <c r="F796" s="11" t="n"/>
    </row>
    <row r="797" ht="14.25" customHeight="1" s="37">
      <c r="D797" s="11" t="n"/>
      <c r="F797" s="11" t="n"/>
    </row>
    <row r="798" ht="14.25" customHeight="1" s="37">
      <c r="D798" s="11" t="n"/>
      <c r="F798" s="11" t="n"/>
    </row>
    <row r="799" ht="14.25" customHeight="1" s="37">
      <c r="D799" s="11" t="n"/>
      <c r="F799" s="11" t="n"/>
    </row>
    <row r="800" ht="14.25" customHeight="1" s="37">
      <c r="D800" s="11" t="n"/>
      <c r="F800" s="11" t="n"/>
    </row>
    <row r="801" ht="14.25" customHeight="1" s="37">
      <c r="D801" s="11" t="n"/>
      <c r="F801" s="11" t="n"/>
    </row>
    <row r="802" ht="14.25" customHeight="1" s="37">
      <c r="D802" s="11" t="n"/>
      <c r="F802" s="11" t="n"/>
    </row>
    <row r="803" ht="14.25" customHeight="1" s="37">
      <c r="D803" s="11" t="n"/>
      <c r="F803" s="11" t="n"/>
    </row>
    <row r="804" ht="14.25" customHeight="1" s="37">
      <c r="D804" s="11" t="n"/>
      <c r="F804" s="11" t="n"/>
    </row>
    <row r="805" ht="14.25" customHeight="1" s="37">
      <c r="D805" s="11" t="n"/>
      <c r="F805" s="11" t="n"/>
    </row>
    <row r="806" ht="14.25" customHeight="1" s="37">
      <c r="D806" s="11" t="n"/>
      <c r="F806" s="11" t="n"/>
    </row>
    <row r="807" ht="14.25" customHeight="1" s="37">
      <c r="D807" s="11" t="n"/>
      <c r="F807" s="11" t="n"/>
    </row>
    <row r="808" ht="14.25" customHeight="1" s="37">
      <c r="D808" s="11" t="n"/>
      <c r="F808" s="11" t="n"/>
    </row>
    <row r="809" ht="14.25" customHeight="1" s="37">
      <c r="D809" s="11" t="n"/>
      <c r="F809" s="11" t="n"/>
    </row>
    <row r="810" ht="14.25" customHeight="1" s="37">
      <c r="D810" s="11" t="n"/>
      <c r="F810" s="11" t="n"/>
    </row>
    <row r="811" ht="14.25" customHeight="1" s="37">
      <c r="D811" s="11" t="n"/>
      <c r="F811" s="11" t="n"/>
    </row>
    <row r="812" ht="14.25" customHeight="1" s="37">
      <c r="D812" s="11" t="n"/>
      <c r="F812" s="11" t="n"/>
    </row>
    <row r="813" ht="14.25" customHeight="1" s="37">
      <c r="D813" s="11" t="n"/>
      <c r="F813" s="11" t="n"/>
    </row>
    <row r="814" ht="14.25" customHeight="1" s="37">
      <c r="D814" s="11" t="n"/>
      <c r="F814" s="11" t="n"/>
    </row>
    <row r="815" ht="14.25" customHeight="1" s="37">
      <c r="D815" s="11" t="n"/>
      <c r="F815" s="11" t="n"/>
    </row>
    <row r="816" ht="14.25" customHeight="1" s="37">
      <c r="D816" s="11" t="n"/>
      <c r="F816" s="11" t="n"/>
    </row>
    <row r="817" ht="14.25" customHeight="1" s="37">
      <c r="D817" s="11" t="n"/>
      <c r="F817" s="11" t="n"/>
    </row>
    <row r="818" ht="14.25" customHeight="1" s="37">
      <c r="D818" s="11" t="n"/>
      <c r="F818" s="11" t="n"/>
    </row>
    <row r="819" ht="14.25" customHeight="1" s="37">
      <c r="D819" s="11" t="n"/>
      <c r="F819" s="11" t="n"/>
    </row>
    <row r="820" ht="14.25" customHeight="1" s="37">
      <c r="D820" s="11" t="n"/>
      <c r="F820" s="11" t="n"/>
    </row>
    <row r="821" ht="14.25" customHeight="1" s="37">
      <c r="D821" s="11" t="n"/>
      <c r="F821" s="11" t="n"/>
    </row>
    <row r="822" ht="14.25" customHeight="1" s="37">
      <c r="D822" s="11" t="n"/>
      <c r="F822" s="11" t="n"/>
    </row>
    <row r="823" ht="14.25" customHeight="1" s="37">
      <c r="D823" s="11" t="n"/>
      <c r="F823" s="11" t="n"/>
    </row>
    <row r="824" ht="14.25" customHeight="1" s="37">
      <c r="D824" s="11" t="n"/>
      <c r="F824" s="11" t="n"/>
    </row>
    <row r="825" ht="14.25" customHeight="1" s="37">
      <c r="D825" s="11" t="n"/>
      <c r="F825" s="11" t="n"/>
    </row>
    <row r="826" ht="14.25" customHeight="1" s="37">
      <c r="D826" s="11" t="n"/>
      <c r="F826" s="11" t="n"/>
    </row>
    <row r="827" ht="14.25" customHeight="1" s="37">
      <c r="D827" s="11" t="n"/>
      <c r="F827" s="11" t="n"/>
    </row>
    <row r="828" ht="14.25" customHeight="1" s="37">
      <c r="D828" s="11" t="n"/>
      <c r="F828" s="11" t="n"/>
    </row>
    <row r="829" ht="14.25" customHeight="1" s="37">
      <c r="D829" s="11" t="n"/>
      <c r="F829" s="11" t="n"/>
    </row>
    <row r="830" ht="14.25" customHeight="1" s="37">
      <c r="D830" s="11" t="n"/>
      <c r="F830" s="11" t="n"/>
    </row>
    <row r="831" ht="14.25" customHeight="1" s="37">
      <c r="D831" s="11" t="n"/>
      <c r="F831" s="11" t="n"/>
    </row>
    <row r="832" ht="14.25" customHeight="1" s="37">
      <c r="D832" s="11" t="n"/>
      <c r="F832" s="11" t="n"/>
    </row>
    <row r="833" ht="14.25" customHeight="1" s="37">
      <c r="D833" s="11" t="n"/>
      <c r="F833" s="11" t="n"/>
    </row>
    <row r="834" ht="14.25" customHeight="1" s="37">
      <c r="D834" s="11" t="n"/>
      <c r="F834" s="11" t="n"/>
    </row>
    <row r="835" ht="14.25" customHeight="1" s="37">
      <c r="D835" s="11" t="n"/>
      <c r="F835" s="11" t="n"/>
    </row>
    <row r="836" ht="14.25" customHeight="1" s="37">
      <c r="D836" s="11" t="n"/>
      <c r="F836" s="11" t="n"/>
    </row>
    <row r="837" ht="14.25" customHeight="1" s="37">
      <c r="D837" s="11" t="n"/>
      <c r="F837" s="11" t="n"/>
    </row>
    <row r="838" ht="14.25" customHeight="1" s="37">
      <c r="D838" s="11" t="n"/>
      <c r="F838" s="11" t="n"/>
    </row>
    <row r="839" ht="14.25" customHeight="1" s="37">
      <c r="D839" s="11" t="n"/>
      <c r="F839" s="11" t="n"/>
    </row>
    <row r="840" ht="14.25" customHeight="1" s="37">
      <c r="D840" s="11" t="n"/>
      <c r="F840" s="11" t="n"/>
    </row>
    <row r="841" ht="14.25" customHeight="1" s="37">
      <c r="D841" s="11" t="n"/>
      <c r="F841" s="11" t="n"/>
    </row>
    <row r="842" ht="14.25" customHeight="1" s="37">
      <c r="D842" s="11" t="n"/>
      <c r="F842" s="11" t="n"/>
    </row>
    <row r="843" ht="14.25" customHeight="1" s="37">
      <c r="D843" s="11" t="n"/>
      <c r="F843" s="11" t="n"/>
    </row>
    <row r="844" ht="14.25" customHeight="1" s="37">
      <c r="D844" s="11" t="n"/>
      <c r="F844" s="11" t="n"/>
    </row>
    <row r="845" ht="14.25" customHeight="1" s="37">
      <c r="D845" s="11" t="n"/>
      <c r="F845" s="11" t="n"/>
    </row>
    <row r="846" ht="14.25" customHeight="1" s="37">
      <c r="D846" s="11" t="n"/>
      <c r="F846" s="11" t="n"/>
    </row>
    <row r="847" ht="14.25" customHeight="1" s="37">
      <c r="D847" s="11" t="n"/>
      <c r="F847" s="11" t="n"/>
    </row>
    <row r="848" ht="14.25" customHeight="1" s="37">
      <c r="D848" s="11" t="n"/>
      <c r="F848" s="11" t="n"/>
    </row>
    <row r="849" ht="14.25" customHeight="1" s="37">
      <c r="D849" s="11" t="n"/>
      <c r="F849" s="11" t="n"/>
    </row>
    <row r="850" ht="14.25" customHeight="1" s="37">
      <c r="D850" s="11" t="n"/>
      <c r="F850" s="11" t="n"/>
    </row>
    <row r="851" ht="14.25" customHeight="1" s="37">
      <c r="D851" s="11" t="n"/>
      <c r="F851" s="11" t="n"/>
    </row>
    <row r="852" ht="14.25" customHeight="1" s="37">
      <c r="D852" s="11" t="n"/>
      <c r="F852" s="11" t="n"/>
    </row>
    <row r="853" ht="14.25" customHeight="1" s="37">
      <c r="D853" s="11" t="n"/>
      <c r="F853" s="11" t="n"/>
    </row>
    <row r="854" ht="14.25" customHeight="1" s="37">
      <c r="D854" s="11" t="n"/>
      <c r="F854" s="11" t="n"/>
    </row>
    <row r="855" ht="14.25" customHeight="1" s="37">
      <c r="D855" s="11" t="n"/>
      <c r="F855" s="11" t="n"/>
    </row>
    <row r="856" ht="14.25" customHeight="1" s="37">
      <c r="D856" s="11" t="n"/>
      <c r="F856" s="11" t="n"/>
    </row>
    <row r="857" ht="14.25" customHeight="1" s="37">
      <c r="D857" s="11" t="n"/>
      <c r="F857" s="11" t="n"/>
    </row>
    <row r="858" ht="14.25" customHeight="1" s="37">
      <c r="D858" s="11" t="n"/>
      <c r="F858" s="11" t="n"/>
    </row>
    <row r="859" ht="14.25" customHeight="1" s="37">
      <c r="D859" s="11" t="n"/>
      <c r="F859" s="11" t="n"/>
    </row>
    <row r="860" ht="14.25" customHeight="1" s="37">
      <c r="D860" s="11" t="n"/>
      <c r="F860" s="11" t="n"/>
    </row>
    <row r="861" ht="14.25" customHeight="1" s="37">
      <c r="D861" s="11" t="n"/>
      <c r="F861" s="11" t="n"/>
    </row>
    <row r="862" ht="14.25" customHeight="1" s="37">
      <c r="D862" s="11" t="n"/>
      <c r="F862" s="11" t="n"/>
    </row>
    <row r="863" ht="14.25" customHeight="1" s="37">
      <c r="D863" s="11" t="n"/>
      <c r="F863" s="11" t="n"/>
    </row>
    <row r="864" ht="14.25" customHeight="1" s="37">
      <c r="D864" s="11" t="n"/>
      <c r="F864" s="11" t="n"/>
    </row>
    <row r="865" ht="14.25" customHeight="1" s="37">
      <c r="D865" s="11" t="n"/>
      <c r="F865" s="11" t="n"/>
    </row>
    <row r="866" ht="14.25" customHeight="1" s="37">
      <c r="D866" s="11" t="n"/>
      <c r="F866" s="11" t="n"/>
    </row>
    <row r="867" ht="14.25" customHeight="1" s="37">
      <c r="D867" s="11" t="n"/>
      <c r="F867" s="11" t="n"/>
    </row>
    <row r="868" ht="14.25" customHeight="1" s="37">
      <c r="D868" s="11" t="n"/>
      <c r="F868" s="11" t="n"/>
    </row>
    <row r="869" ht="14.25" customHeight="1" s="37">
      <c r="D869" s="11" t="n"/>
      <c r="F869" s="11" t="n"/>
    </row>
    <row r="870" ht="14.25" customHeight="1" s="37">
      <c r="D870" s="11" t="n"/>
      <c r="F870" s="11" t="n"/>
    </row>
    <row r="871" ht="14.25" customHeight="1" s="37">
      <c r="D871" s="11" t="n"/>
      <c r="F871" s="11" t="n"/>
    </row>
    <row r="872" ht="14.25" customHeight="1" s="37">
      <c r="D872" s="11" t="n"/>
      <c r="F872" s="11" t="n"/>
    </row>
    <row r="873" ht="14.25" customHeight="1" s="37">
      <c r="D873" s="11" t="n"/>
      <c r="F873" s="11" t="n"/>
    </row>
    <row r="874" ht="14.25" customHeight="1" s="37">
      <c r="D874" s="11" t="n"/>
      <c r="F874" s="11" t="n"/>
    </row>
    <row r="875" ht="14.25" customHeight="1" s="37">
      <c r="D875" s="11" t="n"/>
      <c r="F875" s="11" t="n"/>
    </row>
    <row r="876" ht="14.25" customHeight="1" s="37">
      <c r="D876" s="11" t="n"/>
      <c r="F876" s="11" t="n"/>
    </row>
    <row r="877" ht="14.25" customHeight="1" s="37">
      <c r="D877" s="11" t="n"/>
      <c r="F877" s="11" t="n"/>
    </row>
    <row r="878" ht="14.25" customHeight="1" s="37">
      <c r="D878" s="11" t="n"/>
      <c r="F878" s="11" t="n"/>
    </row>
    <row r="879" ht="14.25" customHeight="1" s="37">
      <c r="D879" s="11" t="n"/>
      <c r="F879" s="11" t="n"/>
    </row>
    <row r="880" ht="14.25" customHeight="1" s="37">
      <c r="D880" s="11" t="n"/>
      <c r="F880" s="11" t="n"/>
    </row>
    <row r="881" ht="14.25" customHeight="1" s="37">
      <c r="D881" s="11" t="n"/>
      <c r="F881" s="11" t="n"/>
    </row>
    <row r="882" ht="14.25" customHeight="1" s="37">
      <c r="D882" s="11" t="n"/>
      <c r="F882" s="11" t="n"/>
    </row>
    <row r="883" ht="14.25" customHeight="1" s="37">
      <c r="D883" s="11" t="n"/>
      <c r="F883" s="11" t="n"/>
    </row>
    <row r="884" ht="14.25" customHeight="1" s="37">
      <c r="D884" s="11" t="n"/>
      <c r="F884" s="11" t="n"/>
    </row>
    <row r="885" ht="14.25" customHeight="1" s="37">
      <c r="D885" s="11" t="n"/>
      <c r="F885" s="11" t="n"/>
    </row>
    <row r="886" ht="14.25" customHeight="1" s="37">
      <c r="D886" s="11" t="n"/>
      <c r="F886" s="11" t="n"/>
    </row>
    <row r="887" ht="14.25" customHeight="1" s="37">
      <c r="D887" s="11" t="n"/>
      <c r="F887" s="11" t="n"/>
    </row>
    <row r="888" ht="14.25" customHeight="1" s="37">
      <c r="D888" s="11" t="n"/>
      <c r="F888" s="11" t="n"/>
    </row>
    <row r="889" ht="14.25" customHeight="1" s="37">
      <c r="D889" s="11" t="n"/>
      <c r="F889" s="11" t="n"/>
    </row>
    <row r="890" ht="14.25" customHeight="1" s="37">
      <c r="D890" s="11" t="n"/>
      <c r="F890" s="11" t="n"/>
    </row>
    <row r="891" ht="14.25" customHeight="1" s="37">
      <c r="D891" s="11" t="n"/>
      <c r="F891" s="11" t="n"/>
    </row>
    <row r="892" ht="14.25" customHeight="1" s="37">
      <c r="D892" s="11" t="n"/>
      <c r="F892" s="11" t="n"/>
    </row>
    <row r="893" ht="14.25" customHeight="1" s="37">
      <c r="D893" s="11" t="n"/>
      <c r="F893" s="11" t="n"/>
    </row>
    <row r="894" ht="14.25" customHeight="1" s="37">
      <c r="D894" s="11" t="n"/>
      <c r="F894" s="11" t="n"/>
    </row>
    <row r="895" ht="14.25" customHeight="1" s="37">
      <c r="D895" s="11" t="n"/>
      <c r="F895" s="11" t="n"/>
    </row>
    <row r="896" ht="14.25" customHeight="1" s="37">
      <c r="D896" s="11" t="n"/>
      <c r="F896" s="11" t="n"/>
    </row>
    <row r="897" ht="14.25" customHeight="1" s="37">
      <c r="D897" s="11" t="n"/>
      <c r="F897" s="11" t="n"/>
    </row>
    <row r="898" ht="14.25" customHeight="1" s="37">
      <c r="D898" s="11" t="n"/>
      <c r="F898" s="11" t="n"/>
    </row>
    <row r="899" ht="14.25" customHeight="1" s="37">
      <c r="D899" s="11" t="n"/>
      <c r="F899" s="11" t="n"/>
    </row>
    <row r="900" ht="14.25" customHeight="1" s="37">
      <c r="D900" s="11" t="n"/>
      <c r="F900" s="11" t="n"/>
    </row>
    <row r="901" ht="14.25" customHeight="1" s="37">
      <c r="D901" s="11" t="n"/>
      <c r="F901" s="11" t="n"/>
    </row>
    <row r="902" ht="14.25" customHeight="1" s="37">
      <c r="D902" s="11" t="n"/>
      <c r="F902" s="11" t="n"/>
    </row>
    <row r="903" ht="14.25" customHeight="1" s="37">
      <c r="D903" s="11" t="n"/>
      <c r="F903" s="11" t="n"/>
    </row>
    <row r="904" ht="14.25" customHeight="1" s="37">
      <c r="D904" s="11" t="n"/>
      <c r="F904" s="11" t="n"/>
    </row>
    <row r="905" ht="14.25" customHeight="1" s="37">
      <c r="D905" s="11" t="n"/>
      <c r="F905" s="11" t="n"/>
    </row>
    <row r="906" ht="14.25" customHeight="1" s="37">
      <c r="D906" s="11" t="n"/>
      <c r="F906" s="11" t="n"/>
    </row>
    <row r="907" ht="14.25" customHeight="1" s="37">
      <c r="D907" s="11" t="n"/>
      <c r="F907" s="11" t="n"/>
    </row>
    <row r="908" ht="14.25" customHeight="1" s="37">
      <c r="D908" s="11" t="n"/>
      <c r="F908" s="11" t="n"/>
    </row>
    <row r="909" ht="14.25" customHeight="1" s="37">
      <c r="D909" s="11" t="n"/>
      <c r="F909" s="11" t="n"/>
    </row>
    <row r="910" ht="14.25" customHeight="1" s="37">
      <c r="D910" s="11" t="n"/>
      <c r="F910" s="11" t="n"/>
    </row>
    <row r="911" ht="14.25" customHeight="1" s="37">
      <c r="D911" s="11" t="n"/>
      <c r="F911" s="11" t="n"/>
    </row>
    <row r="912" ht="14.25" customHeight="1" s="37">
      <c r="D912" s="11" t="n"/>
      <c r="F912" s="11" t="n"/>
    </row>
    <row r="913" ht="14.25" customHeight="1" s="37">
      <c r="D913" s="11" t="n"/>
      <c r="F913" s="11" t="n"/>
    </row>
    <row r="914" ht="14.25" customHeight="1" s="37">
      <c r="D914" s="11" t="n"/>
      <c r="F914" s="11" t="n"/>
    </row>
    <row r="915" ht="14.25" customHeight="1" s="37">
      <c r="D915" s="11" t="n"/>
      <c r="F915" s="11" t="n"/>
    </row>
    <row r="916" ht="14.25" customHeight="1" s="37">
      <c r="D916" s="11" t="n"/>
      <c r="F916" s="11" t="n"/>
    </row>
    <row r="917" ht="14.25" customHeight="1" s="37">
      <c r="D917" s="11" t="n"/>
      <c r="F917" s="11" t="n"/>
    </row>
    <row r="918" ht="14.25" customHeight="1" s="37">
      <c r="D918" s="11" t="n"/>
      <c r="F918" s="11" t="n"/>
    </row>
    <row r="919" ht="14.25" customHeight="1" s="37">
      <c r="D919" s="11" t="n"/>
      <c r="F919" s="11" t="n"/>
    </row>
    <row r="920" ht="14.25" customHeight="1" s="37">
      <c r="D920" s="11" t="n"/>
      <c r="F920" s="11" t="n"/>
    </row>
    <row r="921" ht="14.25" customHeight="1" s="37">
      <c r="D921" s="11" t="n"/>
      <c r="F921" s="11" t="n"/>
    </row>
    <row r="922" ht="14.25" customHeight="1" s="37">
      <c r="D922" s="11" t="n"/>
      <c r="F922" s="11" t="n"/>
    </row>
    <row r="923" ht="14.25" customHeight="1" s="37">
      <c r="D923" s="11" t="n"/>
      <c r="F923" s="11" t="n"/>
    </row>
    <row r="924" ht="14.25" customHeight="1" s="37">
      <c r="D924" s="11" t="n"/>
      <c r="F924" s="11" t="n"/>
    </row>
    <row r="925" ht="14.25" customHeight="1" s="37">
      <c r="D925" s="11" t="n"/>
      <c r="F925" s="11" t="n"/>
    </row>
    <row r="926" ht="14.25" customHeight="1" s="37">
      <c r="D926" s="11" t="n"/>
      <c r="F926" s="11" t="n"/>
    </row>
    <row r="927" ht="14.25" customHeight="1" s="37">
      <c r="D927" s="11" t="n"/>
      <c r="F927" s="11" t="n"/>
    </row>
    <row r="928" ht="14.25" customHeight="1" s="37">
      <c r="D928" s="11" t="n"/>
      <c r="F928" s="11" t="n"/>
    </row>
    <row r="929" ht="14.25" customHeight="1" s="37">
      <c r="D929" s="11" t="n"/>
      <c r="F929" s="11" t="n"/>
    </row>
    <row r="930" ht="14.25" customHeight="1" s="37">
      <c r="D930" s="11" t="n"/>
      <c r="F930" s="11" t="n"/>
    </row>
    <row r="931" ht="14.25" customHeight="1" s="37">
      <c r="D931" s="11" t="n"/>
      <c r="F931" s="11" t="n"/>
    </row>
    <row r="932" ht="14.25" customHeight="1" s="37">
      <c r="D932" s="11" t="n"/>
      <c r="F932" s="11" t="n"/>
    </row>
    <row r="933" ht="14.25" customHeight="1" s="37">
      <c r="D933" s="11" t="n"/>
      <c r="F933" s="11" t="n"/>
    </row>
    <row r="934" ht="14.25" customHeight="1" s="37">
      <c r="D934" s="11" t="n"/>
      <c r="F934" s="11" t="n"/>
    </row>
    <row r="935" ht="14.25" customHeight="1" s="37">
      <c r="D935" s="11" t="n"/>
      <c r="F935" s="11" t="n"/>
    </row>
    <row r="936" ht="14.25" customHeight="1" s="37">
      <c r="D936" s="11" t="n"/>
      <c r="F936" s="11" t="n"/>
    </row>
    <row r="937" ht="14.25" customHeight="1" s="37">
      <c r="D937" s="11" t="n"/>
      <c r="F937" s="11" t="n"/>
    </row>
    <row r="938" ht="14.25" customHeight="1" s="37">
      <c r="D938" s="11" t="n"/>
      <c r="F938" s="11" t="n"/>
    </row>
    <row r="939" ht="14.25" customHeight="1" s="37">
      <c r="D939" s="11" t="n"/>
      <c r="F939" s="11" t="n"/>
    </row>
    <row r="940" ht="14.25" customHeight="1" s="37">
      <c r="D940" s="11" t="n"/>
      <c r="F940" s="11" t="n"/>
    </row>
    <row r="941" ht="14.25" customHeight="1" s="37">
      <c r="D941" s="11" t="n"/>
      <c r="F941" s="11" t="n"/>
    </row>
    <row r="942" ht="14.25" customHeight="1" s="37">
      <c r="D942" s="11" t="n"/>
      <c r="F942" s="11" t="n"/>
    </row>
    <row r="943" ht="14.25" customHeight="1" s="37">
      <c r="D943" s="11" t="n"/>
      <c r="F943" s="11" t="n"/>
    </row>
    <row r="944" ht="14.25" customHeight="1" s="37">
      <c r="D944" s="11" t="n"/>
      <c r="F944" s="11" t="n"/>
    </row>
    <row r="945" ht="14.25" customHeight="1" s="37">
      <c r="D945" s="11" t="n"/>
      <c r="F945" s="11" t="n"/>
    </row>
    <row r="946" ht="14.25" customHeight="1" s="37">
      <c r="D946" s="11" t="n"/>
      <c r="F946" s="11" t="n"/>
    </row>
    <row r="947" ht="14.25" customHeight="1" s="37">
      <c r="D947" s="11" t="n"/>
      <c r="F947" s="11" t="n"/>
    </row>
    <row r="948" ht="14.25" customHeight="1" s="37">
      <c r="D948" s="11" t="n"/>
      <c r="F948" s="11" t="n"/>
    </row>
    <row r="949" ht="14.25" customHeight="1" s="37">
      <c r="D949" s="11" t="n"/>
      <c r="F949" s="11" t="n"/>
    </row>
    <row r="950" ht="14.25" customHeight="1" s="37">
      <c r="D950" s="11" t="n"/>
      <c r="F950" s="11" t="n"/>
    </row>
    <row r="951" ht="14.25" customHeight="1" s="37">
      <c r="D951" s="11" t="n"/>
      <c r="F951" s="11" t="n"/>
    </row>
    <row r="952" ht="14.25" customHeight="1" s="37">
      <c r="D952" s="11" t="n"/>
      <c r="F952" s="11" t="n"/>
    </row>
    <row r="953" ht="14.25" customHeight="1" s="37">
      <c r="D953" s="11" t="n"/>
      <c r="F953" s="11" t="n"/>
    </row>
    <row r="954" ht="14.25" customHeight="1" s="37">
      <c r="D954" s="11" t="n"/>
      <c r="F954" s="11" t="n"/>
    </row>
    <row r="955" ht="14.25" customHeight="1" s="37">
      <c r="D955" s="11" t="n"/>
      <c r="F955" s="11" t="n"/>
    </row>
    <row r="956" ht="14.25" customHeight="1" s="37">
      <c r="D956" s="11" t="n"/>
      <c r="F956" s="11" t="n"/>
    </row>
    <row r="957" ht="14.25" customHeight="1" s="37">
      <c r="D957" s="11" t="n"/>
      <c r="F957" s="11" t="n"/>
    </row>
    <row r="958" ht="14.25" customHeight="1" s="37">
      <c r="D958" s="11" t="n"/>
      <c r="F958" s="11" t="n"/>
    </row>
    <row r="959" ht="14.25" customHeight="1" s="37">
      <c r="D959" s="11" t="n"/>
      <c r="F959" s="11" t="n"/>
    </row>
    <row r="960" ht="14.25" customHeight="1" s="37">
      <c r="D960" s="11" t="n"/>
      <c r="F960" s="11" t="n"/>
    </row>
    <row r="961" ht="14.25" customHeight="1" s="37">
      <c r="D961" s="11" t="n"/>
      <c r="F961" s="11" t="n"/>
    </row>
    <row r="962" ht="14.25" customHeight="1" s="37">
      <c r="D962" s="11" t="n"/>
      <c r="F962" s="11" t="n"/>
    </row>
    <row r="963" ht="14.25" customHeight="1" s="37">
      <c r="D963" s="11" t="n"/>
      <c r="F963" s="11" t="n"/>
    </row>
    <row r="964" ht="14.25" customHeight="1" s="37">
      <c r="D964" s="11" t="n"/>
      <c r="F964" s="11" t="n"/>
    </row>
    <row r="965" ht="14.25" customHeight="1" s="37">
      <c r="D965" s="11" t="n"/>
      <c r="F965" s="11" t="n"/>
    </row>
    <row r="966" ht="14.25" customHeight="1" s="37">
      <c r="D966" s="11" t="n"/>
      <c r="F966" s="11" t="n"/>
    </row>
    <row r="967" ht="14.25" customHeight="1" s="37">
      <c r="D967" s="11" t="n"/>
      <c r="F967" s="11" t="n"/>
    </row>
    <row r="968" ht="14.25" customHeight="1" s="37">
      <c r="D968" s="11" t="n"/>
      <c r="F968" s="11" t="n"/>
    </row>
    <row r="969" ht="14.25" customHeight="1" s="37">
      <c r="D969" s="11" t="n"/>
      <c r="F969" s="11" t="n"/>
    </row>
    <row r="970" ht="14.25" customHeight="1" s="37">
      <c r="D970" s="11" t="n"/>
      <c r="F970" s="11" t="n"/>
    </row>
    <row r="971" ht="14.25" customHeight="1" s="37">
      <c r="D971" s="11" t="n"/>
      <c r="F971" s="11" t="n"/>
    </row>
    <row r="972" ht="14.25" customHeight="1" s="37">
      <c r="D972" s="11" t="n"/>
      <c r="F972" s="11" t="n"/>
    </row>
    <row r="973" ht="14.25" customHeight="1" s="37">
      <c r="D973" s="11" t="n"/>
      <c r="F973" s="11" t="n"/>
    </row>
    <row r="974" ht="14.25" customHeight="1" s="37">
      <c r="D974" s="11" t="n"/>
      <c r="F974" s="11" t="n"/>
    </row>
    <row r="975" ht="14.25" customHeight="1" s="37">
      <c r="D975" s="11" t="n"/>
      <c r="F975" s="11" t="n"/>
    </row>
    <row r="976" ht="14.25" customHeight="1" s="37">
      <c r="D976" s="11" t="n"/>
      <c r="F976" s="11" t="n"/>
    </row>
    <row r="977" ht="14.25" customHeight="1" s="37">
      <c r="D977" s="11" t="n"/>
      <c r="F977" s="11" t="n"/>
    </row>
    <row r="978" ht="14.25" customHeight="1" s="37">
      <c r="D978" s="11" t="n"/>
      <c r="F978" s="11" t="n"/>
    </row>
    <row r="979" ht="14.25" customHeight="1" s="37">
      <c r="D979" s="11" t="n"/>
      <c r="F979" s="11" t="n"/>
    </row>
    <row r="980" ht="14.25" customHeight="1" s="37">
      <c r="D980" s="11" t="n"/>
      <c r="F980" s="11" t="n"/>
    </row>
    <row r="981" ht="14.25" customHeight="1" s="37">
      <c r="D981" s="11" t="n"/>
      <c r="F981" s="11" t="n"/>
    </row>
    <row r="982" ht="14.25" customHeight="1" s="37">
      <c r="D982" s="11" t="n"/>
      <c r="F982" s="11" t="n"/>
    </row>
    <row r="983" ht="14.25" customHeight="1" s="37">
      <c r="D983" s="11" t="n"/>
      <c r="F983" s="11" t="n"/>
    </row>
    <row r="984" ht="14.25" customHeight="1" s="37">
      <c r="D984" s="11" t="n"/>
      <c r="F984" s="11" t="n"/>
    </row>
    <row r="985" ht="14.25" customHeight="1" s="37">
      <c r="D985" s="11" t="n"/>
      <c r="F985" s="11" t="n"/>
    </row>
    <row r="986" ht="14.25" customHeight="1" s="37">
      <c r="D986" s="11" t="n"/>
      <c r="F986" s="11" t="n"/>
    </row>
    <row r="987" ht="14.25" customHeight="1" s="37">
      <c r="D987" s="11" t="n"/>
      <c r="F987" s="11" t="n"/>
    </row>
    <row r="988" ht="14.25" customHeight="1" s="37">
      <c r="D988" s="11" t="n"/>
      <c r="F988" s="11" t="n"/>
    </row>
    <row r="989" ht="14.25" customHeight="1" s="37">
      <c r="D989" s="11" t="n"/>
      <c r="F989" s="11" t="n"/>
    </row>
    <row r="990" ht="14.25" customHeight="1" s="37">
      <c r="D990" s="11" t="n"/>
      <c r="F990" s="11" t="n"/>
    </row>
    <row r="991" ht="14.25" customHeight="1" s="37">
      <c r="D991" s="11" t="n"/>
      <c r="F991" s="11" t="n"/>
    </row>
    <row r="992" ht="14.25" customHeight="1" s="37">
      <c r="D992" s="11" t="n"/>
      <c r="F992" s="11" t="n"/>
    </row>
    <row r="993" ht="14.25" customHeight="1" s="37">
      <c r="D993" s="11" t="n"/>
      <c r="F993" s="11" t="n"/>
    </row>
    <row r="994" ht="14.25" customHeight="1" s="37">
      <c r="D994" s="11" t="n"/>
      <c r="F994" s="11" t="n"/>
    </row>
    <row r="995" ht="14.25" customHeight="1" s="37">
      <c r="D995" s="11" t="n"/>
      <c r="F995" s="11" t="n"/>
    </row>
    <row r="996" ht="14.25" customHeight="1" s="37">
      <c r="D996" s="11" t="n"/>
      <c r="F996" s="11" t="n"/>
    </row>
    <row r="997" ht="14.25" customHeight="1" s="37">
      <c r="D997" s="11" t="n"/>
      <c r="F997" s="11" t="n"/>
    </row>
    <row r="998" ht="14.25" customHeight="1" s="37">
      <c r="D998" s="11" t="n"/>
      <c r="F998" s="11" t="n"/>
    </row>
    <row r="999" ht="14.25" customHeight="1" s="37">
      <c r="D999" s="11" t="n"/>
      <c r="F999" s="11" t="n"/>
    </row>
    <row r="1000" ht="14.25" customHeight="1" s="37">
      <c r="D1000" s="11" t="n"/>
      <c r="F1000" s="11" t="n"/>
    </row>
    <row r="1001" ht="14.25" customHeight="1" s="37">
      <c r="D1001" s="11" t="n"/>
      <c r="F1001" s="11" t="n"/>
    </row>
  </sheetData>
  <autoFilter ref="$A$1:$I$1001"/>
  <dataValidations count="2">
    <dataValidation sqref="D2:D1001" showDropDown="0" showInputMessage="0" showErrorMessage="0" allowBlank="1" type="list">
      <formula1>LIST!$D$2:$D$3</formula1>
    </dataValidation>
    <dataValidation sqref="F2:F1001" showDropDown="0" showInputMessage="0" showErrorMessage="0" allowBlank="1" type="list">
      <formula1>LIST!$E$2:$E$3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20" customWidth="1" style="37" min="4" max="5"/>
    <col width="30" customWidth="1" style="37" min="6" max="6"/>
    <col width="9" customWidth="1" style="37" min="7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Tanggal Pindah Agama</t>
        </is>
      </c>
      <c r="E1" s="7" t="inlineStr">
        <is>
          <t>Agama Baru</t>
        </is>
      </c>
      <c r="F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n"/>
      <c r="E2" s="9" t="n"/>
      <c r="F2" s="9" t="n"/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n"/>
      <c r="E3" s="9" t="n"/>
      <c r="F3" s="9" t="n"/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n"/>
      <c r="E4" s="9" t="n"/>
      <c r="F4" s="9" t="n"/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n"/>
      <c r="E5" s="9" t="n"/>
      <c r="F5" s="9" t="n"/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n"/>
      <c r="E6" s="9" t="n"/>
      <c r="F6" s="9" t="n"/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n"/>
      <c r="E7" s="9" t="n"/>
      <c r="F7" s="9" t="n"/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n"/>
      <c r="E8" s="9" t="n"/>
      <c r="F8" s="9" t="n"/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n"/>
      <c r="E9" s="9" t="n"/>
      <c r="F9" s="9" t="n"/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n"/>
      <c r="E10" s="9" t="n"/>
      <c r="F10" s="9" t="n"/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n"/>
      <c r="E11" s="9" t="n"/>
      <c r="F11" s="9" t="n"/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n"/>
      <c r="E12" s="9" t="n"/>
      <c r="F12" s="9" t="n"/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n"/>
      <c r="E13" s="9" t="n"/>
      <c r="F13" s="9" t="n"/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n"/>
      <c r="E14" s="9" t="n"/>
      <c r="F14" s="9" t="n"/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n"/>
      <c r="E15" s="9" t="n"/>
      <c r="F15" s="9" t="n"/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n"/>
      <c r="E16" s="9" t="n"/>
      <c r="F16" s="9" t="n"/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9" t="n"/>
      <c r="F17" s="9" t="n"/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n"/>
      <c r="E18" s="9" t="n"/>
      <c r="F18" s="9" t="n"/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n"/>
      <c r="E19" s="9" t="n"/>
      <c r="F19" s="9" t="n"/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n"/>
      <c r="E20" s="9" t="n"/>
      <c r="F20" s="9" t="n"/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n"/>
      <c r="E21" s="9" t="n"/>
      <c r="F21" s="9" t="n"/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n"/>
      <c r="E22" s="9" t="n"/>
      <c r="F22" s="9" t="n"/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n"/>
      <c r="E23" s="9" t="n"/>
      <c r="F23" s="9" t="n"/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n"/>
      <c r="E24" s="9" t="n"/>
      <c r="F24" s="9" t="n"/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n"/>
      <c r="E25" s="9" t="n"/>
      <c r="F25" s="9" t="n"/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n"/>
      <c r="E26" s="9" t="n"/>
      <c r="F26" s="9" t="n"/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n"/>
      <c r="E27" s="9" t="n"/>
      <c r="F27" s="9" t="n"/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n"/>
      <c r="E28" s="9" t="n"/>
      <c r="F28" s="9" t="n"/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n"/>
      <c r="E29" s="9" t="n"/>
      <c r="F29" s="9" t="n"/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n"/>
      <c r="E30" s="9" t="n"/>
      <c r="F30" s="9" t="n"/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n"/>
      <c r="E31" s="9" t="n"/>
      <c r="F31" s="9" t="n"/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n"/>
      <c r="E35" s="9" t="n"/>
      <c r="F35" s="9" t="n"/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n"/>
      <c r="E45" s="9" t="n"/>
      <c r="F45" s="9" t="n"/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n"/>
      <c r="E46" s="9" t="n"/>
      <c r="F46" s="9" t="n"/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9" t="n"/>
      <c r="F53" s="9" t="n"/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9" t="n"/>
      <c r="F68" s="9" t="n"/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9" t="n"/>
      <c r="F69" s="9" t="n"/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9" t="n"/>
      <c r="F70" s="9" t="n"/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9" t="n"/>
      <c r="F71" s="9" t="n"/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9" t="n"/>
      <c r="F72" s="9" t="n"/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9" t="n"/>
      <c r="F73" s="9" t="n"/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9" t="n"/>
      <c r="F76" s="9" t="n"/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9" t="n"/>
      <c r="F78" s="9" t="n"/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9" t="n"/>
      <c r="F79" s="9" t="n"/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9" t="n"/>
      <c r="F80" s="9" t="n"/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9" t="n"/>
      <c r="F81" s="9" t="n"/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9" t="n"/>
      <c r="F82" s="9" t="n"/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</row>
    <row r="84" ht="14.25" customHeight="1" s="37">
      <c r="A84" s="9" t="n"/>
      <c r="B84" s="9" t="n"/>
      <c r="C84" s="9" t="n"/>
      <c r="D84" s="9" t="n"/>
      <c r="E84" s="9" t="n"/>
      <c r="F84" s="9" t="n"/>
    </row>
    <row r="85" ht="14.25" customHeight="1" s="37">
      <c r="A85" s="9" t="n"/>
      <c r="B85" s="9" t="n"/>
      <c r="C85" s="9" t="n"/>
      <c r="D85" s="9" t="n"/>
      <c r="E85" s="9" t="n"/>
      <c r="F85" s="9" t="n"/>
    </row>
    <row r="86" ht="14.25" customHeight="1" s="37">
      <c r="A86" s="9" t="n"/>
      <c r="B86" s="9" t="n"/>
      <c r="C86" s="9" t="n"/>
      <c r="D86" s="9" t="n"/>
      <c r="E86" s="9" t="n"/>
      <c r="F86" s="9" t="n"/>
    </row>
    <row r="87" ht="14.25" customHeight="1" s="37">
      <c r="A87" s="9" t="n"/>
      <c r="B87" s="9" t="n"/>
      <c r="C87" s="9" t="n"/>
      <c r="D87" s="9" t="n"/>
      <c r="E87" s="9" t="n"/>
      <c r="F87" s="9" t="n"/>
    </row>
    <row r="88" ht="14.25" customHeight="1" s="37">
      <c r="A88" s="9" t="n"/>
      <c r="B88" s="9" t="n"/>
      <c r="C88" s="9" t="n"/>
      <c r="D88" s="9" t="n"/>
      <c r="E88" s="9" t="n"/>
      <c r="F88" s="9" t="n"/>
    </row>
    <row r="89" ht="14.25" customHeight="1" s="37">
      <c r="A89" s="9" t="n"/>
      <c r="B89" s="9" t="n"/>
      <c r="C89" s="9" t="n"/>
      <c r="D89" s="9" t="n"/>
      <c r="E89" s="9" t="n"/>
      <c r="F89" s="9" t="n"/>
    </row>
    <row r="90" ht="14.25" customHeight="1" s="37">
      <c r="A90" s="9" t="n"/>
      <c r="B90" s="9" t="n"/>
      <c r="C90" s="9" t="n"/>
      <c r="D90" s="9" t="n"/>
      <c r="E90" s="9" t="n"/>
      <c r="F90" s="9" t="n"/>
    </row>
    <row r="91" ht="14.25" customHeight="1" s="37">
      <c r="A91" s="9" t="n"/>
      <c r="B91" s="9" t="n"/>
      <c r="C91" s="9" t="n"/>
      <c r="D91" s="9" t="n"/>
      <c r="E91" s="9" t="n"/>
      <c r="F91" s="9" t="n"/>
    </row>
    <row r="92" ht="14.25" customHeight="1" s="37">
      <c r="A92" s="9" t="n"/>
      <c r="B92" s="9" t="n"/>
      <c r="C92" s="9" t="n"/>
      <c r="D92" s="9" t="n"/>
      <c r="E92" s="9" t="n"/>
      <c r="F92" s="9" t="n"/>
    </row>
    <row r="93" ht="14.25" customHeight="1" s="37">
      <c r="A93" s="9" t="n"/>
      <c r="B93" s="9" t="n"/>
      <c r="C93" s="9" t="n"/>
      <c r="D93" s="9" t="n"/>
      <c r="E93" s="9" t="n"/>
      <c r="F93" s="9" t="n"/>
    </row>
    <row r="94" ht="14.25" customHeight="1" s="37">
      <c r="A94" s="9" t="n"/>
      <c r="B94" s="9" t="n"/>
      <c r="C94" s="9" t="n"/>
      <c r="D94" s="9" t="n"/>
      <c r="E94" s="9" t="n"/>
      <c r="F94" s="9" t="n"/>
    </row>
    <row r="95" ht="14.25" customHeight="1" s="37">
      <c r="A95" s="9" t="n"/>
      <c r="B95" s="9" t="n"/>
      <c r="C95" s="9" t="n"/>
      <c r="D95" s="9" t="n"/>
      <c r="E95" s="9" t="n"/>
      <c r="F95" s="9" t="n"/>
    </row>
    <row r="96" ht="14.25" customHeight="1" s="37">
      <c r="A96" s="9" t="n"/>
      <c r="B96" s="9" t="n"/>
      <c r="C96" s="9" t="n"/>
      <c r="D96" s="9" t="n"/>
      <c r="E96" s="9" t="n"/>
      <c r="F96" s="9" t="n"/>
    </row>
    <row r="97" ht="14.25" customHeight="1" s="37">
      <c r="A97" s="9" t="n"/>
      <c r="B97" s="9" t="n"/>
      <c r="C97" s="9" t="n"/>
      <c r="D97" s="9" t="n"/>
      <c r="E97" s="9" t="n"/>
      <c r="F97" s="9" t="n"/>
    </row>
    <row r="98" ht="14.25" customHeight="1" s="37">
      <c r="A98" s="9" t="n"/>
      <c r="B98" s="9" t="n"/>
      <c r="C98" s="9" t="n"/>
      <c r="D98" s="9" t="n"/>
      <c r="E98" s="9" t="n"/>
      <c r="F98" s="9" t="n"/>
    </row>
    <row r="99" ht="14.25" customHeight="1" s="37">
      <c r="A99" s="9" t="n"/>
      <c r="B99" s="9" t="n"/>
      <c r="C99" s="9" t="n"/>
      <c r="D99" s="9" t="n"/>
      <c r="E99" s="9" t="n"/>
      <c r="F99" s="9" t="n"/>
    </row>
    <row r="100" ht="14.25" customHeight="1" s="37">
      <c r="A100" s="9" t="n"/>
      <c r="B100" s="9" t="n"/>
      <c r="C100" s="9" t="n"/>
      <c r="D100" s="9" t="n"/>
      <c r="E100" s="9" t="n"/>
      <c r="F100" s="9" t="n"/>
    </row>
    <row r="101" ht="14.25" customHeight="1" s="37">
      <c r="A101" s="9" t="n"/>
      <c r="B101" s="9" t="n"/>
      <c r="C101" s="9" t="n"/>
      <c r="D101" s="9" t="n"/>
      <c r="E101" s="9" t="n"/>
      <c r="F101" s="9" t="n"/>
    </row>
    <row r="102" ht="14.25" customHeight="1" s="37">
      <c r="A102" s="9" t="n"/>
      <c r="B102" s="9" t="n"/>
      <c r="C102" s="9" t="n"/>
      <c r="D102" s="9" t="n"/>
      <c r="E102" s="9" t="n"/>
      <c r="F102" s="9" t="n"/>
    </row>
    <row r="103" ht="14.25" customHeight="1" s="37">
      <c r="A103" s="9" t="n"/>
      <c r="B103" s="9" t="n"/>
      <c r="C103" s="9" t="n"/>
      <c r="D103" s="9" t="n"/>
      <c r="E103" s="9" t="n"/>
      <c r="F103" s="9" t="n"/>
    </row>
    <row r="104" ht="14.25" customHeight="1" s="37">
      <c r="A104" s="9" t="n"/>
      <c r="B104" s="9" t="n"/>
      <c r="C104" s="9" t="n"/>
      <c r="D104" s="9" t="n"/>
      <c r="E104" s="9" t="n"/>
      <c r="F104" s="9" t="n"/>
    </row>
    <row r="105" ht="14.25" customHeight="1" s="37">
      <c r="A105" s="9" t="n"/>
      <c r="B105" s="9" t="n"/>
      <c r="C105" s="9" t="n"/>
      <c r="D105" s="9" t="n"/>
      <c r="E105" s="9" t="n"/>
      <c r="F105" s="9" t="n"/>
    </row>
    <row r="106" ht="14.25" customHeight="1" s="37">
      <c r="A106" s="9" t="n"/>
      <c r="B106" s="9" t="n"/>
      <c r="C106" s="9" t="n"/>
      <c r="D106" s="9" t="n"/>
      <c r="E106" s="9" t="n"/>
      <c r="F106" s="9" t="n"/>
    </row>
    <row r="107" ht="14.25" customHeight="1" s="37">
      <c r="A107" s="9" t="n"/>
      <c r="B107" s="9" t="n"/>
      <c r="C107" s="9" t="n"/>
      <c r="D107" s="9" t="n"/>
      <c r="E107" s="9" t="n"/>
      <c r="F107" s="9" t="n"/>
    </row>
    <row r="108" ht="14.25" customHeight="1" s="37">
      <c r="A108" s="9" t="n"/>
      <c r="B108" s="9" t="n"/>
      <c r="C108" s="9" t="n"/>
      <c r="D108" s="9" t="n"/>
      <c r="E108" s="9" t="n"/>
      <c r="F108" s="9" t="n"/>
    </row>
    <row r="109" ht="14.25" customHeight="1" s="37">
      <c r="A109" s="9" t="n"/>
      <c r="B109" s="9" t="n"/>
      <c r="C109" s="9" t="n"/>
      <c r="D109" s="9" t="n"/>
      <c r="E109" s="9" t="n"/>
      <c r="F109" s="9" t="n"/>
    </row>
    <row r="110" ht="14.25" customHeight="1" s="37">
      <c r="A110" s="9" t="n"/>
      <c r="B110" s="9" t="n"/>
      <c r="C110" s="9" t="n"/>
      <c r="D110" s="9" t="n"/>
      <c r="E110" s="9" t="n"/>
      <c r="F110" s="9" t="n"/>
    </row>
    <row r="111" ht="14.25" customHeight="1" s="37">
      <c r="A111" s="9" t="n"/>
      <c r="B111" s="9" t="n"/>
      <c r="C111" s="9" t="n"/>
      <c r="D111" s="9" t="n"/>
      <c r="E111" s="9" t="n"/>
      <c r="F111" s="9" t="n"/>
    </row>
    <row r="112" ht="14.25" customHeight="1" s="37">
      <c r="A112" s="9" t="n"/>
      <c r="B112" s="9" t="n"/>
      <c r="C112" s="9" t="n"/>
      <c r="D112" s="9" t="n"/>
      <c r="E112" s="9" t="n"/>
      <c r="F112" s="9" t="n"/>
    </row>
    <row r="113" ht="14.25" customHeight="1" s="37">
      <c r="A113" s="9" t="n"/>
      <c r="B113" s="9" t="n"/>
      <c r="C113" s="9" t="n"/>
      <c r="D113" s="9" t="n"/>
      <c r="E113" s="9" t="n"/>
      <c r="F113" s="9" t="n"/>
    </row>
    <row r="114" ht="14.25" customHeight="1" s="37">
      <c r="A114" s="9" t="n"/>
      <c r="B114" s="9" t="n"/>
      <c r="C114" s="9" t="n"/>
      <c r="D114" s="9" t="n"/>
      <c r="E114" s="9" t="n"/>
      <c r="F114" s="9" t="n"/>
    </row>
    <row r="115" ht="14.25" customHeight="1" s="37">
      <c r="A115" s="9" t="n"/>
      <c r="B115" s="9" t="n"/>
      <c r="C115" s="9" t="n"/>
      <c r="D115" s="9" t="n"/>
      <c r="E115" s="9" t="n"/>
      <c r="F115" s="9" t="n"/>
    </row>
    <row r="116" ht="14.25" customHeight="1" s="37">
      <c r="A116" s="9" t="n"/>
      <c r="B116" s="9" t="n"/>
      <c r="C116" s="9" t="n"/>
      <c r="D116" s="9" t="n"/>
      <c r="E116" s="9" t="n"/>
      <c r="F116" s="9" t="n"/>
    </row>
    <row r="117" ht="14.25" customHeight="1" s="37">
      <c r="A117" s="9" t="n"/>
      <c r="B117" s="9" t="n"/>
      <c r="C117" s="9" t="n"/>
      <c r="D117" s="9" t="n"/>
      <c r="E117" s="9" t="n"/>
      <c r="F117" s="9" t="n"/>
    </row>
    <row r="118" ht="14.25" customHeight="1" s="37">
      <c r="A118" s="9" t="n"/>
      <c r="B118" s="9" t="n"/>
      <c r="C118" s="9" t="n"/>
      <c r="D118" s="9" t="n"/>
      <c r="E118" s="9" t="n"/>
      <c r="F118" s="9" t="n"/>
    </row>
    <row r="119" ht="14.25" customHeight="1" s="37">
      <c r="A119" s="9" t="n"/>
      <c r="B119" s="9" t="n"/>
      <c r="C119" s="9" t="n"/>
      <c r="D119" s="9" t="n"/>
      <c r="E119" s="9" t="n"/>
      <c r="F119" s="9" t="n"/>
    </row>
    <row r="120" ht="14.25" customHeight="1" s="37">
      <c r="A120" s="9" t="n"/>
      <c r="B120" s="9" t="n"/>
      <c r="C120" s="9" t="n"/>
      <c r="D120" s="9" t="n"/>
      <c r="E120" s="9" t="n"/>
      <c r="F120" s="9" t="n"/>
    </row>
    <row r="121" ht="14.25" customHeight="1" s="37">
      <c r="A121" s="9" t="n"/>
      <c r="B121" s="9" t="n"/>
      <c r="C121" s="9" t="n"/>
      <c r="D121" s="9" t="n"/>
      <c r="E121" s="9" t="n"/>
      <c r="F121" s="9" t="n"/>
    </row>
    <row r="122" ht="14.25" customHeight="1" s="37">
      <c r="A122" s="9" t="n"/>
      <c r="B122" s="9" t="n"/>
      <c r="C122" s="9" t="n"/>
      <c r="D122" s="9" t="n"/>
      <c r="E122" s="9" t="n"/>
      <c r="F122" s="9" t="n"/>
    </row>
    <row r="123" ht="14.25" customHeight="1" s="37">
      <c r="A123" s="9" t="n"/>
      <c r="B123" s="9" t="n"/>
      <c r="C123" s="9" t="n"/>
      <c r="D123" s="9" t="n"/>
      <c r="E123" s="9" t="n"/>
      <c r="F123" s="9" t="n"/>
    </row>
    <row r="124" ht="14.25" customHeight="1" s="37">
      <c r="A124" s="9" t="n"/>
      <c r="B124" s="9" t="n"/>
      <c r="C124" s="9" t="n"/>
      <c r="D124" s="9" t="n"/>
      <c r="E124" s="9" t="n"/>
      <c r="F124" s="9" t="n"/>
    </row>
    <row r="125" ht="14.25" customHeight="1" s="37">
      <c r="A125" s="9" t="n"/>
      <c r="B125" s="9" t="n"/>
      <c r="C125" s="9" t="n"/>
      <c r="D125" s="9" t="n"/>
      <c r="E125" s="9" t="n"/>
      <c r="F125" s="9" t="n"/>
    </row>
    <row r="126" ht="14.25" customHeight="1" s="37">
      <c r="A126" s="9" t="n"/>
      <c r="B126" s="9" t="n"/>
      <c r="C126" s="9" t="n"/>
      <c r="D126" s="9" t="n"/>
      <c r="E126" s="9" t="n"/>
      <c r="F126" s="9" t="n"/>
    </row>
    <row r="127" ht="14.25" customHeight="1" s="37">
      <c r="A127" s="9" t="n"/>
      <c r="B127" s="9" t="n"/>
      <c r="C127" s="9" t="n"/>
      <c r="D127" s="9" t="n"/>
      <c r="E127" s="9" t="n"/>
      <c r="F127" s="9" t="n"/>
    </row>
    <row r="128" ht="14.25" customHeight="1" s="37">
      <c r="A128" s="9" t="n"/>
      <c r="B128" s="9" t="n"/>
      <c r="C128" s="9" t="n"/>
      <c r="D128" s="9" t="n"/>
      <c r="E128" s="9" t="n"/>
      <c r="F128" s="9" t="n"/>
    </row>
    <row r="129" ht="14.25" customHeight="1" s="37">
      <c r="A129" s="9" t="n"/>
      <c r="B129" s="9" t="n"/>
      <c r="C129" s="9" t="n"/>
      <c r="D129" s="9" t="n"/>
      <c r="E129" s="9" t="n"/>
      <c r="F129" s="9" t="n"/>
    </row>
    <row r="130" ht="14.25" customHeight="1" s="37">
      <c r="A130" s="9" t="n"/>
      <c r="B130" s="9" t="n"/>
      <c r="C130" s="9" t="n"/>
      <c r="D130" s="9" t="n"/>
      <c r="E130" s="9" t="n"/>
      <c r="F130" s="9" t="n"/>
    </row>
    <row r="131" ht="14.25" customHeight="1" s="37">
      <c r="A131" s="9" t="n"/>
      <c r="B131" s="9" t="n"/>
      <c r="C131" s="9" t="n"/>
      <c r="D131" s="9" t="n"/>
      <c r="E131" s="9" t="n"/>
      <c r="F131" s="9" t="n"/>
    </row>
    <row r="132" ht="14.25" customHeight="1" s="37">
      <c r="A132" s="9" t="n"/>
      <c r="B132" s="9" t="n"/>
      <c r="C132" s="9" t="n"/>
      <c r="D132" s="9" t="n"/>
      <c r="E132" s="9" t="n"/>
      <c r="F132" s="9" t="n"/>
    </row>
    <row r="133" ht="14.25" customHeight="1" s="37">
      <c r="A133" s="9" t="n"/>
      <c r="B133" s="9" t="n"/>
      <c r="C133" s="9" t="n"/>
      <c r="D133" s="9" t="n"/>
      <c r="E133" s="9" t="n"/>
      <c r="F133" s="9" t="n"/>
    </row>
    <row r="134" ht="14.25" customHeight="1" s="37">
      <c r="A134" s="9" t="n"/>
      <c r="B134" s="9" t="n"/>
      <c r="C134" s="9" t="n"/>
      <c r="D134" s="9" t="n"/>
      <c r="E134" s="9" t="n"/>
      <c r="F134" s="9" t="n"/>
    </row>
    <row r="135" ht="14.25" customHeight="1" s="37">
      <c r="A135" s="9" t="n"/>
      <c r="B135" s="9" t="n"/>
      <c r="C135" s="9" t="n"/>
      <c r="D135" s="9" t="n"/>
      <c r="E135" s="9" t="n"/>
      <c r="F135" s="9" t="n"/>
    </row>
    <row r="136" ht="14.25" customHeight="1" s="37">
      <c r="A136" s="9" t="n"/>
      <c r="B136" s="9" t="n"/>
      <c r="C136" s="9" t="n"/>
      <c r="D136" s="9" t="n"/>
      <c r="E136" s="9" t="n"/>
      <c r="F136" s="9" t="n"/>
    </row>
    <row r="137" ht="14.25" customHeight="1" s="37">
      <c r="A137" s="9" t="n"/>
      <c r="B137" s="9" t="n"/>
      <c r="C137" s="9" t="n"/>
      <c r="D137" s="9" t="n"/>
      <c r="E137" s="9" t="n"/>
      <c r="F137" s="9" t="n"/>
    </row>
    <row r="138" ht="14.25" customHeight="1" s="37">
      <c r="A138" s="9" t="n"/>
      <c r="B138" s="9" t="n"/>
      <c r="C138" s="9" t="n"/>
      <c r="D138" s="9" t="n"/>
      <c r="E138" s="9" t="n"/>
      <c r="F138" s="9" t="n"/>
    </row>
    <row r="139" ht="14.25" customHeight="1" s="37">
      <c r="A139" s="9" t="n"/>
      <c r="B139" s="9" t="n"/>
      <c r="C139" s="9" t="n"/>
      <c r="D139" s="9" t="n"/>
      <c r="E139" s="9" t="n"/>
      <c r="F139" s="9" t="n"/>
    </row>
    <row r="140" ht="14.25" customHeight="1" s="37">
      <c r="A140" s="9" t="n"/>
      <c r="B140" s="9" t="n"/>
      <c r="C140" s="9" t="n"/>
      <c r="D140" s="9" t="n"/>
      <c r="E140" s="9" t="n"/>
      <c r="F140" s="9" t="n"/>
    </row>
    <row r="141" ht="14.25" customHeight="1" s="37">
      <c r="A141" s="9" t="n"/>
      <c r="B141" s="9" t="n"/>
      <c r="C141" s="9" t="n"/>
      <c r="D141" s="9" t="n"/>
      <c r="E141" s="9" t="n"/>
      <c r="F141" s="9" t="n"/>
    </row>
    <row r="142" ht="14.25" customHeight="1" s="37">
      <c r="A142" s="9" t="n"/>
      <c r="B142" s="9" t="n"/>
      <c r="C142" s="9" t="n"/>
      <c r="D142" s="9" t="n"/>
      <c r="E142" s="9" t="n"/>
      <c r="F142" s="9" t="n"/>
    </row>
    <row r="143" ht="14.25" customHeight="1" s="37">
      <c r="A143" s="9" t="n"/>
      <c r="B143" s="9" t="n"/>
      <c r="C143" s="9" t="n"/>
      <c r="D143" s="9" t="n"/>
      <c r="E143" s="9" t="n"/>
      <c r="F143" s="9" t="n"/>
    </row>
    <row r="144" ht="14.25" customHeight="1" s="37">
      <c r="A144" s="9" t="n"/>
      <c r="B144" s="9" t="n"/>
      <c r="C144" s="9" t="n"/>
      <c r="D144" s="9" t="n"/>
      <c r="E144" s="9" t="n"/>
      <c r="F144" s="9" t="n"/>
    </row>
    <row r="145" ht="14.25" customHeight="1" s="37">
      <c r="A145" s="9" t="n"/>
      <c r="B145" s="9" t="n"/>
      <c r="C145" s="9" t="n"/>
      <c r="D145" s="9" t="n"/>
      <c r="E145" s="9" t="n"/>
      <c r="F145" s="9" t="n"/>
    </row>
    <row r="146" ht="14.25" customHeight="1" s="37">
      <c r="A146" s="9" t="n"/>
      <c r="B146" s="9" t="n"/>
      <c r="C146" s="9" t="n"/>
      <c r="D146" s="9" t="n"/>
      <c r="E146" s="9" t="n"/>
      <c r="F146" s="9" t="n"/>
    </row>
    <row r="147" ht="14.25" customHeight="1" s="37">
      <c r="A147" s="9" t="n"/>
      <c r="B147" s="9" t="n"/>
      <c r="C147" s="9" t="n"/>
      <c r="D147" s="9" t="n"/>
      <c r="E147" s="9" t="n"/>
      <c r="F147" s="9" t="n"/>
    </row>
    <row r="148" ht="14.25" customHeight="1" s="37">
      <c r="A148" s="9" t="n"/>
      <c r="B148" s="9" t="n"/>
      <c r="C148" s="9" t="n"/>
      <c r="D148" s="9" t="n"/>
      <c r="E148" s="9" t="n"/>
      <c r="F148" s="9" t="n"/>
    </row>
    <row r="149" ht="14.25" customHeight="1" s="37">
      <c r="A149" s="9" t="n"/>
      <c r="B149" s="9" t="n"/>
      <c r="C149" s="9" t="n"/>
      <c r="D149" s="9" t="n"/>
      <c r="E149" s="9" t="n"/>
      <c r="F149" s="9" t="n"/>
    </row>
    <row r="150" ht="14.25" customHeight="1" s="37">
      <c r="A150" s="9" t="n"/>
      <c r="B150" s="9" t="n"/>
      <c r="C150" s="9" t="n"/>
      <c r="D150" s="9" t="n"/>
      <c r="E150" s="9" t="n"/>
      <c r="F150" s="9" t="n"/>
    </row>
    <row r="151" ht="14.25" customHeight="1" s="37">
      <c r="A151" s="9" t="n"/>
      <c r="B151" s="9" t="n"/>
      <c r="C151" s="9" t="n"/>
      <c r="D151" s="9" t="n"/>
      <c r="E151" s="9" t="n"/>
      <c r="F151" s="9" t="n"/>
    </row>
    <row r="152" ht="14.25" customHeight="1" s="37">
      <c r="A152" s="9" t="n"/>
      <c r="B152" s="9" t="n"/>
      <c r="C152" s="9" t="n"/>
      <c r="D152" s="9" t="n"/>
      <c r="E152" s="9" t="n"/>
      <c r="F152" s="9" t="n"/>
    </row>
    <row r="153" ht="14.25" customHeight="1" s="37">
      <c r="A153" s="9" t="n"/>
      <c r="B153" s="9" t="n"/>
      <c r="C153" s="9" t="n"/>
      <c r="D153" s="9" t="n"/>
      <c r="E153" s="9" t="n"/>
      <c r="F153" s="9" t="n"/>
    </row>
    <row r="154" ht="14.25" customHeight="1" s="37">
      <c r="A154" s="9" t="n"/>
      <c r="B154" s="9" t="n"/>
      <c r="C154" s="9" t="n"/>
      <c r="D154" s="9" t="n"/>
      <c r="E154" s="9" t="n"/>
      <c r="F154" s="9" t="n"/>
    </row>
    <row r="155" ht="14.25" customHeight="1" s="37">
      <c r="A155" s="9" t="n"/>
      <c r="B155" s="9" t="n"/>
      <c r="C155" s="9" t="n"/>
      <c r="D155" s="9" t="n"/>
      <c r="E155" s="9" t="n"/>
      <c r="F155" s="9" t="n"/>
    </row>
    <row r="156" ht="14.25" customHeight="1" s="37">
      <c r="A156" s="9" t="n"/>
      <c r="B156" s="9" t="n"/>
      <c r="C156" s="9" t="n"/>
      <c r="D156" s="9" t="n"/>
      <c r="E156" s="9" t="n"/>
      <c r="F156" s="9" t="n"/>
    </row>
    <row r="157" ht="14.25" customHeight="1" s="37">
      <c r="A157" s="9" t="n"/>
      <c r="B157" s="9" t="n"/>
      <c r="C157" s="9" t="n"/>
      <c r="D157" s="9" t="n"/>
      <c r="E157" s="9" t="n"/>
      <c r="F157" s="9" t="n"/>
    </row>
    <row r="158" ht="14.25" customHeight="1" s="37">
      <c r="A158" s="9" t="n"/>
      <c r="B158" s="9" t="n"/>
      <c r="C158" s="9" t="n"/>
      <c r="D158" s="9" t="n"/>
      <c r="E158" s="9" t="n"/>
      <c r="F158" s="9" t="n"/>
    </row>
    <row r="159" ht="14.25" customHeight="1" s="37">
      <c r="A159" s="9" t="n"/>
      <c r="B159" s="9" t="n"/>
      <c r="C159" s="9" t="n"/>
      <c r="D159" s="9" t="n"/>
      <c r="E159" s="9" t="n"/>
      <c r="F159" s="9" t="n"/>
    </row>
    <row r="160" ht="14.25" customHeight="1" s="37">
      <c r="A160" s="9" t="n"/>
      <c r="B160" s="9" t="n"/>
      <c r="C160" s="9" t="n"/>
      <c r="D160" s="9" t="n"/>
      <c r="E160" s="9" t="n"/>
      <c r="F160" s="9" t="n"/>
    </row>
    <row r="161" ht="14.25" customHeight="1" s="37">
      <c r="A161" s="9" t="n"/>
      <c r="B161" s="9" t="n"/>
      <c r="C161" s="9" t="n"/>
      <c r="D161" s="9" t="n"/>
      <c r="E161" s="9" t="n"/>
      <c r="F161" s="9" t="n"/>
    </row>
    <row r="162" ht="14.25" customHeight="1" s="37">
      <c r="A162" s="9" t="n"/>
      <c r="B162" s="9" t="n"/>
      <c r="C162" s="9" t="n"/>
      <c r="D162" s="9" t="n"/>
      <c r="E162" s="9" t="n"/>
      <c r="F162" s="9" t="n"/>
    </row>
    <row r="163" ht="14.25" customHeight="1" s="37">
      <c r="A163" s="9" t="n"/>
      <c r="B163" s="9" t="n"/>
      <c r="C163" s="9" t="n"/>
      <c r="D163" s="9" t="n"/>
      <c r="E163" s="9" t="n"/>
      <c r="F163" s="9" t="n"/>
    </row>
    <row r="164" ht="14.25" customHeight="1" s="37">
      <c r="A164" s="9" t="n"/>
      <c r="B164" s="9" t="n"/>
      <c r="C164" s="9" t="n"/>
      <c r="D164" s="9" t="n"/>
      <c r="E164" s="9" t="n"/>
      <c r="F164" s="9" t="n"/>
    </row>
    <row r="165" ht="14.25" customHeight="1" s="37">
      <c r="A165" s="9" t="n"/>
      <c r="B165" s="9" t="n"/>
      <c r="C165" s="9" t="n"/>
      <c r="D165" s="9" t="n"/>
      <c r="E165" s="9" t="n"/>
      <c r="F165" s="9" t="n"/>
    </row>
    <row r="166" ht="14.25" customHeight="1" s="37">
      <c r="A166" s="9" t="n"/>
      <c r="B166" s="9" t="n"/>
      <c r="C166" s="9" t="n"/>
      <c r="D166" s="9" t="n"/>
      <c r="E166" s="9" t="n"/>
      <c r="F166" s="9" t="n"/>
    </row>
    <row r="167" ht="14.25" customHeight="1" s="37">
      <c r="A167" s="9" t="n"/>
      <c r="B167" s="9" t="n"/>
      <c r="C167" s="9" t="n"/>
      <c r="D167" s="9" t="n"/>
      <c r="E167" s="9" t="n"/>
      <c r="F167" s="9" t="n"/>
    </row>
    <row r="168" ht="14.25" customHeight="1" s="37">
      <c r="A168" s="9" t="n"/>
      <c r="B168" s="9" t="n"/>
      <c r="C168" s="9" t="n"/>
      <c r="D168" s="9" t="n"/>
      <c r="E168" s="9" t="n"/>
      <c r="F168" s="9" t="n"/>
    </row>
    <row r="169" ht="14.25" customHeight="1" s="37">
      <c r="A169" s="9" t="n"/>
      <c r="B169" s="9" t="n"/>
      <c r="C169" s="9" t="n"/>
      <c r="D169" s="9" t="n"/>
      <c r="E169" s="9" t="n"/>
      <c r="F169" s="9" t="n"/>
    </row>
    <row r="170" ht="14.25" customHeight="1" s="37">
      <c r="A170" s="9" t="n"/>
      <c r="B170" s="9" t="n"/>
      <c r="C170" s="9" t="n"/>
      <c r="D170" s="9" t="n"/>
      <c r="E170" s="9" t="n"/>
      <c r="F170" s="9" t="n"/>
    </row>
    <row r="171" ht="14.25" customHeight="1" s="37">
      <c r="A171" s="9" t="n"/>
      <c r="B171" s="9" t="n"/>
      <c r="C171" s="9" t="n"/>
      <c r="D171" s="9" t="n"/>
      <c r="E171" s="9" t="n"/>
      <c r="F171" s="9" t="n"/>
    </row>
    <row r="172" ht="14.25" customHeight="1" s="37">
      <c r="A172" s="9" t="n"/>
      <c r="B172" s="9" t="n"/>
      <c r="C172" s="9" t="n"/>
      <c r="D172" s="9" t="n"/>
      <c r="E172" s="9" t="n"/>
      <c r="F172" s="9" t="n"/>
    </row>
    <row r="173" ht="14.25" customHeight="1" s="37">
      <c r="A173" s="9" t="n"/>
      <c r="B173" s="9" t="n"/>
      <c r="C173" s="9" t="n"/>
      <c r="D173" s="9" t="n"/>
      <c r="E173" s="9" t="n"/>
      <c r="F173" s="9" t="n"/>
    </row>
    <row r="174" ht="14.25" customHeight="1" s="37">
      <c r="A174" s="9" t="n"/>
      <c r="B174" s="9" t="n"/>
      <c r="C174" s="9" t="n"/>
      <c r="D174" s="9" t="n"/>
      <c r="E174" s="9" t="n"/>
      <c r="F174" s="9" t="n"/>
    </row>
    <row r="175" ht="14.25" customHeight="1" s="37">
      <c r="A175" s="9" t="n"/>
      <c r="B175" s="9" t="n"/>
      <c r="C175" s="9" t="n"/>
      <c r="D175" s="9" t="n"/>
      <c r="E175" s="9" t="n"/>
      <c r="F175" s="9" t="n"/>
    </row>
    <row r="176" ht="14.25" customHeight="1" s="37">
      <c r="A176" s="9" t="n"/>
      <c r="B176" s="9" t="n"/>
      <c r="C176" s="9" t="n"/>
      <c r="D176" s="9" t="n"/>
      <c r="E176" s="9" t="n"/>
      <c r="F176" s="9" t="n"/>
    </row>
    <row r="177" ht="14.25" customHeight="1" s="37">
      <c r="A177" s="9" t="n"/>
      <c r="B177" s="9" t="n"/>
      <c r="C177" s="9" t="n"/>
      <c r="D177" s="9" t="n"/>
      <c r="E177" s="9" t="n"/>
      <c r="F177" s="9" t="n"/>
    </row>
    <row r="178" ht="14.25" customHeight="1" s="37">
      <c r="A178" s="9" t="n"/>
      <c r="B178" s="9" t="n"/>
      <c r="C178" s="9" t="n"/>
      <c r="D178" s="9" t="n"/>
      <c r="E178" s="9" t="n"/>
      <c r="F178" s="9" t="n"/>
    </row>
    <row r="179" ht="14.25" customHeight="1" s="37">
      <c r="A179" s="9" t="n"/>
      <c r="B179" s="9" t="n"/>
      <c r="C179" s="9" t="n"/>
      <c r="D179" s="9" t="n"/>
      <c r="E179" s="9" t="n"/>
      <c r="F179" s="9" t="n"/>
    </row>
    <row r="180" ht="14.25" customHeight="1" s="37">
      <c r="A180" s="9" t="n"/>
      <c r="B180" s="9" t="n"/>
      <c r="C180" s="9" t="n"/>
      <c r="D180" s="9" t="n"/>
      <c r="E180" s="9" t="n"/>
      <c r="F180" s="9" t="n"/>
    </row>
    <row r="181" ht="14.25" customHeight="1" s="37">
      <c r="A181" s="9" t="n"/>
      <c r="B181" s="9" t="n"/>
      <c r="C181" s="9" t="n"/>
      <c r="D181" s="9" t="n"/>
      <c r="E181" s="9" t="n"/>
      <c r="F181" s="9" t="n"/>
    </row>
    <row r="182" ht="14.25" customHeight="1" s="37">
      <c r="A182" s="9" t="n"/>
      <c r="B182" s="9" t="n"/>
      <c r="C182" s="9" t="n"/>
      <c r="D182" s="9" t="n"/>
      <c r="E182" s="9" t="n"/>
      <c r="F182" s="9" t="n"/>
    </row>
    <row r="183" ht="14.25" customHeight="1" s="37">
      <c r="A183" s="9" t="n"/>
      <c r="B183" s="9" t="n"/>
      <c r="C183" s="9" t="n"/>
      <c r="D183" s="9" t="n"/>
      <c r="E183" s="9" t="n"/>
      <c r="F183" s="9" t="n"/>
    </row>
    <row r="184" ht="14.25" customHeight="1" s="37">
      <c r="A184" s="9" t="n"/>
      <c r="B184" s="9" t="n"/>
      <c r="C184" s="9" t="n"/>
      <c r="D184" s="9" t="n"/>
      <c r="E184" s="9" t="n"/>
      <c r="F184" s="9" t="n"/>
    </row>
    <row r="185" ht="14.25" customHeight="1" s="37">
      <c r="A185" s="9" t="n"/>
      <c r="B185" s="9" t="n"/>
      <c r="C185" s="9" t="n"/>
      <c r="D185" s="9" t="n"/>
      <c r="E185" s="9" t="n"/>
      <c r="F185" s="9" t="n"/>
    </row>
    <row r="186" ht="14.25" customHeight="1" s="37">
      <c r="A186" s="9" t="n"/>
      <c r="B186" s="9" t="n"/>
      <c r="C186" s="9" t="n"/>
      <c r="D186" s="9" t="n"/>
      <c r="E186" s="9" t="n"/>
      <c r="F186" s="9" t="n"/>
    </row>
    <row r="187" ht="14.25" customHeight="1" s="37">
      <c r="A187" s="9" t="n"/>
      <c r="B187" s="9" t="n"/>
      <c r="C187" s="9" t="n"/>
      <c r="D187" s="9" t="n"/>
      <c r="E187" s="9" t="n"/>
      <c r="F187" s="9" t="n"/>
    </row>
    <row r="188" ht="14.25" customHeight="1" s="37">
      <c r="A188" s="9" t="n"/>
      <c r="B188" s="9" t="n"/>
      <c r="C188" s="9" t="n"/>
      <c r="D188" s="9" t="n"/>
      <c r="E188" s="9" t="n"/>
      <c r="F188" s="9" t="n"/>
    </row>
    <row r="189" ht="14.25" customHeight="1" s="37">
      <c r="A189" s="9" t="n"/>
      <c r="B189" s="9" t="n"/>
      <c r="C189" s="9" t="n"/>
      <c r="D189" s="9" t="n"/>
      <c r="E189" s="9" t="n"/>
      <c r="F189" s="9" t="n"/>
    </row>
    <row r="190" ht="14.25" customHeight="1" s="37">
      <c r="A190" s="9" t="n"/>
      <c r="B190" s="9" t="n"/>
      <c r="C190" s="9" t="n"/>
      <c r="D190" s="9" t="n"/>
      <c r="E190" s="9" t="n"/>
      <c r="F190" s="9" t="n"/>
    </row>
    <row r="191" ht="14.25" customHeight="1" s="37">
      <c r="A191" s="9" t="n"/>
      <c r="B191" s="9" t="n"/>
      <c r="C191" s="9" t="n"/>
      <c r="D191" s="9" t="n"/>
      <c r="E191" s="9" t="n"/>
      <c r="F191" s="9" t="n"/>
    </row>
    <row r="192" ht="14.25" customHeight="1" s="37">
      <c r="A192" s="9" t="n"/>
      <c r="B192" s="9" t="n"/>
      <c r="C192" s="9" t="n"/>
      <c r="D192" s="9" t="n"/>
      <c r="E192" s="9" t="n"/>
      <c r="F192" s="9" t="n"/>
    </row>
    <row r="193" ht="14.25" customHeight="1" s="37">
      <c r="A193" s="9" t="n"/>
      <c r="B193" s="9" t="n"/>
      <c r="C193" s="9" t="n"/>
      <c r="D193" s="9" t="n"/>
      <c r="E193" s="9" t="n"/>
      <c r="F193" s="9" t="n"/>
    </row>
    <row r="194" ht="14.25" customHeight="1" s="37">
      <c r="A194" s="9" t="n"/>
      <c r="B194" s="9" t="n"/>
      <c r="C194" s="9" t="n"/>
      <c r="D194" s="9" t="n"/>
      <c r="E194" s="9" t="n"/>
      <c r="F194" s="9" t="n"/>
    </row>
    <row r="195" ht="14.25" customHeight="1" s="37">
      <c r="A195" s="9" t="n"/>
      <c r="B195" s="9" t="n"/>
      <c r="C195" s="9" t="n"/>
      <c r="D195" s="9" t="n"/>
      <c r="E195" s="9" t="n"/>
      <c r="F195" s="9" t="n"/>
    </row>
    <row r="196" ht="14.25" customHeight="1" s="37">
      <c r="A196" s="9" t="n"/>
      <c r="B196" s="9" t="n"/>
      <c r="C196" s="9" t="n"/>
      <c r="D196" s="9" t="n"/>
      <c r="E196" s="9" t="n"/>
      <c r="F196" s="9" t="n"/>
    </row>
    <row r="197" ht="14.25" customHeight="1" s="37">
      <c r="A197" s="9" t="n"/>
      <c r="B197" s="9" t="n"/>
      <c r="C197" s="9" t="n"/>
      <c r="D197" s="9" t="n"/>
      <c r="E197" s="9" t="n"/>
      <c r="F197" s="9" t="n"/>
    </row>
    <row r="198" ht="14.25" customHeight="1" s="37">
      <c r="A198" s="9" t="n"/>
      <c r="B198" s="9" t="n"/>
      <c r="C198" s="9" t="n"/>
      <c r="D198" s="9" t="n"/>
      <c r="E198" s="9" t="n"/>
      <c r="F198" s="9" t="n"/>
    </row>
    <row r="199" ht="14.25" customHeight="1" s="37">
      <c r="A199" s="9" t="n"/>
      <c r="B199" s="9" t="n"/>
      <c r="C199" s="9" t="n"/>
      <c r="D199" s="9" t="n"/>
      <c r="E199" s="9" t="n"/>
      <c r="F199" s="9" t="n"/>
    </row>
    <row r="200" ht="14.25" customHeight="1" s="37">
      <c r="A200" s="9" t="n"/>
      <c r="B200" s="9" t="n"/>
      <c r="C200" s="9" t="n"/>
      <c r="D200" s="9" t="n"/>
      <c r="E200" s="9" t="n"/>
      <c r="F200" s="9" t="n"/>
    </row>
    <row r="201" ht="14.25" customHeight="1" s="37">
      <c r="A201" s="9" t="n"/>
      <c r="B201" s="9" t="n"/>
      <c r="C201" s="9" t="n"/>
      <c r="D201" s="9" t="n"/>
      <c r="E201" s="9" t="n"/>
      <c r="F201" s="9" t="n"/>
    </row>
    <row r="202" ht="14.25" customHeight="1" s="37">
      <c r="A202" s="9" t="n"/>
      <c r="B202" s="9" t="n"/>
      <c r="C202" s="9" t="n"/>
      <c r="D202" s="9" t="n"/>
      <c r="E202" s="9" t="n"/>
      <c r="F202" s="9" t="n"/>
    </row>
    <row r="203" ht="14.25" customHeight="1" s="37">
      <c r="A203" s="9" t="n"/>
      <c r="B203" s="9" t="n"/>
      <c r="C203" s="9" t="n"/>
      <c r="D203" s="9" t="n"/>
      <c r="E203" s="9" t="n"/>
      <c r="F203" s="9" t="n"/>
    </row>
    <row r="204" ht="14.25" customHeight="1" s="37">
      <c r="A204" s="9" t="n"/>
      <c r="B204" s="9" t="n"/>
      <c r="C204" s="9" t="n"/>
      <c r="D204" s="9" t="n"/>
      <c r="E204" s="9" t="n"/>
      <c r="F204" s="9" t="n"/>
    </row>
    <row r="205" ht="14.25" customHeight="1" s="37">
      <c r="A205" s="9" t="n"/>
      <c r="B205" s="9" t="n"/>
      <c r="C205" s="9" t="n"/>
      <c r="D205" s="9" t="n"/>
      <c r="E205" s="9" t="n"/>
      <c r="F205" s="9" t="n"/>
    </row>
    <row r="206" ht="14.25" customHeight="1" s="37">
      <c r="A206" s="9" t="n"/>
      <c r="B206" s="9" t="n"/>
      <c r="C206" s="9" t="n"/>
      <c r="D206" s="9" t="n"/>
      <c r="E206" s="9" t="n"/>
      <c r="F206" s="9" t="n"/>
    </row>
    <row r="207" ht="14.25" customHeight="1" s="37">
      <c r="A207" s="9" t="n"/>
      <c r="B207" s="9" t="n"/>
      <c r="C207" s="9" t="n"/>
      <c r="D207" s="9" t="n"/>
      <c r="E207" s="9" t="n"/>
      <c r="F207" s="9" t="n"/>
    </row>
    <row r="208" ht="14.25" customHeight="1" s="37">
      <c r="A208" s="9" t="n"/>
      <c r="B208" s="9" t="n"/>
      <c r="C208" s="9" t="n"/>
      <c r="D208" s="9" t="n"/>
      <c r="E208" s="9" t="n"/>
      <c r="F208" s="9" t="n"/>
    </row>
    <row r="209" ht="14.25" customHeight="1" s="37">
      <c r="A209" s="9" t="n"/>
      <c r="B209" s="9" t="n"/>
      <c r="C209" s="9" t="n"/>
      <c r="D209" s="9" t="n"/>
      <c r="E209" s="9" t="n"/>
      <c r="F209" s="9" t="n"/>
    </row>
    <row r="210" ht="14.25" customHeight="1" s="37">
      <c r="A210" s="9" t="n"/>
      <c r="B210" s="9" t="n"/>
      <c r="C210" s="9" t="n"/>
      <c r="D210" s="9" t="n"/>
      <c r="E210" s="9" t="n"/>
      <c r="F210" s="9" t="n"/>
    </row>
    <row r="211" ht="14.25" customHeight="1" s="37">
      <c r="A211" s="9" t="n"/>
      <c r="B211" s="9" t="n"/>
      <c r="C211" s="9" t="n"/>
      <c r="D211" s="9" t="n"/>
      <c r="E211" s="9" t="n"/>
      <c r="F211" s="9" t="n"/>
    </row>
    <row r="212" ht="14.25" customHeight="1" s="37">
      <c r="A212" s="9" t="n"/>
      <c r="B212" s="9" t="n"/>
      <c r="C212" s="9" t="n"/>
      <c r="D212" s="9" t="n"/>
      <c r="E212" s="9" t="n"/>
      <c r="F212" s="9" t="n"/>
    </row>
    <row r="213" ht="14.25" customHeight="1" s="37">
      <c r="A213" s="9" t="n"/>
      <c r="B213" s="9" t="n"/>
      <c r="C213" s="9" t="n"/>
      <c r="D213" s="9" t="n"/>
      <c r="E213" s="9" t="n"/>
      <c r="F213" s="9" t="n"/>
    </row>
    <row r="214" ht="14.25" customHeight="1" s="37">
      <c r="A214" s="9" t="n"/>
      <c r="B214" s="9" t="n"/>
      <c r="C214" s="9" t="n"/>
      <c r="D214" s="9" t="n"/>
      <c r="E214" s="9" t="n"/>
      <c r="F214" s="9" t="n"/>
    </row>
    <row r="215" ht="14.25" customHeight="1" s="37">
      <c r="A215" s="9" t="n"/>
      <c r="B215" s="9" t="n"/>
      <c r="C215" s="9" t="n"/>
      <c r="D215" s="9" t="n"/>
      <c r="E215" s="9" t="n"/>
      <c r="F215" s="9" t="n"/>
    </row>
    <row r="216" ht="14.25" customHeight="1" s="37">
      <c r="A216" s="9" t="n"/>
      <c r="B216" s="9" t="n"/>
      <c r="C216" s="9" t="n"/>
      <c r="D216" s="9" t="n"/>
      <c r="E216" s="9" t="n"/>
      <c r="F216" s="9" t="n"/>
    </row>
    <row r="217" ht="14.25" customHeight="1" s="37">
      <c r="A217" s="9" t="n"/>
      <c r="B217" s="9" t="n"/>
      <c r="C217" s="9" t="n"/>
      <c r="D217" s="9" t="n"/>
      <c r="E217" s="9" t="n"/>
      <c r="F217" s="9" t="n"/>
    </row>
    <row r="218" ht="14.25" customHeight="1" s="37">
      <c r="A218" s="9" t="n"/>
      <c r="B218" s="9" t="n"/>
      <c r="C218" s="9" t="n"/>
      <c r="D218" s="9" t="n"/>
      <c r="E218" s="9" t="n"/>
      <c r="F218" s="9" t="n"/>
    </row>
    <row r="219" ht="14.25" customHeight="1" s="37">
      <c r="A219" s="9" t="n"/>
      <c r="B219" s="9" t="n"/>
      <c r="C219" s="9" t="n"/>
      <c r="D219" s="9" t="n"/>
      <c r="E219" s="9" t="n"/>
      <c r="F219" s="9" t="n"/>
    </row>
    <row r="220" ht="14.25" customHeight="1" s="37">
      <c r="A220" s="9" t="n"/>
      <c r="B220" s="9" t="n"/>
      <c r="C220" s="9" t="n"/>
      <c r="D220" s="9" t="n"/>
      <c r="E220" s="9" t="n"/>
      <c r="F220" s="9" t="n"/>
    </row>
    <row r="221" ht="14.25" customHeight="1" s="37">
      <c r="E221" s="11" t="n"/>
    </row>
    <row r="222" ht="14.25" customHeight="1" s="37">
      <c r="E222" s="11" t="n"/>
    </row>
    <row r="223" ht="14.25" customHeight="1" s="37">
      <c r="E223" s="11" t="n"/>
    </row>
    <row r="224" ht="14.25" customHeight="1" s="37">
      <c r="E224" s="11" t="n"/>
    </row>
    <row r="225" ht="14.25" customHeight="1" s="37">
      <c r="E225" s="11" t="n"/>
    </row>
    <row r="226" ht="14.25" customHeight="1" s="37">
      <c r="E226" s="11" t="n"/>
    </row>
    <row r="227" ht="14.25" customHeight="1" s="37">
      <c r="E227" s="11" t="n"/>
    </row>
    <row r="228" ht="14.25" customHeight="1" s="37">
      <c r="E228" s="11" t="n"/>
    </row>
    <row r="229" ht="14.25" customHeight="1" s="37">
      <c r="E229" s="11" t="n"/>
    </row>
    <row r="230" ht="14.25" customHeight="1" s="37">
      <c r="E230" s="11" t="n"/>
    </row>
    <row r="231" ht="14.25" customHeight="1" s="37">
      <c r="E231" s="11" t="n"/>
    </row>
    <row r="232" ht="14.25" customHeight="1" s="37">
      <c r="E232" s="11" t="n"/>
    </row>
    <row r="233" ht="14.25" customHeight="1" s="37">
      <c r="E233" s="11" t="n"/>
    </row>
    <row r="234" ht="14.25" customHeight="1" s="37">
      <c r="E234" s="11" t="n"/>
    </row>
    <row r="235" ht="14.25" customHeight="1" s="37">
      <c r="E235" s="11" t="n"/>
    </row>
    <row r="236" ht="14.25" customHeight="1" s="37">
      <c r="E236" s="11" t="n"/>
    </row>
    <row r="237" ht="14.25" customHeight="1" s="37">
      <c r="E237" s="11" t="n"/>
    </row>
    <row r="238" ht="14.25" customHeight="1" s="37">
      <c r="E238" s="11" t="n"/>
    </row>
    <row r="239" ht="14.25" customHeight="1" s="37">
      <c r="E239" s="11" t="n"/>
    </row>
    <row r="240" ht="14.25" customHeight="1" s="37">
      <c r="E240" s="11" t="n"/>
    </row>
    <row r="241" ht="14.25" customHeight="1" s="37">
      <c r="E241" s="11" t="n"/>
    </row>
    <row r="242" ht="14.25" customHeight="1" s="37">
      <c r="E242" s="11" t="n"/>
    </row>
    <row r="243" ht="14.25" customHeight="1" s="37">
      <c r="E243" s="11" t="n"/>
    </row>
    <row r="244" ht="14.25" customHeight="1" s="37">
      <c r="E244" s="11" t="n"/>
    </row>
    <row r="245" ht="14.25" customHeight="1" s="37">
      <c r="E245" s="11" t="n"/>
    </row>
    <row r="246" ht="14.25" customHeight="1" s="37">
      <c r="E246" s="11" t="n"/>
    </row>
    <row r="247" ht="14.25" customHeight="1" s="37">
      <c r="E247" s="11" t="n"/>
    </row>
    <row r="248" ht="14.25" customHeight="1" s="37">
      <c r="E248" s="11" t="n"/>
    </row>
    <row r="249" ht="14.25" customHeight="1" s="37">
      <c r="E249" s="11" t="n"/>
    </row>
    <row r="250" ht="14.25" customHeight="1" s="37">
      <c r="E250" s="11" t="n"/>
    </row>
    <row r="251" ht="14.25" customHeight="1" s="37">
      <c r="E251" s="11" t="n"/>
    </row>
    <row r="252" ht="14.25" customHeight="1" s="37">
      <c r="E252" s="11" t="n"/>
    </row>
    <row r="253" ht="14.25" customHeight="1" s="37">
      <c r="E253" s="11" t="n"/>
    </row>
    <row r="254" ht="14.25" customHeight="1" s="37">
      <c r="E254" s="11" t="n"/>
    </row>
    <row r="255" ht="14.25" customHeight="1" s="37">
      <c r="E255" s="11" t="n"/>
    </row>
    <row r="256" ht="14.25" customHeight="1" s="37">
      <c r="E256" s="11" t="n"/>
    </row>
    <row r="257" ht="14.25" customHeight="1" s="37">
      <c r="E257" s="11" t="n"/>
    </row>
    <row r="258" ht="14.25" customHeight="1" s="37">
      <c r="E258" s="11" t="n"/>
    </row>
    <row r="259" ht="14.25" customHeight="1" s="37">
      <c r="E259" s="11" t="n"/>
    </row>
    <row r="260" ht="14.25" customHeight="1" s="37">
      <c r="E260" s="11" t="n"/>
    </row>
    <row r="261" ht="14.25" customHeight="1" s="37">
      <c r="E261" s="11" t="n"/>
    </row>
    <row r="262" ht="14.25" customHeight="1" s="37">
      <c r="E262" s="11" t="n"/>
    </row>
    <row r="263" ht="14.25" customHeight="1" s="37">
      <c r="E263" s="11" t="n"/>
    </row>
    <row r="264" ht="14.25" customHeight="1" s="37">
      <c r="E264" s="11" t="n"/>
    </row>
    <row r="265" ht="14.25" customHeight="1" s="37">
      <c r="E265" s="11" t="n"/>
    </row>
    <row r="266" ht="14.25" customHeight="1" s="37">
      <c r="E266" s="11" t="n"/>
    </row>
    <row r="267" ht="14.25" customHeight="1" s="37">
      <c r="E267" s="11" t="n"/>
    </row>
    <row r="268" ht="14.25" customHeight="1" s="37">
      <c r="E268" s="11" t="n"/>
    </row>
    <row r="269" ht="14.25" customHeight="1" s="37">
      <c r="E269" s="11" t="n"/>
    </row>
    <row r="270" ht="14.25" customHeight="1" s="37">
      <c r="E270" s="11" t="n"/>
    </row>
    <row r="271" ht="14.25" customHeight="1" s="37">
      <c r="E271" s="11" t="n"/>
    </row>
    <row r="272" ht="14.25" customHeight="1" s="37">
      <c r="E272" s="11" t="n"/>
    </row>
    <row r="273" ht="14.25" customHeight="1" s="37">
      <c r="E273" s="11" t="n"/>
    </row>
    <row r="274" ht="14.25" customHeight="1" s="37">
      <c r="E274" s="11" t="n"/>
    </row>
    <row r="275" ht="14.25" customHeight="1" s="37">
      <c r="E275" s="11" t="n"/>
    </row>
    <row r="276" ht="14.25" customHeight="1" s="37">
      <c r="E276" s="11" t="n"/>
    </row>
    <row r="277" ht="14.25" customHeight="1" s="37">
      <c r="E277" s="11" t="n"/>
    </row>
    <row r="278" ht="14.25" customHeight="1" s="37">
      <c r="E278" s="11" t="n"/>
    </row>
    <row r="279" ht="14.25" customHeight="1" s="37">
      <c r="E279" s="11" t="n"/>
    </row>
    <row r="280" ht="14.25" customHeight="1" s="37">
      <c r="E280" s="11" t="n"/>
    </row>
    <row r="281" ht="14.25" customHeight="1" s="37">
      <c r="E281" s="11" t="n"/>
    </row>
    <row r="282" ht="14.25" customHeight="1" s="37">
      <c r="E282" s="11" t="n"/>
    </row>
    <row r="283" ht="14.25" customHeight="1" s="37">
      <c r="E283" s="11" t="n"/>
    </row>
    <row r="284" ht="14.25" customHeight="1" s="37">
      <c r="E284" s="11" t="n"/>
    </row>
    <row r="285" ht="14.25" customHeight="1" s="37">
      <c r="E285" s="11" t="n"/>
    </row>
    <row r="286" ht="14.25" customHeight="1" s="37">
      <c r="E286" s="11" t="n"/>
    </row>
    <row r="287" ht="14.25" customHeight="1" s="37">
      <c r="E287" s="11" t="n"/>
    </row>
    <row r="288" ht="14.25" customHeight="1" s="37">
      <c r="E288" s="11" t="n"/>
    </row>
    <row r="289" ht="14.25" customHeight="1" s="37">
      <c r="E289" s="11" t="n"/>
    </row>
    <row r="290" ht="14.25" customHeight="1" s="37">
      <c r="E290" s="11" t="n"/>
    </row>
    <row r="291" ht="14.25" customHeight="1" s="37">
      <c r="E291" s="11" t="n"/>
    </row>
    <row r="292" ht="14.25" customHeight="1" s="37">
      <c r="E292" s="11" t="n"/>
    </row>
    <row r="293" ht="14.25" customHeight="1" s="37">
      <c r="E293" s="11" t="n"/>
    </row>
    <row r="294" ht="14.25" customHeight="1" s="37">
      <c r="E294" s="11" t="n"/>
    </row>
    <row r="295" ht="14.25" customHeight="1" s="37">
      <c r="E295" s="11" t="n"/>
    </row>
    <row r="296" ht="14.25" customHeight="1" s="37">
      <c r="E296" s="11" t="n"/>
    </row>
    <row r="297" ht="14.25" customHeight="1" s="37">
      <c r="E297" s="11" t="n"/>
    </row>
    <row r="298" ht="14.25" customHeight="1" s="37">
      <c r="E298" s="11" t="n"/>
    </row>
    <row r="299" ht="14.25" customHeight="1" s="37">
      <c r="E299" s="11" t="n"/>
    </row>
    <row r="300" ht="14.25" customHeight="1" s="37">
      <c r="E300" s="11" t="n"/>
    </row>
    <row r="301" ht="14.25" customHeight="1" s="37">
      <c r="E301" s="11" t="n"/>
    </row>
    <row r="302" ht="14.25" customHeight="1" s="37">
      <c r="E302" s="11" t="n"/>
    </row>
    <row r="303" ht="14.25" customHeight="1" s="37">
      <c r="E303" s="11" t="n"/>
    </row>
    <row r="304" ht="14.25" customHeight="1" s="37">
      <c r="E304" s="11" t="n"/>
    </row>
    <row r="305" ht="14.25" customHeight="1" s="37">
      <c r="E305" s="11" t="n"/>
    </row>
    <row r="306" ht="14.25" customHeight="1" s="37">
      <c r="E306" s="11" t="n"/>
    </row>
    <row r="307" ht="14.25" customHeight="1" s="37">
      <c r="E307" s="11" t="n"/>
    </row>
    <row r="308" ht="14.25" customHeight="1" s="37">
      <c r="E308" s="11" t="n"/>
    </row>
    <row r="309" ht="14.25" customHeight="1" s="37">
      <c r="E309" s="11" t="n"/>
    </row>
    <row r="310" ht="14.25" customHeight="1" s="37">
      <c r="E310" s="11" t="n"/>
    </row>
    <row r="311" ht="14.25" customHeight="1" s="37">
      <c r="E311" s="11" t="n"/>
    </row>
    <row r="312" ht="14.25" customHeight="1" s="37">
      <c r="E312" s="11" t="n"/>
    </row>
    <row r="313" ht="14.25" customHeight="1" s="37">
      <c r="E313" s="11" t="n"/>
    </row>
    <row r="314" ht="14.25" customHeight="1" s="37">
      <c r="E314" s="11" t="n"/>
    </row>
    <row r="315" ht="14.25" customHeight="1" s="37">
      <c r="E315" s="11" t="n"/>
    </row>
    <row r="316" ht="14.25" customHeight="1" s="37">
      <c r="E316" s="11" t="n"/>
    </row>
    <row r="317" ht="14.25" customHeight="1" s="37">
      <c r="E317" s="11" t="n"/>
    </row>
    <row r="318" ht="14.25" customHeight="1" s="37">
      <c r="E318" s="11" t="n"/>
    </row>
    <row r="319" ht="14.25" customHeight="1" s="37">
      <c r="E319" s="11" t="n"/>
    </row>
    <row r="320" ht="14.25" customHeight="1" s="37">
      <c r="E320" s="11" t="n"/>
    </row>
    <row r="321" ht="14.25" customHeight="1" s="37">
      <c r="E321" s="11" t="n"/>
    </row>
    <row r="322" ht="14.25" customHeight="1" s="37">
      <c r="E322" s="11" t="n"/>
    </row>
    <row r="323" ht="14.25" customHeight="1" s="37">
      <c r="E323" s="11" t="n"/>
    </row>
    <row r="324" ht="14.25" customHeight="1" s="37">
      <c r="E324" s="11" t="n"/>
    </row>
    <row r="325" ht="14.25" customHeight="1" s="37">
      <c r="E325" s="11" t="n"/>
    </row>
    <row r="326" ht="14.25" customHeight="1" s="37">
      <c r="E326" s="11" t="n"/>
    </row>
    <row r="327" ht="14.25" customHeight="1" s="37">
      <c r="E327" s="11" t="n"/>
    </row>
    <row r="328" ht="14.25" customHeight="1" s="37">
      <c r="E328" s="11" t="n"/>
    </row>
    <row r="329" ht="14.25" customHeight="1" s="37">
      <c r="E329" s="11" t="n"/>
    </row>
    <row r="330" ht="14.25" customHeight="1" s="37">
      <c r="E330" s="11" t="n"/>
    </row>
    <row r="331" ht="14.25" customHeight="1" s="37">
      <c r="E331" s="11" t="n"/>
    </row>
    <row r="332" ht="14.25" customHeight="1" s="37">
      <c r="E332" s="11" t="n"/>
    </row>
    <row r="333" ht="14.25" customHeight="1" s="37">
      <c r="E333" s="11" t="n"/>
    </row>
    <row r="334" ht="14.25" customHeight="1" s="37">
      <c r="E334" s="11" t="n"/>
    </row>
    <row r="335" ht="14.25" customHeight="1" s="37">
      <c r="E335" s="11" t="n"/>
    </row>
    <row r="336" ht="14.25" customHeight="1" s="37">
      <c r="E336" s="11" t="n"/>
    </row>
    <row r="337" ht="14.25" customHeight="1" s="37">
      <c r="E337" s="11" t="n"/>
    </row>
    <row r="338" ht="14.25" customHeight="1" s="37">
      <c r="E338" s="11" t="n"/>
    </row>
    <row r="339" ht="14.25" customHeight="1" s="37">
      <c r="E339" s="11" t="n"/>
    </row>
    <row r="340" ht="14.25" customHeight="1" s="37">
      <c r="E340" s="11" t="n"/>
    </row>
    <row r="341" ht="14.25" customHeight="1" s="37">
      <c r="E341" s="11" t="n"/>
    </row>
    <row r="342" ht="14.25" customHeight="1" s="37">
      <c r="E342" s="11" t="n"/>
    </row>
    <row r="343" ht="14.25" customHeight="1" s="37">
      <c r="E343" s="11" t="n"/>
    </row>
    <row r="344" ht="14.25" customHeight="1" s="37">
      <c r="E344" s="11" t="n"/>
    </row>
    <row r="345" ht="14.25" customHeight="1" s="37">
      <c r="E345" s="11" t="n"/>
    </row>
    <row r="346" ht="14.25" customHeight="1" s="37">
      <c r="E346" s="11" t="n"/>
    </row>
    <row r="347" ht="14.25" customHeight="1" s="37">
      <c r="E347" s="11" t="n"/>
    </row>
    <row r="348" ht="14.25" customHeight="1" s="37">
      <c r="E348" s="11" t="n"/>
    </row>
    <row r="349" ht="14.25" customHeight="1" s="37">
      <c r="E349" s="11" t="n"/>
    </row>
    <row r="350" ht="14.25" customHeight="1" s="37">
      <c r="E350" s="11" t="n"/>
    </row>
    <row r="351" ht="14.25" customHeight="1" s="37">
      <c r="E351" s="11" t="n"/>
    </row>
    <row r="352" ht="14.25" customHeight="1" s="37">
      <c r="E352" s="11" t="n"/>
    </row>
    <row r="353" ht="14.25" customHeight="1" s="37">
      <c r="E353" s="11" t="n"/>
    </row>
    <row r="354" ht="14.25" customHeight="1" s="37">
      <c r="E354" s="11" t="n"/>
    </row>
    <row r="355" ht="14.25" customHeight="1" s="37">
      <c r="E355" s="11" t="n"/>
    </row>
    <row r="356" ht="14.25" customHeight="1" s="37">
      <c r="E356" s="11" t="n"/>
    </row>
    <row r="357" ht="14.25" customHeight="1" s="37">
      <c r="E357" s="11" t="n"/>
    </row>
    <row r="358" ht="14.25" customHeight="1" s="37">
      <c r="E358" s="11" t="n"/>
    </row>
    <row r="359" ht="14.25" customHeight="1" s="37">
      <c r="E359" s="11" t="n"/>
    </row>
    <row r="360" ht="14.25" customHeight="1" s="37">
      <c r="E360" s="11" t="n"/>
    </row>
    <row r="361" ht="14.25" customHeight="1" s="37">
      <c r="E361" s="11" t="n"/>
    </row>
    <row r="362" ht="14.25" customHeight="1" s="37">
      <c r="E362" s="11" t="n"/>
    </row>
    <row r="363" ht="14.25" customHeight="1" s="37">
      <c r="E363" s="11" t="n"/>
    </row>
    <row r="364" ht="14.25" customHeight="1" s="37">
      <c r="E364" s="11" t="n"/>
    </row>
    <row r="365" ht="14.25" customHeight="1" s="37">
      <c r="E365" s="11" t="n"/>
    </row>
    <row r="366" ht="14.25" customHeight="1" s="37">
      <c r="E366" s="11" t="n"/>
    </row>
    <row r="367" ht="14.25" customHeight="1" s="37">
      <c r="E367" s="11" t="n"/>
    </row>
    <row r="368" ht="14.25" customHeight="1" s="37">
      <c r="E368" s="11" t="n"/>
    </row>
    <row r="369" ht="14.25" customHeight="1" s="37">
      <c r="E369" s="11" t="n"/>
    </row>
    <row r="370" ht="14.25" customHeight="1" s="37">
      <c r="E370" s="11" t="n"/>
    </row>
    <row r="371" ht="14.25" customHeight="1" s="37">
      <c r="E371" s="11" t="n"/>
    </row>
    <row r="372" ht="14.25" customHeight="1" s="37">
      <c r="E372" s="11" t="n"/>
    </row>
    <row r="373" ht="14.25" customHeight="1" s="37">
      <c r="E373" s="11" t="n"/>
    </row>
    <row r="374" ht="14.25" customHeight="1" s="37">
      <c r="E374" s="11" t="n"/>
    </row>
    <row r="375" ht="14.25" customHeight="1" s="37">
      <c r="E375" s="11" t="n"/>
    </row>
    <row r="376" ht="14.25" customHeight="1" s="37">
      <c r="E376" s="11" t="n"/>
    </row>
    <row r="377" ht="14.25" customHeight="1" s="37">
      <c r="E377" s="11" t="n"/>
    </row>
    <row r="378" ht="14.25" customHeight="1" s="37">
      <c r="E378" s="11" t="n"/>
    </row>
    <row r="379" ht="14.25" customHeight="1" s="37">
      <c r="E379" s="11" t="n"/>
    </row>
    <row r="380" ht="14.25" customHeight="1" s="37">
      <c r="E380" s="11" t="n"/>
    </row>
    <row r="381" ht="14.25" customHeight="1" s="37">
      <c r="E381" s="11" t="n"/>
    </row>
    <row r="382" ht="14.25" customHeight="1" s="37">
      <c r="E382" s="11" t="n"/>
    </row>
    <row r="383" ht="14.25" customHeight="1" s="37">
      <c r="E383" s="11" t="n"/>
    </row>
    <row r="384" ht="14.25" customHeight="1" s="37">
      <c r="E384" s="11" t="n"/>
    </row>
    <row r="385" ht="14.25" customHeight="1" s="37">
      <c r="E385" s="11" t="n"/>
    </row>
    <row r="386" ht="14.25" customHeight="1" s="37">
      <c r="E386" s="11" t="n"/>
    </row>
    <row r="387" ht="14.25" customHeight="1" s="37">
      <c r="E387" s="11" t="n"/>
    </row>
    <row r="388" ht="14.25" customHeight="1" s="37">
      <c r="E388" s="11" t="n"/>
    </row>
    <row r="389" ht="14.25" customHeight="1" s="37">
      <c r="E389" s="11" t="n"/>
    </row>
    <row r="390" ht="14.25" customHeight="1" s="37">
      <c r="E390" s="11" t="n"/>
    </row>
    <row r="391" ht="14.25" customHeight="1" s="37">
      <c r="E391" s="11" t="n"/>
    </row>
    <row r="392" ht="14.25" customHeight="1" s="37">
      <c r="E392" s="11" t="n"/>
    </row>
    <row r="393" ht="14.25" customHeight="1" s="37">
      <c r="E393" s="11" t="n"/>
    </row>
    <row r="394" ht="14.25" customHeight="1" s="37">
      <c r="E394" s="11" t="n"/>
    </row>
    <row r="395" ht="14.25" customHeight="1" s="37">
      <c r="E395" s="11" t="n"/>
    </row>
    <row r="396" ht="14.25" customHeight="1" s="37">
      <c r="E396" s="11" t="n"/>
    </row>
    <row r="397" ht="14.25" customHeight="1" s="37">
      <c r="E397" s="11" t="n"/>
    </row>
    <row r="398" ht="14.25" customHeight="1" s="37">
      <c r="E398" s="11" t="n"/>
    </row>
    <row r="399" ht="14.25" customHeight="1" s="37">
      <c r="E399" s="11" t="n"/>
    </row>
    <row r="400" ht="14.25" customHeight="1" s="37">
      <c r="E400" s="11" t="n"/>
    </row>
    <row r="401" ht="14.25" customHeight="1" s="37">
      <c r="E401" s="11" t="n"/>
    </row>
    <row r="402" ht="14.25" customHeight="1" s="37">
      <c r="E402" s="11" t="n"/>
    </row>
    <row r="403" ht="14.25" customHeight="1" s="37">
      <c r="E403" s="11" t="n"/>
    </row>
    <row r="404" ht="14.25" customHeight="1" s="37">
      <c r="E404" s="11" t="n"/>
    </row>
    <row r="405" ht="14.25" customHeight="1" s="37">
      <c r="E405" s="11" t="n"/>
    </row>
    <row r="406" ht="14.25" customHeight="1" s="37">
      <c r="E406" s="11" t="n"/>
    </row>
    <row r="407" ht="14.25" customHeight="1" s="37">
      <c r="E407" s="11" t="n"/>
    </row>
    <row r="408" ht="14.25" customHeight="1" s="37">
      <c r="E408" s="11" t="n"/>
    </row>
    <row r="409" ht="14.25" customHeight="1" s="37">
      <c r="E409" s="11" t="n"/>
    </row>
    <row r="410" ht="14.25" customHeight="1" s="37">
      <c r="E410" s="11" t="n"/>
    </row>
    <row r="411" ht="14.25" customHeight="1" s="37">
      <c r="E411" s="11" t="n"/>
    </row>
    <row r="412" ht="14.25" customHeight="1" s="37">
      <c r="E412" s="11" t="n"/>
    </row>
    <row r="413" ht="14.25" customHeight="1" s="37">
      <c r="E413" s="11" t="n"/>
    </row>
    <row r="414" ht="14.25" customHeight="1" s="37">
      <c r="E414" s="11" t="n"/>
    </row>
    <row r="415" ht="14.25" customHeight="1" s="37">
      <c r="E415" s="11" t="n"/>
    </row>
    <row r="416" ht="14.25" customHeight="1" s="37">
      <c r="E416" s="11" t="n"/>
    </row>
    <row r="417" ht="14.25" customHeight="1" s="37">
      <c r="E417" s="11" t="n"/>
    </row>
    <row r="418" ht="14.25" customHeight="1" s="37">
      <c r="E418" s="11" t="n"/>
    </row>
    <row r="419" ht="14.25" customHeight="1" s="37">
      <c r="E419" s="11" t="n"/>
    </row>
    <row r="420" ht="14.25" customHeight="1" s="37">
      <c r="E420" s="11" t="n"/>
    </row>
    <row r="421" ht="14.25" customHeight="1" s="37">
      <c r="E421" s="11" t="n"/>
    </row>
    <row r="422" ht="14.25" customHeight="1" s="37">
      <c r="E422" s="11" t="n"/>
    </row>
    <row r="423" ht="14.25" customHeight="1" s="37">
      <c r="E423" s="11" t="n"/>
    </row>
    <row r="424" ht="14.25" customHeight="1" s="37">
      <c r="E424" s="11" t="n"/>
    </row>
    <row r="425" ht="14.25" customHeight="1" s="37">
      <c r="E425" s="11" t="n"/>
    </row>
    <row r="426" ht="14.25" customHeight="1" s="37">
      <c r="E426" s="11" t="n"/>
    </row>
    <row r="427" ht="14.25" customHeight="1" s="37">
      <c r="E427" s="11" t="n"/>
    </row>
    <row r="428" ht="14.25" customHeight="1" s="37">
      <c r="E428" s="11" t="n"/>
    </row>
    <row r="429" ht="14.25" customHeight="1" s="37">
      <c r="E429" s="11" t="n"/>
    </row>
    <row r="430" ht="14.25" customHeight="1" s="37">
      <c r="E430" s="11" t="n"/>
    </row>
    <row r="431" ht="14.25" customHeight="1" s="37">
      <c r="E431" s="11" t="n"/>
    </row>
    <row r="432" ht="14.25" customHeight="1" s="37">
      <c r="E432" s="11" t="n"/>
    </row>
    <row r="433" ht="14.25" customHeight="1" s="37">
      <c r="E433" s="11" t="n"/>
    </row>
    <row r="434" ht="14.25" customHeight="1" s="37">
      <c r="E434" s="11" t="n"/>
    </row>
    <row r="435" ht="14.25" customHeight="1" s="37">
      <c r="E435" s="11" t="n"/>
    </row>
    <row r="436" ht="14.25" customHeight="1" s="37">
      <c r="E436" s="11" t="n"/>
    </row>
    <row r="437" ht="14.25" customHeight="1" s="37">
      <c r="E437" s="11" t="n"/>
    </row>
    <row r="438" ht="14.25" customHeight="1" s="37">
      <c r="E438" s="11" t="n"/>
    </row>
    <row r="439" ht="14.25" customHeight="1" s="37">
      <c r="E439" s="11" t="n"/>
    </row>
    <row r="440" ht="14.25" customHeight="1" s="37">
      <c r="E440" s="11" t="n"/>
    </row>
    <row r="441" ht="14.25" customHeight="1" s="37">
      <c r="E441" s="11" t="n"/>
    </row>
    <row r="442" ht="14.25" customHeight="1" s="37">
      <c r="E442" s="11" t="n"/>
    </row>
    <row r="443" ht="14.25" customHeight="1" s="37">
      <c r="E443" s="11" t="n"/>
    </row>
    <row r="444" ht="14.25" customHeight="1" s="37">
      <c r="E444" s="11" t="n"/>
    </row>
    <row r="445" ht="14.25" customHeight="1" s="37">
      <c r="E445" s="11" t="n"/>
    </row>
    <row r="446" ht="14.25" customHeight="1" s="37">
      <c r="E446" s="11" t="n"/>
    </row>
    <row r="447" ht="14.25" customHeight="1" s="37">
      <c r="E447" s="11" t="n"/>
    </row>
    <row r="448" ht="14.25" customHeight="1" s="37">
      <c r="E448" s="11" t="n"/>
    </row>
    <row r="449" ht="14.25" customHeight="1" s="37">
      <c r="E449" s="11" t="n"/>
    </row>
    <row r="450" ht="14.25" customHeight="1" s="37">
      <c r="E450" s="11" t="n"/>
    </row>
    <row r="451" ht="14.25" customHeight="1" s="37">
      <c r="E451" s="11" t="n"/>
    </row>
    <row r="452" ht="14.25" customHeight="1" s="37">
      <c r="E452" s="11" t="n"/>
    </row>
    <row r="453" ht="14.25" customHeight="1" s="37">
      <c r="E453" s="11" t="n"/>
    </row>
    <row r="454" ht="14.25" customHeight="1" s="37">
      <c r="E454" s="11" t="n"/>
    </row>
    <row r="455" ht="14.25" customHeight="1" s="37">
      <c r="E455" s="11" t="n"/>
    </row>
    <row r="456" ht="14.25" customHeight="1" s="37">
      <c r="E456" s="11" t="n"/>
    </row>
    <row r="457" ht="14.25" customHeight="1" s="37">
      <c r="E457" s="11" t="n"/>
    </row>
    <row r="458" ht="14.25" customHeight="1" s="37">
      <c r="E458" s="11" t="n"/>
    </row>
    <row r="459" ht="14.25" customHeight="1" s="37">
      <c r="E459" s="11" t="n"/>
    </row>
    <row r="460" ht="14.25" customHeight="1" s="37">
      <c r="E460" s="11" t="n"/>
    </row>
    <row r="461" ht="14.25" customHeight="1" s="37">
      <c r="E461" s="11" t="n"/>
    </row>
    <row r="462" ht="14.25" customHeight="1" s="37">
      <c r="E462" s="11" t="n"/>
    </row>
    <row r="463" ht="14.25" customHeight="1" s="37">
      <c r="E463" s="11" t="n"/>
    </row>
    <row r="464" ht="14.25" customHeight="1" s="37">
      <c r="E464" s="11" t="n"/>
    </row>
    <row r="465" ht="14.25" customHeight="1" s="37">
      <c r="E465" s="11" t="n"/>
    </row>
    <row r="466" ht="14.25" customHeight="1" s="37">
      <c r="E466" s="11" t="n"/>
    </row>
    <row r="467" ht="14.25" customHeight="1" s="37">
      <c r="E467" s="11" t="n"/>
    </row>
    <row r="468" ht="14.25" customHeight="1" s="37">
      <c r="E468" s="11" t="n"/>
    </row>
    <row r="469" ht="14.25" customHeight="1" s="37">
      <c r="E469" s="11" t="n"/>
    </row>
    <row r="470" ht="14.25" customHeight="1" s="37">
      <c r="E470" s="11" t="n"/>
    </row>
    <row r="471" ht="14.25" customHeight="1" s="37">
      <c r="E471" s="11" t="n"/>
    </row>
    <row r="472" ht="14.25" customHeight="1" s="37">
      <c r="E472" s="11" t="n"/>
    </row>
    <row r="473" ht="14.25" customHeight="1" s="37">
      <c r="E473" s="11" t="n"/>
    </row>
    <row r="474" ht="14.25" customHeight="1" s="37">
      <c r="E474" s="11" t="n"/>
    </row>
    <row r="475" ht="14.25" customHeight="1" s="37">
      <c r="E475" s="11" t="n"/>
    </row>
    <row r="476" ht="14.25" customHeight="1" s="37">
      <c r="E476" s="11" t="n"/>
    </row>
    <row r="477" ht="14.25" customHeight="1" s="37">
      <c r="E477" s="11" t="n"/>
    </row>
    <row r="478" ht="14.25" customHeight="1" s="37">
      <c r="E478" s="11" t="n"/>
    </row>
    <row r="479" ht="14.25" customHeight="1" s="37">
      <c r="E479" s="11" t="n"/>
    </row>
    <row r="480" ht="14.25" customHeight="1" s="37">
      <c r="E480" s="11" t="n"/>
    </row>
    <row r="481" ht="14.25" customHeight="1" s="37">
      <c r="E481" s="11" t="n"/>
    </row>
    <row r="482" ht="14.25" customHeight="1" s="37">
      <c r="E482" s="11" t="n"/>
    </row>
    <row r="483" ht="14.25" customHeight="1" s="37">
      <c r="E483" s="11" t="n"/>
    </row>
    <row r="484" ht="14.25" customHeight="1" s="37">
      <c r="E484" s="11" t="n"/>
    </row>
    <row r="485" ht="14.25" customHeight="1" s="37">
      <c r="E485" s="11" t="n"/>
    </row>
    <row r="486" ht="14.25" customHeight="1" s="37">
      <c r="E486" s="11" t="n"/>
    </row>
    <row r="487" ht="14.25" customHeight="1" s="37">
      <c r="E487" s="11" t="n"/>
    </row>
    <row r="488" ht="14.25" customHeight="1" s="37">
      <c r="E488" s="11" t="n"/>
    </row>
    <row r="489" ht="14.25" customHeight="1" s="37">
      <c r="E489" s="11" t="n"/>
    </row>
    <row r="490" ht="14.25" customHeight="1" s="37">
      <c r="E490" s="11" t="n"/>
    </row>
    <row r="491" ht="14.25" customHeight="1" s="37">
      <c r="E491" s="11" t="n"/>
    </row>
    <row r="492" ht="14.25" customHeight="1" s="37">
      <c r="E492" s="11" t="n"/>
    </row>
    <row r="493" ht="14.25" customHeight="1" s="37">
      <c r="E493" s="11" t="n"/>
    </row>
    <row r="494" ht="14.25" customHeight="1" s="37">
      <c r="E494" s="11" t="n"/>
    </row>
    <row r="495" ht="14.25" customHeight="1" s="37">
      <c r="E495" s="11" t="n"/>
    </row>
    <row r="496" ht="14.25" customHeight="1" s="37">
      <c r="E496" s="11" t="n"/>
    </row>
    <row r="497" ht="14.25" customHeight="1" s="37">
      <c r="E497" s="11" t="n"/>
    </row>
    <row r="498" ht="14.25" customHeight="1" s="37">
      <c r="E498" s="11" t="n"/>
    </row>
    <row r="499" ht="14.25" customHeight="1" s="37">
      <c r="E499" s="11" t="n"/>
    </row>
    <row r="500" ht="14.25" customHeight="1" s="37">
      <c r="E500" s="11" t="n"/>
    </row>
    <row r="501" ht="14.25" customHeight="1" s="37">
      <c r="E501" s="11" t="n"/>
    </row>
    <row r="502" ht="14.25" customHeight="1" s="37">
      <c r="E502" s="11" t="n"/>
    </row>
    <row r="503" ht="14.25" customHeight="1" s="37">
      <c r="E503" s="11" t="n"/>
    </row>
    <row r="504" ht="14.25" customHeight="1" s="37">
      <c r="E504" s="11" t="n"/>
    </row>
    <row r="505" ht="14.25" customHeight="1" s="37">
      <c r="E505" s="11" t="n"/>
    </row>
    <row r="506" ht="14.25" customHeight="1" s="37">
      <c r="E506" s="11" t="n"/>
    </row>
    <row r="507" ht="14.25" customHeight="1" s="37">
      <c r="E507" s="11" t="n"/>
    </row>
    <row r="508" ht="14.25" customHeight="1" s="37">
      <c r="E508" s="11" t="n"/>
    </row>
    <row r="509" ht="14.25" customHeight="1" s="37">
      <c r="E509" s="11" t="n"/>
    </row>
    <row r="510" ht="14.25" customHeight="1" s="37">
      <c r="E510" s="11" t="n"/>
    </row>
    <row r="511" ht="14.25" customHeight="1" s="37">
      <c r="E511" s="11" t="n"/>
    </row>
    <row r="512" ht="14.25" customHeight="1" s="37">
      <c r="E512" s="11" t="n"/>
    </row>
    <row r="513" ht="14.25" customHeight="1" s="37">
      <c r="E513" s="11" t="n"/>
    </row>
    <row r="514" ht="14.25" customHeight="1" s="37">
      <c r="E514" s="11" t="n"/>
    </row>
    <row r="515" ht="14.25" customHeight="1" s="37">
      <c r="E515" s="11" t="n"/>
    </row>
    <row r="516" ht="14.25" customHeight="1" s="37">
      <c r="E516" s="11" t="n"/>
    </row>
    <row r="517" ht="14.25" customHeight="1" s="37">
      <c r="E517" s="11" t="n"/>
    </row>
    <row r="518" ht="14.25" customHeight="1" s="37">
      <c r="E518" s="11" t="n"/>
    </row>
    <row r="519" ht="14.25" customHeight="1" s="37">
      <c r="E519" s="11" t="n"/>
    </row>
    <row r="520" ht="14.25" customHeight="1" s="37">
      <c r="E520" s="11" t="n"/>
    </row>
    <row r="521" ht="14.25" customHeight="1" s="37">
      <c r="E521" s="11" t="n"/>
    </row>
    <row r="522" ht="14.25" customHeight="1" s="37">
      <c r="E522" s="11" t="n"/>
    </row>
    <row r="523" ht="14.25" customHeight="1" s="37">
      <c r="E523" s="11" t="n"/>
    </row>
    <row r="524" ht="14.25" customHeight="1" s="37">
      <c r="E524" s="11" t="n"/>
    </row>
    <row r="525" ht="14.25" customHeight="1" s="37">
      <c r="E525" s="11" t="n"/>
    </row>
    <row r="526" ht="14.25" customHeight="1" s="37">
      <c r="E526" s="11" t="n"/>
    </row>
    <row r="527" ht="14.25" customHeight="1" s="37">
      <c r="E527" s="11" t="n"/>
    </row>
    <row r="528" ht="14.25" customHeight="1" s="37">
      <c r="E528" s="11" t="n"/>
    </row>
    <row r="529" ht="14.25" customHeight="1" s="37">
      <c r="E529" s="11" t="n"/>
    </row>
    <row r="530" ht="14.25" customHeight="1" s="37">
      <c r="E530" s="11" t="n"/>
    </row>
    <row r="531" ht="14.25" customHeight="1" s="37">
      <c r="E531" s="11" t="n"/>
    </row>
    <row r="532" ht="14.25" customHeight="1" s="37">
      <c r="E532" s="11" t="n"/>
    </row>
    <row r="533" ht="14.25" customHeight="1" s="37">
      <c r="E533" s="11" t="n"/>
    </row>
    <row r="534" ht="14.25" customHeight="1" s="37">
      <c r="E534" s="11" t="n"/>
    </row>
    <row r="535" ht="14.25" customHeight="1" s="37">
      <c r="E535" s="11" t="n"/>
    </row>
    <row r="536" ht="14.25" customHeight="1" s="37">
      <c r="E536" s="11" t="n"/>
    </row>
    <row r="537" ht="14.25" customHeight="1" s="37">
      <c r="E537" s="11" t="n"/>
    </row>
    <row r="538" ht="14.25" customHeight="1" s="37">
      <c r="E538" s="11" t="n"/>
    </row>
    <row r="539" ht="14.25" customHeight="1" s="37">
      <c r="E539" s="11" t="n"/>
    </row>
    <row r="540" ht="14.25" customHeight="1" s="37">
      <c r="E540" s="11" t="n"/>
    </row>
    <row r="541" ht="14.25" customHeight="1" s="37">
      <c r="E541" s="11" t="n"/>
    </row>
    <row r="542" ht="14.25" customHeight="1" s="37">
      <c r="E542" s="11" t="n"/>
    </row>
    <row r="543" ht="14.25" customHeight="1" s="37">
      <c r="E543" s="11" t="n"/>
    </row>
    <row r="544" ht="14.25" customHeight="1" s="37">
      <c r="E544" s="11" t="n"/>
    </row>
    <row r="545" ht="14.25" customHeight="1" s="37">
      <c r="E545" s="11" t="n"/>
    </row>
    <row r="546" ht="14.25" customHeight="1" s="37">
      <c r="E546" s="11" t="n"/>
    </row>
    <row r="547" ht="14.25" customHeight="1" s="37">
      <c r="E547" s="11" t="n"/>
    </row>
    <row r="548" ht="14.25" customHeight="1" s="37">
      <c r="E548" s="11" t="n"/>
    </row>
    <row r="549" ht="14.25" customHeight="1" s="37">
      <c r="E549" s="11" t="n"/>
    </row>
    <row r="550" ht="14.25" customHeight="1" s="37">
      <c r="E550" s="11" t="n"/>
    </row>
    <row r="551" ht="14.25" customHeight="1" s="37">
      <c r="E551" s="11" t="n"/>
    </row>
    <row r="552" ht="14.25" customHeight="1" s="37">
      <c r="E552" s="11" t="n"/>
    </row>
    <row r="553" ht="14.25" customHeight="1" s="37">
      <c r="E553" s="11" t="n"/>
    </row>
    <row r="554" ht="14.25" customHeight="1" s="37">
      <c r="E554" s="11" t="n"/>
    </row>
    <row r="555" ht="14.25" customHeight="1" s="37">
      <c r="E555" s="11" t="n"/>
    </row>
    <row r="556" ht="14.25" customHeight="1" s="37">
      <c r="E556" s="11" t="n"/>
    </row>
    <row r="557" ht="14.25" customHeight="1" s="37">
      <c r="E557" s="11" t="n"/>
    </row>
    <row r="558" ht="14.25" customHeight="1" s="37">
      <c r="E558" s="11" t="n"/>
    </row>
    <row r="559" ht="14.25" customHeight="1" s="37">
      <c r="E559" s="11" t="n"/>
    </row>
    <row r="560" ht="14.25" customHeight="1" s="37">
      <c r="E560" s="11" t="n"/>
    </row>
    <row r="561" ht="14.25" customHeight="1" s="37">
      <c r="E561" s="11" t="n"/>
    </row>
    <row r="562" ht="14.25" customHeight="1" s="37">
      <c r="E562" s="11" t="n"/>
    </row>
    <row r="563" ht="14.25" customHeight="1" s="37">
      <c r="E563" s="11" t="n"/>
    </row>
    <row r="564" ht="14.25" customHeight="1" s="37">
      <c r="E564" s="11" t="n"/>
    </row>
    <row r="565" ht="14.25" customHeight="1" s="37">
      <c r="E565" s="11" t="n"/>
    </row>
    <row r="566" ht="14.25" customHeight="1" s="37">
      <c r="E566" s="11" t="n"/>
    </row>
    <row r="567" ht="14.25" customHeight="1" s="37">
      <c r="E567" s="11" t="n"/>
    </row>
    <row r="568" ht="14.25" customHeight="1" s="37">
      <c r="E568" s="11" t="n"/>
    </row>
    <row r="569" ht="14.25" customHeight="1" s="37">
      <c r="E569" s="11" t="n"/>
    </row>
    <row r="570" ht="14.25" customHeight="1" s="37">
      <c r="E570" s="11" t="n"/>
    </row>
    <row r="571" ht="14.25" customHeight="1" s="37">
      <c r="E571" s="11" t="n"/>
    </row>
    <row r="572" ht="14.25" customHeight="1" s="37">
      <c r="E572" s="11" t="n"/>
    </row>
    <row r="573" ht="14.25" customHeight="1" s="37">
      <c r="E573" s="11" t="n"/>
    </row>
    <row r="574" ht="14.25" customHeight="1" s="37">
      <c r="E574" s="11" t="n"/>
    </row>
    <row r="575" ht="14.25" customHeight="1" s="37">
      <c r="E575" s="11" t="n"/>
    </row>
    <row r="576" ht="14.25" customHeight="1" s="37">
      <c r="E576" s="11" t="n"/>
    </row>
    <row r="577" ht="14.25" customHeight="1" s="37">
      <c r="E577" s="11" t="n"/>
    </row>
    <row r="578" ht="14.25" customHeight="1" s="37">
      <c r="E578" s="11" t="n"/>
    </row>
    <row r="579" ht="14.25" customHeight="1" s="37">
      <c r="E579" s="11" t="n"/>
    </row>
    <row r="580" ht="14.25" customHeight="1" s="37">
      <c r="E580" s="11" t="n"/>
    </row>
    <row r="581" ht="14.25" customHeight="1" s="37">
      <c r="E581" s="11" t="n"/>
    </row>
    <row r="582" ht="14.25" customHeight="1" s="37">
      <c r="E582" s="11" t="n"/>
    </row>
    <row r="583" ht="14.25" customHeight="1" s="37">
      <c r="E583" s="11" t="n"/>
    </row>
    <row r="584" ht="14.25" customHeight="1" s="37">
      <c r="E584" s="11" t="n"/>
    </row>
    <row r="585" ht="14.25" customHeight="1" s="37">
      <c r="E585" s="11" t="n"/>
    </row>
    <row r="586" ht="14.25" customHeight="1" s="37">
      <c r="E586" s="11" t="n"/>
    </row>
    <row r="587" ht="14.25" customHeight="1" s="37">
      <c r="E587" s="11" t="n"/>
    </row>
    <row r="588" ht="14.25" customHeight="1" s="37">
      <c r="E588" s="11" t="n"/>
    </row>
    <row r="589" ht="14.25" customHeight="1" s="37">
      <c r="E589" s="11" t="n"/>
    </row>
    <row r="590" ht="14.25" customHeight="1" s="37">
      <c r="E590" s="11" t="n"/>
    </row>
    <row r="591" ht="14.25" customHeight="1" s="37">
      <c r="E591" s="11" t="n"/>
    </row>
    <row r="592" ht="14.25" customHeight="1" s="37">
      <c r="E592" s="11" t="n"/>
    </row>
    <row r="593" ht="14.25" customHeight="1" s="37">
      <c r="E593" s="11" t="n"/>
    </row>
    <row r="594" ht="14.25" customHeight="1" s="37">
      <c r="E594" s="11" t="n"/>
    </row>
    <row r="595" ht="14.25" customHeight="1" s="37">
      <c r="E595" s="11" t="n"/>
    </row>
    <row r="596" ht="14.25" customHeight="1" s="37">
      <c r="E596" s="11" t="n"/>
    </row>
    <row r="597" ht="14.25" customHeight="1" s="37">
      <c r="E597" s="11" t="n"/>
    </row>
    <row r="598" ht="14.25" customHeight="1" s="37">
      <c r="E598" s="11" t="n"/>
    </row>
    <row r="599" ht="14.25" customHeight="1" s="37">
      <c r="E599" s="11" t="n"/>
    </row>
    <row r="600" ht="14.25" customHeight="1" s="37">
      <c r="E600" s="11" t="n"/>
    </row>
    <row r="601" ht="14.25" customHeight="1" s="37">
      <c r="E601" s="11" t="n"/>
    </row>
    <row r="602" ht="14.25" customHeight="1" s="37">
      <c r="E602" s="11" t="n"/>
    </row>
    <row r="603" ht="14.25" customHeight="1" s="37">
      <c r="E603" s="11" t="n"/>
    </row>
    <row r="604" ht="14.25" customHeight="1" s="37">
      <c r="E604" s="11" t="n"/>
    </row>
    <row r="605" ht="14.25" customHeight="1" s="37">
      <c r="E605" s="11" t="n"/>
    </row>
    <row r="606" ht="14.25" customHeight="1" s="37">
      <c r="E606" s="11" t="n"/>
    </row>
    <row r="607" ht="14.25" customHeight="1" s="37">
      <c r="E607" s="11" t="n"/>
    </row>
    <row r="608" ht="14.25" customHeight="1" s="37">
      <c r="E608" s="11" t="n"/>
    </row>
    <row r="609" ht="14.25" customHeight="1" s="37">
      <c r="E609" s="11" t="n"/>
    </row>
    <row r="610" ht="14.25" customHeight="1" s="37">
      <c r="E610" s="11" t="n"/>
    </row>
    <row r="611" ht="14.25" customHeight="1" s="37">
      <c r="E611" s="11" t="n"/>
    </row>
    <row r="612" ht="14.25" customHeight="1" s="37">
      <c r="E612" s="11" t="n"/>
    </row>
    <row r="613" ht="14.25" customHeight="1" s="37">
      <c r="E613" s="11" t="n"/>
    </row>
    <row r="614" ht="14.25" customHeight="1" s="37">
      <c r="E614" s="11" t="n"/>
    </row>
    <row r="615" ht="14.25" customHeight="1" s="37">
      <c r="E615" s="11" t="n"/>
    </row>
    <row r="616" ht="14.25" customHeight="1" s="37">
      <c r="E616" s="11" t="n"/>
    </row>
    <row r="617" ht="14.25" customHeight="1" s="37">
      <c r="E617" s="11" t="n"/>
    </row>
    <row r="618" ht="14.25" customHeight="1" s="37">
      <c r="E618" s="11" t="n"/>
    </row>
    <row r="619" ht="14.25" customHeight="1" s="37">
      <c r="E619" s="11" t="n"/>
    </row>
    <row r="620" ht="14.25" customHeight="1" s="37">
      <c r="E620" s="11" t="n"/>
    </row>
    <row r="621" ht="14.25" customHeight="1" s="37">
      <c r="E621" s="11" t="n"/>
    </row>
    <row r="622" ht="14.25" customHeight="1" s="37">
      <c r="E622" s="11" t="n"/>
    </row>
    <row r="623" ht="14.25" customHeight="1" s="37">
      <c r="E623" s="11" t="n"/>
    </row>
    <row r="624" ht="14.25" customHeight="1" s="37">
      <c r="E624" s="11" t="n"/>
    </row>
    <row r="625" ht="14.25" customHeight="1" s="37">
      <c r="E625" s="11" t="n"/>
    </row>
    <row r="626" ht="14.25" customHeight="1" s="37">
      <c r="E626" s="11" t="n"/>
    </row>
    <row r="627" ht="14.25" customHeight="1" s="37">
      <c r="E627" s="11" t="n"/>
    </row>
    <row r="628" ht="14.25" customHeight="1" s="37">
      <c r="E628" s="11" t="n"/>
    </row>
    <row r="629" ht="14.25" customHeight="1" s="37">
      <c r="E629" s="11" t="n"/>
    </row>
    <row r="630" ht="14.25" customHeight="1" s="37">
      <c r="E630" s="11" t="n"/>
    </row>
    <row r="631" ht="14.25" customHeight="1" s="37">
      <c r="E631" s="11" t="n"/>
    </row>
    <row r="632" ht="14.25" customHeight="1" s="37">
      <c r="E632" s="11" t="n"/>
    </row>
    <row r="633" ht="14.25" customHeight="1" s="37">
      <c r="E633" s="11" t="n"/>
    </row>
    <row r="634" ht="14.25" customHeight="1" s="37">
      <c r="E634" s="11" t="n"/>
    </row>
    <row r="635" ht="14.25" customHeight="1" s="37">
      <c r="E635" s="11" t="n"/>
    </row>
    <row r="636" ht="14.25" customHeight="1" s="37">
      <c r="E636" s="11" t="n"/>
    </row>
    <row r="637" ht="14.25" customHeight="1" s="37">
      <c r="E637" s="11" t="n"/>
    </row>
    <row r="638" ht="14.25" customHeight="1" s="37">
      <c r="E638" s="11" t="n"/>
    </row>
    <row r="639" ht="14.25" customHeight="1" s="37">
      <c r="E639" s="11" t="n"/>
    </row>
    <row r="640" ht="14.25" customHeight="1" s="37">
      <c r="E640" s="11" t="n"/>
    </row>
    <row r="641" ht="14.25" customHeight="1" s="37">
      <c r="E641" s="11" t="n"/>
    </row>
    <row r="642" ht="14.25" customHeight="1" s="37">
      <c r="E642" s="11" t="n"/>
    </row>
    <row r="643" ht="14.25" customHeight="1" s="37">
      <c r="E643" s="11" t="n"/>
    </row>
    <row r="644" ht="14.25" customHeight="1" s="37">
      <c r="E644" s="11" t="n"/>
    </row>
    <row r="645" ht="14.25" customHeight="1" s="37">
      <c r="E645" s="11" t="n"/>
    </row>
    <row r="646" ht="14.25" customHeight="1" s="37">
      <c r="E646" s="11" t="n"/>
    </row>
    <row r="647" ht="14.25" customHeight="1" s="37">
      <c r="E647" s="11" t="n"/>
    </row>
    <row r="648" ht="14.25" customHeight="1" s="37">
      <c r="E648" s="11" t="n"/>
    </row>
    <row r="649" ht="14.25" customHeight="1" s="37">
      <c r="E649" s="11" t="n"/>
    </row>
    <row r="650" ht="14.25" customHeight="1" s="37">
      <c r="E650" s="11" t="n"/>
    </row>
    <row r="651" ht="14.25" customHeight="1" s="37">
      <c r="E651" s="11" t="n"/>
    </row>
    <row r="652" ht="14.25" customHeight="1" s="37">
      <c r="E652" s="11" t="n"/>
    </row>
    <row r="653" ht="14.25" customHeight="1" s="37">
      <c r="E653" s="11" t="n"/>
    </row>
    <row r="654" ht="14.25" customHeight="1" s="37">
      <c r="E654" s="11" t="n"/>
    </row>
    <row r="655" ht="14.25" customHeight="1" s="37">
      <c r="E655" s="11" t="n"/>
    </row>
    <row r="656" ht="14.25" customHeight="1" s="37">
      <c r="E656" s="11" t="n"/>
    </row>
    <row r="657" ht="14.25" customHeight="1" s="37">
      <c r="E657" s="11" t="n"/>
    </row>
    <row r="658" ht="14.25" customHeight="1" s="37">
      <c r="E658" s="11" t="n"/>
    </row>
    <row r="659" ht="14.25" customHeight="1" s="37">
      <c r="E659" s="11" t="n"/>
    </row>
    <row r="660" ht="14.25" customHeight="1" s="37">
      <c r="E660" s="11" t="n"/>
    </row>
    <row r="661" ht="14.25" customHeight="1" s="37">
      <c r="E661" s="11" t="n"/>
    </row>
    <row r="662" ht="14.25" customHeight="1" s="37">
      <c r="E662" s="11" t="n"/>
    </row>
    <row r="663" ht="14.25" customHeight="1" s="37">
      <c r="E663" s="11" t="n"/>
    </row>
    <row r="664" ht="14.25" customHeight="1" s="37">
      <c r="E664" s="11" t="n"/>
    </row>
    <row r="665" ht="14.25" customHeight="1" s="37">
      <c r="E665" s="11" t="n"/>
    </row>
    <row r="666" ht="14.25" customHeight="1" s="37">
      <c r="E666" s="11" t="n"/>
    </row>
    <row r="667" ht="14.25" customHeight="1" s="37">
      <c r="E667" s="11" t="n"/>
    </row>
    <row r="668" ht="14.25" customHeight="1" s="37">
      <c r="E668" s="11" t="n"/>
    </row>
    <row r="669" ht="14.25" customHeight="1" s="37">
      <c r="E669" s="11" t="n"/>
    </row>
    <row r="670" ht="14.25" customHeight="1" s="37">
      <c r="E670" s="11" t="n"/>
    </row>
    <row r="671" ht="14.25" customHeight="1" s="37">
      <c r="E671" s="11" t="n"/>
    </row>
    <row r="672" ht="14.25" customHeight="1" s="37">
      <c r="E672" s="11" t="n"/>
    </row>
    <row r="673" ht="14.25" customHeight="1" s="37">
      <c r="E673" s="11" t="n"/>
    </row>
    <row r="674" ht="14.25" customHeight="1" s="37">
      <c r="E674" s="11" t="n"/>
    </row>
    <row r="675" ht="14.25" customHeight="1" s="37">
      <c r="E675" s="11" t="n"/>
    </row>
    <row r="676" ht="14.25" customHeight="1" s="37">
      <c r="E676" s="11" t="n"/>
    </row>
    <row r="677" ht="14.25" customHeight="1" s="37">
      <c r="E677" s="11" t="n"/>
    </row>
    <row r="678" ht="14.25" customHeight="1" s="37">
      <c r="E678" s="11" t="n"/>
    </row>
    <row r="679" ht="14.25" customHeight="1" s="37">
      <c r="E679" s="11" t="n"/>
    </row>
    <row r="680" ht="14.25" customHeight="1" s="37">
      <c r="E680" s="11" t="n"/>
    </row>
    <row r="681" ht="14.25" customHeight="1" s="37">
      <c r="E681" s="11" t="n"/>
    </row>
    <row r="682" ht="14.25" customHeight="1" s="37">
      <c r="E682" s="11" t="n"/>
    </row>
    <row r="683" ht="14.25" customHeight="1" s="37">
      <c r="E683" s="11" t="n"/>
    </row>
    <row r="684" ht="14.25" customHeight="1" s="37">
      <c r="E684" s="11" t="n"/>
    </row>
    <row r="685" ht="14.25" customHeight="1" s="37">
      <c r="E685" s="11" t="n"/>
    </row>
    <row r="686" ht="14.25" customHeight="1" s="37">
      <c r="E686" s="11" t="n"/>
    </row>
    <row r="687" ht="14.25" customHeight="1" s="37">
      <c r="E687" s="11" t="n"/>
    </row>
    <row r="688" ht="14.25" customHeight="1" s="37">
      <c r="E688" s="11" t="n"/>
    </row>
    <row r="689" ht="14.25" customHeight="1" s="37">
      <c r="E689" s="11" t="n"/>
    </row>
    <row r="690" ht="14.25" customHeight="1" s="37">
      <c r="E690" s="11" t="n"/>
    </row>
    <row r="691" ht="14.25" customHeight="1" s="37">
      <c r="E691" s="11" t="n"/>
    </row>
    <row r="692" ht="14.25" customHeight="1" s="37">
      <c r="E692" s="11" t="n"/>
    </row>
    <row r="693" ht="14.25" customHeight="1" s="37">
      <c r="E693" s="11" t="n"/>
    </row>
    <row r="694" ht="14.25" customHeight="1" s="37">
      <c r="E694" s="11" t="n"/>
    </row>
    <row r="695" ht="14.25" customHeight="1" s="37">
      <c r="E695" s="11" t="n"/>
    </row>
    <row r="696" ht="14.25" customHeight="1" s="37">
      <c r="E696" s="11" t="n"/>
    </row>
    <row r="697" ht="14.25" customHeight="1" s="37">
      <c r="E697" s="11" t="n"/>
    </row>
    <row r="698" ht="14.25" customHeight="1" s="37">
      <c r="E698" s="11" t="n"/>
    </row>
    <row r="699" ht="14.25" customHeight="1" s="37">
      <c r="E699" s="11" t="n"/>
    </row>
    <row r="700" ht="14.25" customHeight="1" s="37">
      <c r="E700" s="11" t="n"/>
    </row>
    <row r="701" ht="14.25" customHeight="1" s="37">
      <c r="E701" s="11" t="n"/>
    </row>
    <row r="702" ht="14.25" customHeight="1" s="37">
      <c r="E702" s="11" t="n"/>
    </row>
    <row r="703" ht="14.25" customHeight="1" s="37">
      <c r="E703" s="11" t="n"/>
    </row>
    <row r="704" ht="14.25" customHeight="1" s="37">
      <c r="E704" s="11" t="n"/>
    </row>
    <row r="705" ht="14.25" customHeight="1" s="37">
      <c r="E705" s="11" t="n"/>
    </row>
    <row r="706" ht="14.25" customHeight="1" s="37">
      <c r="E706" s="11" t="n"/>
    </row>
    <row r="707" ht="14.25" customHeight="1" s="37">
      <c r="E707" s="11" t="n"/>
    </row>
    <row r="708" ht="14.25" customHeight="1" s="37">
      <c r="E708" s="11" t="n"/>
    </row>
    <row r="709" ht="14.25" customHeight="1" s="37">
      <c r="E709" s="11" t="n"/>
    </row>
    <row r="710" ht="14.25" customHeight="1" s="37">
      <c r="E710" s="11" t="n"/>
    </row>
    <row r="711" ht="14.25" customHeight="1" s="37">
      <c r="E711" s="11" t="n"/>
    </row>
    <row r="712" ht="14.25" customHeight="1" s="37">
      <c r="E712" s="11" t="n"/>
    </row>
    <row r="713" ht="14.25" customHeight="1" s="37">
      <c r="E713" s="11" t="n"/>
    </row>
    <row r="714" ht="14.25" customHeight="1" s="37">
      <c r="E714" s="11" t="n"/>
    </row>
    <row r="715" ht="14.25" customHeight="1" s="37">
      <c r="E715" s="11" t="n"/>
    </row>
    <row r="716" ht="14.25" customHeight="1" s="37">
      <c r="E716" s="11" t="n"/>
    </row>
    <row r="717" ht="14.25" customHeight="1" s="37">
      <c r="E717" s="11" t="n"/>
    </row>
    <row r="718" ht="14.25" customHeight="1" s="37">
      <c r="E718" s="11" t="n"/>
    </row>
    <row r="719" ht="14.25" customHeight="1" s="37">
      <c r="E719" s="11" t="n"/>
    </row>
    <row r="720" ht="14.25" customHeight="1" s="37">
      <c r="E720" s="11" t="n"/>
    </row>
    <row r="721" ht="14.25" customHeight="1" s="37">
      <c r="E721" s="11" t="n"/>
    </row>
    <row r="722" ht="14.25" customHeight="1" s="37">
      <c r="E722" s="11" t="n"/>
    </row>
    <row r="723" ht="14.25" customHeight="1" s="37">
      <c r="E723" s="11" t="n"/>
    </row>
    <row r="724" ht="14.25" customHeight="1" s="37">
      <c r="E724" s="11" t="n"/>
    </row>
    <row r="725" ht="14.25" customHeight="1" s="37">
      <c r="E725" s="11" t="n"/>
    </row>
    <row r="726" ht="14.25" customHeight="1" s="37">
      <c r="E726" s="11" t="n"/>
    </row>
    <row r="727" ht="14.25" customHeight="1" s="37">
      <c r="E727" s="11" t="n"/>
    </row>
    <row r="728" ht="14.25" customHeight="1" s="37">
      <c r="E728" s="11" t="n"/>
    </row>
    <row r="729" ht="14.25" customHeight="1" s="37">
      <c r="E729" s="11" t="n"/>
    </row>
    <row r="730" ht="14.25" customHeight="1" s="37">
      <c r="E730" s="11" t="n"/>
    </row>
    <row r="731" ht="14.25" customHeight="1" s="37">
      <c r="E731" s="11" t="n"/>
    </row>
    <row r="732" ht="14.25" customHeight="1" s="37">
      <c r="E732" s="11" t="n"/>
    </row>
    <row r="733" ht="14.25" customHeight="1" s="37">
      <c r="E733" s="11" t="n"/>
    </row>
    <row r="734" ht="14.25" customHeight="1" s="37">
      <c r="E734" s="11" t="n"/>
    </row>
    <row r="735" ht="14.25" customHeight="1" s="37">
      <c r="E735" s="11" t="n"/>
    </row>
    <row r="736" ht="14.25" customHeight="1" s="37">
      <c r="E736" s="11" t="n"/>
    </row>
    <row r="737" ht="14.25" customHeight="1" s="37">
      <c r="E737" s="11" t="n"/>
    </row>
    <row r="738" ht="14.25" customHeight="1" s="37">
      <c r="E738" s="11" t="n"/>
    </row>
    <row r="739" ht="14.25" customHeight="1" s="37">
      <c r="E739" s="11" t="n"/>
    </row>
    <row r="740" ht="14.25" customHeight="1" s="37">
      <c r="E740" s="11" t="n"/>
    </row>
    <row r="741" ht="14.25" customHeight="1" s="37">
      <c r="E741" s="11" t="n"/>
    </row>
    <row r="742" ht="14.25" customHeight="1" s="37">
      <c r="E742" s="11" t="n"/>
    </row>
    <row r="743" ht="14.25" customHeight="1" s="37">
      <c r="E743" s="11" t="n"/>
    </row>
    <row r="744" ht="14.25" customHeight="1" s="37">
      <c r="E744" s="11" t="n"/>
    </row>
    <row r="745" ht="14.25" customHeight="1" s="37">
      <c r="E745" s="11" t="n"/>
    </row>
    <row r="746" ht="14.25" customHeight="1" s="37">
      <c r="E746" s="11" t="n"/>
    </row>
    <row r="747" ht="14.25" customHeight="1" s="37">
      <c r="E747" s="11" t="n"/>
    </row>
    <row r="748" ht="14.25" customHeight="1" s="37">
      <c r="E748" s="11" t="n"/>
    </row>
    <row r="749" ht="14.25" customHeight="1" s="37">
      <c r="E749" s="11" t="n"/>
    </row>
    <row r="750" ht="14.25" customHeight="1" s="37">
      <c r="E750" s="11" t="n"/>
    </row>
    <row r="751" ht="14.25" customHeight="1" s="37">
      <c r="E751" s="11" t="n"/>
    </row>
    <row r="752" ht="14.25" customHeight="1" s="37">
      <c r="E752" s="11" t="n"/>
    </row>
    <row r="753" ht="14.25" customHeight="1" s="37">
      <c r="E753" s="11" t="n"/>
    </row>
    <row r="754" ht="14.25" customHeight="1" s="37">
      <c r="E754" s="11" t="n"/>
    </row>
    <row r="755" ht="14.25" customHeight="1" s="37">
      <c r="E755" s="11" t="n"/>
    </row>
    <row r="756" ht="14.25" customHeight="1" s="37">
      <c r="E756" s="11" t="n"/>
    </row>
    <row r="757" ht="14.25" customHeight="1" s="37">
      <c r="E757" s="11" t="n"/>
    </row>
    <row r="758" ht="14.25" customHeight="1" s="37">
      <c r="E758" s="11" t="n"/>
    </row>
    <row r="759" ht="14.25" customHeight="1" s="37">
      <c r="E759" s="11" t="n"/>
    </row>
    <row r="760" ht="14.25" customHeight="1" s="37">
      <c r="E760" s="11" t="n"/>
    </row>
    <row r="761" ht="14.25" customHeight="1" s="37">
      <c r="E761" s="11" t="n"/>
    </row>
    <row r="762" ht="14.25" customHeight="1" s="37">
      <c r="E762" s="11" t="n"/>
    </row>
    <row r="763" ht="14.25" customHeight="1" s="37">
      <c r="E763" s="11" t="n"/>
    </row>
    <row r="764" ht="14.25" customHeight="1" s="37">
      <c r="E764" s="11" t="n"/>
    </row>
    <row r="765" ht="14.25" customHeight="1" s="37">
      <c r="E765" s="11" t="n"/>
    </row>
    <row r="766" ht="14.25" customHeight="1" s="37">
      <c r="E766" s="11" t="n"/>
    </row>
    <row r="767" ht="14.25" customHeight="1" s="37">
      <c r="E767" s="11" t="n"/>
    </row>
    <row r="768" ht="14.25" customHeight="1" s="37">
      <c r="E768" s="11" t="n"/>
    </row>
    <row r="769" ht="14.25" customHeight="1" s="37">
      <c r="E769" s="11" t="n"/>
    </row>
    <row r="770" ht="14.25" customHeight="1" s="37">
      <c r="E770" s="11" t="n"/>
    </row>
    <row r="771" ht="14.25" customHeight="1" s="37">
      <c r="E771" s="11" t="n"/>
    </row>
    <row r="772" ht="14.25" customHeight="1" s="37">
      <c r="E772" s="11" t="n"/>
    </row>
    <row r="773" ht="14.25" customHeight="1" s="37">
      <c r="E773" s="11" t="n"/>
    </row>
    <row r="774" ht="14.25" customHeight="1" s="37">
      <c r="E774" s="11" t="n"/>
    </row>
    <row r="775" ht="14.25" customHeight="1" s="37">
      <c r="E775" s="11" t="n"/>
    </row>
    <row r="776" ht="14.25" customHeight="1" s="37">
      <c r="E776" s="11" t="n"/>
    </row>
    <row r="777" ht="14.25" customHeight="1" s="37">
      <c r="E777" s="11" t="n"/>
    </row>
    <row r="778" ht="14.25" customHeight="1" s="37">
      <c r="E778" s="11" t="n"/>
    </row>
    <row r="779" ht="14.25" customHeight="1" s="37">
      <c r="E779" s="11" t="n"/>
    </row>
    <row r="780" ht="14.25" customHeight="1" s="37">
      <c r="E780" s="11" t="n"/>
    </row>
    <row r="781" ht="14.25" customHeight="1" s="37">
      <c r="E781" s="11" t="n"/>
    </row>
    <row r="782" ht="14.25" customHeight="1" s="37">
      <c r="E782" s="11" t="n"/>
    </row>
    <row r="783" ht="14.25" customHeight="1" s="37">
      <c r="E783" s="11" t="n"/>
    </row>
    <row r="784" ht="14.25" customHeight="1" s="37">
      <c r="E784" s="11" t="n"/>
    </row>
    <row r="785" ht="14.25" customHeight="1" s="37">
      <c r="E785" s="11" t="n"/>
    </row>
    <row r="786" ht="14.25" customHeight="1" s="37">
      <c r="E786" s="11" t="n"/>
    </row>
    <row r="787" ht="14.25" customHeight="1" s="37">
      <c r="E787" s="11" t="n"/>
    </row>
    <row r="788" ht="14.25" customHeight="1" s="37">
      <c r="E788" s="11" t="n"/>
    </row>
    <row r="789" ht="14.25" customHeight="1" s="37">
      <c r="E789" s="11" t="n"/>
    </row>
    <row r="790" ht="14.25" customHeight="1" s="37">
      <c r="E790" s="11" t="n"/>
    </row>
    <row r="791" ht="14.25" customHeight="1" s="37">
      <c r="E791" s="11" t="n"/>
    </row>
    <row r="792" ht="14.25" customHeight="1" s="37">
      <c r="E792" s="11" t="n"/>
    </row>
    <row r="793" ht="14.25" customHeight="1" s="37">
      <c r="E793" s="11" t="n"/>
    </row>
    <row r="794" ht="14.25" customHeight="1" s="37">
      <c r="E794" s="11" t="n"/>
    </row>
    <row r="795" ht="14.25" customHeight="1" s="37">
      <c r="E795" s="11" t="n"/>
    </row>
    <row r="796" ht="14.25" customHeight="1" s="37">
      <c r="E796" s="11" t="n"/>
    </row>
    <row r="797" ht="14.25" customHeight="1" s="37">
      <c r="E797" s="11" t="n"/>
    </row>
    <row r="798" ht="14.25" customHeight="1" s="37">
      <c r="E798" s="11" t="n"/>
    </row>
    <row r="799" ht="14.25" customHeight="1" s="37">
      <c r="E799" s="11" t="n"/>
    </row>
    <row r="800" ht="14.25" customHeight="1" s="37">
      <c r="E800" s="11" t="n"/>
    </row>
    <row r="801" ht="14.25" customHeight="1" s="37">
      <c r="E801" s="11" t="n"/>
    </row>
    <row r="802" ht="14.25" customHeight="1" s="37">
      <c r="E802" s="11" t="n"/>
    </row>
    <row r="803" ht="14.25" customHeight="1" s="37">
      <c r="E803" s="11" t="n"/>
    </row>
    <row r="804" ht="14.25" customHeight="1" s="37">
      <c r="E804" s="11" t="n"/>
    </row>
    <row r="805" ht="14.25" customHeight="1" s="37">
      <c r="E805" s="11" t="n"/>
    </row>
    <row r="806" ht="14.25" customHeight="1" s="37">
      <c r="E806" s="11" t="n"/>
    </row>
    <row r="807" ht="14.25" customHeight="1" s="37">
      <c r="E807" s="11" t="n"/>
    </row>
    <row r="808" ht="14.25" customHeight="1" s="37">
      <c r="E808" s="11" t="n"/>
    </row>
    <row r="809" ht="14.25" customHeight="1" s="37">
      <c r="E809" s="11" t="n"/>
    </row>
    <row r="810" ht="14.25" customHeight="1" s="37">
      <c r="E810" s="11" t="n"/>
    </row>
    <row r="811" ht="14.25" customHeight="1" s="37">
      <c r="E811" s="11" t="n"/>
    </row>
    <row r="812" ht="14.25" customHeight="1" s="37">
      <c r="E812" s="11" t="n"/>
    </row>
    <row r="813" ht="14.25" customHeight="1" s="37">
      <c r="E813" s="11" t="n"/>
    </row>
    <row r="814" ht="14.25" customHeight="1" s="37">
      <c r="E814" s="11" t="n"/>
    </row>
    <row r="815" ht="14.25" customHeight="1" s="37">
      <c r="E815" s="11" t="n"/>
    </row>
    <row r="816" ht="14.25" customHeight="1" s="37">
      <c r="E816" s="11" t="n"/>
    </row>
    <row r="817" ht="14.25" customHeight="1" s="37">
      <c r="E817" s="11" t="n"/>
    </row>
    <row r="818" ht="14.25" customHeight="1" s="37">
      <c r="E818" s="11" t="n"/>
    </row>
    <row r="819" ht="14.25" customHeight="1" s="37">
      <c r="E819" s="11" t="n"/>
    </row>
    <row r="820" ht="14.25" customHeight="1" s="37">
      <c r="E820" s="11" t="n"/>
    </row>
    <row r="821" ht="14.25" customHeight="1" s="37">
      <c r="E821" s="11" t="n"/>
    </row>
    <row r="822" ht="14.25" customHeight="1" s="37">
      <c r="E822" s="11" t="n"/>
    </row>
    <row r="823" ht="14.25" customHeight="1" s="37">
      <c r="E823" s="11" t="n"/>
    </row>
    <row r="824" ht="14.25" customHeight="1" s="37">
      <c r="E824" s="11" t="n"/>
    </row>
    <row r="825" ht="14.25" customHeight="1" s="37">
      <c r="E825" s="11" t="n"/>
    </row>
    <row r="826" ht="14.25" customHeight="1" s="37">
      <c r="E826" s="11" t="n"/>
    </row>
    <row r="827" ht="14.25" customHeight="1" s="37">
      <c r="E827" s="11" t="n"/>
    </row>
    <row r="828" ht="14.25" customHeight="1" s="37">
      <c r="E828" s="11" t="n"/>
    </row>
    <row r="829" ht="14.25" customHeight="1" s="37">
      <c r="E829" s="11" t="n"/>
    </row>
    <row r="830" ht="14.25" customHeight="1" s="37">
      <c r="E830" s="11" t="n"/>
    </row>
    <row r="831" ht="14.25" customHeight="1" s="37">
      <c r="E831" s="11" t="n"/>
    </row>
    <row r="832" ht="14.25" customHeight="1" s="37">
      <c r="E832" s="11" t="n"/>
    </row>
    <row r="833" ht="14.25" customHeight="1" s="37">
      <c r="E833" s="11" t="n"/>
    </row>
    <row r="834" ht="14.25" customHeight="1" s="37">
      <c r="E834" s="11" t="n"/>
    </row>
    <row r="835" ht="14.25" customHeight="1" s="37">
      <c r="E835" s="11" t="n"/>
    </row>
    <row r="836" ht="14.25" customHeight="1" s="37">
      <c r="E836" s="11" t="n"/>
    </row>
    <row r="837" ht="14.25" customHeight="1" s="37">
      <c r="E837" s="11" t="n"/>
    </row>
    <row r="838" ht="14.25" customHeight="1" s="37">
      <c r="E838" s="11" t="n"/>
    </row>
    <row r="839" ht="14.25" customHeight="1" s="37">
      <c r="E839" s="11" t="n"/>
    </row>
    <row r="840" ht="14.25" customHeight="1" s="37">
      <c r="E840" s="11" t="n"/>
    </row>
    <row r="841" ht="14.25" customHeight="1" s="37">
      <c r="E841" s="11" t="n"/>
    </row>
    <row r="842" ht="14.25" customHeight="1" s="37">
      <c r="E842" s="11" t="n"/>
    </row>
    <row r="843" ht="14.25" customHeight="1" s="37">
      <c r="E843" s="11" t="n"/>
    </row>
    <row r="844" ht="14.25" customHeight="1" s="37">
      <c r="E844" s="11" t="n"/>
    </row>
    <row r="845" ht="14.25" customHeight="1" s="37">
      <c r="E845" s="11" t="n"/>
    </row>
    <row r="846" ht="14.25" customHeight="1" s="37">
      <c r="E846" s="11" t="n"/>
    </row>
    <row r="847" ht="14.25" customHeight="1" s="37">
      <c r="E847" s="11" t="n"/>
    </row>
    <row r="848" ht="14.25" customHeight="1" s="37">
      <c r="E848" s="11" t="n"/>
    </row>
    <row r="849" ht="14.25" customHeight="1" s="37">
      <c r="E849" s="11" t="n"/>
    </row>
    <row r="850" ht="14.25" customHeight="1" s="37">
      <c r="E850" s="11" t="n"/>
    </row>
    <row r="851" ht="14.25" customHeight="1" s="37">
      <c r="E851" s="11" t="n"/>
    </row>
    <row r="852" ht="14.25" customHeight="1" s="37">
      <c r="E852" s="11" t="n"/>
    </row>
    <row r="853" ht="14.25" customHeight="1" s="37">
      <c r="E853" s="11" t="n"/>
    </row>
    <row r="854" ht="14.25" customHeight="1" s="37">
      <c r="E854" s="11" t="n"/>
    </row>
    <row r="855" ht="14.25" customHeight="1" s="37">
      <c r="E855" s="11" t="n"/>
    </row>
    <row r="856" ht="14.25" customHeight="1" s="37">
      <c r="E856" s="11" t="n"/>
    </row>
    <row r="857" ht="14.25" customHeight="1" s="37">
      <c r="E857" s="11" t="n"/>
    </row>
    <row r="858" ht="14.25" customHeight="1" s="37">
      <c r="E858" s="11" t="n"/>
    </row>
    <row r="859" ht="14.25" customHeight="1" s="37">
      <c r="E859" s="11" t="n"/>
    </row>
    <row r="860" ht="14.25" customHeight="1" s="37">
      <c r="E860" s="11" t="n"/>
    </row>
    <row r="861" ht="14.25" customHeight="1" s="37">
      <c r="E861" s="11" t="n"/>
    </row>
    <row r="862" ht="14.25" customHeight="1" s="37">
      <c r="E862" s="11" t="n"/>
    </row>
    <row r="863" ht="14.25" customHeight="1" s="37">
      <c r="E863" s="11" t="n"/>
    </row>
    <row r="864" ht="14.25" customHeight="1" s="37">
      <c r="E864" s="11" t="n"/>
    </row>
    <row r="865" ht="14.25" customHeight="1" s="37">
      <c r="E865" s="11" t="n"/>
    </row>
    <row r="866" ht="14.25" customHeight="1" s="37">
      <c r="E866" s="11" t="n"/>
    </row>
    <row r="867" ht="14.25" customHeight="1" s="37">
      <c r="E867" s="11" t="n"/>
    </row>
    <row r="868" ht="14.25" customHeight="1" s="37">
      <c r="E868" s="11" t="n"/>
    </row>
    <row r="869" ht="14.25" customHeight="1" s="37">
      <c r="E869" s="11" t="n"/>
    </row>
    <row r="870" ht="14.25" customHeight="1" s="37">
      <c r="E870" s="11" t="n"/>
    </row>
    <row r="871" ht="14.25" customHeight="1" s="37">
      <c r="E871" s="11" t="n"/>
    </row>
    <row r="872" ht="14.25" customHeight="1" s="37">
      <c r="E872" s="11" t="n"/>
    </row>
    <row r="873" ht="14.25" customHeight="1" s="37">
      <c r="E873" s="11" t="n"/>
    </row>
    <row r="874" ht="14.25" customHeight="1" s="37">
      <c r="E874" s="11" t="n"/>
    </row>
    <row r="875" ht="14.25" customHeight="1" s="37">
      <c r="E875" s="11" t="n"/>
    </row>
    <row r="876" ht="14.25" customHeight="1" s="37">
      <c r="E876" s="11" t="n"/>
    </row>
    <row r="877" ht="14.25" customHeight="1" s="37">
      <c r="E877" s="11" t="n"/>
    </row>
    <row r="878" ht="14.25" customHeight="1" s="37">
      <c r="E878" s="11" t="n"/>
    </row>
    <row r="879" ht="14.25" customHeight="1" s="37">
      <c r="E879" s="11" t="n"/>
    </row>
    <row r="880" ht="14.25" customHeight="1" s="37">
      <c r="E880" s="11" t="n"/>
    </row>
    <row r="881" ht="14.25" customHeight="1" s="37">
      <c r="E881" s="11" t="n"/>
    </row>
    <row r="882" ht="14.25" customHeight="1" s="37">
      <c r="E882" s="11" t="n"/>
    </row>
    <row r="883" ht="14.25" customHeight="1" s="37">
      <c r="E883" s="11" t="n"/>
    </row>
    <row r="884" ht="14.25" customHeight="1" s="37">
      <c r="E884" s="11" t="n"/>
    </row>
    <row r="885" ht="14.25" customHeight="1" s="37">
      <c r="E885" s="11" t="n"/>
    </row>
    <row r="886" ht="14.25" customHeight="1" s="37">
      <c r="E886" s="11" t="n"/>
    </row>
    <row r="887" ht="14.25" customHeight="1" s="37">
      <c r="E887" s="11" t="n"/>
    </row>
    <row r="888" ht="14.25" customHeight="1" s="37">
      <c r="E888" s="11" t="n"/>
    </row>
    <row r="889" ht="14.25" customHeight="1" s="37">
      <c r="E889" s="11" t="n"/>
    </row>
    <row r="890" ht="14.25" customHeight="1" s="37">
      <c r="E890" s="11" t="n"/>
    </row>
    <row r="891" ht="14.25" customHeight="1" s="37">
      <c r="E891" s="11" t="n"/>
    </row>
    <row r="892" ht="14.25" customHeight="1" s="37">
      <c r="E892" s="11" t="n"/>
    </row>
    <row r="893" ht="14.25" customHeight="1" s="37">
      <c r="E893" s="11" t="n"/>
    </row>
    <row r="894" ht="14.25" customHeight="1" s="37">
      <c r="E894" s="11" t="n"/>
    </row>
    <row r="895" ht="14.25" customHeight="1" s="37">
      <c r="E895" s="11" t="n"/>
    </row>
    <row r="896" ht="14.25" customHeight="1" s="37">
      <c r="E896" s="11" t="n"/>
    </row>
    <row r="897" ht="14.25" customHeight="1" s="37">
      <c r="E897" s="11" t="n"/>
    </row>
    <row r="898" ht="14.25" customHeight="1" s="37">
      <c r="E898" s="11" t="n"/>
    </row>
    <row r="899" ht="14.25" customHeight="1" s="37">
      <c r="E899" s="11" t="n"/>
    </row>
    <row r="900" ht="14.25" customHeight="1" s="37">
      <c r="E900" s="11" t="n"/>
    </row>
    <row r="901" ht="14.25" customHeight="1" s="37">
      <c r="E901" s="11" t="n"/>
    </row>
    <row r="902" ht="14.25" customHeight="1" s="37">
      <c r="E902" s="11" t="n"/>
    </row>
    <row r="903" ht="14.25" customHeight="1" s="37">
      <c r="E903" s="11" t="n"/>
    </row>
    <row r="904" ht="14.25" customHeight="1" s="37">
      <c r="E904" s="11" t="n"/>
    </row>
    <row r="905" ht="14.25" customHeight="1" s="37">
      <c r="E905" s="11" t="n"/>
    </row>
    <row r="906" ht="14.25" customHeight="1" s="37">
      <c r="E906" s="11" t="n"/>
    </row>
    <row r="907" ht="14.25" customHeight="1" s="37">
      <c r="E907" s="11" t="n"/>
    </row>
    <row r="908" ht="14.25" customHeight="1" s="37">
      <c r="E908" s="11" t="n"/>
    </row>
    <row r="909" ht="14.25" customHeight="1" s="37">
      <c r="E909" s="11" t="n"/>
    </row>
    <row r="910" ht="14.25" customHeight="1" s="37">
      <c r="E910" s="11" t="n"/>
    </row>
    <row r="911" ht="14.25" customHeight="1" s="37">
      <c r="E911" s="11" t="n"/>
    </row>
    <row r="912" ht="14.25" customHeight="1" s="37">
      <c r="E912" s="11" t="n"/>
    </row>
    <row r="913" ht="14.25" customHeight="1" s="37">
      <c r="E913" s="11" t="n"/>
    </row>
    <row r="914" ht="14.25" customHeight="1" s="37">
      <c r="E914" s="11" t="n"/>
    </row>
    <row r="915" ht="14.25" customHeight="1" s="37">
      <c r="E915" s="11" t="n"/>
    </row>
    <row r="916" ht="14.25" customHeight="1" s="37">
      <c r="E916" s="11" t="n"/>
    </row>
    <row r="917" ht="14.25" customHeight="1" s="37">
      <c r="E917" s="11" t="n"/>
    </row>
    <row r="918" ht="14.25" customHeight="1" s="37">
      <c r="E918" s="11" t="n"/>
    </row>
    <row r="919" ht="14.25" customHeight="1" s="37">
      <c r="E919" s="11" t="n"/>
    </row>
    <row r="920" ht="14.25" customHeight="1" s="37">
      <c r="E920" s="11" t="n"/>
    </row>
    <row r="921" ht="14.25" customHeight="1" s="37">
      <c r="E921" s="11" t="n"/>
    </row>
    <row r="922" ht="14.25" customHeight="1" s="37">
      <c r="E922" s="11" t="n"/>
    </row>
    <row r="923" ht="14.25" customHeight="1" s="37">
      <c r="E923" s="11" t="n"/>
    </row>
    <row r="924" ht="14.25" customHeight="1" s="37">
      <c r="E924" s="11" t="n"/>
    </row>
    <row r="925" ht="14.25" customHeight="1" s="37">
      <c r="E925" s="11" t="n"/>
    </row>
    <row r="926" ht="14.25" customHeight="1" s="37">
      <c r="E926" s="11" t="n"/>
    </row>
    <row r="927" ht="14.25" customHeight="1" s="37">
      <c r="E927" s="11" t="n"/>
    </row>
    <row r="928" ht="14.25" customHeight="1" s="37">
      <c r="E928" s="11" t="n"/>
    </row>
    <row r="929" ht="14.25" customHeight="1" s="37">
      <c r="E929" s="11" t="n"/>
    </row>
    <row r="930" ht="14.25" customHeight="1" s="37">
      <c r="E930" s="11" t="n"/>
    </row>
    <row r="931" ht="14.25" customHeight="1" s="37">
      <c r="E931" s="11" t="n"/>
    </row>
    <row r="932" ht="14.25" customHeight="1" s="37">
      <c r="E932" s="11" t="n"/>
    </row>
    <row r="933" ht="14.25" customHeight="1" s="37">
      <c r="E933" s="11" t="n"/>
    </row>
    <row r="934" ht="14.25" customHeight="1" s="37">
      <c r="E934" s="11" t="n"/>
    </row>
    <row r="935" ht="14.25" customHeight="1" s="37">
      <c r="E935" s="11" t="n"/>
    </row>
    <row r="936" ht="14.25" customHeight="1" s="37">
      <c r="E936" s="11" t="n"/>
    </row>
    <row r="937" ht="14.25" customHeight="1" s="37">
      <c r="E937" s="11" t="n"/>
    </row>
    <row r="938" ht="14.25" customHeight="1" s="37">
      <c r="E938" s="11" t="n"/>
    </row>
    <row r="939" ht="14.25" customHeight="1" s="37">
      <c r="E939" s="11" t="n"/>
    </row>
    <row r="940" ht="14.25" customHeight="1" s="37">
      <c r="E940" s="11" t="n"/>
    </row>
    <row r="941" ht="14.25" customHeight="1" s="37">
      <c r="E941" s="11" t="n"/>
    </row>
    <row r="942" ht="14.25" customHeight="1" s="37">
      <c r="E942" s="11" t="n"/>
    </row>
    <row r="943" ht="14.25" customHeight="1" s="37">
      <c r="E943" s="11" t="n"/>
    </row>
    <row r="944" ht="14.25" customHeight="1" s="37">
      <c r="E944" s="11" t="n"/>
    </row>
    <row r="945" ht="14.25" customHeight="1" s="37">
      <c r="E945" s="11" t="n"/>
    </row>
    <row r="946" ht="14.25" customHeight="1" s="37">
      <c r="E946" s="11" t="n"/>
    </row>
    <row r="947" ht="14.25" customHeight="1" s="37">
      <c r="E947" s="11" t="n"/>
    </row>
    <row r="948" ht="14.25" customHeight="1" s="37">
      <c r="E948" s="11" t="n"/>
    </row>
    <row r="949" ht="14.25" customHeight="1" s="37">
      <c r="E949" s="11" t="n"/>
    </row>
    <row r="950" ht="14.25" customHeight="1" s="37">
      <c r="E950" s="11" t="n"/>
    </row>
    <row r="951" ht="14.25" customHeight="1" s="37">
      <c r="E951" s="11" t="n"/>
    </row>
    <row r="952" ht="14.25" customHeight="1" s="37">
      <c r="E952" s="11" t="n"/>
    </row>
    <row r="953" ht="14.25" customHeight="1" s="37">
      <c r="E953" s="11" t="n"/>
    </row>
    <row r="954" ht="14.25" customHeight="1" s="37">
      <c r="E954" s="11" t="n"/>
    </row>
    <row r="955" ht="14.25" customHeight="1" s="37">
      <c r="E955" s="11" t="n"/>
    </row>
    <row r="956" ht="14.25" customHeight="1" s="37">
      <c r="E956" s="11" t="n"/>
    </row>
    <row r="957" ht="14.25" customHeight="1" s="37">
      <c r="E957" s="11" t="n"/>
    </row>
    <row r="958" ht="14.25" customHeight="1" s="37">
      <c r="E958" s="11" t="n"/>
    </row>
    <row r="959" ht="14.25" customHeight="1" s="37">
      <c r="E959" s="11" t="n"/>
    </row>
    <row r="960" ht="14.25" customHeight="1" s="37">
      <c r="E960" s="11" t="n"/>
    </row>
    <row r="961" ht="14.25" customHeight="1" s="37">
      <c r="E961" s="11" t="n"/>
    </row>
    <row r="962" ht="14.25" customHeight="1" s="37">
      <c r="E962" s="11" t="n"/>
    </row>
    <row r="963" ht="14.25" customHeight="1" s="37">
      <c r="E963" s="11" t="n"/>
    </row>
    <row r="964" ht="14.25" customHeight="1" s="37">
      <c r="E964" s="11" t="n"/>
    </row>
    <row r="965" ht="14.25" customHeight="1" s="37">
      <c r="E965" s="11" t="n"/>
    </row>
    <row r="966" ht="14.25" customHeight="1" s="37">
      <c r="E966" s="11" t="n"/>
    </row>
    <row r="967" ht="14.25" customHeight="1" s="37">
      <c r="E967" s="11" t="n"/>
    </row>
    <row r="968" ht="14.25" customHeight="1" s="37">
      <c r="E968" s="11" t="n"/>
    </row>
    <row r="969" ht="14.25" customHeight="1" s="37">
      <c r="E969" s="11" t="n"/>
    </row>
    <row r="970" ht="14.25" customHeight="1" s="37">
      <c r="E970" s="11" t="n"/>
    </row>
    <row r="971" ht="14.25" customHeight="1" s="37">
      <c r="E971" s="11" t="n"/>
    </row>
    <row r="972" ht="14.25" customHeight="1" s="37">
      <c r="E972" s="11" t="n"/>
    </row>
    <row r="973" ht="14.25" customHeight="1" s="37">
      <c r="E973" s="11" t="n"/>
    </row>
    <row r="974" ht="14.25" customHeight="1" s="37">
      <c r="E974" s="11" t="n"/>
    </row>
    <row r="975" ht="14.25" customHeight="1" s="37">
      <c r="E975" s="11" t="n"/>
    </row>
    <row r="976" ht="14.25" customHeight="1" s="37">
      <c r="E976" s="11" t="n"/>
    </row>
    <row r="977" ht="14.25" customHeight="1" s="37">
      <c r="E977" s="11" t="n"/>
    </row>
    <row r="978" ht="14.25" customHeight="1" s="37">
      <c r="E978" s="11" t="n"/>
    </row>
    <row r="979" ht="14.25" customHeight="1" s="37">
      <c r="E979" s="11" t="n"/>
    </row>
    <row r="980" ht="14.25" customHeight="1" s="37">
      <c r="E980" s="11" t="n"/>
    </row>
    <row r="981" ht="14.25" customHeight="1" s="37">
      <c r="E981" s="11" t="n"/>
    </row>
    <row r="982" ht="14.25" customHeight="1" s="37">
      <c r="E982" s="11" t="n"/>
    </row>
    <row r="983" ht="14.25" customHeight="1" s="37">
      <c r="E983" s="11" t="n"/>
    </row>
    <row r="984" ht="14.25" customHeight="1" s="37">
      <c r="E984" s="11" t="n"/>
    </row>
    <row r="985" ht="14.25" customHeight="1" s="37">
      <c r="E985" s="11" t="n"/>
    </row>
    <row r="986" ht="14.25" customHeight="1" s="37">
      <c r="E986" s="11" t="n"/>
    </row>
    <row r="987" ht="14.25" customHeight="1" s="37">
      <c r="E987" s="11" t="n"/>
    </row>
    <row r="988" ht="14.25" customHeight="1" s="37">
      <c r="E988" s="11" t="n"/>
    </row>
    <row r="989" ht="14.25" customHeight="1" s="37">
      <c r="E989" s="11" t="n"/>
    </row>
    <row r="990" ht="14.25" customHeight="1" s="37">
      <c r="E990" s="11" t="n"/>
    </row>
    <row r="991" ht="14.25" customHeight="1" s="37">
      <c r="E991" s="11" t="n"/>
    </row>
    <row r="992" ht="14.25" customHeight="1" s="37">
      <c r="E992" s="11" t="n"/>
    </row>
    <row r="993" ht="14.25" customHeight="1" s="37">
      <c r="E993" s="11" t="n"/>
    </row>
    <row r="994" ht="14.25" customHeight="1" s="37">
      <c r="E994" s="11" t="n"/>
    </row>
    <row r="995" ht="14.25" customHeight="1" s="37">
      <c r="E995" s="11" t="n"/>
    </row>
    <row r="996" ht="14.25" customHeight="1" s="37">
      <c r="E996" s="11" t="n"/>
    </row>
    <row r="997" ht="14.25" customHeight="1" s="37">
      <c r="E997" s="11" t="n"/>
    </row>
    <row r="998" ht="14.25" customHeight="1" s="37">
      <c r="E998" s="11" t="n"/>
    </row>
    <row r="999" ht="14.25" customHeight="1" s="37">
      <c r="E999" s="11" t="n"/>
    </row>
    <row r="1000" ht="14.25" customHeight="1" s="37">
      <c r="E1000" s="11" t="n"/>
    </row>
    <row r="1001" ht="14.25" customHeight="1" s="37">
      <c r="E1001" s="11" t="n"/>
    </row>
  </sheetData>
  <autoFilter ref="$A$1:$F$1001"/>
  <dataValidations count="1">
    <dataValidation sqref="E2:E1001" showDropDown="0" showInputMessage="0" showErrorMessage="0" allowBlank="1" type="list">
      <formula1>LIST!$B$3:$B$8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18" customWidth="1" style="37" min="4" max="5"/>
    <col width="28" customWidth="1" style="37" min="6" max="6"/>
    <col width="30" customWidth="1" style="37" min="7" max="7"/>
    <col width="9" customWidth="1" style="37" min="8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Komuni I</t>
        </is>
      </c>
      <c r="F1" s="7" t="inlineStr">
        <is>
          <t>Paroki/Gereja</t>
        </is>
      </c>
      <c r="G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inlineStr">
        <is>
          <t>Wanita/Perempuan</t>
        </is>
      </c>
      <c r="E2" s="9" t="n"/>
      <c r="F2" s="9" t="n"/>
      <c r="G2" s="9" t="inlineStr">
        <is>
          <t>Sumber: data sensus 2023</t>
        </is>
      </c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inlineStr">
        <is>
          <t>Wanita/Perempuan</t>
        </is>
      </c>
      <c r="E3" s="9" t="n"/>
      <c r="F3" s="9" t="n"/>
      <c r="G3" s="9" t="inlineStr">
        <is>
          <t>Sumber: data sensus 2023</t>
        </is>
      </c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inlineStr">
        <is>
          <t>Pria/Laki-laki</t>
        </is>
      </c>
      <c r="E4" s="9" t="n"/>
      <c r="F4" s="9" t="n"/>
      <c r="G4" s="9" t="inlineStr">
        <is>
          <t>Sumber: data sensus 2023</t>
        </is>
      </c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inlineStr">
        <is>
          <t>Wanita/Perempuan</t>
        </is>
      </c>
      <c r="E5" s="44" t="n">
        <v>45087</v>
      </c>
      <c r="F5" s="9" t="inlineStr">
        <is>
          <t>St. Klement I Sepinggan Balikpapan</t>
        </is>
      </c>
      <c r="G5" s="9" t="inlineStr">
        <is>
          <t>Dari: AGUSTINUS WASA-ANAK PERTAMA.jpg</t>
        </is>
      </c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inlineStr">
        <is>
          <t>Pria/Laki-laki</t>
        </is>
      </c>
      <c r="E6" s="9" t="n"/>
      <c r="F6" s="9" t="n"/>
      <c r="G6" s="9" t="inlineStr">
        <is>
          <t>Sumber: data sensus 2023</t>
        </is>
      </c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inlineStr">
        <is>
          <t>Wanita/Perempuan</t>
        </is>
      </c>
      <c r="E7" s="9" t="n"/>
      <c r="F7" s="9" t="n"/>
      <c r="G7" s="9" t="inlineStr">
        <is>
          <t>Sumber: data sensus 2023</t>
        </is>
      </c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inlineStr">
        <is>
          <t>Pria/Laki-laki</t>
        </is>
      </c>
      <c r="E8" s="9" t="n"/>
      <c r="F8" s="9" t="n"/>
      <c r="G8" s="9" t="inlineStr">
        <is>
          <t>Sumber: data sensus 2023</t>
        </is>
      </c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inlineStr">
        <is>
          <t>Wanita/Perempuan</t>
        </is>
      </c>
      <c r="E9" s="9" t="n"/>
      <c r="F9" s="9" t="n"/>
      <c r="G9" s="9" t="inlineStr">
        <is>
          <t>Sumber: data sensus 2023</t>
        </is>
      </c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inlineStr">
        <is>
          <t>Wanita/Perempuan</t>
        </is>
      </c>
      <c r="E10" s="9" t="n"/>
      <c r="F10" s="9" t="n"/>
      <c r="G10" s="9" t="inlineStr">
        <is>
          <t>Sumber: data sensus 2023</t>
        </is>
      </c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inlineStr">
        <is>
          <t>Pria/Laki-laki</t>
        </is>
      </c>
      <c r="E11" s="9" t="n"/>
      <c r="F11" s="9" t="n"/>
      <c r="G11" s="9" t="inlineStr">
        <is>
          <t>Sumber: data sensus 2023</t>
        </is>
      </c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inlineStr">
        <is>
          <t>Pria/Laki-laki</t>
        </is>
      </c>
      <c r="E12" s="9" t="n"/>
      <c r="F12" s="9" t="n"/>
      <c r="G12" s="9" t="inlineStr">
        <is>
          <t>Sumber: data sensus 2023</t>
        </is>
      </c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inlineStr">
        <is>
          <t>Pria/Laki-laki</t>
        </is>
      </c>
      <c r="E13" s="9" t="n"/>
      <c r="F13" s="9" t="n"/>
      <c r="G13" s="9" t="inlineStr">
        <is>
          <t>Sumber: data sensus 2023</t>
        </is>
      </c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inlineStr">
        <is>
          <t>Wanita/Perempuan</t>
        </is>
      </c>
      <c r="E14" s="9" t="n"/>
      <c r="F14" s="9" t="n"/>
      <c r="G14" s="9" t="inlineStr">
        <is>
          <t>Sumber: data sensus 2023</t>
        </is>
      </c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inlineStr">
        <is>
          <t>Wanita/Perempuan</t>
        </is>
      </c>
      <c r="E15" s="9" t="n"/>
      <c r="F15" s="9" t="n"/>
      <c r="G15" s="9" t="inlineStr">
        <is>
          <t>Sumber: data sensus 2023</t>
        </is>
      </c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inlineStr">
        <is>
          <t>Wanita/Perempuan</t>
        </is>
      </c>
      <c r="E16" s="9" t="n"/>
      <c r="F16" s="9" t="n"/>
      <c r="G16" s="9" t="inlineStr">
        <is>
          <t>Sumber: data sensus 2023</t>
        </is>
      </c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9" t="n"/>
      <c r="F17" s="9" t="n"/>
      <c r="G17" s="9" t="inlineStr">
        <is>
          <t>Sumber: data sensus 2023</t>
        </is>
      </c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inlineStr">
        <is>
          <t>Wanita/Perempuan</t>
        </is>
      </c>
      <c r="E18" s="9" t="n"/>
      <c r="F18" s="9" t="n"/>
      <c r="G18" s="9" t="inlineStr">
        <is>
          <t>Sumber: data sensus 2023</t>
        </is>
      </c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inlineStr">
        <is>
          <t>Pria/Laki-laki</t>
        </is>
      </c>
      <c r="E19" s="9" t="n"/>
      <c r="F19" s="9" t="n"/>
      <c r="G19" s="9" t="inlineStr">
        <is>
          <t>Sumber: data sensus 2023</t>
        </is>
      </c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inlineStr">
        <is>
          <t>Wanita/Perempuan</t>
        </is>
      </c>
      <c r="E20" s="9" t="n"/>
      <c r="F20" s="9" t="n"/>
      <c r="G20" s="9" t="inlineStr">
        <is>
          <t>Sumber: data sensus 2023</t>
        </is>
      </c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inlineStr">
        <is>
          <t>Pria/Laki-laki</t>
        </is>
      </c>
      <c r="E21" s="9" t="n"/>
      <c r="F21" s="9" t="n"/>
      <c r="G21" s="9" t="inlineStr">
        <is>
          <t>Sumber: data sensus 2023</t>
        </is>
      </c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inlineStr">
        <is>
          <t>Wanita/Perempuan</t>
        </is>
      </c>
      <c r="E22" s="9" t="n"/>
      <c r="F22" s="9" t="n"/>
      <c r="G22" s="9" t="inlineStr">
        <is>
          <t>Sumber: data sensus 2023</t>
        </is>
      </c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inlineStr">
        <is>
          <t>Wanita/Perempuan</t>
        </is>
      </c>
      <c r="E23" s="9" t="n"/>
      <c r="F23" s="9" t="n"/>
      <c r="G23" s="9" t="inlineStr">
        <is>
          <t>Sumber: data sensus 2023</t>
        </is>
      </c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inlineStr">
        <is>
          <t>Wanita/Perempuan</t>
        </is>
      </c>
      <c r="E24" s="9" t="n"/>
      <c r="F24" s="9" t="n"/>
      <c r="G24" s="9" t="inlineStr">
        <is>
          <t>Sumber: data sensus 2023</t>
        </is>
      </c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inlineStr">
        <is>
          <t>Wanita/Perempuan</t>
        </is>
      </c>
      <c r="E25" s="9" t="n"/>
      <c r="F25" s="9" t="n"/>
      <c r="G25" s="9" t="inlineStr">
        <is>
          <t>Sumber: data sensus 2023</t>
        </is>
      </c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inlineStr">
        <is>
          <t>Pria/Laki-laki</t>
        </is>
      </c>
      <c r="E26" s="9" t="n"/>
      <c r="F26" s="9" t="n"/>
      <c r="G26" s="9" t="inlineStr">
        <is>
          <t>Sumber: data sensus 2023</t>
        </is>
      </c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inlineStr">
        <is>
          <t>Pria/Laki-laki</t>
        </is>
      </c>
      <c r="E27" s="9" t="n"/>
      <c r="F27" s="9" t="n"/>
      <c r="G27" s="9" t="inlineStr">
        <is>
          <t>Sumber: data sensus 2023</t>
        </is>
      </c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inlineStr">
        <is>
          <t>Wanita/Perempuan</t>
        </is>
      </c>
      <c r="E28" s="9" t="n"/>
      <c r="F28" s="9" t="n"/>
      <c r="G28" s="9" t="inlineStr">
        <is>
          <t>Sumber: data sensus 2023</t>
        </is>
      </c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inlineStr">
        <is>
          <t>Wanita/Perempuan</t>
        </is>
      </c>
      <c r="E29" s="9" t="n"/>
      <c r="F29" s="9" t="n"/>
      <c r="G29" s="9" t="inlineStr">
        <is>
          <t>Sumber: data sensus 2023</t>
        </is>
      </c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inlineStr">
        <is>
          <t>Wanita/Perempuan</t>
        </is>
      </c>
      <c r="E30" s="9" t="n"/>
      <c r="F30" s="9" t="n"/>
      <c r="G30" s="9" t="inlineStr">
        <is>
          <t>Sumber: data sensus 2023</t>
        </is>
      </c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inlineStr">
        <is>
          <t>Pria/Laki-laki</t>
        </is>
      </c>
      <c r="E31" s="9" t="n"/>
      <c r="F31" s="9" t="n"/>
      <c r="G31" s="9" t="inlineStr">
        <is>
          <t>Sumber: data sensus 2023</t>
        </is>
      </c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  <c r="G32" s="9" t="inlineStr">
        <is>
          <t>Sumber: data sensus 2023</t>
        </is>
      </c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  <c r="G33" s="9" t="inlineStr">
        <is>
          <t>Sumber: data sensus 2023</t>
        </is>
      </c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  <c r="G34" s="9" t="inlineStr">
        <is>
          <t>Sumber: data sensus 2023</t>
        </is>
      </c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inlineStr">
        <is>
          <t>Wanita/Perempuan</t>
        </is>
      </c>
      <c r="E35" s="9" t="n"/>
      <c r="F35" s="9" t="n"/>
      <c r="G35" s="9" t="inlineStr">
        <is>
          <t>Sumber: data sensus 2023</t>
        </is>
      </c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  <c r="G36" s="9" t="inlineStr">
        <is>
          <t>Sumber: data sensus 2023</t>
        </is>
      </c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  <c r="G37" s="9" t="inlineStr">
        <is>
          <t>Sumber: data sensus 2023</t>
        </is>
      </c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  <c r="G38" s="9" t="inlineStr">
        <is>
          <t>Sumber: data sensus 2023</t>
        </is>
      </c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  <c r="G39" s="9" t="inlineStr">
        <is>
          <t>Sumber: data sensus 2023</t>
        </is>
      </c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  <c r="G40" s="9" t="inlineStr">
        <is>
          <t>Sumber: data sensus 2023</t>
        </is>
      </c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  <c r="G41" s="9" t="inlineStr">
        <is>
          <t>Sumber: data sensus 2023</t>
        </is>
      </c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  <c r="G42" s="9" t="inlineStr">
        <is>
          <t>Sumber: data sensus 2023</t>
        </is>
      </c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  <c r="G43" s="9" t="inlineStr">
        <is>
          <t>Sumber: data sensus 2023</t>
        </is>
      </c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  <c r="G44" s="9" t="inlineStr">
        <is>
          <t>Sumber: data sensus 2023</t>
        </is>
      </c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inlineStr">
        <is>
          <t>Pria/Laki-laki</t>
        </is>
      </c>
      <c r="E45" s="9" t="n"/>
      <c r="F45" s="9" t="n"/>
      <c r="G45" s="9" t="inlineStr">
        <is>
          <t>Sumber: data sensus 2023</t>
        </is>
      </c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inlineStr">
        <is>
          <t>Wanita/Perempuan</t>
        </is>
      </c>
      <c r="E46" s="9" t="n"/>
      <c r="F46" s="9" t="n"/>
      <c r="G46" s="9" t="inlineStr">
        <is>
          <t>Sumber: data sensus 2023</t>
        </is>
      </c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  <c r="G47" s="9" t="inlineStr">
        <is>
          <t>Sumber: data sensus 2023</t>
        </is>
      </c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  <c r="G48" s="9" t="inlineStr">
        <is>
          <t>Sumber: data sensus 2023</t>
        </is>
      </c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  <c r="G49" s="9" t="inlineStr">
        <is>
          <t>Sumber: data sensus 2023</t>
        </is>
      </c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  <c r="G50" s="9" t="inlineStr">
        <is>
          <t>Sumber: data sensus 2023</t>
        </is>
      </c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  <c r="G51" s="9" t="inlineStr">
        <is>
          <t>Sumber: data sensus 2023</t>
        </is>
      </c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  <c r="G52" s="9" t="inlineStr">
        <is>
          <t>Sumber: data sensus 2023</t>
        </is>
      </c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44" t="n">
        <v>39915</v>
      </c>
      <c r="F53" s="9" t="inlineStr">
        <is>
          <t>Malakiri</t>
        </is>
      </c>
      <c r="G53" s="9" t="inlineStr">
        <is>
          <t>Dari: RIBKA RATTANG - SURAT KOMUNI PERTAMA.jpg</t>
        </is>
      </c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  <c r="G54" s="9" t="inlineStr">
        <is>
          <t>Sumber: data sensus 2023</t>
        </is>
      </c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  <c r="G55" s="9" t="inlineStr">
        <is>
          <t>Sumber: data sensus 2023</t>
        </is>
      </c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  <c r="G56" s="9" t="inlineStr">
        <is>
          <t>Sumber: data sensus 2023</t>
        </is>
      </c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  <c r="G57" s="9" t="inlineStr">
        <is>
          <t>Sumber: data sensus 2023</t>
        </is>
      </c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  <c r="G58" s="9" t="inlineStr">
        <is>
          <t>Sumber: data sensus 2023</t>
        </is>
      </c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  <c r="G59" s="9" t="inlineStr">
        <is>
          <t>Sumber: data sensus 2023</t>
        </is>
      </c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  <c r="G60" s="9" t="inlineStr">
        <is>
          <t>Sumber: data sensus 2023</t>
        </is>
      </c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  <c r="G61" s="9" t="inlineStr">
        <is>
          <t>Sumber: data sensus 2023</t>
        </is>
      </c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  <c r="G62" s="9" t="inlineStr">
        <is>
          <t>Sumber: data sensus 2023</t>
        </is>
      </c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  <c r="G63" s="9" t="inlineStr">
        <is>
          <t>Sumber: data sensus 2023</t>
        </is>
      </c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  <c r="G64" s="9" t="inlineStr">
        <is>
          <t>Sumber: data sensus 2023</t>
        </is>
      </c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  <c r="G65" s="9" t="inlineStr">
        <is>
          <t>Sumber: data sensus 2023</t>
        </is>
      </c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  <c r="G66" s="9" t="inlineStr">
        <is>
          <t>Sumber: data sensus 2023</t>
        </is>
      </c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  <c r="G67" s="9" t="inlineStr">
        <is>
          <t>Sumber: data sensus 2023</t>
        </is>
      </c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9" t="n"/>
      <c r="F68" s="9" t="n"/>
      <c r="G68" s="9" t="inlineStr">
        <is>
          <t>Sumber: data sensus 2023</t>
        </is>
      </c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9" t="n"/>
      <c r="F69" s="9" t="n"/>
      <c r="G69" s="9" t="inlineStr">
        <is>
          <t>Sumber: data sensus 2023</t>
        </is>
      </c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9" t="n"/>
      <c r="F70" s="9" t="n"/>
      <c r="G70" s="9" t="inlineStr">
        <is>
          <t>Sumber: data sensus 2023</t>
        </is>
      </c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9" t="n"/>
      <c r="F71" s="9" t="n"/>
      <c r="G71" s="9" t="inlineStr">
        <is>
          <t>Sumber: data sensus 2023</t>
        </is>
      </c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9" t="n"/>
      <c r="F72" s="9" t="n"/>
      <c r="G72" s="9" t="inlineStr">
        <is>
          <t>Sumber: data sensus 2023</t>
        </is>
      </c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9" t="n"/>
      <c r="F73" s="9" t="n"/>
      <c r="G73" s="9" t="inlineStr">
        <is>
          <t>Sumber: data sensus 2023</t>
        </is>
      </c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  <c r="G74" s="9" t="inlineStr">
        <is>
          <t>Sumber: data sensus 2023</t>
        </is>
      </c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  <c r="G75" s="9" t="inlineStr">
        <is>
          <t>Sumber: data sensus 2023</t>
        </is>
      </c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9" t="n"/>
      <c r="F76" s="9" t="n"/>
      <c r="G76" s="9" t="inlineStr">
        <is>
          <t>Sumber: data sensus 2023</t>
        </is>
      </c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  <c r="G77" s="9" t="inlineStr">
        <is>
          <t>Sumber: data sensus 2023</t>
        </is>
      </c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9" t="n"/>
      <c r="F78" s="9" t="n"/>
      <c r="G78" s="9" t="inlineStr">
        <is>
          <t>Sumber: data sensus 2023</t>
        </is>
      </c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44" t="n">
        <v>41070</v>
      </c>
      <c r="F79" s="9" t="inlineStr">
        <is>
          <t>SANTO PETRUS PANGLI</t>
        </is>
      </c>
      <c r="G79" s="9" t="inlineStr">
        <is>
          <t>Dari: RIBKA RATTANG - SURAT KOMUNI PERTAMA ADIK.jpg</t>
        </is>
      </c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9" t="n"/>
      <c r="F80" s="9" t="n"/>
      <c r="G80" s="9" t="inlineStr">
        <is>
          <t>Sumber: data sensus 2023</t>
        </is>
      </c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9" t="n"/>
      <c r="F81" s="9" t="n"/>
      <c r="G81" s="9" t="inlineStr">
        <is>
          <t>Sumber: data sensus 2023</t>
        </is>
      </c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9" t="n"/>
      <c r="F82" s="9" t="n"/>
      <c r="G82" s="9" t="inlineStr">
        <is>
          <t>Sumber: data sensus 2023</t>
        </is>
      </c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  <c r="G83" s="9" t="inlineStr">
        <is>
          <t>Sumber: data sensus 2023</t>
        </is>
      </c>
    </row>
    <row r="84" ht="14.25" customHeight="1" s="37">
      <c r="A84" s="9" t="n"/>
      <c r="B84" s="9" t="n"/>
      <c r="C84" s="9" t="n"/>
      <c r="D84" s="9" t="n"/>
      <c r="E84" s="9" t="n"/>
      <c r="F84" s="9" t="n"/>
      <c r="G84" s="9" t="n"/>
    </row>
    <row r="85" ht="14.25" customHeight="1" s="37">
      <c r="A85" s="9" t="n"/>
      <c r="B85" s="9" t="n"/>
      <c r="C85" s="9" t="n"/>
      <c r="D85" s="9" t="n"/>
      <c r="E85" s="9" t="n"/>
      <c r="F85" s="9" t="n"/>
      <c r="G85" s="9" t="n"/>
    </row>
    <row r="86" ht="14.25" customHeight="1" s="37">
      <c r="A86" s="9" t="n"/>
      <c r="B86" s="9" t="n"/>
      <c r="C86" s="9" t="n"/>
      <c r="D86" s="9" t="n"/>
      <c r="E86" s="9" t="n"/>
      <c r="F86" s="9" t="n"/>
      <c r="G86" s="9" t="n"/>
    </row>
    <row r="87" ht="14.25" customHeight="1" s="37">
      <c r="A87" s="9" t="n"/>
      <c r="B87" s="9" t="n"/>
      <c r="C87" s="9" t="n"/>
      <c r="D87" s="9" t="n"/>
      <c r="E87" s="9" t="n"/>
      <c r="F87" s="9" t="n"/>
      <c r="G87" s="9" t="n"/>
    </row>
    <row r="88" ht="14.25" customHeight="1" s="37">
      <c r="A88" s="9" t="n"/>
      <c r="B88" s="9" t="n"/>
      <c r="C88" s="9" t="n"/>
      <c r="D88" s="9" t="n"/>
      <c r="E88" s="9" t="n"/>
      <c r="F88" s="9" t="n"/>
      <c r="G88" s="9" t="n"/>
    </row>
    <row r="89" ht="14.25" customHeight="1" s="37">
      <c r="A89" s="9" t="n"/>
      <c r="B89" s="9" t="n"/>
      <c r="C89" s="9" t="n"/>
      <c r="D89" s="9" t="n"/>
      <c r="E89" s="9" t="n"/>
      <c r="F89" s="9" t="n"/>
      <c r="G89" s="9" t="n"/>
    </row>
    <row r="90" ht="14.25" customHeight="1" s="37">
      <c r="A90" s="9" t="n"/>
      <c r="B90" s="9" t="n"/>
      <c r="C90" s="9" t="n"/>
      <c r="D90" s="9" t="n"/>
      <c r="E90" s="9" t="n"/>
      <c r="F90" s="9" t="n"/>
      <c r="G90" s="9" t="n"/>
    </row>
    <row r="91" ht="14.25" customHeight="1" s="37">
      <c r="A91" s="9" t="n"/>
      <c r="B91" s="9" t="n"/>
      <c r="C91" s="9" t="n"/>
      <c r="D91" s="9" t="n"/>
      <c r="E91" s="9" t="n"/>
      <c r="F91" s="9" t="n"/>
      <c r="G91" s="9" t="n"/>
    </row>
    <row r="92" ht="14.25" customHeight="1" s="37">
      <c r="A92" s="9" t="n"/>
      <c r="B92" s="9" t="n"/>
      <c r="C92" s="9" t="n"/>
      <c r="D92" s="9" t="n"/>
      <c r="E92" s="9" t="n"/>
      <c r="F92" s="9" t="n"/>
      <c r="G92" s="9" t="n"/>
    </row>
    <row r="93" ht="14.25" customHeight="1" s="37">
      <c r="A93" s="9" t="n"/>
      <c r="B93" s="9" t="n"/>
      <c r="C93" s="9" t="n"/>
      <c r="D93" s="9" t="n"/>
      <c r="E93" s="9" t="n"/>
      <c r="F93" s="9" t="n"/>
      <c r="G93" s="9" t="n"/>
    </row>
    <row r="94" ht="14.25" customHeight="1" s="37">
      <c r="A94" s="9" t="n"/>
      <c r="B94" s="9" t="n"/>
      <c r="C94" s="9" t="n"/>
      <c r="D94" s="9" t="n"/>
      <c r="E94" s="9" t="n"/>
      <c r="F94" s="9" t="n"/>
      <c r="G94" s="9" t="n"/>
    </row>
    <row r="95" ht="14.25" customHeight="1" s="37">
      <c r="A95" s="9" t="n"/>
      <c r="B95" s="9" t="n"/>
      <c r="C95" s="9" t="n"/>
      <c r="D95" s="9" t="n"/>
      <c r="E95" s="9" t="n"/>
      <c r="F95" s="9" t="n"/>
      <c r="G95" s="9" t="n"/>
    </row>
    <row r="96" ht="14.25" customHeight="1" s="37">
      <c r="A96" s="9" t="n"/>
      <c r="B96" s="9" t="n"/>
      <c r="C96" s="9" t="n"/>
      <c r="D96" s="9" t="n"/>
      <c r="E96" s="9" t="n"/>
      <c r="F96" s="9" t="n"/>
      <c r="G96" s="9" t="n"/>
    </row>
    <row r="97" ht="14.25" customHeight="1" s="37">
      <c r="A97" s="9" t="n"/>
      <c r="B97" s="9" t="n"/>
      <c r="C97" s="9" t="n"/>
      <c r="D97" s="9" t="n"/>
      <c r="E97" s="9" t="n"/>
      <c r="F97" s="9" t="n"/>
      <c r="G97" s="9" t="n"/>
    </row>
    <row r="98" ht="14.25" customHeight="1" s="37">
      <c r="A98" s="9" t="n"/>
      <c r="B98" s="9" t="n"/>
      <c r="C98" s="9" t="n"/>
      <c r="D98" s="9" t="n"/>
      <c r="E98" s="9" t="n"/>
      <c r="F98" s="9" t="n"/>
      <c r="G98" s="9" t="n"/>
    </row>
    <row r="99" ht="14.25" customHeight="1" s="37">
      <c r="A99" s="9" t="n"/>
      <c r="B99" s="9" t="n"/>
      <c r="C99" s="9" t="n"/>
      <c r="D99" s="9" t="n"/>
      <c r="E99" s="9" t="n"/>
      <c r="F99" s="9" t="n"/>
      <c r="G99" s="9" t="n"/>
    </row>
    <row r="100" ht="14.25" customHeight="1" s="37">
      <c r="A100" s="9" t="n"/>
      <c r="B100" s="9" t="n"/>
      <c r="C100" s="9" t="n"/>
      <c r="D100" s="9" t="n"/>
      <c r="E100" s="9" t="n"/>
      <c r="F100" s="9" t="n"/>
      <c r="G100" s="9" t="n"/>
    </row>
    <row r="101" ht="14.25" customHeight="1" s="37">
      <c r="A101" s="9" t="n"/>
      <c r="B101" s="9" t="n"/>
      <c r="C101" s="9" t="n"/>
      <c r="D101" s="9" t="n"/>
      <c r="E101" s="9" t="n"/>
      <c r="F101" s="9" t="n"/>
      <c r="G101" s="9" t="n"/>
    </row>
    <row r="102" ht="14.25" customHeight="1" s="37">
      <c r="A102" s="9" t="n"/>
      <c r="B102" s="9" t="n"/>
      <c r="C102" s="9" t="n"/>
      <c r="D102" s="9" t="n"/>
      <c r="E102" s="9" t="n"/>
      <c r="F102" s="9" t="n"/>
      <c r="G102" s="9" t="n"/>
    </row>
    <row r="103" ht="14.25" customHeight="1" s="37">
      <c r="A103" s="9" t="n"/>
      <c r="B103" s="9" t="n"/>
      <c r="C103" s="9" t="n"/>
      <c r="D103" s="9" t="n"/>
      <c r="E103" s="9" t="n"/>
      <c r="F103" s="9" t="n"/>
      <c r="G103" s="9" t="n"/>
    </row>
    <row r="104" ht="14.25" customHeight="1" s="37">
      <c r="A104" s="9" t="n"/>
      <c r="B104" s="9" t="n"/>
      <c r="C104" s="9" t="n"/>
      <c r="D104" s="9" t="n"/>
      <c r="E104" s="9" t="n"/>
      <c r="F104" s="9" t="n"/>
      <c r="G104" s="9" t="n"/>
    </row>
    <row r="105" ht="14.25" customHeight="1" s="37">
      <c r="A105" s="9" t="n"/>
      <c r="B105" s="9" t="n"/>
      <c r="C105" s="9" t="n"/>
      <c r="D105" s="9" t="n"/>
      <c r="E105" s="9" t="n"/>
      <c r="F105" s="9" t="n"/>
      <c r="G105" s="9" t="n"/>
    </row>
    <row r="106" ht="14.25" customHeight="1" s="37">
      <c r="A106" s="9" t="n"/>
      <c r="B106" s="9" t="n"/>
      <c r="C106" s="9" t="n"/>
      <c r="D106" s="9" t="n"/>
      <c r="E106" s="9" t="n"/>
      <c r="F106" s="9" t="n"/>
      <c r="G106" s="9" t="n"/>
    </row>
    <row r="107" ht="14.25" customHeight="1" s="37">
      <c r="A107" s="9" t="n"/>
      <c r="B107" s="9" t="n"/>
      <c r="C107" s="9" t="n"/>
      <c r="D107" s="9" t="n"/>
      <c r="E107" s="9" t="n"/>
      <c r="F107" s="9" t="n"/>
      <c r="G107" s="9" t="n"/>
    </row>
    <row r="108" ht="14.25" customHeight="1" s="37">
      <c r="A108" s="9" t="n"/>
      <c r="B108" s="9" t="n"/>
      <c r="C108" s="9" t="n"/>
      <c r="D108" s="9" t="n"/>
      <c r="E108" s="9" t="n"/>
      <c r="F108" s="9" t="n"/>
      <c r="G108" s="9" t="n"/>
    </row>
    <row r="109" ht="14.25" customHeight="1" s="37">
      <c r="A109" s="9" t="n"/>
      <c r="B109" s="9" t="n"/>
      <c r="C109" s="9" t="n"/>
      <c r="D109" s="9" t="n"/>
      <c r="E109" s="9" t="n"/>
      <c r="F109" s="9" t="n"/>
      <c r="G109" s="9" t="n"/>
    </row>
    <row r="110" ht="14.25" customHeight="1" s="37">
      <c r="A110" s="9" t="n"/>
      <c r="B110" s="9" t="n"/>
      <c r="C110" s="9" t="n"/>
      <c r="D110" s="9" t="n"/>
      <c r="E110" s="9" t="n"/>
      <c r="F110" s="9" t="n"/>
      <c r="G110" s="9" t="n"/>
    </row>
    <row r="111" ht="14.25" customHeight="1" s="37">
      <c r="A111" s="9" t="n"/>
      <c r="B111" s="9" t="n"/>
      <c r="C111" s="9" t="n"/>
      <c r="D111" s="9" t="n"/>
      <c r="E111" s="9" t="n"/>
      <c r="F111" s="9" t="n"/>
      <c r="G111" s="9" t="n"/>
    </row>
    <row r="112" ht="14.25" customHeight="1" s="37">
      <c r="A112" s="9" t="n"/>
      <c r="B112" s="9" t="n"/>
      <c r="C112" s="9" t="n"/>
      <c r="D112" s="9" t="n"/>
      <c r="E112" s="9" t="n"/>
      <c r="F112" s="9" t="n"/>
      <c r="G112" s="9" t="n"/>
    </row>
    <row r="113" ht="14.25" customHeight="1" s="37">
      <c r="A113" s="9" t="n"/>
      <c r="B113" s="9" t="n"/>
      <c r="C113" s="9" t="n"/>
      <c r="D113" s="9" t="n"/>
      <c r="E113" s="9" t="n"/>
      <c r="F113" s="9" t="n"/>
      <c r="G113" s="9" t="n"/>
    </row>
    <row r="114" ht="14.25" customHeight="1" s="37">
      <c r="A114" s="9" t="n"/>
      <c r="B114" s="9" t="n"/>
      <c r="C114" s="9" t="n"/>
      <c r="D114" s="9" t="n"/>
      <c r="E114" s="9" t="n"/>
      <c r="F114" s="9" t="n"/>
      <c r="G114" s="9" t="n"/>
    </row>
    <row r="115" ht="14.25" customHeight="1" s="37">
      <c r="A115" s="9" t="n"/>
      <c r="B115" s="9" t="n"/>
      <c r="C115" s="9" t="n"/>
      <c r="D115" s="9" t="n"/>
      <c r="E115" s="9" t="n"/>
      <c r="F115" s="9" t="n"/>
      <c r="G115" s="9" t="n"/>
    </row>
    <row r="116" ht="14.25" customHeight="1" s="37">
      <c r="A116" s="9" t="n"/>
      <c r="B116" s="9" t="n"/>
      <c r="C116" s="9" t="n"/>
      <c r="D116" s="9" t="n"/>
      <c r="E116" s="9" t="n"/>
      <c r="F116" s="9" t="n"/>
      <c r="G116" s="9" t="n"/>
    </row>
    <row r="117" ht="14.25" customHeight="1" s="37">
      <c r="A117" s="9" t="n"/>
      <c r="B117" s="9" t="n"/>
      <c r="C117" s="9" t="n"/>
      <c r="D117" s="9" t="n"/>
      <c r="E117" s="9" t="n"/>
      <c r="F117" s="9" t="n"/>
      <c r="G117" s="9" t="n"/>
    </row>
    <row r="118" ht="14.25" customHeight="1" s="37">
      <c r="A118" s="9" t="n"/>
      <c r="B118" s="9" t="n"/>
      <c r="C118" s="9" t="n"/>
      <c r="D118" s="9" t="n"/>
      <c r="E118" s="9" t="n"/>
      <c r="F118" s="9" t="n"/>
      <c r="G118" s="9" t="n"/>
    </row>
    <row r="119" ht="14.25" customHeight="1" s="37">
      <c r="A119" s="9" t="n"/>
      <c r="B119" s="9" t="n"/>
      <c r="C119" s="9" t="n"/>
      <c r="D119" s="9" t="n"/>
      <c r="E119" s="9" t="n"/>
      <c r="F119" s="9" t="n"/>
      <c r="G119" s="9" t="n"/>
    </row>
    <row r="120" ht="14.25" customHeight="1" s="37">
      <c r="A120" s="9" t="n"/>
      <c r="B120" s="9" t="n"/>
      <c r="C120" s="9" t="n"/>
      <c r="D120" s="9" t="n"/>
      <c r="E120" s="9" t="n"/>
      <c r="F120" s="9" t="n"/>
      <c r="G120" s="9" t="n"/>
    </row>
    <row r="121" ht="14.25" customHeight="1" s="37">
      <c r="A121" s="9" t="n"/>
      <c r="B121" s="9" t="n"/>
      <c r="C121" s="9" t="n"/>
      <c r="D121" s="9" t="n"/>
      <c r="E121" s="9" t="n"/>
      <c r="F121" s="9" t="n"/>
      <c r="G121" s="9" t="n"/>
    </row>
    <row r="122" ht="14.25" customHeight="1" s="37">
      <c r="A122" s="9" t="n"/>
      <c r="B122" s="9" t="n"/>
      <c r="C122" s="9" t="n"/>
      <c r="D122" s="9" t="n"/>
      <c r="E122" s="9" t="n"/>
      <c r="F122" s="9" t="n"/>
      <c r="G122" s="9" t="n"/>
    </row>
    <row r="123" ht="14.25" customHeight="1" s="37">
      <c r="A123" s="9" t="n"/>
      <c r="B123" s="9" t="n"/>
      <c r="C123" s="9" t="n"/>
      <c r="D123" s="9" t="n"/>
      <c r="E123" s="9" t="n"/>
      <c r="F123" s="9" t="n"/>
      <c r="G123" s="9" t="n"/>
    </row>
    <row r="124" ht="14.25" customHeight="1" s="37">
      <c r="A124" s="9" t="n"/>
      <c r="B124" s="9" t="n"/>
      <c r="C124" s="9" t="n"/>
      <c r="D124" s="9" t="n"/>
      <c r="E124" s="9" t="n"/>
      <c r="F124" s="9" t="n"/>
      <c r="G124" s="9" t="n"/>
    </row>
    <row r="125" ht="14.25" customHeight="1" s="37">
      <c r="A125" s="9" t="n"/>
      <c r="B125" s="9" t="n"/>
      <c r="C125" s="9" t="n"/>
      <c r="D125" s="9" t="n"/>
      <c r="E125" s="9" t="n"/>
      <c r="F125" s="9" t="n"/>
      <c r="G125" s="9" t="n"/>
    </row>
    <row r="126" ht="14.25" customHeight="1" s="37">
      <c r="A126" s="9" t="n"/>
      <c r="B126" s="9" t="n"/>
      <c r="C126" s="9" t="n"/>
      <c r="D126" s="9" t="n"/>
      <c r="E126" s="9" t="n"/>
      <c r="F126" s="9" t="n"/>
      <c r="G126" s="9" t="n"/>
    </row>
    <row r="127" ht="14.25" customHeight="1" s="37">
      <c r="A127" s="9" t="n"/>
      <c r="B127" s="9" t="n"/>
      <c r="C127" s="9" t="n"/>
      <c r="D127" s="9" t="n"/>
      <c r="E127" s="9" t="n"/>
      <c r="F127" s="9" t="n"/>
      <c r="G127" s="9" t="n"/>
    </row>
    <row r="128" ht="14.25" customHeight="1" s="37">
      <c r="A128" s="9" t="n"/>
      <c r="B128" s="9" t="n"/>
      <c r="C128" s="9" t="n"/>
      <c r="D128" s="9" t="n"/>
      <c r="E128" s="9" t="n"/>
      <c r="F128" s="9" t="n"/>
      <c r="G128" s="9" t="n"/>
    </row>
    <row r="129" ht="14.25" customHeight="1" s="37">
      <c r="A129" s="9" t="n"/>
      <c r="B129" s="9" t="n"/>
      <c r="C129" s="9" t="n"/>
      <c r="D129" s="9" t="n"/>
      <c r="E129" s="9" t="n"/>
      <c r="F129" s="9" t="n"/>
      <c r="G129" s="9" t="n"/>
    </row>
    <row r="130" ht="14.25" customHeight="1" s="37">
      <c r="A130" s="9" t="n"/>
      <c r="B130" s="9" t="n"/>
      <c r="C130" s="9" t="n"/>
      <c r="D130" s="9" t="n"/>
      <c r="E130" s="9" t="n"/>
      <c r="F130" s="9" t="n"/>
      <c r="G130" s="9" t="n"/>
    </row>
    <row r="131" ht="14.25" customHeight="1" s="37">
      <c r="A131" s="9" t="n"/>
      <c r="B131" s="9" t="n"/>
      <c r="C131" s="9" t="n"/>
      <c r="D131" s="9" t="n"/>
      <c r="E131" s="9" t="n"/>
      <c r="F131" s="9" t="n"/>
      <c r="G131" s="9" t="n"/>
    </row>
    <row r="132" ht="14.25" customHeight="1" s="37">
      <c r="A132" s="9" t="n"/>
      <c r="B132" s="9" t="n"/>
      <c r="C132" s="9" t="n"/>
      <c r="D132" s="9" t="n"/>
      <c r="E132" s="9" t="n"/>
      <c r="F132" s="9" t="n"/>
      <c r="G132" s="9" t="n"/>
    </row>
    <row r="133" ht="14.25" customHeight="1" s="37">
      <c r="A133" s="9" t="n"/>
      <c r="B133" s="9" t="n"/>
      <c r="C133" s="9" t="n"/>
      <c r="D133" s="9" t="n"/>
      <c r="E133" s="9" t="n"/>
      <c r="F133" s="9" t="n"/>
      <c r="G133" s="9" t="n"/>
    </row>
    <row r="134" ht="14.25" customHeight="1" s="37">
      <c r="A134" s="9" t="n"/>
      <c r="B134" s="9" t="n"/>
      <c r="C134" s="9" t="n"/>
      <c r="D134" s="9" t="n"/>
      <c r="E134" s="9" t="n"/>
      <c r="F134" s="9" t="n"/>
      <c r="G134" s="9" t="n"/>
    </row>
    <row r="135" ht="14.25" customHeight="1" s="37">
      <c r="A135" s="9" t="n"/>
      <c r="B135" s="9" t="n"/>
      <c r="C135" s="9" t="n"/>
      <c r="D135" s="9" t="n"/>
      <c r="E135" s="9" t="n"/>
      <c r="F135" s="9" t="n"/>
      <c r="G135" s="9" t="n"/>
    </row>
    <row r="136" ht="14.25" customHeight="1" s="37">
      <c r="A136" s="9" t="n"/>
      <c r="B136" s="9" t="n"/>
      <c r="C136" s="9" t="n"/>
      <c r="D136" s="9" t="n"/>
      <c r="E136" s="9" t="n"/>
      <c r="F136" s="9" t="n"/>
      <c r="G136" s="9" t="n"/>
    </row>
    <row r="137" ht="14.25" customHeight="1" s="37">
      <c r="A137" s="9" t="n"/>
      <c r="B137" s="9" t="n"/>
      <c r="C137" s="9" t="n"/>
      <c r="D137" s="9" t="n"/>
      <c r="E137" s="9" t="n"/>
      <c r="F137" s="9" t="n"/>
      <c r="G137" s="9" t="n"/>
    </row>
    <row r="138" ht="14.25" customHeight="1" s="37">
      <c r="A138" s="9" t="n"/>
      <c r="B138" s="9" t="n"/>
      <c r="C138" s="9" t="n"/>
      <c r="D138" s="9" t="n"/>
      <c r="E138" s="9" t="n"/>
      <c r="F138" s="9" t="n"/>
      <c r="G138" s="9" t="n"/>
    </row>
    <row r="139" ht="14.25" customHeight="1" s="37">
      <c r="A139" s="9" t="n"/>
      <c r="B139" s="9" t="n"/>
      <c r="C139" s="9" t="n"/>
      <c r="D139" s="9" t="n"/>
      <c r="E139" s="9" t="n"/>
      <c r="F139" s="9" t="n"/>
      <c r="G139" s="9" t="n"/>
    </row>
    <row r="140" ht="14.25" customHeight="1" s="37">
      <c r="A140" s="9" t="n"/>
      <c r="B140" s="9" t="n"/>
      <c r="C140" s="9" t="n"/>
      <c r="D140" s="9" t="n"/>
      <c r="E140" s="9" t="n"/>
      <c r="F140" s="9" t="n"/>
      <c r="G140" s="9" t="n"/>
    </row>
    <row r="141" ht="14.25" customHeight="1" s="37">
      <c r="A141" s="9" t="n"/>
      <c r="B141" s="9" t="n"/>
      <c r="C141" s="9" t="n"/>
      <c r="D141" s="9" t="n"/>
      <c r="E141" s="9" t="n"/>
      <c r="F141" s="9" t="n"/>
      <c r="G141" s="9" t="n"/>
    </row>
    <row r="142" ht="14.25" customHeight="1" s="37">
      <c r="A142" s="9" t="n"/>
      <c r="B142" s="9" t="n"/>
      <c r="C142" s="9" t="n"/>
      <c r="D142" s="9" t="n"/>
      <c r="E142" s="9" t="n"/>
      <c r="F142" s="9" t="n"/>
      <c r="G142" s="9" t="n"/>
    </row>
    <row r="143" ht="14.25" customHeight="1" s="37">
      <c r="A143" s="9" t="n"/>
      <c r="B143" s="9" t="n"/>
      <c r="C143" s="9" t="n"/>
      <c r="D143" s="9" t="n"/>
      <c r="E143" s="9" t="n"/>
      <c r="F143" s="9" t="n"/>
      <c r="G143" s="9" t="n"/>
    </row>
    <row r="144" ht="14.25" customHeight="1" s="37">
      <c r="A144" s="9" t="n"/>
      <c r="B144" s="9" t="n"/>
      <c r="C144" s="9" t="n"/>
      <c r="D144" s="9" t="n"/>
      <c r="E144" s="9" t="n"/>
      <c r="F144" s="9" t="n"/>
      <c r="G144" s="9" t="n"/>
    </row>
    <row r="145" ht="14.25" customHeight="1" s="37">
      <c r="A145" s="9" t="n"/>
      <c r="B145" s="9" t="n"/>
      <c r="C145" s="9" t="n"/>
      <c r="D145" s="9" t="n"/>
      <c r="E145" s="9" t="n"/>
      <c r="F145" s="9" t="n"/>
      <c r="G145" s="9" t="n"/>
    </row>
    <row r="146" ht="14.25" customHeight="1" s="37">
      <c r="A146" s="9" t="n"/>
      <c r="B146" s="9" t="n"/>
      <c r="C146" s="9" t="n"/>
      <c r="D146" s="9" t="n"/>
      <c r="E146" s="9" t="n"/>
      <c r="F146" s="9" t="n"/>
      <c r="G146" s="9" t="n"/>
    </row>
    <row r="147" ht="14.25" customHeight="1" s="37">
      <c r="A147" s="9" t="n"/>
      <c r="B147" s="9" t="n"/>
      <c r="C147" s="9" t="n"/>
      <c r="D147" s="9" t="n"/>
      <c r="E147" s="9" t="n"/>
      <c r="F147" s="9" t="n"/>
      <c r="G147" s="9" t="n"/>
    </row>
    <row r="148" ht="14.25" customHeight="1" s="37">
      <c r="A148" s="9" t="n"/>
      <c r="B148" s="9" t="n"/>
      <c r="C148" s="9" t="n"/>
      <c r="D148" s="9" t="n"/>
      <c r="E148" s="9" t="n"/>
      <c r="F148" s="9" t="n"/>
      <c r="G148" s="9" t="n"/>
    </row>
    <row r="149" ht="14.25" customHeight="1" s="37">
      <c r="A149" s="9" t="n"/>
      <c r="B149" s="9" t="n"/>
      <c r="C149" s="9" t="n"/>
      <c r="D149" s="9" t="n"/>
      <c r="E149" s="9" t="n"/>
      <c r="F149" s="9" t="n"/>
      <c r="G149" s="9" t="n"/>
    </row>
    <row r="150" ht="14.25" customHeight="1" s="37">
      <c r="A150" s="9" t="n"/>
      <c r="B150" s="9" t="n"/>
      <c r="C150" s="9" t="n"/>
      <c r="D150" s="9" t="n"/>
      <c r="E150" s="9" t="n"/>
      <c r="F150" s="9" t="n"/>
      <c r="G150" s="9" t="n"/>
    </row>
    <row r="151" ht="14.25" customHeight="1" s="37">
      <c r="A151" s="9" t="n"/>
      <c r="B151" s="9" t="n"/>
      <c r="C151" s="9" t="n"/>
      <c r="D151" s="9" t="n"/>
      <c r="E151" s="9" t="n"/>
      <c r="F151" s="9" t="n"/>
      <c r="G151" s="9" t="n"/>
    </row>
    <row r="152" ht="14.25" customHeight="1" s="37">
      <c r="A152" s="9" t="n"/>
      <c r="B152" s="9" t="n"/>
      <c r="C152" s="9" t="n"/>
      <c r="D152" s="9" t="n"/>
      <c r="E152" s="9" t="n"/>
      <c r="F152" s="9" t="n"/>
      <c r="G152" s="9" t="n"/>
    </row>
    <row r="153" ht="14.25" customHeight="1" s="37">
      <c r="A153" s="9" t="n"/>
      <c r="B153" s="9" t="n"/>
      <c r="C153" s="9" t="n"/>
      <c r="D153" s="9" t="n"/>
      <c r="E153" s="9" t="n"/>
      <c r="F153" s="9" t="n"/>
      <c r="G153" s="9" t="n"/>
    </row>
    <row r="154" ht="14.25" customHeight="1" s="37">
      <c r="A154" s="9" t="n"/>
      <c r="B154" s="9" t="n"/>
      <c r="C154" s="9" t="n"/>
      <c r="D154" s="9" t="n"/>
      <c r="E154" s="9" t="n"/>
      <c r="F154" s="9" t="n"/>
      <c r="G154" s="9" t="n"/>
    </row>
    <row r="155" ht="14.25" customHeight="1" s="37">
      <c r="A155" s="9" t="n"/>
      <c r="B155" s="9" t="n"/>
      <c r="C155" s="9" t="n"/>
      <c r="D155" s="9" t="n"/>
      <c r="E155" s="9" t="n"/>
      <c r="F155" s="9" t="n"/>
      <c r="G155" s="9" t="n"/>
    </row>
    <row r="156" ht="14.25" customHeight="1" s="37">
      <c r="A156" s="9" t="n"/>
      <c r="B156" s="9" t="n"/>
      <c r="C156" s="9" t="n"/>
      <c r="D156" s="9" t="n"/>
      <c r="E156" s="9" t="n"/>
      <c r="F156" s="9" t="n"/>
      <c r="G156" s="9" t="n"/>
    </row>
    <row r="157" ht="14.25" customHeight="1" s="37">
      <c r="A157" s="9" t="n"/>
      <c r="B157" s="9" t="n"/>
      <c r="C157" s="9" t="n"/>
      <c r="D157" s="9" t="n"/>
      <c r="E157" s="9" t="n"/>
      <c r="F157" s="9" t="n"/>
      <c r="G157" s="9" t="n"/>
    </row>
    <row r="158" ht="14.25" customHeight="1" s="37">
      <c r="A158" s="9" t="n"/>
      <c r="B158" s="9" t="n"/>
      <c r="C158" s="9" t="n"/>
      <c r="D158" s="9" t="n"/>
      <c r="E158" s="9" t="n"/>
      <c r="F158" s="9" t="n"/>
      <c r="G158" s="9" t="n"/>
    </row>
    <row r="159" ht="14.25" customHeight="1" s="37">
      <c r="A159" s="9" t="n"/>
      <c r="B159" s="9" t="n"/>
      <c r="C159" s="9" t="n"/>
      <c r="D159" s="9" t="n"/>
      <c r="E159" s="9" t="n"/>
      <c r="F159" s="9" t="n"/>
      <c r="G159" s="9" t="n"/>
    </row>
    <row r="160" ht="14.25" customHeight="1" s="37">
      <c r="A160" s="9" t="n"/>
      <c r="B160" s="9" t="n"/>
      <c r="C160" s="9" t="n"/>
      <c r="D160" s="9" t="n"/>
      <c r="E160" s="9" t="n"/>
      <c r="F160" s="9" t="n"/>
      <c r="G160" s="9" t="n"/>
    </row>
    <row r="161" ht="14.25" customHeight="1" s="37">
      <c r="A161" s="9" t="n"/>
      <c r="B161" s="9" t="n"/>
      <c r="C161" s="9" t="n"/>
      <c r="D161" s="9" t="n"/>
      <c r="E161" s="9" t="n"/>
      <c r="F161" s="9" t="n"/>
      <c r="G161" s="9" t="n"/>
    </row>
    <row r="162" ht="14.25" customHeight="1" s="37">
      <c r="A162" s="9" t="n"/>
      <c r="B162" s="9" t="n"/>
      <c r="C162" s="9" t="n"/>
      <c r="D162" s="9" t="n"/>
      <c r="E162" s="9" t="n"/>
      <c r="F162" s="9" t="n"/>
      <c r="G162" s="9" t="n"/>
    </row>
    <row r="163" ht="14.25" customHeight="1" s="37">
      <c r="A163" s="9" t="n"/>
      <c r="B163" s="9" t="n"/>
      <c r="C163" s="9" t="n"/>
      <c r="D163" s="9" t="n"/>
      <c r="E163" s="9" t="n"/>
      <c r="F163" s="9" t="n"/>
      <c r="G163" s="9" t="n"/>
    </row>
    <row r="164" ht="14.25" customHeight="1" s="37">
      <c r="A164" s="9" t="n"/>
      <c r="B164" s="9" t="n"/>
      <c r="C164" s="9" t="n"/>
      <c r="D164" s="9" t="n"/>
      <c r="E164" s="9" t="n"/>
      <c r="F164" s="9" t="n"/>
      <c r="G164" s="9" t="n"/>
    </row>
    <row r="165" ht="14.25" customHeight="1" s="37">
      <c r="A165" s="9" t="n"/>
      <c r="B165" s="9" t="n"/>
      <c r="C165" s="9" t="n"/>
      <c r="D165" s="9" t="n"/>
      <c r="E165" s="9" t="n"/>
      <c r="F165" s="9" t="n"/>
      <c r="G165" s="9" t="n"/>
    </row>
    <row r="166" ht="14.25" customHeight="1" s="37">
      <c r="A166" s="9" t="n"/>
      <c r="B166" s="9" t="n"/>
      <c r="C166" s="9" t="n"/>
      <c r="D166" s="9" t="n"/>
      <c r="E166" s="9" t="n"/>
      <c r="F166" s="9" t="n"/>
      <c r="G166" s="9" t="n"/>
    </row>
    <row r="167" ht="14.25" customHeight="1" s="37">
      <c r="A167" s="9" t="n"/>
      <c r="B167" s="9" t="n"/>
      <c r="C167" s="9" t="n"/>
      <c r="D167" s="9" t="n"/>
      <c r="E167" s="9" t="n"/>
      <c r="F167" s="9" t="n"/>
      <c r="G167" s="9" t="n"/>
    </row>
    <row r="168" ht="14.25" customHeight="1" s="37">
      <c r="A168" s="9" t="n"/>
      <c r="B168" s="9" t="n"/>
      <c r="C168" s="9" t="n"/>
      <c r="D168" s="9" t="n"/>
      <c r="E168" s="9" t="n"/>
      <c r="F168" s="9" t="n"/>
      <c r="G168" s="9" t="n"/>
    </row>
    <row r="169" ht="14.25" customHeight="1" s="37">
      <c r="A169" s="9" t="n"/>
      <c r="B169" s="9" t="n"/>
      <c r="C169" s="9" t="n"/>
      <c r="D169" s="9" t="n"/>
      <c r="E169" s="9" t="n"/>
      <c r="F169" s="9" t="n"/>
      <c r="G169" s="9" t="n"/>
    </row>
    <row r="170" ht="14.25" customHeight="1" s="37">
      <c r="A170" s="9" t="n"/>
      <c r="B170" s="9" t="n"/>
      <c r="C170" s="9" t="n"/>
      <c r="D170" s="9" t="n"/>
      <c r="E170" s="9" t="n"/>
      <c r="F170" s="9" t="n"/>
      <c r="G170" s="9" t="n"/>
    </row>
    <row r="171" ht="14.25" customHeight="1" s="37">
      <c r="A171" s="9" t="n"/>
      <c r="B171" s="9" t="n"/>
      <c r="C171" s="9" t="n"/>
      <c r="D171" s="9" t="n"/>
      <c r="E171" s="9" t="n"/>
      <c r="F171" s="9" t="n"/>
      <c r="G171" s="9" t="n"/>
    </row>
    <row r="172" ht="14.25" customHeight="1" s="37">
      <c r="A172" s="9" t="n"/>
      <c r="B172" s="9" t="n"/>
      <c r="C172" s="9" t="n"/>
      <c r="D172" s="9" t="n"/>
      <c r="E172" s="9" t="n"/>
      <c r="F172" s="9" t="n"/>
      <c r="G172" s="9" t="n"/>
    </row>
    <row r="173" ht="14.25" customHeight="1" s="37">
      <c r="A173" s="9" t="n"/>
      <c r="B173" s="9" t="n"/>
      <c r="C173" s="9" t="n"/>
      <c r="D173" s="9" t="n"/>
      <c r="E173" s="9" t="n"/>
      <c r="F173" s="9" t="n"/>
      <c r="G173" s="9" t="n"/>
    </row>
    <row r="174" ht="14.25" customHeight="1" s="37">
      <c r="A174" s="9" t="n"/>
      <c r="B174" s="9" t="n"/>
      <c r="C174" s="9" t="n"/>
      <c r="D174" s="9" t="n"/>
      <c r="E174" s="9" t="n"/>
      <c r="F174" s="9" t="n"/>
      <c r="G174" s="9" t="n"/>
    </row>
    <row r="175" ht="14.25" customHeight="1" s="37">
      <c r="A175" s="9" t="n"/>
      <c r="B175" s="9" t="n"/>
      <c r="C175" s="9" t="n"/>
      <c r="D175" s="9" t="n"/>
      <c r="E175" s="9" t="n"/>
      <c r="F175" s="9" t="n"/>
      <c r="G175" s="9" t="n"/>
    </row>
    <row r="176" ht="14.25" customHeight="1" s="37">
      <c r="A176" s="9" t="n"/>
      <c r="B176" s="9" t="n"/>
      <c r="C176" s="9" t="n"/>
      <c r="D176" s="9" t="n"/>
      <c r="E176" s="9" t="n"/>
      <c r="F176" s="9" t="n"/>
      <c r="G176" s="9" t="n"/>
    </row>
    <row r="177" ht="14.25" customHeight="1" s="37">
      <c r="A177" s="9" t="n"/>
      <c r="B177" s="9" t="n"/>
      <c r="C177" s="9" t="n"/>
      <c r="D177" s="9" t="n"/>
      <c r="E177" s="9" t="n"/>
      <c r="F177" s="9" t="n"/>
      <c r="G177" s="9" t="n"/>
    </row>
    <row r="178" ht="14.25" customHeight="1" s="37">
      <c r="A178" s="9" t="n"/>
      <c r="B178" s="9" t="n"/>
      <c r="C178" s="9" t="n"/>
      <c r="D178" s="9" t="n"/>
      <c r="E178" s="9" t="n"/>
      <c r="F178" s="9" t="n"/>
      <c r="G178" s="9" t="n"/>
    </row>
    <row r="179" ht="14.25" customHeight="1" s="37">
      <c r="A179" s="9" t="n"/>
      <c r="B179" s="9" t="n"/>
      <c r="C179" s="9" t="n"/>
      <c r="D179" s="9" t="n"/>
      <c r="E179" s="9" t="n"/>
      <c r="F179" s="9" t="n"/>
      <c r="G179" s="9" t="n"/>
    </row>
    <row r="180" ht="14.25" customHeight="1" s="37">
      <c r="A180" s="9" t="n"/>
      <c r="B180" s="9" t="n"/>
      <c r="C180" s="9" t="n"/>
      <c r="D180" s="9" t="n"/>
      <c r="E180" s="9" t="n"/>
      <c r="F180" s="9" t="n"/>
      <c r="G180" s="9" t="n"/>
    </row>
    <row r="181" ht="14.25" customHeight="1" s="37">
      <c r="A181" s="9" t="n"/>
      <c r="B181" s="9" t="n"/>
      <c r="C181" s="9" t="n"/>
      <c r="D181" s="9" t="n"/>
      <c r="E181" s="9" t="n"/>
      <c r="F181" s="9" t="n"/>
      <c r="G181" s="9" t="n"/>
    </row>
    <row r="182" ht="14.25" customHeight="1" s="37">
      <c r="A182" s="9" t="n"/>
      <c r="B182" s="9" t="n"/>
      <c r="C182" s="9" t="n"/>
      <c r="D182" s="9" t="n"/>
      <c r="E182" s="9" t="n"/>
      <c r="F182" s="9" t="n"/>
      <c r="G182" s="9" t="n"/>
    </row>
    <row r="183" ht="14.25" customHeight="1" s="37">
      <c r="A183" s="9" t="n"/>
      <c r="B183" s="9" t="n"/>
      <c r="C183" s="9" t="n"/>
      <c r="D183" s="9" t="n"/>
      <c r="E183" s="9" t="n"/>
      <c r="F183" s="9" t="n"/>
      <c r="G183" s="9" t="n"/>
    </row>
    <row r="184" ht="14.25" customHeight="1" s="37">
      <c r="A184" s="9" t="n"/>
      <c r="B184" s="9" t="n"/>
      <c r="C184" s="9" t="n"/>
      <c r="D184" s="9" t="n"/>
      <c r="E184" s="9" t="n"/>
      <c r="F184" s="9" t="n"/>
      <c r="G184" s="9" t="n"/>
    </row>
    <row r="185" ht="14.25" customHeight="1" s="37">
      <c r="A185" s="9" t="n"/>
      <c r="B185" s="9" t="n"/>
      <c r="C185" s="9" t="n"/>
      <c r="D185" s="9" t="n"/>
      <c r="E185" s="9" t="n"/>
      <c r="F185" s="9" t="n"/>
      <c r="G185" s="9" t="n"/>
    </row>
    <row r="186" ht="14.25" customHeight="1" s="37">
      <c r="A186" s="9" t="n"/>
      <c r="B186" s="9" t="n"/>
      <c r="C186" s="9" t="n"/>
      <c r="D186" s="9" t="n"/>
      <c r="E186" s="9" t="n"/>
      <c r="F186" s="9" t="n"/>
      <c r="G186" s="9" t="n"/>
    </row>
    <row r="187" ht="14.25" customHeight="1" s="37">
      <c r="A187" s="9" t="n"/>
      <c r="B187" s="9" t="n"/>
      <c r="C187" s="9" t="n"/>
      <c r="D187" s="9" t="n"/>
      <c r="E187" s="9" t="n"/>
      <c r="F187" s="9" t="n"/>
      <c r="G187" s="9" t="n"/>
    </row>
    <row r="188" ht="14.25" customHeight="1" s="37">
      <c r="A188" s="9" t="n"/>
      <c r="B188" s="9" t="n"/>
      <c r="C188" s="9" t="n"/>
      <c r="D188" s="9" t="n"/>
      <c r="E188" s="9" t="n"/>
      <c r="F188" s="9" t="n"/>
      <c r="G188" s="9" t="n"/>
    </row>
    <row r="189" ht="14.25" customHeight="1" s="37">
      <c r="A189" s="9" t="n"/>
      <c r="B189" s="9" t="n"/>
      <c r="C189" s="9" t="n"/>
      <c r="D189" s="9" t="n"/>
      <c r="E189" s="9" t="n"/>
      <c r="F189" s="9" t="n"/>
      <c r="G189" s="9" t="n"/>
    </row>
    <row r="190" ht="14.25" customHeight="1" s="37">
      <c r="A190" s="9" t="n"/>
      <c r="B190" s="9" t="n"/>
      <c r="C190" s="9" t="n"/>
      <c r="D190" s="9" t="n"/>
      <c r="E190" s="9" t="n"/>
      <c r="F190" s="9" t="n"/>
      <c r="G190" s="9" t="n"/>
    </row>
    <row r="191" ht="14.25" customHeight="1" s="37">
      <c r="A191" s="9" t="n"/>
      <c r="B191" s="9" t="n"/>
      <c r="C191" s="9" t="n"/>
      <c r="D191" s="9" t="n"/>
      <c r="E191" s="9" t="n"/>
      <c r="F191" s="9" t="n"/>
      <c r="G191" s="9" t="n"/>
    </row>
    <row r="192" ht="14.25" customHeight="1" s="37">
      <c r="A192" s="9" t="n"/>
      <c r="B192" s="9" t="n"/>
      <c r="C192" s="9" t="n"/>
      <c r="D192" s="9" t="n"/>
      <c r="E192" s="9" t="n"/>
      <c r="F192" s="9" t="n"/>
      <c r="G192" s="9" t="n"/>
    </row>
    <row r="193" ht="14.25" customHeight="1" s="37">
      <c r="A193" s="9" t="n"/>
      <c r="B193" s="9" t="n"/>
      <c r="C193" s="9" t="n"/>
      <c r="D193" s="9" t="n"/>
      <c r="E193" s="9" t="n"/>
      <c r="F193" s="9" t="n"/>
      <c r="G193" s="9" t="n"/>
    </row>
    <row r="194" ht="14.25" customHeight="1" s="37">
      <c r="A194" s="9" t="n"/>
      <c r="B194" s="9" t="n"/>
      <c r="C194" s="9" t="n"/>
      <c r="D194" s="9" t="n"/>
      <c r="E194" s="9" t="n"/>
      <c r="F194" s="9" t="n"/>
      <c r="G194" s="9" t="n"/>
    </row>
    <row r="195" ht="14.25" customHeight="1" s="37">
      <c r="A195" s="9" t="n"/>
      <c r="B195" s="9" t="n"/>
      <c r="C195" s="9" t="n"/>
      <c r="D195" s="9" t="n"/>
      <c r="E195" s="9" t="n"/>
      <c r="F195" s="9" t="n"/>
      <c r="G195" s="9" t="n"/>
    </row>
    <row r="196" ht="14.25" customHeight="1" s="37">
      <c r="A196" s="9" t="n"/>
      <c r="B196" s="9" t="n"/>
      <c r="C196" s="9" t="n"/>
      <c r="D196" s="9" t="n"/>
      <c r="E196" s="9" t="n"/>
      <c r="F196" s="9" t="n"/>
      <c r="G196" s="9" t="n"/>
    </row>
    <row r="197" ht="14.25" customHeight="1" s="37">
      <c r="A197" s="9" t="n"/>
      <c r="B197" s="9" t="n"/>
      <c r="C197" s="9" t="n"/>
      <c r="D197" s="9" t="n"/>
      <c r="E197" s="9" t="n"/>
      <c r="F197" s="9" t="n"/>
      <c r="G197" s="9" t="n"/>
    </row>
    <row r="198" ht="14.25" customHeight="1" s="37">
      <c r="A198" s="9" t="n"/>
      <c r="B198" s="9" t="n"/>
      <c r="C198" s="9" t="n"/>
      <c r="D198" s="9" t="n"/>
      <c r="E198" s="9" t="n"/>
      <c r="F198" s="9" t="n"/>
      <c r="G198" s="9" t="n"/>
    </row>
    <row r="199" ht="14.25" customHeight="1" s="37">
      <c r="A199" s="9" t="n"/>
      <c r="B199" s="9" t="n"/>
      <c r="C199" s="9" t="n"/>
      <c r="D199" s="9" t="n"/>
      <c r="E199" s="9" t="n"/>
      <c r="F199" s="9" t="n"/>
      <c r="G199" s="9" t="n"/>
    </row>
    <row r="200" ht="14.25" customHeight="1" s="37">
      <c r="A200" s="9" t="n"/>
      <c r="B200" s="9" t="n"/>
      <c r="C200" s="9" t="n"/>
      <c r="D200" s="9" t="n"/>
      <c r="E200" s="9" t="n"/>
      <c r="F200" s="9" t="n"/>
      <c r="G200" s="9" t="n"/>
    </row>
    <row r="201" ht="14.25" customHeight="1" s="37">
      <c r="A201" s="9" t="n"/>
      <c r="B201" s="9" t="n"/>
      <c r="C201" s="9" t="n"/>
      <c r="D201" s="9" t="n"/>
      <c r="E201" s="9" t="n"/>
      <c r="F201" s="9" t="n"/>
      <c r="G201" s="9" t="n"/>
    </row>
    <row r="202" ht="14.25" customHeight="1" s="37">
      <c r="A202" s="9" t="n"/>
      <c r="B202" s="9" t="n"/>
      <c r="C202" s="9" t="n"/>
      <c r="D202" s="9" t="n"/>
      <c r="E202" s="9" t="n"/>
      <c r="F202" s="9" t="n"/>
      <c r="G202" s="9" t="n"/>
    </row>
    <row r="203" ht="14.25" customHeight="1" s="37">
      <c r="A203" s="9" t="n"/>
      <c r="B203" s="9" t="n"/>
      <c r="C203" s="9" t="n"/>
      <c r="D203" s="9" t="n"/>
      <c r="E203" s="9" t="n"/>
      <c r="F203" s="9" t="n"/>
      <c r="G203" s="9" t="n"/>
    </row>
    <row r="204" ht="14.25" customHeight="1" s="37">
      <c r="A204" s="9" t="n"/>
      <c r="B204" s="9" t="n"/>
      <c r="C204" s="9" t="n"/>
      <c r="D204" s="9" t="n"/>
      <c r="E204" s="9" t="n"/>
      <c r="F204" s="9" t="n"/>
      <c r="G204" s="9" t="n"/>
    </row>
    <row r="205" ht="14.25" customHeight="1" s="37">
      <c r="A205" s="9" t="n"/>
      <c r="B205" s="9" t="n"/>
      <c r="C205" s="9" t="n"/>
      <c r="D205" s="9" t="n"/>
      <c r="E205" s="9" t="n"/>
      <c r="F205" s="9" t="n"/>
      <c r="G205" s="9" t="n"/>
    </row>
    <row r="206" ht="14.25" customHeight="1" s="37">
      <c r="A206" s="9" t="n"/>
      <c r="B206" s="9" t="n"/>
      <c r="C206" s="9" t="n"/>
      <c r="D206" s="9" t="n"/>
      <c r="E206" s="9" t="n"/>
      <c r="F206" s="9" t="n"/>
      <c r="G206" s="9" t="n"/>
    </row>
    <row r="207" ht="14.25" customHeight="1" s="37">
      <c r="A207" s="9" t="n"/>
      <c r="B207" s="9" t="n"/>
      <c r="C207" s="9" t="n"/>
      <c r="D207" s="9" t="n"/>
      <c r="E207" s="9" t="n"/>
      <c r="F207" s="9" t="n"/>
      <c r="G207" s="9" t="n"/>
    </row>
    <row r="208" ht="14.25" customHeight="1" s="37">
      <c r="A208" s="9" t="n"/>
      <c r="B208" s="9" t="n"/>
      <c r="C208" s="9" t="n"/>
      <c r="D208" s="9" t="n"/>
      <c r="E208" s="9" t="n"/>
      <c r="F208" s="9" t="n"/>
      <c r="G208" s="9" t="n"/>
    </row>
    <row r="209" ht="14.25" customHeight="1" s="37">
      <c r="A209" s="9" t="n"/>
      <c r="B209" s="9" t="n"/>
      <c r="C209" s="9" t="n"/>
      <c r="D209" s="9" t="n"/>
      <c r="E209" s="9" t="n"/>
      <c r="F209" s="9" t="n"/>
      <c r="G209" s="9" t="n"/>
    </row>
    <row r="210" ht="14.25" customHeight="1" s="37">
      <c r="A210" s="9" t="n"/>
      <c r="B210" s="9" t="n"/>
      <c r="C210" s="9" t="n"/>
      <c r="D210" s="9" t="n"/>
      <c r="E210" s="9" t="n"/>
      <c r="F210" s="9" t="n"/>
      <c r="G210" s="9" t="n"/>
    </row>
    <row r="211" ht="14.25" customHeight="1" s="37">
      <c r="A211" s="9" t="n"/>
      <c r="B211" s="9" t="n"/>
      <c r="C211" s="9" t="n"/>
      <c r="D211" s="9" t="n"/>
      <c r="E211" s="9" t="n"/>
      <c r="F211" s="9" t="n"/>
      <c r="G211" s="9" t="n"/>
    </row>
    <row r="212" ht="14.25" customHeight="1" s="37">
      <c r="A212" s="9" t="n"/>
      <c r="B212" s="9" t="n"/>
      <c r="C212" s="9" t="n"/>
      <c r="D212" s="9" t="n"/>
      <c r="E212" s="9" t="n"/>
      <c r="F212" s="9" t="n"/>
      <c r="G212" s="9" t="n"/>
    </row>
    <row r="213" ht="14.25" customHeight="1" s="37">
      <c r="A213" s="9" t="n"/>
      <c r="B213" s="9" t="n"/>
      <c r="C213" s="9" t="n"/>
      <c r="D213" s="9" t="n"/>
      <c r="E213" s="9" t="n"/>
      <c r="F213" s="9" t="n"/>
      <c r="G213" s="9" t="n"/>
    </row>
    <row r="214" ht="14.25" customHeight="1" s="37">
      <c r="A214" s="9" t="n"/>
      <c r="B214" s="9" t="n"/>
      <c r="C214" s="9" t="n"/>
      <c r="D214" s="9" t="n"/>
      <c r="E214" s="9" t="n"/>
      <c r="F214" s="9" t="n"/>
      <c r="G214" s="9" t="n"/>
    </row>
    <row r="215" ht="14.25" customHeight="1" s="37">
      <c r="A215" s="9" t="n"/>
      <c r="B215" s="9" t="n"/>
      <c r="C215" s="9" t="n"/>
      <c r="D215" s="9" t="n"/>
      <c r="E215" s="9" t="n"/>
      <c r="F215" s="9" t="n"/>
      <c r="G215" s="9" t="n"/>
    </row>
    <row r="216" ht="14.25" customHeight="1" s="37">
      <c r="A216" s="9" t="n"/>
      <c r="B216" s="9" t="n"/>
      <c r="C216" s="9" t="n"/>
      <c r="D216" s="9" t="n"/>
      <c r="E216" s="9" t="n"/>
      <c r="F216" s="9" t="n"/>
      <c r="G216" s="9" t="n"/>
    </row>
    <row r="217" ht="14.25" customHeight="1" s="37">
      <c r="A217" s="9" t="n"/>
      <c r="B217" s="9" t="n"/>
      <c r="C217" s="9" t="n"/>
      <c r="D217" s="9" t="n"/>
      <c r="E217" s="9" t="n"/>
      <c r="F217" s="9" t="n"/>
      <c r="G217" s="9" t="n"/>
    </row>
    <row r="218" ht="14.25" customHeight="1" s="37">
      <c r="A218" s="9" t="n"/>
      <c r="B218" s="9" t="n"/>
      <c r="C218" s="9" t="n"/>
      <c r="D218" s="9" t="n"/>
      <c r="E218" s="9" t="n"/>
      <c r="F218" s="9" t="n"/>
      <c r="G218" s="9" t="n"/>
    </row>
    <row r="219" ht="14.25" customHeight="1" s="37">
      <c r="A219" s="9" t="n"/>
      <c r="B219" s="9" t="n"/>
      <c r="C219" s="9" t="n"/>
      <c r="D219" s="9" t="n"/>
      <c r="E219" s="9" t="n"/>
      <c r="F219" s="9" t="n"/>
      <c r="G219" s="9" t="n"/>
    </row>
    <row r="220" ht="14.25" customHeight="1" s="37">
      <c r="A220" s="9" t="n"/>
      <c r="B220" s="9" t="n"/>
      <c r="C220" s="9" t="n"/>
      <c r="D220" s="9" t="n"/>
      <c r="E220" s="9" t="n"/>
      <c r="F220" s="9" t="n"/>
      <c r="G220" s="9" t="n"/>
    </row>
    <row r="221" ht="14.25" customHeight="1" s="37"/>
    <row r="222" ht="14.25" customHeight="1" s="37"/>
    <row r="223" ht="14.25" customHeight="1" s="37"/>
    <row r="224" ht="14.25" customHeight="1" s="37"/>
    <row r="225" ht="14.25" customHeight="1" s="37"/>
    <row r="226" ht="14.25" customHeight="1" s="37"/>
    <row r="227" ht="14.25" customHeight="1" s="37"/>
    <row r="228" ht="14.25" customHeight="1" s="37"/>
    <row r="229" ht="14.25" customHeight="1" s="37"/>
    <row r="230" ht="14.25" customHeight="1" s="37"/>
    <row r="231" ht="14.25" customHeight="1" s="37"/>
    <row r="232" ht="14.25" customHeight="1" s="37"/>
    <row r="233" ht="14.25" customHeight="1" s="37"/>
    <row r="234" ht="14.25" customHeight="1" s="37"/>
    <row r="235" ht="14.25" customHeight="1" s="37"/>
    <row r="236" ht="14.25" customHeight="1" s="37"/>
    <row r="237" ht="14.25" customHeight="1" s="37"/>
    <row r="238" ht="14.25" customHeight="1" s="37"/>
    <row r="239" ht="14.25" customHeight="1" s="37"/>
    <row r="240" ht="14.25" customHeight="1" s="37"/>
    <row r="241" ht="14.25" customHeight="1" s="37"/>
    <row r="242" ht="14.25" customHeight="1" s="37"/>
    <row r="243" ht="14.25" customHeight="1" s="37"/>
    <row r="244" ht="14.25" customHeight="1" s="37"/>
    <row r="245" ht="14.25" customHeight="1" s="37"/>
    <row r="246" ht="14.25" customHeight="1" s="37"/>
    <row r="247" ht="14.25" customHeight="1" s="37"/>
    <row r="248" ht="14.25" customHeight="1" s="37"/>
    <row r="249" ht="14.25" customHeight="1" s="37"/>
    <row r="250" ht="14.25" customHeight="1" s="37"/>
    <row r="251" ht="14.25" customHeight="1" s="37"/>
    <row r="252" ht="14.25" customHeight="1" s="37"/>
    <row r="253" ht="14.25" customHeight="1" s="37"/>
    <row r="254" ht="14.25" customHeight="1" s="37"/>
    <row r="255" ht="14.25" customHeight="1" s="37"/>
    <row r="256" ht="14.25" customHeight="1" s="37"/>
    <row r="257" ht="14.25" customHeight="1" s="37"/>
    <row r="258" ht="14.25" customHeight="1" s="37"/>
    <row r="259" ht="14.25" customHeight="1" s="37"/>
    <row r="260" ht="14.25" customHeight="1" s="37"/>
    <row r="261" ht="14.25" customHeight="1" s="37"/>
    <row r="262" ht="14.25" customHeight="1" s="37"/>
    <row r="263" ht="14.25" customHeight="1" s="37"/>
    <row r="264" ht="14.25" customHeight="1" s="37"/>
    <row r="265" ht="14.25" customHeight="1" s="37"/>
    <row r="266" ht="14.25" customHeight="1" s="37"/>
    <row r="267" ht="14.25" customHeight="1" s="37"/>
    <row r="268" ht="14.25" customHeight="1" s="37"/>
    <row r="269" ht="14.25" customHeight="1" s="37"/>
    <row r="270" ht="14.25" customHeight="1" s="37"/>
    <row r="271" ht="14.25" customHeight="1" s="37"/>
    <row r="272" ht="14.25" customHeight="1" s="37"/>
    <row r="273" ht="14.25" customHeight="1" s="37"/>
    <row r="274" ht="14.25" customHeight="1" s="37"/>
    <row r="275" ht="14.25" customHeight="1" s="37"/>
    <row r="276" ht="14.25" customHeight="1" s="37"/>
    <row r="277" ht="14.25" customHeight="1" s="37"/>
    <row r="278" ht="14.25" customHeight="1" s="37"/>
    <row r="279" ht="14.25" customHeight="1" s="37"/>
    <row r="280" ht="14.25" customHeight="1" s="37"/>
    <row r="281" ht="14.25" customHeight="1" s="37"/>
    <row r="282" ht="14.25" customHeight="1" s="37"/>
    <row r="283" ht="14.25" customHeight="1" s="37"/>
    <row r="284" ht="14.25" customHeight="1" s="37"/>
    <row r="285" ht="14.25" customHeight="1" s="37"/>
    <row r="286" ht="14.25" customHeight="1" s="37"/>
    <row r="287" ht="14.25" customHeight="1" s="37"/>
    <row r="288" ht="14.25" customHeight="1" s="37"/>
    <row r="289" ht="14.25" customHeight="1" s="37"/>
    <row r="290" ht="14.25" customHeight="1" s="37"/>
    <row r="291" ht="14.25" customHeight="1" s="37"/>
    <row r="292" ht="14.25" customHeight="1" s="37"/>
    <row r="293" ht="14.25" customHeight="1" s="37"/>
    <row r="294" ht="14.25" customHeight="1" s="37"/>
    <row r="295" ht="14.25" customHeight="1" s="37"/>
    <row r="296" ht="14.25" customHeight="1" s="37"/>
    <row r="297" ht="14.25" customHeight="1" s="37"/>
    <row r="298" ht="14.25" customHeight="1" s="37"/>
    <row r="299" ht="14.25" customHeight="1" s="37"/>
    <row r="300" ht="14.25" customHeight="1" s="37"/>
    <row r="301" ht="14.25" customHeight="1" s="37"/>
    <row r="302" ht="14.25" customHeight="1" s="37"/>
    <row r="303" ht="14.25" customHeight="1" s="37"/>
    <row r="304" ht="14.25" customHeight="1" s="37"/>
    <row r="305" ht="14.25" customHeight="1" s="37"/>
    <row r="306" ht="14.25" customHeight="1" s="37"/>
    <row r="307" ht="14.25" customHeight="1" s="37"/>
    <row r="308" ht="14.25" customHeight="1" s="37"/>
    <row r="309" ht="14.25" customHeight="1" s="37"/>
    <row r="310" ht="14.25" customHeight="1" s="37"/>
    <row r="311" ht="14.25" customHeight="1" s="37"/>
    <row r="312" ht="14.25" customHeight="1" s="37"/>
    <row r="313" ht="14.25" customHeight="1" s="37"/>
    <row r="314" ht="14.25" customHeight="1" s="37"/>
    <row r="315" ht="14.25" customHeight="1" s="37"/>
    <row r="316" ht="14.25" customHeight="1" s="37"/>
    <row r="317" ht="14.25" customHeight="1" s="37"/>
    <row r="318" ht="14.25" customHeight="1" s="37"/>
    <row r="319" ht="14.25" customHeight="1" s="37"/>
    <row r="320" ht="14.25" customHeight="1" s="37"/>
    <row r="321" ht="14.25" customHeight="1" s="37"/>
    <row r="322" ht="14.25" customHeight="1" s="37"/>
    <row r="323" ht="14.25" customHeight="1" s="37"/>
    <row r="324" ht="14.25" customHeight="1" s="37"/>
    <row r="325" ht="14.25" customHeight="1" s="37"/>
    <row r="326" ht="14.25" customHeight="1" s="37"/>
    <row r="327" ht="14.25" customHeight="1" s="37"/>
    <row r="328" ht="14.25" customHeight="1" s="37"/>
    <row r="329" ht="14.25" customHeight="1" s="37"/>
    <row r="330" ht="14.25" customHeight="1" s="37"/>
    <row r="331" ht="14.25" customHeight="1" s="37"/>
    <row r="332" ht="14.25" customHeight="1" s="37"/>
    <row r="333" ht="14.25" customHeight="1" s="37"/>
    <row r="334" ht="14.25" customHeight="1" s="37"/>
    <row r="335" ht="14.25" customHeight="1" s="37"/>
    <row r="336" ht="14.25" customHeight="1" s="37"/>
    <row r="337" ht="14.25" customHeight="1" s="37"/>
    <row r="338" ht="14.25" customHeight="1" s="37"/>
    <row r="339" ht="14.25" customHeight="1" s="37"/>
    <row r="340" ht="14.25" customHeight="1" s="37"/>
    <row r="341" ht="14.25" customHeight="1" s="37"/>
    <row r="342" ht="14.25" customHeight="1" s="37"/>
    <row r="343" ht="14.25" customHeight="1" s="37"/>
    <row r="344" ht="14.25" customHeight="1" s="37"/>
    <row r="345" ht="14.25" customHeight="1" s="37"/>
    <row r="346" ht="14.25" customHeight="1" s="37"/>
    <row r="347" ht="14.25" customHeight="1" s="37"/>
    <row r="348" ht="14.25" customHeight="1" s="37"/>
    <row r="349" ht="14.25" customHeight="1" s="37"/>
    <row r="350" ht="14.25" customHeight="1" s="37"/>
    <row r="351" ht="14.25" customHeight="1" s="37"/>
    <row r="352" ht="14.25" customHeight="1" s="37"/>
    <row r="353" ht="14.25" customHeight="1" s="37"/>
    <row r="354" ht="14.25" customHeight="1" s="37"/>
    <row r="355" ht="14.25" customHeight="1" s="37"/>
    <row r="356" ht="14.25" customHeight="1" s="37"/>
    <row r="357" ht="14.25" customHeight="1" s="37"/>
    <row r="358" ht="14.25" customHeight="1" s="37"/>
    <row r="359" ht="14.25" customHeight="1" s="37"/>
    <row r="360" ht="14.25" customHeight="1" s="37"/>
    <row r="361" ht="14.25" customHeight="1" s="37"/>
    <row r="362" ht="14.25" customHeight="1" s="37"/>
    <row r="363" ht="14.25" customHeight="1" s="37"/>
    <row r="364" ht="14.25" customHeight="1" s="37"/>
    <row r="365" ht="14.25" customHeight="1" s="37"/>
    <row r="366" ht="14.25" customHeight="1" s="37"/>
    <row r="367" ht="14.25" customHeight="1" s="37"/>
    <row r="368" ht="14.25" customHeight="1" s="37"/>
    <row r="369" ht="14.25" customHeight="1" s="37"/>
    <row r="370" ht="14.25" customHeight="1" s="37"/>
    <row r="371" ht="14.25" customHeight="1" s="37"/>
    <row r="372" ht="14.25" customHeight="1" s="37"/>
    <row r="373" ht="14.25" customHeight="1" s="37"/>
    <row r="374" ht="14.25" customHeight="1" s="37"/>
    <row r="375" ht="14.25" customHeight="1" s="37"/>
    <row r="376" ht="14.25" customHeight="1" s="37"/>
    <row r="377" ht="14.25" customHeight="1" s="37"/>
    <row r="378" ht="14.25" customHeight="1" s="37"/>
    <row r="379" ht="14.25" customHeight="1" s="37"/>
    <row r="380" ht="14.25" customHeight="1" s="37"/>
    <row r="381" ht="14.25" customHeight="1" s="37"/>
    <row r="382" ht="14.25" customHeight="1" s="37"/>
    <row r="383" ht="14.25" customHeight="1" s="37"/>
    <row r="384" ht="14.25" customHeight="1" s="37"/>
    <row r="385" ht="14.25" customHeight="1" s="37"/>
    <row r="386" ht="14.25" customHeight="1" s="37"/>
    <row r="387" ht="14.25" customHeight="1" s="37"/>
    <row r="388" ht="14.25" customHeight="1" s="37"/>
    <row r="389" ht="14.25" customHeight="1" s="37"/>
    <row r="390" ht="14.25" customHeight="1" s="37"/>
    <row r="391" ht="14.25" customHeight="1" s="37"/>
    <row r="392" ht="14.25" customHeight="1" s="37"/>
    <row r="393" ht="14.25" customHeight="1" s="37"/>
    <row r="394" ht="14.25" customHeight="1" s="37"/>
    <row r="395" ht="14.25" customHeight="1" s="37"/>
    <row r="396" ht="14.25" customHeight="1" s="37"/>
    <row r="397" ht="14.25" customHeight="1" s="37"/>
    <row r="398" ht="14.25" customHeight="1" s="37"/>
    <row r="399" ht="14.25" customHeight="1" s="37"/>
    <row r="400" ht="14.25" customHeight="1" s="37"/>
    <row r="401" ht="14.25" customHeight="1" s="37"/>
    <row r="402" ht="14.25" customHeight="1" s="37"/>
    <row r="403" ht="14.25" customHeight="1" s="37"/>
    <row r="404" ht="14.25" customHeight="1" s="37"/>
    <row r="405" ht="14.25" customHeight="1" s="37"/>
    <row r="406" ht="14.25" customHeight="1" s="37"/>
    <row r="407" ht="14.25" customHeight="1" s="37"/>
    <row r="408" ht="14.25" customHeight="1" s="37"/>
    <row r="409" ht="14.25" customHeight="1" s="37"/>
    <row r="410" ht="14.25" customHeight="1" s="37"/>
    <row r="411" ht="14.25" customHeight="1" s="37"/>
    <row r="412" ht="14.25" customHeight="1" s="37"/>
    <row r="413" ht="14.25" customHeight="1" s="37"/>
    <row r="414" ht="14.25" customHeight="1" s="37"/>
    <row r="415" ht="14.25" customHeight="1" s="37"/>
    <row r="416" ht="14.25" customHeight="1" s="37"/>
    <row r="417" ht="14.25" customHeight="1" s="37"/>
    <row r="418" ht="14.25" customHeight="1" s="37"/>
    <row r="419" ht="14.25" customHeight="1" s="37"/>
    <row r="420" ht="14.25" customHeight="1" s="37"/>
    <row r="421" ht="14.25" customHeight="1" s="37"/>
    <row r="422" ht="14.25" customHeight="1" s="37"/>
    <row r="423" ht="14.25" customHeight="1" s="37"/>
    <row r="424" ht="14.25" customHeight="1" s="37"/>
    <row r="425" ht="14.25" customHeight="1" s="37"/>
    <row r="426" ht="14.25" customHeight="1" s="37"/>
    <row r="427" ht="14.25" customHeight="1" s="37"/>
    <row r="428" ht="14.25" customHeight="1" s="37"/>
    <row r="429" ht="14.25" customHeight="1" s="37"/>
    <row r="430" ht="14.25" customHeight="1" s="37"/>
    <row r="431" ht="14.25" customHeight="1" s="37"/>
    <row r="432" ht="14.25" customHeight="1" s="37"/>
    <row r="433" ht="14.25" customHeight="1" s="37"/>
    <row r="434" ht="14.25" customHeight="1" s="37"/>
    <row r="435" ht="14.25" customHeight="1" s="37"/>
    <row r="436" ht="14.25" customHeight="1" s="37"/>
    <row r="437" ht="14.25" customHeight="1" s="37"/>
    <row r="438" ht="14.25" customHeight="1" s="37"/>
    <row r="439" ht="14.25" customHeight="1" s="37"/>
    <row r="440" ht="14.25" customHeight="1" s="37"/>
    <row r="441" ht="14.25" customHeight="1" s="37"/>
    <row r="442" ht="14.25" customHeight="1" s="37"/>
    <row r="443" ht="14.25" customHeight="1" s="37"/>
    <row r="444" ht="14.25" customHeight="1" s="37"/>
    <row r="445" ht="14.25" customHeight="1" s="37"/>
    <row r="446" ht="14.25" customHeight="1" s="37"/>
    <row r="447" ht="14.25" customHeight="1" s="37"/>
    <row r="448" ht="14.25" customHeight="1" s="37"/>
    <row r="449" ht="14.25" customHeight="1" s="37"/>
    <row r="450" ht="14.25" customHeight="1" s="37"/>
    <row r="451" ht="14.25" customHeight="1" s="37"/>
    <row r="452" ht="14.25" customHeight="1" s="37"/>
    <row r="453" ht="14.25" customHeight="1" s="37"/>
    <row r="454" ht="14.25" customHeight="1" s="37"/>
    <row r="455" ht="14.25" customHeight="1" s="37"/>
    <row r="456" ht="14.25" customHeight="1" s="37"/>
    <row r="457" ht="14.25" customHeight="1" s="37"/>
    <row r="458" ht="14.25" customHeight="1" s="37"/>
    <row r="459" ht="14.25" customHeight="1" s="37"/>
    <row r="460" ht="14.25" customHeight="1" s="37"/>
    <row r="461" ht="14.25" customHeight="1" s="37"/>
    <row r="462" ht="14.25" customHeight="1" s="37"/>
    <row r="463" ht="14.25" customHeight="1" s="37"/>
    <row r="464" ht="14.25" customHeight="1" s="37"/>
    <row r="465" ht="14.25" customHeight="1" s="37"/>
    <row r="466" ht="14.25" customHeight="1" s="37"/>
    <row r="467" ht="14.25" customHeight="1" s="37"/>
    <row r="468" ht="14.25" customHeight="1" s="37"/>
    <row r="469" ht="14.25" customHeight="1" s="37"/>
    <row r="470" ht="14.25" customHeight="1" s="37"/>
    <row r="471" ht="14.25" customHeight="1" s="37"/>
    <row r="472" ht="14.25" customHeight="1" s="37"/>
    <row r="473" ht="14.25" customHeight="1" s="37"/>
    <row r="474" ht="14.25" customHeight="1" s="37"/>
    <row r="475" ht="14.25" customHeight="1" s="37"/>
    <row r="476" ht="14.25" customHeight="1" s="37"/>
    <row r="477" ht="14.25" customHeight="1" s="37"/>
    <row r="478" ht="14.25" customHeight="1" s="37"/>
    <row r="479" ht="14.25" customHeight="1" s="37"/>
    <row r="480" ht="14.25" customHeight="1" s="37"/>
    <row r="481" ht="14.25" customHeight="1" s="37"/>
    <row r="482" ht="14.25" customHeight="1" s="37"/>
    <row r="483" ht="14.25" customHeight="1" s="37"/>
    <row r="484" ht="14.25" customHeight="1" s="37"/>
    <row r="485" ht="14.25" customHeight="1" s="37"/>
    <row r="486" ht="14.25" customHeight="1" s="37"/>
    <row r="487" ht="14.25" customHeight="1" s="37"/>
    <row r="488" ht="14.25" customHeight="1" s="37"/>
    <row r="489" ht="14.25" customHeight="1" s="37"/>
    <row r="490" ht="14.25" customHeight="1" s="37"/>
    <row r="491" ht="14.25" customHeight="1" s="37"/>
    <row r="492" ht="14.25" customHeight="1" s="37"/>
    <row r="493" ht="14.25" customHeight="1" s="37"/>
    <row r="494" ht="14.25" customHeight="1" s="37"/>
    <row r="495" ht="14.25" customHeight="1" s="37"/>
    <row r="496" ht="14.25" customHeight="1" s="37"/>
    <row r="497" ht="14.25" customHeight="1" s="37"/>
    <row r="498" ht="14.25" customHeight="1" s="37"/>
    <row r="499" ht="14.25" customHeight="1" s="37"/>
    <row r="500" ht="14.25" customHeight="1" s="37"/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  <row r="1001" ht="14.25" customHeight="1" s="37"/>
  </sheetData>
  <autoFilter ref="$A$1:$G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30" customWidth="1" style="37" min="2" max="2"/>
    <col width="22" customWidth="1" style="37" min="3" max="3"/>
    <col width="20" customWidth="1" style="37" min="4" max="4"/>
    <col width="28" customWidth="1" style="37" min="5" max="5"/>
    <col width="30" customWidth="1" style="37" min="6" max="6"/>
    <col width="9" customWidth="1" style="37" min="7" max="26"/>
  </cols>
  <sheetData>
    <row r="1" ht="14.25" customHeight="1" s="37">
      <c r="A1" s="7" t="inlineStr">
        <is>
          <t>ID KK</t>
        </is>
      </c>
      <c r="B1" s="7" t="inlineStr">
        <is>
          <t>Nama Pasangan</t>
        </is>
      </c>
      <c r="C1" s="7" t="inlineStr">
        <is>
          <t>Lingkungan</t>
        </is>
      </c>
      <c r="D1" s="7" t="inlineStr">
        <is>
          <t>Tanggal Perkawinan</t>
        </is>
      </c>
      <c r="E1" s="7" t="inlineStr">
        <is>
          <t>Agama Pasangan</t>
        </is>
      </c>
      <c r="F1" s="7" t="inlineStr">
        <is>
          <t>Keterangan</t>
        </is>
      </c>
    </row>
    <row r="2" ht="14.25" customHeight="1" s="37">
      <c r="A2" s="38" t="inlineStr">
        <is>
          <t>KK0001</t>
        </is>
      </c>
      <c r="B2" s="9" t="n"/>
      <c r="C2" s="9" t="inlineStr">
        <is>
          <t>St. Maria Immacula</t>
        </is>
      </c>
      <c r="D2" s="9" t="n"/>
      <c r="E2" s="9" t="n"/>
      <c r="F2" s="9" t="n"/>
    </row>
    <row r="3" ht="14.25" customHeight="1" s="37">
      <c r="A3" s="38" t="inlineStr">
        <is>
          <t>KK0002</t>
        </is>
      </c>
      <c r="B3" s="9" t="n"/>
      <c r="C3" s="9" t="inlineStr">
        <is>
          <t>St. Maria Immacula</t>
        </is>
      </c>
      <c r="D3" s="9" t="n"/>
      <c r="E3" s="9" t="n"/>
      <c r="F3" s="9" t="n"/>
    </row>
    <row r="4" ht="14.25" customHeight="1" s="37">
      <c r="A4" s="38" t="inlineStr">
        <is>
          <t>KK0003</t>
        </is>
      </c>
      <c r="B4" s="9" t="n"/>
      <c r="C4" s="9" t="inlineStr">
        <is>
          <t>St. Maria Immacula</t>
        </is>
      </c>
      <c r="D4" s="9" t="n"/>
      <c r="E4" s="9" t="n"/>
      <c r="F4" s="9" t="n"/>
    </row>
    <row r="5" ht="14.25" customHeight="1" s="37">
      <c r="A5" s="38" t="inlineStr">
        <is>
          <t>KK0004</t>
        </is>
      </c>
      <c r="B5" s="9" t="n"/>
      <c r="C5" s="9" t="inlineStr">
        <is>
          <t>St. Maria Immacula</t>
        </is>
      </c>
      <c r="D5" s="9" t="n"/>
      <c r="E5" s="9" t="n"/>
      <c r="F5" s="9" t="n"/>
    </row>
    <row r="6" ht="14.25" customHeight="1" s="37">
      <c r="A6" s="38" t="inlineStr">
        <is>
          <t>KK0005</t>
        </is>
      </c>
      <c r="B6" s="9" t="n"/>
      <c r="C6" s="9" t="inlineStr">
        <is>
          <t>St. Maria Immacula</t>
        </is>
      </c>
      <c r="D6" s="9" t="n"/>
      <c r="E6" s="9" t="n"/>
      <c r="F6" s="9" t="n"/>
    </row>
    <row r="7" ht="14.25" customHeight="1" s="37">
      <c r="A7" s="38" t="inlineStr">
        <is>
          <t>KK0006</t>
        </is>
      </c>
      <c r="B7" s="9" t="n"/>
      <c r="C7" s="9" t="inlineStr">
        <is>
          <t>St. Maria Immacula</t>
        </is>
      </c>
      <c r="D7" s="9" t="n"/>
      <c r="E7" s="9" t="n"/>
      <c r="F7" s="9" t="n"/>
    </row>
    <row r="8" ht="14.25" customHeight="1" s="37">
      <c r="A8" s="38" t="inlineStr">
        <is>
          <t>KK0007</t>
        </is>
      </c>
      <c r="B8" s="9" t="n"/>
      <c r="C8" s="9" t="inlineStr">
        <is>
          <t>St. Maria Immacula</t>
        </is>
      </c>
      <c r="D8" s="9" t="n"/>
      <c r="E8" s="9" t="n"/>
      <c r="F8" s="9" t="n"/>
    </row>
    <row r="9" ht="14.25" customHeight="1" s="37">
      <c r="A9" s="38" t="inlineStr">
        <is>
          <t>KK0008</t>
        </is>
      </c>
      <c r="B9" s="9" t="n"/>
      <c r="C9" s="9" t="inlineStr">
        <is>
          <t>St. Maria Immacula</t>
        </is>
      </c>
      <c r="D9" s="9" t="n"/>
      <c r="E9" s="9" t="n"/>
      <c r="F9" s="9" t="n"/>
    </row>
    <row r="10" ht="14.25" customHeight="1" s="37">
      <c r="A10" s="38" t="inlineStr">
        <is>
          <t>KK0009</t>
        </is>
      </c>
      <c r="B10" s="9" t="n"/>
      <c r="C10" s="9" t="inlineStr">
        <is>
          <t>St. Maria Immacula</t>
        </is>
      </c>
      <c r="D10" s="9" t="n"/>
      <c r="E10" s="9" t="n"/>
      <c r="F10" s="9" t="n"/>
    </row>
    <row r="11" ht="14.25" customHeight="1" s="37">
      <c r="A11" s="38" t="inlineStr">
        <is>
          <t>KK0010</t>
        </is>
      </c>
      <c r="B11" s="9" t="n"/>
      <c r="C11" s="9" t="inlineStr">
        <is>
          <t>St. Maria Immacula</t>
        </is>
      </c>
      <c r="D11" s="9" t="n"/>
      <c r="E11" s="9" t="n"/>
      <c r="F11" s="9" t="n"/>
    </row>
    <row r="12" ht="14.25" customHeight="1" s="37">
      <c r="A12" s="38" t="inlineStr">
        <is>
          <t>KK0011</t>
        </is>
      </c>
      <c r="B12" s="9" t="n"/>
      <c r="C12" s="9" t="inlineStr">
        <is>
          <t>St. Maria Immacula</t>
        </is>
      </c>
      <c r="D12" s="9" t="n"/>
      <c r="E12" s="9" t="n"/>
      <c r="F12" s="9" t="n"/>
    </row>
    <row r="13" ht="14.25" customHeight="1" s="37">
      <c r="A13" s="38" t="inlineStr">
        <is>
          <t>KK0012</t>
        </is>
      </c>
      <c r="B13" s="9" t="n"/>
      <c r="C13" s="9" t="inlineStr">
        <is>
          <t>St. Maria Immacula</t>
        </is>
      </c>
      <c r="D13" s="9" t="n"/>
      <c r="E13" s="9" t="n"/>
      <c r="F13" s="9" t="n"/>
    </row>
    <row r="14" ht="14.25" customHeight="1" s="37">
      <c r="A14" s="9" t="n"/>
      <c r="B14" s="9" t="n"/>
      <c r="C14" s="9" t="n"/>
      <c r="D14" s="9" t="n"/>
      <c r="E14" s="9" t="n"/>
      <c r="F14" s="9" t="n"/>
    </row>
    <row r="15" ht="14.25" customHeight="1" s="37">
      <c r="A15" s="9" t="n"/>
      <c r="B15" s="9" t="n"/>
      <c r="C15" s="9" t="n"/>
      <c r="D15" s="9" t="n"/>
      <c r="E15" s="9" t="n"/>
      <c r="F15" s="9" t="n"/>
    </row>
    <row r="16" ht="14.25" customHeight="1" s="37">
      <c r="A16" s="9" t="n"/>
      <c r="B16" s="9" t="n"/>
      <c r="C16" s="9" t="n"/>
      <c r="D16" s="9" t="n"/>
      <c r="E16" s="9" t="n"/>
      <c r="F16" s="9" t="n"/>
    </row>
    <row r="17" ht="14.25" customHeight="1" s="37">
      <c r="A17" s="9" t="n"/>
      <c r="B17" s="9" t="n"/>
      <c r="C17" s="9" t="n"/>
      <c r="D17" s="9" t="n"/>
      <c r="E17" s="9" t="n"/>
      <c r="F17" s="9" t="n"/>
    </row>
    <row r="18" ht="14.25" customHeight="1" s="37">
      <c r="A18" s="9" t="n"/>
      <c r="B18" s="9" t="n"/>
      <c r="C18" s="9" t="n"/>
      <c r="D18" s="9" t="n"/>
      <c r="E18" s="9" t="n"/>
      <c r="F18" s="9" t="n"/>
    </row>
    <row r="19" ht="14.25" customHeight="1" s="37">
      <c r="A19" s="9" t="n"/>
      <c r="B19" s="9" t="n"/>
      <c r="C19" s="9" t="n"/>
      <c r="D19" s="9" t="n"/>
      <c r="E19" s="9" t="n"/>
      <c r="F19" s="9" t="n"/>
    </row>
    <row r="20" ht="14.25" customHeight="1" s="37">
      <c r="A20" s="9" t="n"/>
      <c r="B20" s="9" t="n"/>
      <c r="C20" s="9" t="n"/>
      <c r="D20" s="9" t="n"/>
      <c r="E20" s="9" t="n"/>
      <c r="F20" s="9" t="n"/>
    </row>
    <row r="21" ht="14.25" customHeight="1" s="37">
      <c r="A21" s="9" t="n"/>
      <c r="B21" s="9" t="n"/>
      <c r="C21" s="9" t="n"/>
      <c r="D21" s="9" t="n"/>
      <c r="E21" s="9" t="n"/>
      <c r="F21" s="9" t="n"/>
    </row>
    <row r="22" ht="14.25" customHeight="1" s="37">
      <c r="A22" s="9" t="n"/>
      <c r="B22" s="9" t="n"/>
      <c r="C22" s="9" t="n"/>
      <c r="D22" s="9" t="n"/>
      <c r="E22" s="9" t="n"/>
      <c r="F22" s="9" t="n"/>
    </row>
    <row r="23" ht="14.25" customHeight="1" s="37">
      <c r="A23" s="9" t="n"/>
      <c r="B23" s="9" t="n"/>
      <c r="C23" s="9" t="n"/>
      <c r="D23" s="9" t="n"/>
      <c r="E23" s="9" t="n"/>
      <c r="F23" s="9" t="n"/>
    </row>
    <row r="24" ht="14.25" customHeight="1" s="37">
      <c r="A24" s="9" t="n"/>
      <c r="B24" s="9" t="n"/>
      <c r="C24" s="9" t="n"/>
      <c r="D24" s="9" t="n"/>
      <c r="E24" s="9" t="n"/>
      <c r="F24" s="9" t="n"/>
    </row>
    <row r="25" ht="14.25" customHeight="1" s="37">
      <c r="A25" s="9" t="n"/>
      <c r="B25" s="9" t="n"/>
      <c r="C25" s="9" t="n"/>
      <c r="D25" s="9" t="n"/>
      <c r="E25" s="9" t="n"/>
      <c r="F25" s="9" t="n"/>
    </row>
    <row r="26" ht="14.25" customHeight="1" s="37">
      <c r="A26" s="9" t="n"/>
      <c r="B26" s="9" t="n"/>
      <c r="C26" s="9" t="n"/>
      <c r="D26" s="9" t="n"/>
      <c r="E26" s="9" t="n"/>
      <c r="F26" s="9" t="n"/>
    </row>
    <row r="27" ht="14.25" customHeight="1" s="37">
      <c r="A27" s="9" t="n"/>
      <c r="B27" s="9" t="n"/>
      <c r="C27" s="9" t="n"/>
      <c r="D27" s="9" t="n"/>
      <c r="E27" s="9" t="n"/>
      <c r="F27" s="9" t="n"/>
    </row>
    <row r="28" ht="14.25" customHeight="1" s="37">
      <c r="A28" s="9" t="n"/>
      <c r="B28" s="9" t="n"/>
      <c r="C28" s="9" t="n"/>
      <c r="D28" s="9" t="n"/>
      <c r="E28" s="9" t="n"/>
      <c r="F28" s="9" t="n"/>
    </row>
    <row r="29" ht="14.25" customHeight="1" s="37">
      <c r="A29" s="9" t="n"/>
      <c r="B29" s="9" t="n"/>
      <c r="C29" s="9" t="n"/>
      <c r="D29" s="9" t="n"/>
      <c r="E29" s="9" t="n"/>
      <c r="F29" s="9" t="n"/>
    </row>
    <row r="30" ht="14.25" customHeight="1" s="37">
      <c r="A30" s="9" t="n"/>
      <c r="B30" s="9" t="n"/>
      <c r="C30" s="9" t="n"/>
      <c r="D30" s="9" t="n"/>
      <c r="E30" s="9" t="n"/>
      <c r="F30" s="9" t="n"/>
    </row>
    <row r="31" ht="14.25" customHeight="1" s="37">
      <c r="A31" s="9" t="n"/>
      <c r="B31" s="9" t="n"/>
      <c r="C31" s="9" t="n"/>
      <c r="D31" s="9" t="n"/>
      <c r="E31" s="9" t="n"/>
      <c r="F31" s="9" t="n"/>
    </row>
    <row r="32" ht="14.25" customHeight="1" s="37">
      <c r="A32" s="9" t="n"/>
      <c r="B32" s="9" t="n"/>
      <c r="C32" s="9" t="n"/>
      <c r="D32" s="9" t="n"/>
      <c r="E32" s="9" t="n"/>
      <c r="F32" s="9" t="n"/>
    </row>
    <row r="33" ht="14.25" customHeight="1" s="37">
      <c r="A33" s="9" t="n"/>
      <c r="B33" s="9" t="n"/>
      <c r="C33" s="9" t="n"/>
      <c r="D33" s="9" t="n"/>
      <c r="E33" s="9" t="n"/>
      <c r="F33" s="9" t="n"/>
    </row>
    <row r="34" ht="14.25" customHeight="1" s="37">
      <c r="A34" s="9" t="n"/>
      <c r="B34" s="9" t="n"/>
      <c r="C34" s="9" t="n"/>
      <c r="D34" s="9" t="n"/>
      <c r="E34" s="9" t="n"/>
      <c r="F34" s="9" t="n"/>
    </row>
    <row r="35" ht="14.25" customHeight="1" s="37">
      <c r="A35" s="9" t="n"/>
      <c r="B35" s="9" t="n"/>
      <c r="C35" s="9" t="n"/>
      <c r="D35" s="9" t="n"/>
      <c r="E35" s="9" t="n"/>
      <c r="F35" s="9" t="n"/>
    </row>
    <row r="36" ht="14.25" customHeight="1" s="37">
      <c r="A36" s="9" t="n"/>
      <c r="B36" s="9" t="n"/>
      <c r="C36" s="9" t="n"/>
      <c r="D36" s="9" t="n"/>
      <c r="E36" s="9" t="n"/>
      <c r="F36" s="9" t="n"/>
    </row>
    <row r="37" ht="14.25" customHeight="1" s="37">
      <c r="A37" s="9" t="n"/>
      <c r="B37" s="9" t="n"/>
      <c r="C37" s="9" t="n"/>
      <c r="D37" s="9" t="n"/>
      <c r="E37" s="9" t="n"/>
      <c r="F37" s="9" t="n"/>
    </row>
    <row r="38" ht="14.25" customHeight="1" s="37">
      <c r="A38" s="9" t="n"/>
      <c r="B38" s="9" t="n"/>
      <c r="C38" s="9" t="n"/>
      <c r="D38" s="9" t="n"/>
      <c r="E38" s="9" t="n"/>
      <c r="F38" s="9" t="n"/>
    </row>
    <row r="39" ht="14.25" customHeight="1" s="37">
      <c r="A39" s="9" t="n"/>
      <c r="B39" s="9" t="n"/>
      <c r="C39" s="9" t="n"/>
      <c r="D39" s="9" t="n"/>
      <c r="E39" s="9" t="n"/>
      <c r="F39" s="9" t="n"/>
    </row>
    <row r="40" ht="14.25" customHeight="1" s="37">
      <c r="A40" s="9" t="n"/>
      <c r="B40" s="9" t="n"/>
      <c r="C40" s="9" t="n"/>
      <c r="D40" s="9" t="n"/>
      <c r="E40" s="9" t="n"/>
      <c r="F40" s="9" t="n"/>
    </row>
    <row r="41" ht="14.25" customHeight="1" s="37">
      <c r="A41" s="9" t="n"/>
      <c r="B41" s="9" t="n"/>
      <c r="C41" s="9" t="n"/>
      <c r="D41" s="9" t="n"/>
      <c r="E41" s="9" t="n"/>
      <c r="F41" s="9" t="n"/>
    </row>
    <row r="42" ht="14.25" customHeight="1" s="37">
      <c r="A42" s="9" t="n"/>
      <c r="B42" s="9" t="n"/>
      <c r="C42" s="9" t="n"/>
      <c r="D42" s="9" t="n"/>
      <c r="E42" s="9" t="n"/>
      <c r="F42" s="9" t="n"/>
    </row>
    <row r="43" ht="14.25" customHeight="1" s="37">
      <c r="A43" s="9" t="n"/>
      <c r="B43" s="9" t="n"/>
      <c r="C43" s="9" t="n"/>
      <c r="D43" s="9" t="n"/>
      <c r="E43" s="9" t="n"/>
      <c r="F43" s="9" t="n"/>
    </row>
    <row r="44" ht="14.25" customHeight="1" s="37">
      <c r="A44" s="9" t="n"/>
      <c r="B44" s="9" t="n"/>
      <c r="C44" s="9" t="n"/>
      <c r="D44" s="9" t="n"/>
      <c r="E44" s="9" t="n"/>
      <c r="F44" s="9" t="n"/>
    </row>
    <row r="45" ht="14.25" customHeight="1" s="37">
      <c r="A45" s="9" t="n"/>
      <c r="B45" s="9" t="n"/>
      <c r="C45" s="9" t="n"/>
      <c r="D45" s="9" t="n"/>
      <c r="E45" s="9" t="n"/>
      <c r="F45" s="9" t="n"/>
    </row>
    <row r="46" ht="14.25" customHeight="1" s="37">
      <c r="A46" s="9" t="n"/>
      <c r="B46" s="9" t="n"/>
      <c r="C46" s="9" t="n"/>
      <c r="D46" s="9" t="n"/>
      <c r="E46" s="9" t="n"/>
      <c r="F46" s="9" t="n"/>
    </row>
    <row r="47" ht="14.25" customHeight="1" s="37">
      <c r="A47" s="9" t="n"/>
      <c r="B47" s="9" t="n"/>
      <c r="C47" s="9" t="n"/>
      <c r="D47" s="9" t="n"/>
      <c r="E47" s="9" t="n"/>
      <c r="F47" s="9" t="n"/>
    </row>
    <row r="48" ht="14.25" customHeight="1" s="37">
      <c r="A48" s="9" t="n"/>
      <c r="B48" s="9" t="n"/>
      <c r="C48" s="9" t="n"/>
      <c r="D48" s="9" t="n"/>
      <c r="E48" s="9" t="n"/>
      <c r="F48" s="9" t="n"/>
    </row>
    <row r="49" ht="14.25" customHeight="1" s="37">
      <c r="A49" s="9" t="n"/>
      <c r="B49" s="9" t="n"/>
      <c r="C49" s="9" t="n"/>
      <c r="D49" s="9" t="n"/>
      <c r="E49" s="9" t="n"/>
      <c r="F49" s="9" t="n"/>
    </row>
    <row r="50" ht="14.25" customHeight="1" s="37">
      <c r="A50" s="9" t="n"/>
      <c r="B50" s="9" t="n"/>
      <c r="C50" s="9" t="n"/>
      <c r="D50" s="9" t="n"/>
      <c r="E50" s="9" t="n"/>
      <c r="F50" s="9" t="n"/>
    </row>
    <row r="51" ht="14.25" customHeight="1" s="37">
      <c r="A51" s="9" t="n"/>
      <c r="B51" s="9" t="n"/>
      <c r="C51" s="9" t="n"/>
      <c r="D51" s="9" t="n"/>
      <c r="E51" s="9" t="n"/>
      <c r="F51" s="9" t="n"/>
    </row>
    <row r="52" ht="14.25" customHeight="1" s="37">
      <c r="A52" s="9" t="n"/>
      <c r="B52" s="9" t="n"/>
      <c r="C52" s="9" t="n"/>
      <c r="D52" s="9" t="n"/>
      <c r="E52" s="9" t="n"/>
      <c r="F52" s="9" t="n"/>
    </row>
    <row r="53" ht="14.25" customHeight="1" s="37">
      <c r="A53" s="9" t="n"/>
      <c r="B53" s="9" t="n"/>
      <c r="C53" s="9" t="n"/>
      <c r="D53" s="9" t="n"/>
      <c r="E53" s="9" t="n"/>
      <c r="F53" s="9" t="n"/>
    </row>
    <row r="54" ht="14.25" customHeight="1" s="37">
      <c r="A54" s="9" t="n"/>
      <c r="B54" s="9" t="n"/>
      <c r="C54" s="9" t="n"/>
      <c r="D54" s="9" t="n"/>
      <c r="E54" s="9" t="n"/>
      <c r="F54" s="9" t="n"/>
    </row>
    <row r="55" ht="14.25" customHeight="1" s="37">
      <c r="A55" s="9" t="n"/>
      <c r="B55" s="9" t="n"/>
      <c r="C55" s="9" t="n"/>
      <c r="D55" s="9" t="n"/>
      <c r="E55" s="9" t="n"/>
      <c r="F55" s="9" t="n"/>
    </row>
    <row r="56" ht="14.25" customHeight="1" s="37">
      <c r="A56" s="9" t="n"/>
      <c r="B56" s="9" t="n"/>
      <c r="C56" s="9" t="n"/>
      <c r="D56" s="9" t="n"/>
      <c r="E56" s="9" t="n"/>
      <c r="F56" s="9" t="n"/>
    </row>
    <row r="57" ht="14.25" customHeight="1" s="37">
      <c r="A57" s="9" t="n"/>
      <c r="B57" s="9" t="n"/>
      <c r="C57" s="9" t="n"/>
      <c r="D57" s="9" t="n"/>
      <c r="E57" s="9" t="n"/>
      <c r="F57" s="9" t="n"/>
    </row>
    <row r="58" ht="14.25" customHeight="1" s="37">
      <c r="A58" s="9" t="n"/>
      <c r="B58" s="9" t="n"/>
      <c r="C58" s="9" t="n"/>
      <c r="D58" s="9" t="n"/>
      <c r="E58" s="9" t="n"/>
      <c r="F58" s="9" t="n"/>
    </row>
    <row r="59" ht="14.25" customHeight="1" s="37">
      <c r="A59" s="9" t="n"/>
      <c r="B59" s="9" t="n"/>
      <c r="C59" s="9" t="n"/>
      <c r="D59" s="9" t="n"/>
      <c r="E59" s="9" t="n"/>
      <c r="F59" s="9" t="n"/>
    </row>
    <row r="60" ht="14.25" customHeight="1" s="37">
      <c r="A60" s="9" t="n"/>
      <c r="B60" s="9" t="n"/>
      <c r="C60" s="9" t="n"/>
      <c r="D60" s="9" t="n"/>
      <c r="E60" s="9" t="n"/>
      <c r="F60" s="9" t="n"/>
    </row>
    <row r="61" ht="14.25" customHeight="1" s="37">
      <c r="A61" s="9" t="n"/>
      <c r="B61" s="9" t="n"/>
      <c r="C61" s="9" t="n"/>
      <c r="D61" s="9" t="n"/>
      <c r="E61" s="9" t="n"/>
      <c r="F61" s="9" t="n"/>
    </row>
    <row r="62" ht="14.25" customHeight="1" s="37">
      <c r="A62" s="9" t="n"/>
      <c r="B62" s="9" t="n"/>
      <c r="C62" s="9" t="n"/>
      <c r="D62" s="9" t="n"/>
      <c r="E62" s="9" t="n"/>
      <c r="F62" s="9" t="n"/>
    </row>
    <row r="63" ht="14.25" customHeight="1" s="37">
      <c r="A63" s="9" t="n"/>
      <c r="B63" s="9" t="n"/>
      <c r="C63" s="9" t="n"/>
      <c r="D63" s="9" t="n"/>
      <c r="E63" s="9" t="n"/>
      <c r="F63" s="9" t="n"/>
    </row>
    <row r="64" ht="14.25" customHeight="1" s="37">
      <c r="A64" s="9" t="n"/>
      <c r="B64" s="9" t="n"/>
      <c r="C64" s="9" t="n"/>
      <c r="D64" s="9" t="n"/>
      <c r="E64" s="9" t="n"/>
      <c r="F64" s="9" t="n"/>
    </row>
    <row r="65" ht="14.25" customHeight="1" s="37">
      <c r="A65" s="9" t="n"/>
      <c r="B65" s="9" t="n"/>
      <c r="C65" s="9" t="n"/>
      <c r="D65" s="9" t="n"/>
      <c r="E65" s="9" t="n"/>
      <c r="F65" s="9" t="n"/>
    </row>
    <row r="66" ht="14.25" customHeight="1" s="37">
      <c r="A66" s="9" t="n"/>
      <c r="B66" s="9" t="n"/>
      <c r="C66" s="9" t="n"/>
      <c r="D66" s="9" t="n"/>
      <c r="E66" s="9" t="n"/>
      <c r="F66" s="9" t="n"/>
    </row>
    <row r="67" ht="14.25" customHeight="1" s="37">
      <c r="A67" s="9" t="n"/>
      <c r="B67" s="9" t="n"/>
      <c r="C67" s="9" t="n"/>
      <c r="D67" s="9" t="n"/>
      <c r="E67" s="9" t="n"/>
      <c r="F67" s="9" t="n"/>
    </row>
    <row r="68" ht="14.25" customHeight="1" s="37">
      <c r="A68" s="9" t="n"/>
      <c r="B68" s="9" t="n"/>
      <c r="C68" s="9" t="n"/>
      <c r="D68" s="9" t="n"/>
      <c r="E68" s="9" t="n"/>
      <c r="F68" s="9" t="n"/>
    </row>
    <row r="69" ht="14.25" customHeight="1" s="37">
      <c r="A69" s="9" t="n"/>
      <c r="B69" s="9" t="n"/>
      <c r="C69" s="9" t="n"/>
      <c r="D69" s="9" t="n"/>
      <c r="E69" s="9" t="n"/>
      <c r="F69" s="9" t="n"/>
    </row>
    <row r="70" ht="14.25" customHeight="1" s="37">
      <c r="A70" s="9" t="n"/>
      <c r="B70" s="9" t="n"/>
      <c r="C70" s="9" t="n"/>
      <c r="D70" s="9" t="n"/>
      <c r="E70" s="9" t="n"/>
      <c r="F70" s="9" t="n"/>
    </row>
    <row r="71" ht="14.25" customHeight="1" s="37">
      <c r="A71" s="9" t="n"/>
      <c r="B71" s="9" t="n"/>
      <c r="C71" s="9" t="n"/>
      <c r="D71" s="9" t="n"/>
      <c r="E71" s="9" t="n"/>
      <c r="F71" s="9" t="n"/>
    </row>
    <row r="72" ht="14.25" customHeight="1" s="37">
      <c r="A72" s="9" t="n"/>
      <c r="B72" s="9" t="n"/>
      <c r="C72" s="9" t="n"/>
      <c r="D72" s="9" t="n"/>
      <c r="E72" s="9" t="n"/>
      <c r="F72" s="9" t="n"/>
    </row>
    <row r="73" ht="14.25" customHeight="1" s="37">
      <c r="A73" s="9" t="n"/>
      <c r="B73" s="9" t="n"/>
      <c r="C73" s="9" t="n"/>
      <c r="D73" s="9" t="n"/>
      <c r="E73" s="9" t="n"/>
      <c r="F73" s="9" t="n"/>
    </row>
    <row r="74" ht="14.25" customHeight="1" s="37">
      <c r="A74" s="9" t="n"/>
      <c r="B74" s="9" t="n"/>
      <c r="C74" s="9" t="n"/>
      <c r="D74" s="9" t="n"/>
      <c r="E74" s="9" t="n"/>
      <c r="F74" s="9" t="n"/>
    </row>
    <row r="75" ht="14.25" customHeight="1" s="37">
      <c r="A75" s="9" t="n"/>
      <c r="B75" s="9" t="n"/>
      <c r="C75" s="9" t="n"/>
      <c r="D75" s="9" t="n"/>
      <c r="E75" s="9" t="n"/>
      <c r="F75" s="9" t="n"/>
    </row>
    <row r="76" ht="14.25" customHeight="1" s="37">
      <c r="A76" s="9" t="n"/>
      <c r="B76" s="9" t="n"/>
      <c r="C76" s="9" t="n"/>
      <c r="D76" s="9" t="n"/>
      <c r="E76" s="9" t="n"/>
      <c r="F76" s="9" t="n"/>
    </row>
    <row r="77" ht="14.25" customHeight="1" s="37">
      <c r="A77" s="9" t="n"/>
      <c r="B77" s="9" t="n"/>
      <c r="C77" s="9" t="n"/>
      <c r="D77" s="9" t="n"/>
      <c r="E77" s="9" t="n"/>
      <c r="F77" s="9" t="n"/>
    </row>
    <row r="78" ht="14.25" customHeight="1" s="37">
      <c r="A78" s="9" t="n"/>
      <c r="B78" s="9" t="n"/>
      <c r="C78" s="9" t="n"/>
      <c r="D78" s="9" t="n"/>
      <c r="E78" s="9" t="n"/>
      <c r="F78" s="9" t="n"/>
    </row>
    <row r="79" ht="14.25" customHeight="1" s="37">
      <c r="A79" s="9" t="n"/>
      <c r="B79" s="9" t="n"/>
      <c r="C79" s="9" t="n"/>
      <c r="D79" s="9" t="n"/>
      <c r="E79" s="9" t="n"/>
      <c r="F79" s="9" t="n"/>
    </row>
    <row r="80" ht="14.25" customHeight="1" s="37">
      <c r="A80" s="9" t="n"/>
      <c r="B80" s="9" t="n"/>
      <c r="C80" s="9" t="n"/>
      <c r="D80" s="9" t="n"/>
      <c r="E80" s="9" t="n"/>
      <c r="F80" s="9" t="n"/>
    </row>
    <row r="81" ht="14.25" customHeight="1" s="37">
      <c r="A81" s="9" t="n"/>
      <c r="B81" s="9" t="n"/>
      <c r="C81" s="9" t="n"/>
      <c r="D81" s="9" t="n"/>
      <c r="E81" s="9" t="n"/>
      <c r="F81" s="9" t="n"/>
    </row>
    <row r="82" ht="14.25" customHeight="1" s="37">
      <c r="A82" s="9" t="n"/>
      <c r="B82" s="9" t="n"/>
      <c r="C82" s="9" t="n"/>
      <c r="D82" s="9" t="n"/>
      <c r="E82" s="9" t="n"/>
      <c r="F82" s="9" t="n"/>
    </row>
    <row r="83" ht="14.25" customHeight="1" s="37">
      <c r="A83" s="9" t="n"/>
      <c r="B83" s="9" t="n"/>
      <c r="C83" s="9" t="n"/>
      <c r="D83" s="9" t="n"/>
      <c r="E83" s="9" t="n"/>
      <c r="F83" s="9" t="n"/>
    </row>
    <row r="84" ht="14.25" customHeight="1" s="37">
      <c r="A84" s="9" t="n"/>
      <c r="B84" s="9" t="n"/>
      <c r="C84" s="9" t="n"/>
      <c r="D84" s="9" t="n"/>
      <c r="E84" s="9" t="n"/>
      <c r="F84" s="9" t="n"/>
    </row>
    <row r="85" ht="14.25" customHeight="1" s="37">
      <c r="A85" s="9" t="n"/>
      <c r="B85" s="9" t="n"/>
      <c r="C85" s="9" t="n"/>
      <c r="D85" s="9" t="n"/>
      <c r="E85" s="9" t="n"/>
      <c r="F85" s="9" t="n"/>
    </row>
    <row r="86" ht="14.25" customHeight="1" s="37">
      <c r="A86" s="9" t="n"/>
      <c r="B86" s="9" t="n"/>
      <c r="C86" s="9" t="n"/>
      <c r="D86" s="9" t="n"/>
      <c r="E86" s="9" t="n"/>
      <c r="F86" s="9" t="n"/>
    </row>
    <row r="87" ht="14.25" customHeight="1" s="37">
      <c r="A87" s="9" t="n"/>
      <c r="B87" s="9" t="n"/>
      <c r="C87" s="9" t="n"/>
      <c r="D87" s="9" t="n"/>
      <c r="E87" s="9" t="n"/>
      <c r="F87" s="9" t="n"/>
    </row>
    <row r="88" ht="14.25" customHeight="1" s="37">
      <c r="A88" s="9" t="n"/>
      <c r="B88" s="9" t="n"/>
      <c r="C88" s="9" t="n"/>
      <c r="D88" s="9" t="n"/>
      <c r="E88" s="9" t="n"/>
      <c r="F88" s="9" t="n"/>
    </row>
    <row r="89" ht="14.25" customHeight="1" s="37">
      <c r="A89" s="9" t="n"/>
      <c r="B89" s="9" t="n"/>
      <c r="C89" s="9" t="n"/>
      <c r="D89" s="9" t="n"/>
      <c r="E89" s="9" t="n"/>
      <c r="F89" s="9" t="n"/>
    </row>
    <row r="90" ht="14.25" customHeight="1" s="37">
      <c r="A90" s="9" t="n"/>
      <c r="B90" s="9" t="n"/>
      <c r="C90" s="9" t="n"/>
      <c r="D90" s="9" t="n"/>
      <c r="E90" s="9" t="n"/>
      <c r="F90" s="9" t="n"/>
    </row>
    <row r="91" ht="14.25" customHeight="1" s="37">
      <c r="A91" s="9" t="n"/>
      <c r="B91" s="9" t="n"/>
      <c r="C91" s="9" t="n"/>
      <c r="D91" s="9" t="n"/>
      <c r="E91" s="9" t="n"/>
      <c r="F91" s="9" t="n"/>
    </row>
    <row r="92" ht="14.25" customHeight="1" s="37">
      <c r="A92" s="9" t="n"/>
      <c r="B92" s="9" t="n"/>
      <c r="C92" s="9" t="n"/>
      <c r="D92" s="9" t="n"/>
      <c r="E92" s="9" t="n"/>
      <c r="F92" s="9" t="n"/>
    </row>
    <row r="93" ht="14.25" customHeight="1" s="37">
      <c r="A93" s="9" t="n"/>
      <c r="B93" s="9" t="n"/>
      <c r="C93" s="9" t="n"/>
      <c r="D93" s="9" t="n"/>
      <c r="E93" s="9" t="n"/>
      <c r="F93" s="9" t="n"/>
    </row>
    <row r="94" ht="14.25" customHeight="1" s="37">
      <c r="A94" s="9" t="n"/>
      <c r="B94" s="9" t="n"/>
      <c r="C94" s="9" t="n"/>
      <c r="D94" s="9" t="n"/>
      <c r="E94" s="9" t="n"/>
      <c r="F94" s="9" t="n"/>
    </row>
    <row r="95" ht="14.25" customHeight="1" s="37">
      <c r="A95" s="9" t="n"/>
      <c r="B95" s="9" t="n"/>
      <c r="C95" s="9" t="n"/>
      <c r="D95" s="9" t="n"/>
      <c r="E95" s="9" t="n"/>
      <c r="F95" s="9" t="n"/>
    </row>
    <row r="96" ht="14.25" customHeight="1" s="37">
      <c r="A96" s="9" t="n"/>
      <c r="B96" s="9" t="n"/>
      <c r="C96" s="9" t="n"/>
      <c r="D96" s="9" t="n"/>
      <c r="E96" s="9" t="n"/>
      <c r="F96" s="9" t="n"/>
    </row>
    <row r="97" ht="14.25" customHeight="1" s="37">
      <c r="A97" s="9" t="n"/>
      <c r="B97" s="9" t="n"/>
      <c r="C97" s="9" t="n"/>
      <c r="D97" s="9" t="n"/>
      <c r="E97" s="9" t="n"/>
      <c r="F97" s="9" t="n"/>
    </row>
    <row r="98" ht="14.25" customHeight="1" s="37">
      <c r="A98" s="9" t="n"/>
      <c r="B98" s="9" t="n"/>
      <c r="C98" s="9" t="n"/>
      <c r="D98" s="9" t="n"/>
      <c r="E98" s="9" t="n"/>
      <c r="F98" s="9" t="n"/>
    </row>
    <row r="99" ht="14.25" customHeight="1" s="37">
      <c r="A99" s="9" t="n"/>
      <c r="B99" s="9" t="n"/>
      <c r="C99" s="9" t="n"/>
      <c r="D99" s="9" t="n"/>
      <c r="E99" s="9" t="n"/>
      <c r="F99" s="9" t="n"/>
    </row>
    <row r="100" ht="14.25" customHeight="1" s="37">
      <c r="A100" s="9" t="n"/>
      <c r="B100" s="9" t="n"/>
      <c r="C100" s="9" t="n"/>
      <c r="D100" s="9" t="n"/>
      <c r="E100" s="9" t="n"/>
      <c r="F100" s="9" t="n"/>
    </row>
    <row r="101" ht="14.25" customHeight="1" s="37">
      <c r="A101" s="9" t="n"/>
      <c r="B101" s="9" t="n"/>
      <c r="C101" s="9" t="n"/>
      <c r="D101" s="9" t="n"/>
      <c r="E101" s="9" t="n"/>
      <c r="F101" s="9" t="n"/>
    </row>
    <row r="102" ht="14.25" customHeight="1" s="37">
      <c r="A102" s="9" t="n"/>
      <c r="B102" s="9" t="n"/>
      <c r="C102" s="9" t="n"/>
      <c r="D102" s="9" t="n"/>
      <c r="E102" s="9" t="n"/>
      <c r="F102" s="9" t="n"/>
    </row>
    <row r="103" ht="14.25" customHeight="1" s="37">
      <c r="A103" s="9" t="n"/>
      <c r="B103" s="9" t="n"/>
      <c r="C103" s="9" t="n"/>
      <c r="D103" s="9" t="n"/>
      <c r="E103" s="9" t="n"/>
      <c r="F103" s="9" t="n"/>
    </row>
    <row r="104" ht="14.25" customHeight="1" s="37">
      <c r="A104" s="9" t="n"/>
      <c r="B104" s="9" t="n"/>
      <c r="C104" s="9" t="n"/>
      <c r="D104" s="9" t="n"/>
      <c r="E104" s="9" t="n"/>
      <c r="F104" s="9" t="n"/>
    </row>
    <row r="105" ht="14.25" customHeight="1" s="37">
      <c r="A105" s="9" t="n"/>
      <c r="B105" s="9" t="n"/>
      <c r="C105" s="9" t="n"/>
      <c r="D105" s="9" t="n"/>
      <c r="E105" s="9" t="n"/>
      <c r="F105" s="9" t="n"/>
    </row>
    <row r="106" ht="14.25" customHeight="1" s="37">
      <c r="A106" s="9" t="n"/>
      <c r="B106" s="9" t="n"/>
      <c r="C106" s="9" t="n"/>
      <c r="D106" s="9" t="n"/>
      <c r="E106" s="9" t="n"/>
      <c r="F106" s="9" t="n"/>
    </row>
    <row r="107" ht="14.25" customHeight="1" s="37">
      <c r="A107" s="9" t="n"/>
      <c r="B107" s="9" t="n"/>
      <c r="C107" s="9" t="n"/>
      <c r="D107" s="9" t="n"/>
      <c r="E107" s="9" t="n"/>
      <c r="F107" s="9" t="n"/>
    </row>
    <row r="108" ht="14.25" customHeight="1" s="37">
      <c r="A108" s="9" t="n"/>
      <c r="B108" s="9" t="n"/>
      <c r="C108" s="9" t="n"/>
      <c r="D108" s="9" t="n"/>
      <c r="E108" s="9" t="n"/>
      <c r="F108" s="9" t="n"/>
    </row>
    <row r="109" ht="14.25" customHeight="1" s="37">
      <c r="A109" s="9" t="n"/>
      <c r="B109" s="9" t="n"/>
      <c r="C109" s="9" t="n"/>
      <c r="D109" s="9" t="n"/>
      <c r="E109" s="9" t="n"/>
      <c r="F109" s="9" t="n"/>
    </row>
    <row r="110" ht="14.25" customHeight="1" s="37">
      <c r="A110" s="9" t="n"/>
      <c r="B110" s="9" t="n"/>
      <c r="C110" s="9" t="n"/>
      <c r="D110" s="9" t="n"/>
      <c r="E110" s="9" t="n"/>
      <c r="F110" s="9" t="n"/>
    </row>
    <row r="111" ht="14.25" customHeight="1" s="37">
      <c r="A111" s="9" t="n"/>
      <c r="B111" s="9" t="n"/>
      <c r="C111" s="9" t="n"/>
      <c r="D111" s="9" t="n"/>
      <c r="E111" s="9" t="n"/>
      <c r="F111" s="9" t="n"/>
    </row>
    <row r="112" ht="14.25" customHeight="1" s="37">
      <c r="A112" s="9" t="n"/>
      <c r="B112" s="9" t="n"/>
      <c r="C112" s="9" t="n"/>
      <c r="D112" s="9" t="n"/>
      <c r="E112" s="9" t="n"/>
      <c r="F112" s="9" t="n"/>
    </row>
    <row r="113" ht="14.25" customHeight="1" s="37">
      <c r="A113" s="9" t="n"/>
      <c r="B113" s="9" t="n"/>
      <c r="C113" s="9" t="n"/>
      <c r="D113" s="9" t="n"/>
      <c r="E113" s="9" t="n"/>
      <c r="F113" s="9" t="n"/>
    </row>
    <row r="114" ht="14.25" customHeight="1" s="37">
      <c r="A114" s="9" t="n"/>
      <c r="B114" s="9" t="n"/>
      <c r="C114" s="9" t="n"/>
      <c r="D114" s="9" t="n"/>
      <c r="E114" s="9" t="n"/>
      <c r="F114" s="9" t="n"/>
    </row>
    <row r="115" ht="14.25" customHeight="1" s="37">
      <c r="A115" s="9" t="n"/>
      <c r="B115" s="9" t="n"/>
      <c r="C115" s="9" t="n"/>
      <c r="D115" s="9" t="n"/>
      <c r="E115" s="9" t="n"/>
      <c r="F115" s="9" t="n"/>
    </row>
    <row r="116" ht="14.25" customHeight="1" s="37">
      <c r="A116" s="9" t="n"/>
      <c r="B116" s="9" t="n"/>
      <c r="C116" s="9" t="n"/>
      <c r="D116" s="9" t="n"/>
      <c r="E116" s="9" t="n"/>
      <c r="F116" s="9" t="n"/>
    </row>
    <row r="117" ht="14.25" customHeight="1" s="37">
      <c r="A117" s="9" t="n"/>
      <c r="B117" s="9" t="n"/>
      <c r="C117" s="9" t="n"/>
      <c r="D117" s="9" t="n"/>
      <c r="E117" s="9" t="n"/>
      <c r="F117" s="9" t="n"/>
    </row>
    <row r="118" ht="14.25" customHeight="1" s="37">
      <c r="A118" s="9" t="n"/>
      <c r="B118" s="9" t="n"/>
      <c r="C118" s="9" t="n"/>
      <c r="D118" s="9" t="n"/>
      <c r="E118" s="9" t="n"/>
      <c r="F118" s="9" t="n"/>
    </row>
    <row r="119" ht="14.25" customHeight="1" s="37">
      <c r="A119" s="9" t="n"/>
      <c r="B119" s="9" t="n"/>
      <c r="C119" s="9" t="n"/>
      <c r="D119" s="9" t="n"/>
      <c r="E119" s="9" t="n"/>
      <c r="F119" s="9" t="n"/>
    </row>
    <row r="120" ht="14.25" customHeight="1" s="37">
      <c r="A120" s="9" t="n"/>
      <c r="B120" s="9" t="n"/>
      <c r="C120" s="9" t="n"/>
      <c r="D120" s="9" t="n"/>
      <c r="E120" s="9" t="n"/>
      <c r="F120" s="9" t="n"/>
    </row>
    <row r="121" ht="14.25" customHeight="1" s="37">
      <c r="A121" s="9" t="n"/>
      <c r="B121" s="9" t="n"/>
      <c r="C121" s="9" t="n"/>
      <c r="D121" s="9" t="n"/>
      <c r="E121" s="9" t="n"/>
      <c r="F121" s="9" t="n"/>
    </row>
    <row r="122" ht="14.25" customHeight="1" s="37">
      <c r="A122" s="9" t="n"/>
      <c r="B122" s="9" t="n"/>
      <c r="C122" s="9" t="n"/>
      <c r="D122" s="9" t="n"/>
      <c r="E122" s="9" t="n"/>
      <c r="F122" s="9" t="n"/>
    </row>
    <row r="123" ht="14.25" customHeight="1" s="37">
      <c r="A123" s="9" t="n"/>
      <c r="B123" s="9" t="n"/>
      <c r="C123" s="9" t="n"/>
      <c r="D123" s="9" t="n"/>
      <c r="E123" s="9" t="n"/>
      <c r="F123" s="9" t="n"/>
    </row>
    <row r="124" ht="14.25" customHeight="1" s="37">
      <c r="A124" s="9" t="n"/>
      <c r="B124" s="9" t="n"/>
      <c r="C124" s="9" t="n"/>
      <c r="D124" s="9" t="n"/>
      <c r="E124" s="9" t="n"/>
      <c r="F124" s="9" t="n"/>
    </row>
    <row r="125" ht="14.25" customHeight="1" s="37">
      <c r="A125" s="9" t="n"/>
      <c r="B125" s="9" t="n"/>
      <c r="C125" s="9" t="n"/>
      <c r="D125" s="9" t="n"/>
      <c r="E125" s="9" t="n"/>
      <c r="F125" s="9" t="n"/>
    </row>
    <row r="126" ht="14.25" customHeight="1" s="37">
      <c r="A126" s="9" t="n"/>
      <c r="B126" s="9" t="n"/>
      <c r="C126" s="9" t="n"/>
      <c r="D126" s="9" t="n"/>
      <c r="E126" s="9" t="n"/>
      <c r="F126" s="9" t="n"/>
    </row>
    <row r="127" ht="14.25" customHeight="1" s="37">
      <c r="A127" s="9" t="n"/>
      <c r="B127" s="9" t="n"/>
      <c r="C127" s="9" t="n"/>
      <c r="D127" s="9" t="n"/>
      <c r="E127" s="9" t="n"/>
      <c r="F127" s="9" t="n"/>
    </row>
    <row r="128" ht="14.25" customHeight="1" s="37">
      <c r="A128" s="9" t="n"/>
      <c r="B128" s="9" t="n"/>
      <c r="C128" s="9" t="n"/>
      <c r="D128" s="9" t="n"/>
      <c r="E128" s="9" t="n"/>
      <c r="F128" s="9" t="n"/>
    </row>
    <row r="129" ht="14.25" customHeight="1" s="37">
      <c r="A129" s="9" t="n"/>
      <c r="B129" s="9" t="n"/>
      <c r="C129" s="9" t="n"/>
      <c r="D129" s="9" t="n"/>
      <c r="E129" s="9" t="n"/>
      <c r="F129" s="9" t="n"/>
    </row>
    <row r="130" ht="14.25" customHeight="1" s="37">
      <c r="A130" s="9" t="n"/>
      <c r="B130" s="9" t="n"/>
      <c r="C130" s="9" t="n"/>
      <c r="D130" s="9" t="n"/>
      <c r="E130" s="9" t="n"/>
      <c r="F130" s="9" t="n"/>
    </row>
    <row r="131" ht="14.25" customHeight="1" s="37">
      <c r="A131" s="9" t="n"/>
      <c r="B131" s="9" t="n"/>
      <c r="C131" s="9" t="n"/>
      <c r="D131" s="9" t="n"/>
      <c r="E131" s="9" t="n"/>
      <c r="F131" s="9" t="n"/>
    </row>
    <row r="132" ht="14.25" customHeight="1" s="37">
      <c r="A132" s="9" t="n"/>
      <c r="B132" s="9" t="n"/>
      <c r="C132" s="9" t="n"/>
      <c r="D132" s="9" t="n"/>
      <c r="E132" s="9" t="n"/>
      <c r="F132" s="9" t="n"/>
    </row>
    <row r="133" ht="14.25" customHeight="1" s="37">
      <c r="A133" s="9" t="n"/>
      <c r="B133" s="9" t="n"/>
      <c r="C133" s="9" t="n"/>
      <c r="D133" s="9" t="n"/>
      <c r="E133" s="9" t="n"/>
      <c r="F133" s="9" t="n"/>
    </row>
    <row r="134" ht="14.25" customHeight="1" s="37">
      <c r="A134" s="9" t="n"/>
      <c r="B134" s="9" t="n"/>
      <c r="C134" s="9" t="n"/>
      <c r="D134" s="9" t="n"/>
      <c r="E134" s="9" t="n"/>
      <c r="F134" s="9" t="n"/>
    </row>
    <row r="135" ht="14.25" customHeight="1" s="37">
      <c r="A135" s="9" t="n"/>
      <c r="B135" s="9" t="n"/>
      <c r="C135" s="9" t="n"/>
      <c r="D135" s="9" t="n"/>
      <c r="E135" s="9" t="n"/>
      <c r="F135" s="9" t="n"/>
    </row>
    <row r="136" ht="14.25" customHeight="1" s="37">
      <c r="A136" s="9" t="n"/>
      <c r="B136" s="9" t="n"/>
      <c r="C136" s="9" t="n"/>
      <c r="D136" s="9" t="n"/>
      <c r="E136" s="9" t="n"/>
      <c r="F136" s="9" t="n"/>
    </row>
    <row r="137" ht="14.25" customHeight="1" s="37">
      <c r="A137" s="9" t="n"/>
      <c r="B137" s="9" t="n"/>
      <c r="C137" s="9" t="n"/>
      <c r="D137" s="9" t="n"/>
      <c r="E137" s="9" t="n"/>
      <c r="F137" s="9" t="n"/>
    </row>
    <row r="138" ht="14.25" customHeight="1" s="37">
      <c r="A138" s="9" t="n"/>
      <c r="B138" s="9" t="n"/>
      <c r="C138" s="9" t="n"/>
      <c r="D138" s="9" t="n"/>
      <c r="E138" s="9" t="n"/>
      <c r="F138" s="9" t="n"/>
    </row>
    <row r="139" ht="14.25" customHeight="1" s="37">
      <c r="A139" s="9" t="n"/>
      <c r="B139" s="9" t="n"/>
      <c r="C139" s="9" t="n"/>
      <c r="D139" s="9" t="n"/>
      <c r="E139" s="9" t="n"/>
      <c r="F139" s="9" t="n"/>
    </row>
    <row r="140" ht="14.25" customHeight="1" s="37">
      <c r="A140" s="9" t="n"/>
      <c r="B140" s="9" t="n"/>
      <c r="C140" s="9" t="n"/>
      <c r="D140" s="9" t="n"/>
      <c r="E140" s="9" t="n"/>
      <c r="F140" s="9" t="n"/>
    </row>
    <row r="141" ht="14.25" customHeight="1" s="37">
      <c r="A141" s="9" t="n"/>
      <c r="B141" s="9" t="n"/>
      <c r="C141" s="9" t="n"/>
      <c r="D141" s="9" t="n"/>
      <c r="E141" s="9" t="n"/>
      <c r="F141" s="9" t="n"/>
    </row>
    <row r="142" ht="14.25" customHeight="1" s="37">
      <c r="A142" s="9" t="n"/>
      <c r="B142" s="9" t="n"/>
      <c r="C142" s="9" t="n"/>
      <c r="D142" s="9" t="n"/>
      <c r="E142" s="9" t="n"/>
      <c r="F142" s="9" t="n"/>
    </row>
    <row r="143" ht="14.25" customHeight="1" s="37">
      <c r="A143" s="9" t="n"/>
      <c r="B143" s="9" t="n"/>
      <c r="C143" s="9" t="n"/>
      <c r="D143" s="9" t="n"/>
      <c r="E143" s="9" t="n"/>
      <c r="F143" s="9" t="n"/>
    </row>
    <row r="144" ht="14.25" customHeight="1" s="37">
      <c r="A144" s="9" t="n"/>
      <c r="B144" s="9" t="n"/>
      <c r="C144" s="9" t="n"/>
      <c r="D144" s="9" t="n"/>
      <c r="E144" s="9" t="n"/>
      <c r="F144" s="9" t="n"/>
    </row>
    <row r="145" ht="14.25" customHeight="1" s="37">
      <c r="A145" s="9" t="n"/>
      <c r="B145" s="9" t="n"/>
      <c r="C145" s="9" t="n"/>
      <c r="D145" s="9" t="n"/>
      <c r="E145" s="9" t="n"/>
      <c r="F145" s="9" t="n"/>
    </row>
    <row r="146" ht="14.25" customHeight="1" s="37">
      <c r="A146" s="9" t="n"/>
      <c r="B146" s="9" t="n"/>
      <c r="C146" s="9" t="n"/>
      <c r="D146" s="9" t="n"/>
      <c r="E146" s="9" t="n"/>
      <c r="F146" s="9" t="n"/>
    </row>
    <row r="147" ht="14.25" customHeight="1" s="37">
      <c r="A147" s="9" t="n"/>
      <c r="B147" s="9" t="n"/>
      <c r="C147" s="9" t="n"/>
      <c r="D147" s="9" t="n"/>
      <c r="E147" s="9" t="n"/>
      <c r="F147" s="9" t="n"/>
    </row>
    <row r="148" ht="14.25" customHeight="1" s="37">
      <c r="A148" s="9" t="n"/>
      <c r="B148" s="9" t="n"/>
      <c r="C148" s="9" t="n"/>
      <c r="D148" s="9" t="n"/>
      <c r="E148" s="9" t="n"/>
      <c r="F148" s="9" t="n"/>
    </row>
    <row r="149" ht="14.25" customHeight="1" s="37">
      <c r="A149" s="9" t="n"/>
      <c r="B149" s="9" t="n"/>
      <c r="C149" s="9" t="n"/>
      <c r="D149" s="9" t="n"/>
      <c r="E149" s="9" t="n"/>
      <c r="F149" s="9" t="n"/>
    </row>
    <row r="150" ht="14.25" customHeight="1" s="37">
      <c r="A150" s="9" t="n"/>
      <c r="B150" s="9" t="n"/>
      <c r="C150" s="9" t="n"/>
      <c r="D150" s="9" t="n"/>
      <c r="E150" s="9" t="n"/>
      <c r="F150" s="9" t="n"/>
    </row>
    <row r="151" ht="14.25" customHeight="1" s="37">
      <c r="A151" s="9" t="n"/>
      <c r="B151" s="9" t="n"/>
      <c r="C151" s="9" t="n"/>
      <c r="D151" s="9" t="n"/>
      <c r="E151" s="9" t="n"/>
      <c r="F151" s="9" t="n"/>
    </row>
    <row r="152" ht="14.25" customHeight="1" s="37">
      <c r="A152" s="9" t="n"/>
      <c r="B152" s="9" t="n"/>
      <c r="C152" s="9" t="n"/>
      <c r="D152" s="9" t="n"/>
      <c r="E152" s="9" t="n"/>
      <c r="F152" s="9" t="n"/>
    </row>
    <row r="153" ht="14.25" customHeight="1" s="37">
      <c r="A153" s="9" t="n"/>
      <c r="B153" s="9" t="n"/>
      <c r="C153" s="9" t="n"/>
      <c r="D153" s="9" t="n"/>
      <c r="E153" s="9" t="n"/>
      <c r="F153" s="9" t="n"/>
    </row>
    <row r="154" ht="14.25" customHeight="1" s="37">
      <c r="A154" s="9" t="n"/>
      <c r="B154" s="9" t="n"/>
      <c r="C154" s="9" t="n"/>
      <c r="D154" s="9" t="n"/>
      <c r="E154" s="9" t="n"/>
      <c r="F154" s="9" t="n"/>
    </row>
    <row r="155" ht="14.25" customHeight="1" s="37">
      <c r="A155" s="9" t="n"/>
      <c r="B155" s="9" t="n"/>
      <c r="C155" s="9" t="n"/>
      <c r="D155" s="9" t="n"/>
      <c r="E155" s="9" t="n"/>
      <c r="F155" s="9" t="n"/>
    </row>
    <row r="156" ht="14.25" customHeight="1" s="37">
      <c r="A156" s="9" t="n"/>
      <c r="B156" s="9" t="n"/>
      <c r="C156" s="9" t="n"/>
      <c r="D156" s="9" t="n"/>
      <c r="E156" s="9" t="n"/>
      <c r="F156" s="9" t="n"/>
    </row>
    <row r="157" ht="14.25" customHeight="1" s="37">
      <c r="A157" s="9" t="n"/>
      <c r="B157" s="9" t="n"/>
      <c r="C157" s="9" t="n"/>
      <c r="D157" s="9" t="n"/>
      <c r="E157" s="9" t="n"/>
      <c r="F157" s="9" t="n"/>
    </row>
    <row r="158" ht="14.25" customHeight="1" s="37">
      <c r="A158" s="9" t="n"/>
      <c r="B158" s="9" t="n"/>
      <c r="C158" s="9" t="n"/>
      <c r="D158" s="9" t="n"/>
      <c r="E158" s="9" t="n"/>
      <c r="F158" s="9" t="n"/>
    </row>
    <row r="159" ht="14.25" customHeight="1" s="37">
      <c r="A159" s="9" t="n"/>
      <c r="B159" s="9" t="n"/>
      <c r="C159" s="9" t="n"/>
      <c r="D159" s="9" t="n"/>
      <c r="E159" s="9" t="n"/>
      <c r="F159" s="9" t="n"/>
    </row>
    <row r="160" ht="14.25" customHeight="1" s="37">
      <c r="A160" s="9" t="n"/>
      <c r="B160" s="9" t="n"/>
      <c r="C160" s="9" t="n"/>
      <c r="D160" s="9" t="n"/>
      <c r="E160" s="9" t="n"/>
      <c r="F160" s="9" t="n"/>
    </row>
    <row r="161" ht="14.25" customHeight="1" s="37">
      <c r="A161" s="9" t="n"/>
      <c r="B161" s="9" t="n"/>
      <c r="C161" s="9" t="n"/>
      <c r="D161" s="9" t="n"/>
      <c r="E161" s="9" t="n"/>
      <c r="F161" s="9" t="n"/>
    </row>
    <row r="162" ht="14.25" customHeight="1" s="37">
      <c r="A162" s="9" t="n"/>
      <c r="B162" s="9" t="n"/>
      <c r="C162" s="9" t="n"/>
      <c r="D162" s="9" t="n"/>
      <c r="E162" s="9" t="n"/>
      <c r="F162" s="9" t="n"/>
    </row>
    <row r="163" ht="14.25" customHeight="1" s="37">
      <c r="A163" s="9" t="n"/>
      <c r="B163" s="9" t="n"/>
      <c r="C163" s="9" t="n"/>
      <c r="D163" s="9" t="n"/>
      <c r="E163" s="9" t="n"/>
      <c r="F163" s="9" t="n"/>
    </row>
    <row r="164" ht="14.25" customHeight="1" s="37">
      <c r="A164" s="9" t="n"/>
      <c r="B164" s="9" t="n"/>
      <c r="C164" s="9" t="n"/>
      <c r="D164" s="9" t="n"/>
      <c r="E164" s="9" t="n"/>
      <c r="F164" s="9" t="n"/>
    </row>
    <row r="165" ht="14.25" customHeight="1" s="37">
      <c r="A165" s="9" t="n"/>
      <c r="B165" s="9" t="n"/>
      <c r="C165" s="9" t="n"/>
      <c r="D165" s="9" t="n"/>
      <c r="E165" s="9" t="n"/>
      <c r="F165" s="9" t="n"/>
    </row>
    <row r="166" ht="14.25" customHeight="1" s="37">
      <c r="A166" s="9" t="n"/>
      <c r="B166" s="9" t="n"/>
      <c r="C166" s="9" t="n"/>
      <c r="D166" s="9" t="n"/>
      <c r="E166" s="9" t="n"/>
      <c r="F166" s="9" t="n"/>
    </row>
    <row r="167" ht="14.25" customHeight="1" s="37">
      <c r="A167" s="9" t="n"/>
      <c r="B167" s="9" t="n"/>
      <c r="C167" s="9" t="n"/>
      <c r="D167" s="9" t="n"/>
      <c r="E167" s="9" t="n"/>
      <c r="F167" s="9" t="n"/>
    </row>
    <row r="168" ht="14.25" customHeight="1" s="37">
      <c r="A168" s="9" t="n"/>
      <c r="B168" s="9" t="n"/>
      <c r="C168" s="9" t="n"/>
      <c r="D168" s="9" t="n"/>
      <c r="E168" s="9" t="n"/>
      <c r="F168" s="9" t="n"/>
    </row>
    <row r="169" ht="14.25" customHeight="1" s="37">
      <c r="A169" s="9" t="n"/>
      <c r="B169" s="9" t="n"/>
      <c r="C169" s="9" t="n"/>
      <c r="D169" s="9" t="n"/>
      <c r="E169" s="9" t="n"/>
      <c r="F169" s="9" t="n"/>
    </row>
    <row r="170" ht="14.25" customHeight="1" s="37">
      <c r="A170" s="9" t="n"/>
      <c r="B170" s="9" t="n"/>
      <c r="C170" s="9" t="n"/>
      <c r="D170" s="9" t="n"/>
      <c r="E170" s="9" t="n"/>
      <c r="F170" s="9" t="n"/>
    </row>
    <row r="171" ht="14.25" customHeight="1" s="37">
      <c r="A171" s="9" t="n"/>
      <c r="B171" s="9" t="n"/>
      <c r="C171" s="9" t="n"/>
      <c r="D171" s="9" t="n"/>
      <c r="E171" s="9" t="n"/>
      <c r="F171" s="9" t="n"/>
    </row>
    <row r="172" ht="14.25" customHeight="1" s="37">
      <c r="A172" s="9" t="n"/>
      <c r="B172" s="9" t="n"/>
      <c r="C172" s="9" t="n"/>
      <c r="D172" s="9" t="n"/>
      <c r="E172" s="9" t="n"/>
      <c r="F172" s="9" t="n"/>
    </row>
    <row r="173" ht="14.25" customHeight="1" s="37">
      <c r="A173" s="9" t="n"/>
      <c r="B173" s="9" t="n"/>
      <c r="C173" s="9" t="n"/>
      <c r="D173" s="9" t="n"/>
      <c r="E173" s="9" t="n"/>
      <c r="F173" s="9" t="n"/>
    </row>
    <row r="174" ht="14.25" customHeight="1" s="37">
      <c r="A174" s="9" t="n"/>
      <c r="B174" s="9" t="n"/>
      <c r="C174" s="9" t="n"/>
      <c r="D174" s="9" t="n"/>
      <c r="E174" s="9" t="n"/>
      <c r="F174" s="9" t="n"/>
    </row>
    <row r="175" ht="14.25" customHeight="1" s="37">
      <c r="A175" s="9" t="n"/>
      <c r="B175" s="9" t="n"/>
      <c r="C175" s="9" t="n"/>
      <c r="D175" s="9" t="n"/>
      <c r="E175" s="9" t="n"/>
      <c r="F175" s="9" t="n"/>
    </row>
    <row r="176" ht="14.25" customHeight="1" s="37">
      <c r="A176" s="9" t="n"/>
      <c r="B176" s="9" t="n"/>
      <c r="C176" s="9" t="n"/>
      <c r="D176" s="9" t="n"/>
      <c r="E176" s="9" t="n"/>
      <c r="F176" s="9" t="n"/>
    </row>
    <row r="177" ht="14.25" customHeight="1" s="37">
      <c r="A177" s="9" t="n"/>
      <c r="B177" s="9" t="n"/>
      <c r="C177" s="9" t="n"/>
      <c r="D177" s="9" t="n"/>
      <c r="E177" s="9" t="n"/>
      <c r="F177" s="9" t="n"/>
    </row>
    <row r="178" ht="14.25" customHeight="1" s="37">
      <c r="A178" s="9" t="n"/>
      <c r="B178" s="9" t="n"/>
      <c r="C178" s="9" t="n"/>
      <c r="D178" s="9" t="n"/>
      <c r="E178" s="9" t="n"/>
      <c r="F178" s="9" t="n"/>
    </row>
    <row r="179" ht="14.25" customHeight="1" s="37">
      <c r="A179" s="9" t="n"/>
      <c r="B179" s="9" t="n"/>
      <c r="C179" s="9" t="n"/>
      <c r="D179" s="9" t="n"/>
      <c r="E179" s="9" t="n"/>
      <c r="F179" s="9" t="n"/>
    </row>
    <row r="180" ht="14.25" customHeight="1" s="37">
      <c r="A180" s="9" t="n"/>
      <c r="B180" s="9" t="n"/>
      <c r="C180" s="9" t="n"/>
      <c r="D180" s="9" t="n"/>
      <c r="E180" s="9" t="n"/>
      <c r="F180" s="9" t="n"/>
    </row>
    <row r="181" ht="14.25" customHeight="1" s="37">
      <c r="A181" s="9" t="n"/>
      <c r="B181" s="9" t="n"/>
      <c r="C181" s="9" t="n"/>
      <c r="D181" s="9" t="n"/>
      <c r="E181" s="9" t="n"/>
      <c r="F181" s="9" t="n"/>
    </row>
    <row r="182" ht="14.25" customHeight="1" s="37">
      <c r="A182" s="9" t="n"/>
      <c r="B182" s="9" t="n"/>
      <c r="C182" s="9" t="n"/>
      <c r="D182" s="9" t="n"/>
      <c r="E182" s="9" t="n"/>
      <c r="F182" s="9" t="n"/>
    </row>
    <row r="183" ht="14.25" customHeight="1" s="37">
      <c r="A183" s="9" t="n"/>
      <c r="B183" s="9" t="n"/>
      <c r="C183" s="9" t="n"/>
      <c r="D183" s="9" t="n"/>
      <c r="E183" s="9" t="n"/>
      <c r="F183" s="9" t="n"/>
    </row>
    <row r="184" ht="14.25" customHeight="1" s="37">
      <c r="A184" s="9" t="n"/>
      <c r="B184" s="9" t="n"/>
      <c r="C184" s="9" t="n"/>
      <c r="D184" s="9" t="n"/>
      <c r="E184" s="9" t="n"/>
      <c r="F184" s="9" t="n"/>
    </row>
    <row r="185" ht="14.25" customHeight="1" s="37">
      <c r="A185" s="9" t="n"/>
      <c r="B185" s="9" t="n"/>
      <c r="C185" s="9" t="n"/>
      <c r="D185" s="9" t="n"/>
      <c r="E185" s="9" t="n"/>
      <c r="F185" s="9" t="n"/>
    </row>
    <row r="186" ht="14.25" customHeight="1" s="37">
      <c r="A186" s="9" t="n"/>
      <c r="B186" s="9" t="n"/>
      <c r="C186" s="9" t="n"/>
      <c r="D186" s="9" t="n"/>
      <c r="E186" s="9" t="n"/>
      <c r="F186" s="9" t="n"/>
    </row>
    <row r="187" ht="14.25" customHeight="1" s="37">
      <c r="A187" s="9" t="n"/>
      <c r="B187" s="9" t="n"/>
      <c r="C187" s="9" t="n"/>
      <c r="D187" s="9" t="n"/>
      <c r="E187" s="9" t="n"/>
      <c r="F187" s="9" t="n"/>
    </row>
    <row r="188" ht="14.25" customHeight="1" s="37">
      <c r="A188" s="9" t="n"/>
      <c r="B188" s="9" t="n"/>
      <c r="C188" s="9" t="n"/>
      <c r="D188" s="9" t="n"/>
      <c r="E188" s="9" t="n"/>
      <c r="F188" s="9" t="n"/>
    </row>
    <row r="189" ht="14.25" customHeight="1" s="37">
      <c r="A189" s="9" t="n"/>
      <c r="B189" s="9" t="n"/>
      <c r="C189" s="9" t="n"/>
      <c r="D189" s="9" t="n"/>
      <c r="E189" s="9" t="n"/>
      <c r="F189" s="9" t="n"/>
    </row>
    <row r="190" ht="14.25" customHeight="1" s="37">
      <c r="A190" s="9" t="n"/>
      <c r="B190" s="9" t="n"/>
      <c r="C190" s="9" t="n"/>
      <c r="D190" s="9" t="n"/>
      <c r="E190" s="9" t="n"/>
      <c r="F190" s="9" t="n"/>
    </row>
    <row r="191" ht="14.25" customHeight="1" s="37">
      <c r="A191" s="9" t="n"/>
      <c r="B191" s="9" t="n"/>
      <c r="C191" s="9" t="n"/>
      <c r="D191" s="9" t="n"/>
      <c r="E191" s="9" t="n"/>
      <c r="F191" s="9" t="n"/>
    </row>
    <row r="192" ht="14.25" customHeight="1" s="37">
      <c r="A192" s="9" t="n"/>
      <c r="B192" s="9" t="n"/>
      <c r="C192" s="9" t="n"/>
      <c r="D192" s="9" t="n"/>
      <c r="E192" s="9" t="n"/>
      <c r="F192" s="9" t="n"/>
    </row>
    <row r="193" ht="14.25" customHeight="1" s="37">
      <c r="A193" s="9" t="n"/>
      <c r="B193" s="9" t="n"/>
      <c r="C193" s="9" t="n"/>
      <c r="D193" s="9" t="n"/>
      <c r="E193" s="9" t="n"/>
      <c r="F193" s="9" t="n"/>
    </row>
    <row r="194" ht="14.25" customHeight="1" s="37">
      <c r="A194" s="9" t="n"/>
      <c r="B194" s="9" t="n"/>
      <c r="C194" s="9" t="n"/>
      <c r="D194" s="9" t="n"/>
      <c r="E194" s="9" t="n"/>
      <c r="F194" s="9" t="n"/>
    </row>
    <row r="195" ht="14.25" customHeight="1" s="37">
      <c r="A195" s="9" t="n"/>
      <c r="B195" s="9" t="n"/>
      <c r="C195" s="9" t="n"/>
      <c r="D195" s="9" t="n"/>
      <c r="E195" s="9" t="n"/>
      <c r="F195" s="9" t="n"/>
    </row>
    <row r="196" ht="14.25" customHeight="1" s="37">
      <c r="A196" s="9" t="n"/>
      <c r="B196" s="9" t="n"/>
      <c r="C196" s="9" t="n"/>
      <c r="D196" s="9" t="n"/>
      <c r="E196" s="9" t="n"/>
      <c r="F196" s="9" t="n"/>
    </row>
    <row r="197" ht="14.25" customHeight="1" s="37">
      <c r="A197" s="9" t="n"/>
      <c r="B197" s="9" t="n"/>
      <c r="C197" s="9" t="n"/>
      <c r="D197" s="9" t="n"/>
      <c r="E197" s="9" t="n"/>
      <c r="F197" s="9" t="n"/>
    </row>
    <row r="198" ht="14.25" customHeight="1" s="37">
      <c r="A198" s="9" t="n"/>
      <c r="B198" s="9" t="n"/>
      <c r="C198" s="9" t="n"/>
      <c r="D198" s="9" t="n"/>
      <c r="E198" s="9" t="n"/>
      <c r="F198" s="9" t="n"/>
    </row>
    <row r="199" ht="14.25" customHeight="1" s="37">
      <c r="A199" s="9" t="n"/>
      <c r="B199" s="9" t="n"/>
      <c r="C199" s="9" t="n"/>
      <c r="D199" s="9" t="n"/>
      <c r="E199" s="9" t="n"/>
      <c r="F199" s="9" t="n"/>
    </row>
    <row r="200" ht="14.25" customHeight="1" s="37">
      <c r="A200" s="9" t="n"/>
      <c r="B200" s="9" t="n"/>
      <c r="C200" s="9" t="n"/>
      <c r="D200" s="9" t="n"/>
      <c r="E200" s="9" t="n"/>
      <c r="F200" s="9" t="n"/>
    </row>
    <row r="201" ht="14.25" customHeight="1" s="37">
      <c r="A201" s="9" t="n"/>
      <c r="B201" s="9" t="n"/>
      <c r="C201" s="9" t="n"/>
      <c r="D201" s="9" t="n"/>
      <c r="E201" s="9" t="n"/>
      <c r="F201" s="9" t="n"/>
    </row>
    <row r="202" ht="14.25" customHeight="1" s="37">
      <c r="A202" s="9" t="n"/>
      <c r="B202" s="9" t="n"/>
      <c r="C202" s="9" t="n"/>
      <c r="D202" s="9" t="n"/>
      <c r="E202" s="9" t="n"/>
      <c r="F202" s="9" t="n"/>
    </row>
    <row r="203" ht="14.25" customHeight="1" s="37">
      <c r="A203" s="9" t="n"/>
      <c r="B203" s="9" t="n"/>
      <c r="C203" s="9" t="n"/>
      <c r="D203" s="9" t="n"/>
      <c r="E203" s="9" t="n"/>
      <c r="F203" s="9" t="n"/>
    </row>
    <row r="204" ht="14.25" customHeight="1" s="37">
      <c r="A204" s="9" t="n"/>
      <c r="B204" s="9" t="n"/>
      <c r="C204" s="9" t="n"/>
      <c r="D204" s="9" t="n"/>
      <c r="E204" s="9" t="n"/>
      <c r="F204" s="9" t="n"/>
    </row>
    <row r="205" ht="14.25" customHeight="1" s="37">
      <c r="A205" s="9" t="n"/>
      <c r="B205" s="9" t="n"/>
      <c r="C205" s="9" t="n"/>
      <c r="D205" s="9" t="n"/>
      <c r="E205" s="9" t="n"/>
      <c r="F205" s="9" t="n"/>
    </row>
    <row r="206" ht="14.25" customHeight="1" s="37">
      <c r="A206" s="9" t="n"/>
      <c r="B206" s="9" t="n"/>
      <c r="C206" s="9" t="n"/>
      <c r="D206" s="9" t="n"/>
      <c r="E206" s="9" t="n"/>
      <c r="F206" s="9" t="n"/>
    </row>
    <row r="207" ht="14.25" customHeight="1" s="37">
      <c r="A207" s="9" t="n"/>
      <c r="B207" s="9" t="n"/>
      <c r="C207" s="9" t="n"/>
      <c r="D207" s="9" t="n"/>
      <c r="E207" s="9" t="n"/>
      <c r="F207" s="9" t="n"/>
    </row>
    <row r="208" ht="14.25" customHeight="1" s="37">
      <c r="A208" s="9" t="n"/>
      <c r="B208" s="9" t="n"/>
      <c r="C208" s="9" t="n"/>
      <c r="D208" s="9" t="n"/>
      <c r="E208" s="9" t="n"/>
      <c r="F208" s="9" t="n"/>
    </row>
    <row r="209" ht="14.25" customHeight="1" s="37">
      <c r="A209" s="9" t="n"/>
      <c r="B209" s="9" t="n"/>
      <c r="C209" s="9" t="n"/>
      <c r="D209" s="9" t="n"/>
      <c r="E209" s="9" t="n"/>
      <c r="F209" s="9" t="n"/>
    </row>
    <row r="210" ht="14.25" customHeight="1" s="37">
      <c r="A210" s="9" t="n"/>
      <c r="B210" s="9" t="n"/>
      <c r="C210" s="9" t="n"/>
      <c r="D210" s="9" t="n"/>
      <c r="E210" s="9" t="n"/>
      <c r="F210" s="9" t="n"/>
    </row>
    <row r="211" ht="14.25" customHeight="1" s="37">
      <c r="A211" s="9" t="n"/>
      <c r="B211" s="9" t="n"/>
      <c r="C211" s="9" t="n"/>
      <c r="D211" s="9" t="n"/>
      <c r="E211" s="9" t="n"/>
      <c r="F211" s="9" t="n"/>
    </row>
    <row r="212" ht="14.25" customHeight="1" s="37">
      <c r="A212" s="9" t="n"/>
      <c r="B212" s="9" t="n"/>
      <c r="C212" s="9" t="n"/>
      <c r="D212" s="9" t="n"/>
      <c r="E212" s="9" t="n"/>
      <c r="F212" s="9" t="n"/>
    </row>
    <row r="213" ht="14.25" customHeight="1" s="37">
      <c r="A213" s="9" t="n"/>
      <c r="B213" s="9" t="n"/>
      <c r="C213" s="9" t="n"/>
      <c r="D213" s="9" t="n"/>
      <c r="E213" s="9" t="n"/>
      <c r="F213" s="9" t="n"/>
    </row>
    <row r="214" ht="14.25" customHeight="1" s="37">
      <c r="A214" s="9" t="n"/>
      <c r="B214" s="9" t="n"/>
      <c r="C214" s="9" t="n"/>
      <c r="D214" s="9" t="n"/>
      <c r="E214" s="9" t="n"/>
      <c r="F214" s="9" t="n"/>
    </row>
    <row r="215" ht="14.25" customHeight="1" s="37">
      <c r="A215" s="9" t="n"/>
      <c r="B215" s="9" t="n"/>
      <c r="C215" s="9" t="n"/>
      <c r="D215" s="9" t="n"/>
      <c r="E215" s="9" t="n"/>
      <c r="F215" s="9" t="n"/>
    </row>
    <row r="216" ht="14.25" customHeight="1" s="37">
      <c r="A216" s="9" t="n"/>
      <c r="B216" s="9" t="n"/>
      <c r="C216" s="9" t="n"/>
      <c r="D216" s="9" t="n"/>
      <c r="E216" s="9" t="n"/>
      <c r="F216" s="9" t="n"/>
    </row>
    <row r="217" ht="14.25" customHeight="1" s="37">
      <c r="A217" s="9" t="n"/>
      <c r="B217" s="9" t="n"/>
      <c r="C217" s="9" t="n"/>
      <c r="D217" s="9" t="n"/>
      <c r="E217" s="9" t="n"/>
      <c r="F217" s="9" t="n"/>
    </row>
    <row r="218" ht="14.25" customHeight="1" s="37">
      <c r="A218" s="9" t="n"/>
      <c r="B218" s="9" t="n"/>
      <c r="C218" s="9" t="n"/>
      <c r="D218" s="9" t="n"/>
      <c r="E218" s="9" t="n"/>
      <c r="F218" s="9" t="n"/>
    </row>
    <row r="219" ht="14.25" customHeight="1" s="37">
      <c r="A219" s="9" t="n"/>
      <c r="B219" s="9" t="n"/>
      <c r="C219" s="9" t="n"/>
      <c r="D219" s="9" t="n"/>
      <c r="E219" s="9" t="n"/>
      <c r="F219" s="9" t="n"/>
    </row>
    <row r="220" ht="14.25" customHeight="1" s="37">
      <c r="E220" s="11" t="n"/>
    </row>
    <row r="221" ht="14.25" customHeight="1" s="37">
      <c r="E221" s="11" t="n"/>
    </row>
    <row r="222" ht="14.25" customHeight="1" s="37">
      <c r="E222" s="11" t="n"/>
    </row>
    <row r="223" ht="14.25" customHeight="1" s="37">
      <c r="E223" s="11" t="n"/>
    </row>
    <row r="224" ht="14.25" customHeight="1" s="37">
      <c r="E224" s="11" t="n"/>
    </row>
    <row r="225" ht="14.25" customHeight="1" s="37">
      <c r="E225" s="11" t="n"/>
    </row>
    <row r="226" ht="14.25" customHeight="1" s="37">
      <c r="E226" s="11" t="n"/>
    </row>
    <row r="227" ht="14.25" customHeight="1" s="37">
      <c r="E227" s="11" t="n"/>
    </row>
    <row r="228" ht="14.25" customHeight="1" s="37">
      <c r="E228" s="11" t="n"/>
    </row>
    <row r="229" ht="14.25" customHeight="1" s="37">
      <c r="E229" s="11" t="n"/>
    </row>
    <row r="230" ht="14.25" customHeight="1" s="37">
      <c r="E230" s="11" t="n"/>
    </row>
    <row r="231" ht="14.25" customHeight="1" s="37">
      <c r="E231" s="11" t="n"/>
    </row>
    <row r="232" ht="14.25" customHeight="1" s="37">
      <c r="E232" s="11" t="n"/>
    </row>
    <row r="233" ht="14.25" customHeight="1" s="37">
      <c r="E233" s="11" t="n"/>
    </row>
    <row r="234" ht="14.25" customHeight="1" s="37">
      <c r="E234" s="11" t="n"/>
    </row>
    <row r="235" ht="14.25" customHeight="1" s="37">
      <c r="E235" s="11" t="n"/>
    </row>
    <row r="236" ht="14.25" customHeight="1" s="37">
      <c r="E236" s="11" t="n"/>
    </row>
    <row r="237" ht="14.25" customHeight="1" s="37">
      <c r="E237" s="11" t="n"/>
    </row>
    <row r="238" ht="14.25" customHeight="1" s="37">
      <c r="E238" s="11" t="n"/>
    </row>
    <row r="239" ht="14.25" customHeight="1" s="37">
      <c r="E239" s="11" t="n"/>
    </row>
    <row r="240" ht="14.25" customHeight="1" s="37">
      <c r="E240" s="11" t="n"/>
    </row>
    <row r="241" ht="14.25" customHeight="1" s="37">
      <c r="E241" s="11" t="n"/>
    </row>
    <row r="242" ht="14.25" customHeight="1" s="37">
      <c r="E242" s="11" t="n"/>
    </row>
    <row r="243" ht="14.25" customHeight="1" s="37">
      <c r="E243" s="11" t="n"/>
    </row>
    <row r="244" ht="14.25" customHeight="1" s="37">
      <c r="E244" s="11" t="n"/>
    </row>
    <row r="245" ht="14.25" customHeight="1" s="37">
      <c r="E245" s="11" t="n"/>
    </row>
    <row r="246" ht="14.25" customHeight="1" s="37">
      <c r="E246" s="11" t="n"/>
    </row>
    <row r="247" ht="14.25" customHeight="1" s="37">
      <c r="E247" s="11" t="n"/>
    </row>
    <row r="248" ht="14.25" customHeight="1" s="37">
      <c r="E248" s="11" t="n"/>
    </row>
    <row r="249" ht="14.25" customHeight="1" s="37">
      <c r="E249" s="11" t="n"/>
    </row>
    <row r="250" ht="14.25" customHeight="1" s="37">
      <c r="E250" s="11" t="n"/>
    </row>
    <row r="251" ht="14.25" customHeight="1" s="37">
      <c r="E251" s="11" t="n"/>
    </row>
    <row r="252" ht="14.25" customHeight="1" s="37">
      <c r="E252" s="11" t="n"/>
    </row>
    <row r="253" ht="14.25" customHeight="1" s="37">
      <c r="E253" s="11" t="n"/>
    </row>
    <row r="254" ht="14.25" customHeight="1" s="37">
      <c r="E254" s="11" t="n"/>
    </row>
    <row r="255" ht="14.25" customHeight="1" s="37">
      <c r="E255" s="11" t="n"/>
    </row>
    <row r="256" ht="14.25" customHeight="1" s="37">
      <c r="E256" s="11" t="n"/>
    </row>
    <row r="257" ht="14.25" customHeight="1" s="37">
      <c r="E257" s="11" t="n"/>
    </row>
    <row r="258" ht="14.25" customHeight="1" s="37">
      <c r="E258" s="11" t="n"/>
    </row>
    <row r="259" ht="14.25" customHeight="1" s="37">
      <c r="E259" s="11" t="n"/>
    </row>
    <row r="260" ht="14.25" customHeight="1" s="37">
      <c r="E260" s="11" t="n"/>
    </row>
    <row r="261" ht="14.25" customHeight="1" s="37">
      <c r="E261" s="11" t="n"/>
    </row>
    <row r="262" ht="14.25" customHeight="1" s="37">
      <c r="E262" s="11" t="n"/>
    </row>
    <row r="263" ht="14.25" customHeight="1" s="37">
      <c r="E263" s="11" t="n"/>
    </row>
    <row r="264" ht="14.25" customHeight="1" s="37">
      <c r="E264" s="11" t="n"/>
    </row>
    <row r="265" ht="14.25" customHeight="1" s="37">
      <c r="E265" s="11" t="n"/>
    </row>
    <row r="266" ht="14.25" customHeight="1" s="37">
      <c r="E266" s="11" t="n"/>
    </row>
    <row r="267" ht="14.25" customHeight="1" s="37">
      <c r="E267" s="11" t="n"/>
    </row>
    <row r="268" ht="14.25" customHeight="1" s="37">
      <c r="E268" s="11" t="n"/>
    </row>
    <row r="269" ht="14.25" customHeight="1" s="37">
      <c r="E269" s="11" t="n"/>
    </row>
    <row r="270" ht="14.25" customHeight="1" s="37">
      <c r="E270" s="11" t="n"/>
    </row>
    <row r="271" ht="14.25" customHeight="1" s="37">
      <c r="E271" s="11" t="n"/>
    </row>
    <row r="272" ht="14.25" customHeight="1" s="37">
      <c r="E272" s="11" t="n"/>
    </row>
    <row r="273" ht="14.25" customHeight="1" s="37">
      <c r="E273" s="11" t="n"/>
    </row>
    <row r="274" ht="14.25" customHeight="1" s="37">
      <c r="E274" s="11" t="n"/>
    </row>
    <row r="275" ht="14.25" customHeight="1" s="37">
      <c r="E275" s="11" t="n"/>
    </row>
    <row r="276" ht="14.25" customHeight="1" s="37">
      <c r="E276" s="11" t="n"/>
    </row>
    <row r="277" ht="14.25" customHeight="1" s="37">
      <c r="E277" s="11" t="n"/>
    </row>
    <row r="278" ht="14.25" customHeight="1" s="37">
      <c r="E278" s="11" t="n"/>
    </row>
    <row r="279" ht="14.25" customHeight="1" s="37">
      <c r="E279" s="11" t="n"/>
    </row>
    <row r="280" ht="14.25" customHeight="1" s="37">
      <c r="E280" s="11" t="n"/>
    </row>
    <row r="281" ht="14.25" customHeight="1" s="37">
      <c r="E281" s="11" t="n"/>
    </row>
    <row r="282" ht="14.25" customHeight="1" s="37">
      <c r="E282" s="11" t="n"/>
    </row>
    <row r="283" ht="14.25" customHeight="1" s="37">
      <c r="E283" s="11" t="n"/>
    </row>
    <row r="284" ht="14.25" customHeight="1" s="37">
      <c r="E284" s="11" t="n"/>
    </row>
    <row r="285" ht="14.25" customHeight="1" s="37">
      <c r="E285" s="11" t="n"/>
    </row>
    <row r="286" ht="14.25" customHeight="1" s="37">
      <c r="E286" s="11" t="n"/>
    </row>
    <row r="287" ht="14.25" customHeight="1" s="37">
      <c r="E287" s="11" t="n"/>
    </row>
    <row r="288" ht="14.25" customHeight="1" s="37">
      <c r="E288" s="11" t="n"/>
    </row>
    <row r="289" ht="14.25" customHeight="1" s="37">
      <c r="E289" s="11" t="n"/>
    </row>
    <row r="290" ht="14.25" customHeight="1" s="37">
      <c r="E290" s="11" t="n"/>
    </row>
    <row r="291" ht="14.25" customHeight="1" s="37">
      <c r="E291" s="11" t="n"/>
    </row>
    <row r="292" ht="14.25" customHeight="1" s="37">
      <c r="E292" s="11" t="n"/>
    </row>
    <row r="293" ht="14.25" customHeight="1" s="37">
      <c r="E293" s="11" t="n"/>
    </row>
    <row r="294" ht="14.25" customHeight="1" s="37">
      <c r="E294" s="11" t="n"/>
    </row>
    <row r="295" ht="14.25" customHeight="1" s="37">
      <c r="E295" s="11" t="n"/>
    </row>
    <row r="296" ht="14.25" customHeight="1" s="37">
      <c r="E296" s="11" t="n"/>
    </row>
    <row r="297" ht="14.25" customHeight="1" s="37">
      <c r="E297" s="11" t="n"/>
    </row>
    <row r="298" ht="14.25" customHeight="1" s="37">
      <c r="E298" s="11" t="n"/>
    </row>
    <row r="299" ht="14.25" customHeight="1" s="37">
      <c r="E299" s="11" t="n"/>
    </row>
    <row r="300" ht="14.25" customHeight="1" s="37">
      <c r="E300" s="11" t="n"/>
    </row>
    <row r="301" ht="14.25" customHeight="1" s="37">
      <c r="E301" s="11" t="n"/>
    </row>
    <row r="302" ht="14.25" customHeight="1" s="37">
      <c r="E302" s="11" t="n"/>
    </row>
    <row r="303" ht="14.25" customHeight="1" s="37">
      <c r="E303" s="11" t="n"/>
    </row>
    <row r="304" ht="14.25" customHeight="1" s="37">
      <c r="E304" s="11" t="n"/>
    </row>
    <row r="305" ht="14.25" customHeight="1" s="37">
      <c r="E305" s="11" t="n"/>
    </row>
    <row r="306" ht="14.25" customHeight="1" s="37">
      <c r="E306" s="11" t="n"/>
    </row>
    <row r="307" ht="14.25" customHeight="1" s="37">
      <c r="E307" s="11" t="n"/>
    </row>
    <row r="308" ht="14.25" customHeight="1" s="37">
      <c r="E308" s="11" t="n"/>
    </row>
    <row r="309" ht="14.25" customHeight="1" s="37">
      <c r="E309" s="11" t="n"/>
    </row>
    <row r="310" ht="14.25" customHeight="1" s="37">
      <c r="E310" s="11" t="n"/>
    </row>
    <row r="311" ht="14.25" customHeight="1" s="37">
      <c r="E311" s="11" t="n"/>
    </row>
    <row r="312" ht="14.25" customHeight="1" s="37">
      <c r="E312" s="11" t="n"/>
    </row>
    <row r="313" ht="14.25" customHeight="1" s="37">
      <c r="E313" s="11" t="n"/>
    </row>
    <row r="314" ht="14.25" customHeight="1" s="37">
      <c r="E314" s="11" t="n"/>
    </row>
    <row r="315" ht="14.25" customHeight="1" s="37">
      <c r="E315" s="11" t="n"/>
    </row>
    <row r="316" ht="14.25" customHeight="1" s="37">
      <c r="E316" s="11" t="n"/>
    </row>
    <row r="317" ht="14.25" customHeight="1" s="37">
      <c r="E317" s="11" t="n"/>
    </row>
    <row r="318" ht="14.25" customHeight="1" s="37">
      <c r="E318" s="11" t="n"/>
    </row>
    <row r="319" ht="14.25" customHeight="1" s="37">
      <c r="E319" s="11" t="n"/>
    </row>
    <row r="320" ht="14.25" customHeight="1" s="37">
      <c r="E320" s="11" t="n"/>
    </row>
    <row r="321" ht="14.25" customHeight="1" s="37">
      <c r="E321" s="11" t="n"/>
    </row>
    <row r="322" ht="14.25" customHeight="1" s="37">
      <c r="E322" s="11" t="n"/>
    </row>
    <row r="323" ht="14.25" customHeight="1" s="37">
      <c r="E323" s="11" t="n"/>
    </row>
    <row r="324" ht="14.25" customHeight="1" s="37">
      <c r="E324" s="11" t="n"/>
    </row>
    <row r="325" ht="14.25" customHeight="1" s="37">
      <c r="E325" s="11" t="n"/>
    </row>
    <row r="326" ht="14.25" customHeight="1" s="37">
      <c r="E326" s="11" t="n"/>
    </row>
    <row r="327" ht="14.25" customHeight="1" s="37">
      <c r="E327" s="11" t="n"/>
    </row>
    <row r="328" ht="14.25" customHeight="1" s="37">
      <c r="E328" s="11" t="n"/>
    </row>
    <row r="329" ht="14.25" customHeight="1" s="37">
      <c r="E329" s="11" t="n"/>
    </row>
    <row r="330" ht="14.25" customHeight="1" s="37">
      <c r="E330" s="11" t="n"/>
    </row>
    <row r="331" ht="14.25" customHeight="1" s="37">
      <c r="E331" s="11" t="n"/>
    </row>
    <row r="332" ht="14.25" customHeight="1" s="37">
      <c r="E332" s="11" t="n"/>
    </row>
    <row r="333" ht="14.25" customHeight="1" s="37">
      <c r="E333" s="11" t="n"/>
    </row>
    <row r="334" ht="14.25" customHeight="1" s="37">
      <c r="E334" s="11" t="n"/>
    </row>
    <row r="335" ht="14.25" customHeight="1" s="37">
      <c r="E335" s="11" t="n"/>
    </row>
    <row r="336" ht="14.25" customHeight="1" s="37">
      <c r="E336" s="11" t="n"/>
    </row>
    <row r="337" ht="14.25" customHeight="1" s="37">
      <c r="E337" s="11" t="n"/>
    </row>
    <row r="338" ht="14.25" customHeight="1" s="37">
      <c r="E338" s="11" t="n"/>
    </row>
    <row r="339" ht="14.25" customHeight="1" s="37">
      <c r="E339" s="11" t="n"/>
    </row>
    <row r="340" ht="14.25" customHeight="1" s="37">
      <c r="E340" s="11" t="n"/>
    </row>
    <row r="341" ht="14.25" customHeight="1" s="37">
      <c r="E341" s="11" t="n"/>
    </row>
    <row r="342" ht="14.25" customHeight="1" s="37">
      <c r="E342" s="11" t="n"/>
    </row>
    <row r="343" ht="14.25" customHeight="1" s="37">
      <c r="E343" s="11" t="n"/>
    </row>
    <row r="344" ht="14.25" customHeight="1" s="37">
      <c r="E344" s="11" t="n"/>
    </row>
    <row r="345" ht="14.25" customHeight="1" s="37">
      <c r="E345" s="11" t="n"/>
    </row>
    <row r="346" ht="14.25" customHeight="1" s="37">
      <c r="E346" s="11" t="n"/>
    </row>
    <row r="347" ht="14.25" customHeight="1" s="37">
      <c r="E347" s="11" t="n"/>
    </row>
    <row r="348" ht="14.25" customHeight="1" s="37">
      <c r="E348" s="11" t="n"/>
    </row>
    <row r="349" ht="14.25" customHeight="1" s="37">
      <c r="E349" s="11" t="n"/>
    </row>
    <row r="350" ht="14.25" customHeight="1" s="37">
      <c r="E350" s="11" t="n"/>
    </row>
    <row r="351" ht="14.25" customHeight="1" s="37">
      <c r="E351" s="11" t="n"/>
    </row>
    <row r="352" ht="14.25" customHeight="1" s="37">
      <c r="E352" s="11" t="n"/>
    </row>
    <row r="353" ht="14.25" customHeight="1" s="37">
      <c r="E353" s="11" t="n"/>
    </row>
    <row r="354" ht="14.25" customHeight="1" s="37">
      <c r="E354" s="11" t="n"/>
    </row>
    <row r="355" ht="14.25" customHeight="1" s="37">
      <c r="E355" s="11" t="n"/>
    </row>
    <row r="356" ht="14.25" customHeight="1" s="37">
      <c r="E356" s="11" t="n"/>
    </row>
    <row r="357" ht="14.25" customHeight="1" s="37">
      <c r="E357" s="11" t="n"/>
    </row>
    <row r="358" ht="14.25" customHeight="1" s="37">
      <c r="E358" s="11" t="n"/>
    </row>
    <row r="359" ht="14.25" customHeight="1" s="37">
      <c r="E359" s="11" t="n"/>
    </row>
    <row r="360" ht="14.25" customHeight="1" s="37">
      <c r="E360" s="11" t="n"/>
    </row>
    <row r="361" ht="14.25" customHeight="1" s="37">
      <c r="E361" s="11" t="n"/>
    </row>
    <row r="362" ht="14.25" customHeight="1" s="37">
      <c r="E362" s="11" t="n"/>
    </row>
    <row r="363" ht="14.25" customHeight="1" s="37">
      <c r="E363" s="11" t="n"/>
    </row>
    <row r="364" ht="14.25" customHeight="1" s="37">
      <c r="E364" s="11" t="n"/>
    </row>
    <row r="365" ht="14.25" customHeight="1" s="37">
      <c r="E365" s="11" t="n"/>
    </row>
    <row r="366" ht="14.25" customHeight="1" s="37">
      <c r="E366" s="11" t="n"/>
    </row>
    <row r="367" ht="14.25" customHeight="1" s="37">
      <c r="E367" s="11" t="n"/>
    </row>
    <row r="368" ht="14.25" customHeight="1" s="37">
      <c r="E368" s="11" t="n"/>
    </row>
    <row r="369" ht="14.25" customHeight="1" s="37">
      <c r="E369" s="11" t="n"/>
    </row>
    <row r="370" ht="14.25" customHeight="1" s="37">
      <c r="E370" s="11" t="n"/>
    </row>
    <row r="371" ht="14.25" customHeight="1" s="37">
      <c r="E371" s="11" t="n"/>
    </row>
    <row r="372" ht="14.25" customHeight="1" s="37">
      <c r="E372" s="11" t="n"/>
    </row>
    <row r="373" ht="14.25" customHeight="1" s="37">
      <c r="E373" s="11" t="n"/>
    </row>
    <row r="374" ht="14.25" customHeight="1" s="37">
      <c r="E374" s="11" t="n"/>
    </row>
    <row r="375" ht="14.25" customHeight="1" s="37">
      <c r="E375" s="11" t="n"/>
    </row>
    <row r="376" ht="14.25" customHeight="1" s="37">
      <c r="E376" s="11" t="n"/>
    </row>
    <row r="377" ht="14.25" customHeight="1" s="37">
      <c r="E377" s="11" t="n"/>
    </row>
    <row r="378" ht="14.25" customHeight="1" s="37">
      <c r="E378" s="11" t="n"/>
    </row>
    <row r="379" ht="14.25" customHeight="1" s="37">
      <c r="E379" s="11" t="n"/>
    </row>
    <row r="380" ht="14.25" customHeight="1" s="37">
      <c r="E380" s="11" t="n"/>
    </row>
    <row r="381" ht="14.25" customHeight="1" s="37">
      <c r="E381" s="11" t="n"/>
    </row>
    <row r="382" ht="14.25" customHeight="1" s="37">
      <c r="E382" s="11" t="n"/>
    </row>
    <row r="383" ht="14.25" customHeight="1" s="37">
      <c r="E383" s="11" t="n"/>
    </row>
    <row r="384" ht="14.25" customHeight="1" s="37">
      <c r="E384" s="11" t="n"/>
    </row>
    <row r="385" ht="14.25" customHeight="1" s="37">
      <c r="E385" s="11" t="n"/>
    </row>
    <row r="386" ht="14.25" customHeight="1" s="37">
      <c r="E386" s="11" t="n"/>
    </row>
    <row r="387" ht="14.25" customHeight="1" s="37">
      <c r="E387" s="11" t="n"/>
    </row>
    <row r="388" ht="14.25" customHeight="1" s="37">
      <c r="E388" s="11" t="n"/>
    </row>
    <row r="389" ht="14.25" customHeight="1" s="37">
      <c r="E389" s="11" t="n"/>
    </row>
    <row r="390" ht="14.25" customHeight="1" s="37">
      <c r="E390" s="11" t="n"/>
    </row>
    <row r="391" ht="14.25" customHeight="1" s="37">
      <c r="E391" s="11" t="n"/>
    </row>
    <row r="392" ht="14.25" customHeight="1" s="37">
      <c r="E392" s="11" t="n"/>
    </row>
    <row r="393" ht="14.25" customHeight="1" s="37">
      <c r="E393" s="11" t="n"/>
    </row>
    <row r="394" ht="14.25" customHeight="1" s="37">
      <c r="E394" s="11" t="n"/>
    </row>
    <row r="395" ht="14.25" customHeight="1" s="37">
      <c r="E395" s="11" t="n"/>
    </row>
    <row r="396" ht="14.25" customHeight="1" s="37">
      <c r="E396" s="11" t="n"/>
    </row>
    <row r="397" ht="14.25" customHeight="1" s="37">
      <c r="E397" s="11" t="n"/>
    </row>
    <row r="398" ht="14.25" customHeight="1" s="37">
      <c r="E398" s="11" t="n"/>
    </row>
    <row r="399" ht="14.25" customHeight="1" s="37">
      <c r="E399" s="11" t="n"/>
    </row>
    <row r="400" ht="14.25" customHeight="1" s="37">
      <c r="E400" s="11" t="n"/>
    </row>
    <row r="401" ht="14.25" customHeight="1" s="37">
      <c r="E401" s="11" t="n"/>
    </row>
    <row r="402" ht="14.25" customHeight="1" s="37">
      <c r="E402" s="11" t="n"/>
    </row>
    <row r="403" ht="14.25" customHeight="1" s="37">
      <c r="E403" s="11" t="n"/>
    </row>
    <row r="404" ht="14.25" customHeight="1" s="37">
      <c r="E404" s="11" t="n"/>
    </row>
    <row r="405" ht="14.25" customHeight="1" s="37">
      <c r="E405" s="11" t="n"/>
    </row>
    <row r="406" ht="14.25" customHeight="1" s="37">
      <c r="E406" s="11" t="n"/>
    </row>
    <row r="407" ht="14.25" customHeight="1" s="37">
      <c r="E407" s="11" t="n"/>
    </row>
    <row r="408" ht="14.25" customHeight="1" s="37">
      <c r="E408" s="11" t="n"/>
    </row>
    <row r="409" ht="14.25" customHeight="1" s="37">
      <c r="E409" s="11" t="n"/>
    </row>
    <row r="410" ht="14.25" customHeight="1" s="37">
      <c r="E410" s="11" t="n"/>
    </row>
    <row r="411" ht="14.25" customHeight="1" s="37">
      <c r="E411" s="11" t="n"/>
    </row>
    <row r="412" ht="14.25" customHeight="1" s="37">
      <c r="E412" s="11" t="n"/>
    </row>
    <row r="413" ht="14.25" customHeight="1" s="37">
      <c r="E413" s="11" t="n"/>
    </row>
    <row r="414" ht="14.25" customHeight="1" s="37">
      <c r="E414" s="11" t="n"/>
    </row>
    <row r="415" ht="14.25" customHeight="1" s="37">
      <c r="E415" s="11" t="n"/>
    </row>
    <row r="416" ht="14.25" customHeight="1" s="37">
      <c r="E416" s="11" t="n"/>
    </row>
    <row r="417" ht="14.25" customHeight="1" s="37">
      <c r="E417" s="11" t="n"/>
    </row>
    <row r="418" ht="14.25" customHeight="1" s="37">
      <c r="E418" s="11" t="n"/>
    </row>
    <row r="419" ht="14.25" customHeight="1" s="37">
      <c r="E419" s="11" t="n"/>
    </row>
    <row r="420" ht="14.25" customHeight="1" s="37">
      <c r="E420" s="11" t="n"/>
    </row>
    <row r="421" ht="14.25" customHeight="1" s="37">
      <c r="E421" s="11" t="n"/>
    </row>
    <row r="422" ht="14.25" customHeight="1" s="37">
      <c r="E422" s="11" t="n"/>
    </row>
    <row r="423" ht="14.25" customHeight="1" s="37">
      <c r="E423" s="11" t="n"/>
    </row>
    <row r="424" ht="14.25" customHeight="1" s="37">
      <c r="E424" s="11" t="n"/>
    </row>
    <row r="425" ht="14.25" customHeight="1" s="37">
      <c r="E425" s="11" t="n"/>
    </row>
    <row r="426" ht="14.25" customHeight="1" s="37">
      <c r="E426" s="11" t="n"/>
    </row>
    <row r="427" ht="14.25" customHeight="1" s="37">
      <c r="E427" s="11" t="n"/>
    </row>
    <row r="428" ht="14.25" customHeight="1" s="37">
      <c r="E428" s="11" t="n"/>
    </row>
    <row r="429" ht="14.25" customHeight="1" s="37">
      <c r="E429" s="11" t="n"/>
    </row>
    <row r="430" ht="14.25" customHeight="1" s="37">
      <c r="E430" s="11" t="n"/>
    </row>
    <row r="431" ht="14.25" customHeight="1" s="37">
      <c r="E431" s="11" t="n"/>
    </row>
    <row r="432" ht="14.25" customHeight="1" s="37">
      <c r="E432" s="11" t="n"/>
    </row>
    <row r="433" ht="14.25" customHeight="1" s="37">
      <c r="E433" s="11" t="n"/>
    </row>
    <row r="434" ht="14.25" customHeight="1" s="37">
      <c r="E434" s="11" t="n"/>
    </row>
    <row r="435" ht="14.25" customHeight="1" s="37">
      <c r="E435" s="11" t="n"/>
    </row>
    <row r="436" ht="14.25" customHeight="1" s="37">
      <c r="E436" s="11" t="n"/>
    </row>
    <row r="437" ht="14.25" customHeight="1" s="37">
      <c r="E437" s="11" t="n"/>
    </row>
    <row r="438" ht="14.25" customHeight="1" s="37">
      <c r="E438" s="11" t="n"/>
    </row>
    <row r="439" ht="14.25" customHeight="1" s="37">
      <c r="E439" s="11" t="n"/>
    </row>
    <row r="440" ht="14.25" customHeight="1" s="37">
      <c r="E440" s="11" t="n"/>
    </row>
    <row r="441" ht="14.25" customHeight="1" s="37">
      <c r="E441" s="11" t="n"/>
    </row>
    <row r="442" ht="14.25" customHeight="1" s="37">
      <c r="E442" s="11" t="n"/>
    </row>
    <row r="443" ht="14.25" customHeight="1" s="37">
      <c r="E443" s="11" t="n"/>
    </row>
    <row r="444" ht="14.25" customHeight="1" s="37">
      <c r="E444" s="11" t="n"/>
    </row>
    <row r="445" ht="14.25" customHeight="1" s="37">
      <c r="E445" s="11" t="n"/>
    </row>
    <row r="446" ht="14.25" customHeight="1" s="37">
      <c r="E446" s="11" t="n"/>
    </row>
    <row r="447" ht="14.25" customHeight="1" s="37">
      <c r="E447" s="11" t="n"/>
    </row>
    <row r="448" ht="14.25" customHeight="1" s="37">
      <c r="E448" s="11" t="n"/>
    </row>
    <row r="449" ht="14.25" customHeight="1" s="37">
      <c r="E449" s="11" t="n"/>
    </row>
    <row r="450" ht="14.25" customHeight="1" s="37">
      <c r="E450" s="11" t="n"/>
    </row>
    <row r="451" ht="14.25" customHeight="1" s="37">
      <c r="E451" s="11" t="n"/>
    </row>
    <row r="452" ht="14.25" customHeight="1" s="37">
      <c r="E452" s="11" t="n"/>
    </row>
    <row r="453" ht="14.25" customHeight="1" s="37">
      <c r="E453" s="11" t="n"/>
    </row>
    <row r="454" ht="14.25" customHeight="1" s="37">
      <c r="E454" s="11" t="n"/>
    </row>
    <row r="455" ht="14.25" customHeight="1" s="37">
      <c r="E455" s="11" t="n"/>
    </row>
    <row r="456" ht="14.25" customHeight="1" s="37">
      <c r="E456" s="11" t="n"/>
    </row>
    <row r="457" ht="14.25" customHeight="1" s="37">
      <c r="E457" s="11" t="n"/>
    </row>
    <row r="458" ht="14.25" customHeight="1" s="37">
      <c r="E458" s="11" t="n"/>
    </row>
    <row r="459" ht="14.25" customHeight="1" s="37">
      <c r="E459" s="11" t="n"/>
    </row>
    <row r="460" ht="14.25" customHeight="1" s="37">
      <c r="E460" s="11" t="n"/>
    </row>
    <row r="461" ht="14.25" customHeight="1" s="37">
      <c r="E461" s="11" t="n"/>
    </row>
    <row r="462" ht="14.25" customHeight="1" s="37">
      <c r="E462" s="11" t="n"/>
    </row>
    <row r="463" ht="14.25" customHeight="1" s="37">
      <c r="E463" s="11" t="n"/>
    </row>
    <row r="464" ht="14.25" customHeight="1" s="37">
      <c r="E464" s="11" t="n"/>
    </row>
    <row r="465" ht="14.25" customHeight="1" s="37">
      <c r="E465" s="11" t="n"/>
    </row>
    <row r="466" ht="14.25" customHeight="1" s="37">
      <c r="E466" s="11" t="n"/>
    </row>
    <row r="467" ht="14.25" customHeight="1" s="37">
      <c r="E467" s="11" t="n"/>
    </row>
    <row r="468" ht="14.25" customHeight="1" s="37">
      <c r="E468" s="11" t="n"/>
    </row>
    <row r="469" ht="14.25" customHeight="1" s="37">
      <c r="E469" s="11" t="n"/>
    </row>
    <row r="470" ht="14.25" customHeight="1" s="37">
      <c r="E470" s="11" t="n"/>
    </row>
    <row r="471" ht="14.25" customHeight="1" s="37">
      <c r="E471" s="11" t="n"/>
    </row>
    <row r="472" ht="14.25" customHeight="1" s="37">
      <c r="E472" s="11" t="n"/>
    </row>
    <row r="473" ht="14.25" customHeight="1" s="37">
      <c r="E473" s="11" t="n"/>
    </row>
    <row r="474" ht="14.25" customHeight="1" s="37">
      <c r="E474" s="11" t="n"/>
    </row>
    <row r="475" ht="14.25" customHeight="1" s="37">
      <c r="E475" s="11" t="n"/>
    </row>
    <row r="476" ht="14.25" customHeight="1" s="37">
      <c r="E476" s="11" t="n"/>
    </row>
    <row r="477" ht="14.25" customHeight="1" s="37">
      <c r="E477" s="11" t="n"/>
    </row>
    <row r="478" ht="14.25" customHeight="1" s="37">
      <c r="E478" s="11" t="n"/>
    </row>
    <row r="479" ht="14.25" customHeight="1" s="37">
      <c r="E479" s="11" t="n"/>
    </row>
    <row r="480" ht="14.25" customHeight="1" s="37">
      <c r="E480" s="11" t="n"/>
    </row>
    <row r="481" ht="14.25" customHeight="1" s="37">
      <c r="E481" s="11" t="n"/>
    </row>
    <row r="482" ht="14.25" customHeight="1" s="37">
      <c r="E482" s="11" t="n"/>
    </row>
    <row r="483" ht="14.25" customHeight="1" s="37">
      <c r="E483" s="11" t="n"/>
    </row>
    <row r="484" ht="14.25" customHeight="1" s="37">
      <c r="E484" s="11" t="n"/>
    </row>
    <row r="485" ht="14.25" customHeight="1" s="37">
      <c r="E485" s="11" t="n"/>
    </row>
    <row r="486" ht="14.25" customHeight="1" s="37">
      <c r="E486" s="11" t="n"/>
    </row>
    <row r="487" ht="14.25" customHeight="1" s="37">
      <c r="E487" s="11" t="n"/>
    </row>
    <row r="488" ht="14.25" customHeight="1" s="37">
      <c r="E488" s="11" t="n"/>
    </row>
    <row r="489" ht="14.25" customHeight="1" s="37">
      <c r="E489" s="11" t="n"/>
    </row>
    <row r="490" ht="14.25" customHeight="1" s="37">
      <c r="E490" s="11" t="n"/>
    </row>
    <row r="491" ht="14.25" customHeight="1" s="37">
      <c r="E491" s="11" t="n"/>
    </row>
    <row r="492" ht="14.25" customHeight="1" s="37">
      <c r="E492" s="11" t="n"/>
    </row>
    <row r="493" ht="14.25" customHeight="1" s="37">
      <c r="E493" s="11" t="n"/>
    </row>
    <row r="494" ht="14.25" customHeight="1" s="37">
      <c r="E494" s="11" t="n"/>
    </row>
    <row r="495" ht="14.25" customHeight="1" s="37">
      <c r="E495" s="11" t="n"/>
    </row>
    <row r="496" ht="14.25" customHeight="1" s="37">
      <c r="E496" s="11" t="n"/>
    </row>
    <row r="497" ht="14.25" customHeight="1" s="37">
      <c r="E497" s="11" t="n"/>
    </row>
    <row r="498" ht="14.25" customHeight="1" s="37">
      <c r="E498" s="11" t="n"/>
    </row>
    <row r="499" ht="14.25" customHeight="1" s="37">
      <c r="E499" s="11" t="n"/>
    </row>
    <row r="500" ht="14.25" customHeight="1" s="37">
      <c r="E500" s="11" t="n"/>
    </row>
    <row r="501" ht="14.25" customHeight="1" s="37">
      <c r="E501" s="11" t="n"/>
    </row>
    <row r="502" ht="14.25" customHeight="1" s="37">
      <c r="E502" s="11" t="n"/>
    </row>
    <row r="503" ht="14.25" customHeight="1" s="37">
      <c r="E503" s="11" t="n"/>
    </row>
    <row r="504" ht="14.25" customHeight="1" s="37">
      <c r="E504" s="11" t="n"/>
    </row>
    <row r="505" ht="14.25" customHeight="1" s="37">
      <c r="E505" s="11" t="n"/>
    </row>
    <row r="506" ht="14.25" customHeight="1" s="37">
      <c r="E506" s="11" t="n"/>
    </row>
    <row r="507" ht="14.25" customHeight="1" s="37">
      <c r="E507" s="11" t="n"/>
    </row>
    <row r="508" ht="14.25" customHeight="1" s="37">
      <c r="E508" s="11" t="n"/>
    </row>
    <row r="509" ht="14.25" customHeight="1" s="37">
      <c r="E509" s="11" t="n"/>
    </row>
    <row r="510" ht="14.25" customHeight="1" s="37">
      <c r="E510" s="11" t="n"/>
    </row>
    <row r="511" ht="14.25" customHeight="1" s="37">
      <c r="E511" s="11" t="n"/>
    </row>
    <row r="512" ht="14.25" customHeight="1" s="37">
      <c r="E512" s="11" t="n"/>
    </row>
    <row r="513" ht="14.25" customHeight="1" s="37">
      <c r="E513" s="11" t="n"/>
    </row>
    <row r="514" ht="14.25" customHeight="1" s="37">
      <c r="E514" s="11" t="n"/>
    </row>
    <row r="515" ht="14.25" customHeight="1" s="37">
      <c r="E515" s="11" t="n"/>
    </row>
    <row r="516" ht="14.25" customHeight="1" s="37">
      <c r="E516" s="11" t="n"/>
    </row>
    <row r="517" ht="14.25" customHeight="1" s="37">
      <c r="E517" s="11" t="n"/>
    </row>
    <row r="518" ht="14.25" customHeight="1" s="37">
      <c r="E518" s="11" t="n"/>
    </row>
    <row r="519" ht="14.25" customHeight="1" s="37">
      <c r="E519" s="11" t="n"/>
    </row>
    <row r="520" ht="14.25" customHeight="1" s="37">
      <c r="E520" s="11" t="n"/>
    </row>
    <row r="521" ht="14.25" customHeight="1" s="37">
      <c r="E521" s="11" t="n"/>
    </row>
    <row r="522" ht="14.25" customHeight="1" s="37">
      <c r="E522" s="11" t="n"/>
    </row>
    <row r="523" ht="14.25" customHeight="1" s="37">
      <c r="E523" s="11" t="n"/>
    </row>
    <row r="524" ht="14.25" customHeight="1" s="37">
      <c r="E524" s="11" t="n"/>
    </row>
    <row r="525" ht="14.25" customHeight="1" s="37">
      <c r="E525" s="11" t="n"/>
    </row>
    <row r="526" ht="14.25" customHeight="1" s="37">
      <c r="E526" s="11" t="n"/>
    </row>
    <row r="527" ht="14.25" customHeight="1" s="37">
      <c r="E527" s="11" t="n"/>
    </row>
    <row r="528" ht="14.25" customHeight="1" s="37">
      <c r="E528" s="11" t="n"/>
    </row>
    <row r="529" ht="14.25" customHeight="1" s="37">
      <c r="E529" s="11" t="n"/>
    </row>
    <row r="530" ht="14.25" customHeight="1" s="37">
      <c r="E530" s="11" t="n"/>
    </row>
    <row r="531" ht="14.25" customHeight="1" s="37">
      <c r="E531" s="11" t="n"/>
    </row>
    <row r="532" ht="14.25" customHeight="1" s="37">
      <c r="E532" s="11" t="n"/>
    </row>
    <row r="533" ht="14.25" customHeight="1" s="37">
      <c r="E533" s="11" t="n"/>
    </row>
    <row r="534" ht="14.25" customHeight="1" s="37">
      <c r="E534" s="11" t="n"/>
    </row>
    <row r="535" ht="14.25" customHeight="1" s="37">
      <c r="E535" s="11" t="n"/>
    </row>
    <row r="536" ht="14.25" customHeight="1" s="37">
      <c r="E536" s="11" t="n"/>
    </row>
    <row r="537" ht="14.25" customHeight="1" s="37">
      <c r="E537" s="11" t="n"/>
    </row>
    <row r="538" ht="14.25" customHeight="1" s="37">
      <c r="E538" s="11" t="n"/>
    </row>
    <row r="539" ht="14.25" customHeight="1" s="37">
      <c r="E539" s="11" t="n"/>
    </row>
    <row r="540" ht="14.25" customHeight="1" s="37">
      <c r="E540" s="11" t="n"/>
    </row>
    <row r="541" ht="14.25" customHeight="1" s="37">
      <c r="E541" s="11" t="n"/>
    </row>
    <row r="542" ht="14.25" customHeight="1" s="37">
      <c r="E542" s="11" t="n"/>
    </row>
    <row r="543" ht="14.25" customHeight="1" s="37">
      <c r="E543" s="11" t="n"/>
    </row>
    <row r="544" ht="14.25" customHeight="1" s="37">
      <c r="E544" s="11" t="n"/>
    </row>
    <row r="545" ht="14.25" customHeight="1" s="37">
      <c r="E545" s="11" t="n"/>
    </row>
    <row r="546" ht="14.25" customHeight="1" s="37">
      <c r="E546" s="11" t="n"/>
    </row>
    <row r="547" ht="14.25" customHeight="1" s="37">
      <c r="E547" s="11" t="n"/>
    </row>
    <row r="548" ht="14.25" customHeight="1" s="37">
      <c r="E548" s="11" t="n"/>
    </row>
    <row r="549" ht="14.25" customHeight="1" s="37">
      <c r="E549" s="11" t="n"/>
    </row>
    <row r="550" ht="14.25" customHeight="1" s="37">
      <c r="E550" s="11" t="n"/>
    </row>
    <row r="551" ht="14.25" customHeight="1" s="37">
      <c r="E551" s="11" t="n"/>
    </row>
    <row r="552" ht="14.25" customHeight="1" s="37">
      <c r="E552" s="11" t="n"/>
    </row>
    <row r="553" ht="14.25" customHeight="1" s="37">
      <c r="E553" s="11" t="n"/>
    </row>
    <row r="554" ht="14.25" customHeight="1" s="37">
      <c r="E554" s="11" t="n"/>
    </row>
    <row r="555" ht="14.25" customHeight="1" s="37">
      <c r="E555" s="11" t="n"/>
    </row>
    <row r="556" ht="14.25" customHeight="1" s="37">
      <c r="E556" s="11" t="n"/>
    </row>
    <row r="557" ht="14.25" customHeight="1" s="37">
      <c r="E557" s="11" t="n"/>
    </row>
    <row r="558" ht="14.25" customHeight="1" s="37">
      <c r="E558" s="11" t="n"/>
    </row>
    <row r="559" ht="14.25" customHeight="1" s="37">
      <c r="E559" s="11" t="n"/>
    </row>
    <row r="560" ht="14.25" customHeight="1" s="37">
      <c r="E560" s="11" t="n"/>
    </row>
    <row r="561" ht="14.25" customHeight="1" s="37">
      <c r="E561" s="11" t="n"/>
    </row>
    <row r="562" ht="14.25" customHeight="1" s="37">
      <c r="E562" s="11" t="n"/>
    </row>
    <row r="563" ht="14.25" customHeight="1" s="37">
      <c r="E563" s="11" t="n"/>
    </row>
    <row r="564" ht="14.25" customHeight="1" s="37">
      <c r="E564" s="11" t="n"/>
    </row>
    <row r="565" ht="14.25" customHeight="1" s="37">
      <c r="E565" s="11" t="n"/>
    </row>
    <row r="566" ht="14.25" customHeight="1" s="37">
      <c r="E566" s="11" t="n"/>
    </row>
    <row r="567" ht="14.25" customHeight="1" s="37">
      <c r="E567" s="11" t="n"/>
    </row>
    <row r="568" ht="14.25" customHeight="1" s="37">
      <c r="E568" s="11" t="n"/>
    </row>
    <row r="569" ht="14.25" customHeight="1" s="37">
      <c r="E569" s="11" t="n"/>
    </row>
    <row r="570" ht="14.25" customHeight="1" s="37">
      <c r="E570" s="11" t="n"/>
    </row>
    <row r="571" ht="14.25" customHeight="1" s="37">
      <c r="E571" s="11" t="n"/>
    </row>
    <row r="572" ht="14.25" customHeight="1" s="37">
      <c r="E572" s="11" t="n"/>
    </row>
    <row r="573" ht="14.25" customHeight="1" s="37">
      <c r="E573" s="11" t="n"/>
    </row>
    <row r="574" ht="14.25" customHeight="1" s="37">
      <c r="E574" s="11" t="n"/>
    </row>
    <row r="575" ht="14.25" customHeight="1" s="37">
      <c r="E575" s="11" t="n"/>
    </row>
    <row r="576" ht="14.25" customHeight="1" s="37">
      <c r="E576" s="11" t="n"/>
    </row>
    <row r="577" ht="14.25" customHeight="1" s="37">
      <c r="E577" s="11" t="n"/>
    </row>
    <row r="578" ht="14.25" customHeight="1" s="37">
      <c r="E578" s="11" t="n"/>
    </row>
    <row r="579" ht="14.25" customHeight="1" s="37">
      <c r="E579" s="11" t="n"/>
    </row>
    <row r="580" ht="14.25" customHeight="1" s="37">
      <c r="E580" s="11" t="n"/>
    </row>
    <row r="581" ht="14.25" customHeight="1" s="37">
      <c r="E581" s="11" t="n"/>
    </row>
    <row r="582" ht="14.25" customHeight="1" s="37">
      <c r="E582" s="11" t="n"/>
    </row>
    <row r="583" ht="14.25" customHeight="1" s="37">
      <c r="E583" s="11" t="n"/>
    </row>
    <row r="584" ht="14.25" customHeight="1" s="37">
      <c r="E584" s="11" t="n"/>
    </row>
    <row r="585" ht="14.25" customHeight="1" s="37">
      <c r="E585" s="11" t="n"/>
    </row>
    <row r="586" ht="14.25" customHeight="1" s="37">
      <c r="E586" s="11" t="n"/>
    </row>
    <row r="587" ht="14.25" customHeight="1" s="37">
      <c r="E587" s="11" t="n"/>
    </row>
    <row r="588" ht="14.25" customHeight="1" s="37">
      <c r="E588" s="11" t="n"/>
    </row>
    <row r="589" ht="14.25" customHeight="1" s="37">
      <c r="E589" s="11" t="n"/>
    </row>
    <row r="590" ht="14.25" customHeight="1" s="37">
      <c r="E590" s="11" t="n"/>
    </row>
    <row r="591" ht="14.25" customHeight="1" s="37">
      <c r="E591" s="11" t="n"/>
    </row>
    <row r="592" ht="14.25" customHeight="1" s="37">
      <c r="E592" s="11" t="n"/>
    </row>
    <row r="593" ht="14.25" customHeight="1" s="37">
      <c r="E593" s="11" t="n"/>
    </row>
    <row r="594" ht="14.25" customHeight="1" s="37">
      <c r="E594" s="11" t="n"/>
    </row>
    <row r="595" ht="14.25" customHeight="1" s="37">
      <c r="E595" s="11" t="n"/>
    </row>
    <row r="596" ht="14.25" customHeight="1" s="37">
      <c r="E596" s="11" t="n"/>
    </row>
    <row r="597" ht="14.25" customHeight="1" s="37">
      <c r="E597" s="11" t="n"/>
    </row>
    <row r="598" ht="14.25" customHeight="1" s="37">
      <c r="E598" s="11" t="n"/>
    </row>
    <row r="599" ht="14.25" customHeight="1" s="37">
      <c r="E599" s="11" t="n"/>
    </row>
    <row r="600" ht="14.25" customHeight="1" s="37">
      <c r="E600" s="11" t="n"/>
    </row>
    <row r="601" ht="14.25" customHeight="1" s="37">
      <c r="E601" s="11" t="n"/>
    </row>
    <row r="602" ht="14.25" customHeight="1" s="37">
      <c r="E602" s="11" t="n"/>
    </row>
    <row r="603" ht="14.25" customHeight="1" s="37">
      <c r="E603" s="11" t="n"/>
    </row>
    <row r="604" ht="14.25" customHeight="1" s="37">
      <c r="E604" s="11" t="n"/>
    </row>
    <row r="605" ht="14.25" customHeight="1" s="37">
      <c r="E605" s="11" t="n"/>
    </row>
    <row r="606" ht="14.25" customHeight="1" s="37">
      <c r="E606" s="11" t="n"/>
    </row>
    <row r="607" ht="14.25" customHeight="1" s="37">
      <c r="E607" s="11" t="n"/>
    </row>
    <row r="608" ht="14.25" customHeight="1" s="37">
      <c r="E608" s="11" t="n"/>
    </row>
    <row r="609" ht="14.25" customHeight="1" s="37">
      <c r="E609" s="11" t="n"/>
    </row>
    <row r="610" ht="14.25" customHeight="1" s="37">
      <c r="E610" s="11" t="n"/>
    </row>
    <row r="611" ht="14.25" customHeight="1" s="37">
      <c r="E611" s="11" t="n"/>
    </row>
    <row r="612" ht="14.25" customHeight="1" s="37">
      <c r="E612" s="11" t="n"/>
    </row>
    <row r="613" ht="14.25" customHeight="1" s="37">
      <c r="E613" s="11" t="n"/>
    </row>
    <row r="614" ht="14.25" customHeight="1" s="37">
      <c r="E614" s="11" t="n"/>
    </row>
    <row r="615" ht="14.25" customHeight="1" s="37">
      <c r="E615" s="11" t="n"/>
    </row>
    <row r="616" ht="14.25" customHeight="1" s="37">
      <c r="E616" s="11" t="n"/>
    </row>
    <row r="617" ht="14.25" customHeight="1" s="37">
      <c r="E617" s="11" t="n"/>
    </row>
    <row r="618" ht="14.25" customHeight="1" s="37">
      <c r="E618" s="11" t="n"/>
    </row>
    <row r="619" ht="14.25" customHeight="1" s="37">
      <c r="E619" s="11" t="n"/>
    </row>
    <row r="620" ht="14.25" customHeight="1" s="37">
      <c r="E620" s="11" t="n"/>
    </row>
    <row r="621" ht="14.25" customHeight="1" s="37">
      <c r="E621" s="11" t="n"/>
    </row>
    <row r="622" ht="14.25" customHeight="1" s="37">
      <c r="E622" s="11" t="n"/>
    </row>
    <row r="623" ht="14.25" customHeight="1" s="37">
      <c r="E623" s="11" t="n"/>
    </row>
    <row r="624" ht="14.25" customHeight="1" s="37">
      <c r="E624" s="11" t="n"/>
    </row>
    <row r="625" ht="14.25" customHeight="1" s="37">
      <c r="E625" s="11" t="n"/>
    </row>
    <row r="626" ht="14.25" customHeight="1" s="37">
      <c r="E626" s="11" t="n"/>
    </row>
    <row r="627" ht="14.25" customHeight="1" s="37">
      <c r="E627" s="11" t="n"/>
    </row>
    <row r="628" ht="14.25" customHeight="1" s="37">
      <c r="E628" s="11" t="n"/>
    </row>
    <row r="629" ht="14.25" customHeight="1" s="37">
      <c r="E629" s="11" t="n"/>
    </row>
    <row r="630" ht="14.25" customHeight="1" s="37">
      <c r="E630" s="11" t="n"/>
    </row>
    <row r="631" ht="14.25" customHeight="1" s="37">
      <c r="E631" s="11" t="n"/>
    </row>
    <row r="632" ht="14.25" customHeight="1" s="37">
      <c r="E632" s="11" t="n"/>
    </row>
    <row r="633" ht="14.25" customHeight="1" s="37">
      <c r="E633" s="11" t="n"/>
    </row>
    <row r="634" ht="14.25" customHeight="1" s="37">
      <c r="E634" s="11" t="n"/>
    </row>
    <row r="635" ht="14.25" customHeight="1" s="37">
      <c r="E635" s="11" t="n"/>
    </row>
    <row r="636" ht="14.25" customHeight="1" s="37">
      <c r="E636" s="11" t="n"/>
    </row>
    <row r="637" ht="14.25" customHeight="1" s="37">
      <c r="E637" s="11" t="n"/>
    </row>
    <row r="638" ht="14.25" customHeight="1" s="37">
      <c r="E638" s="11" t="n"/>
    </row>
    <row r="639" ht="14.25" customHeight="1" s="37">
      <c r="E639" s="11" t="n"/>
    </row>
    <row r="640" ht="14.25" customHeight="1" s="37">
      <c r="E640" s="11" t="n"/>
    </row>
    <row r="641" ht="14.25" customHeight="1" s="37">
      <c r="E641" s="11" t="n"/>
    </row>
    <row r="642" ht="14.25" customHeight="1" s="37">
      <c r="E642" s="11" t="n"/>
    </row>
    <row r="643" ht="14.25" customHeight="1" s="37">
      <c r="E643" s="11" t="n"/>
    </row>
    <row r="644" ht="14.25" customHeight="1" s="37">
      <c r="E644" s="11" t="n"/>
    </row>
    <row r="645" ht="14.25" customHeight="1" s="37">
      <c r="E645" s="11" t="n"/>
    </row>
    <row r="646" ht="14.25" customHeight="1" s="37">
      <c r="E646" s="11" t="n"/>
    </row>
    <row r="647" ht="14.25" customHeight="1" s="37">
      <c r="E647" s="11" t="n"/>
    </row>
    <row r="648" ht="14.25" customHeight="1" s="37">
      <c r="E648" s="11" t="n"/>
    </row>
    <row r="649" ht="14.25" customHeight="1" s="37">
      <c r="E649" s="11" t="n"/>
    </row>
    <row r="650" ht="14.25" customHeight="1" s="37">
      <c r="E650" s="11" t="n"/>
    </row>
    <row r="651" ht="14.25" customHeight="1" s="37">
      <c r="E651" s="11" t="n"/>
    </row>
    <row r="652" ht="14.25" customHeight="1" s="37">
      <c r="E652" s="11" t="n"/>
    </row>
    <row r="653" ht="14.25" customHeight="1" s="37">
      <c r="E653" s="11" t="n"/>
    </row>
    <row r="654" ht="14.25" customHeight="1" s="37">
      <c r="E654" s="11" t="n"/>
    </row>
    <row r="655" ht="14.25" customHeight="1" s="37">
      <c r="E655" s="11" t="n"/>
    </row>
    <row r="656" ht="14.25" customHeight="1" s="37">
      <c r="E656" s="11" t="n"/>
    </row>
    <row r="657" ht="14.25" customHeight="1" s="37">
      <c r="E657" s="11" t="n"/>
    </row>
    <row r="658" ht="14.25" customHeight="1" s="37">
      <c r="E658" s="11" t="n"/>
    </row>
    <row r="659" ht="14.25" customHeight="1" s="37">
      <c r="E659" s="11" t="n"/>
    </row>
    <row r="660" ht="14.25" customHeight="1" s="37">
      <c r="E660" s="11" t="n"/>
    </row>
    <row r="661" ht="14.25" customHeight="1" s="37">
      <c r="E661" s="11" t="n"/>
    </row>
    <row r="662" ht="14.25" customHeight="1" s="37">
      <c r="E662" s="11" t="n"/>
    </row>
    <row r="663" ht="14.25" customHeight="1" s="37">
      <c r="E663" s="11" t="n"/>
    </row>
    <row r="664" ht="14.25" customHeight="1" s="37">
      <c r="E664" s="11" t="n"/>
    </row>
    <row r="665" ht="14.25" customHeight="1" s="37">
      <c r="E665" s="11" t="n"/>
    </row>
    <row r="666" ht="14.25" customHeight="1" s="37">
      <c r="E666" s="11" t="n"/>
    </row>
    <row r="667" ht="14.25" customHeight="1" s="37">
      <c r="E667" s="11" t="n"/>
    </row>
    <row r="668" ht="14.25" customHeight="1" s="37">
      <c r="E668" s="11" t="n"/>
    </row>
    <row r="669" ht="14.25" customHeight="1" s="37">
      <c r="E669" s="11" t="n"/>
    </row>
    <row r="670" ht="14.25" customHeight="1" s="37">
      <c r="E670" s="11" t="n"/>
    </row>
    <row r="671" ht="14.25" customHeight="1" s="37">
      <c r="E671" s="11" t="n"/>
    </row>
    <row r="672" ht="14.25" customHeight="1" s="37">
      <c r="E672" s="11" t="n"/>
    </row>
    <row r="673" ht="14.25" customHeight="1" s="37">
      <c r="E673" s="11" t="n"/>
    </row>
    <row r="674" ht="14.25" customHeight="1" s="37">
      <c r="E674" s="11" t="n"/>
    </row>
    <row r="675" ht="14.25" customHeight="1" s="37">
      <c r="E675" s="11" t="n"/>
    </row>
    <row r="676" ht="14.25" customHeight="1" s="37">
      <c r="E676" s="11" t="n"/>
    </row>
    <row r="677" ht="14.25" customHeight="1" s="37">
      <c r="E677" s="11" t="n"/>
    </row>
    <row r="678" ht="14.25" customHeight="1" s="37">
      <c r="E678" s="11" t="n"/>
    </row>
    <row r="679" ht="14.25" customHeight="1" s="37">
      <c r="E679" s="11" t="n"/>
    </row>
    <row r="680" ht="14.25" customHeight="1" s="37">
      <c r="E680" s="11" t="n"/>
    </row>
    <row r="681" ht="14.25" customHeight="1" s="37">
      <c r="E681" s="11" t="n"/>
    </row>
    <row r="682" ht="14.25" customHeight="1" s="37">
      <c r="E682" s="11" t="n"/>
    </row>
    <row r="683" ht="14.25" customHeight="1" s="37">
      <c r="E683" s="11" t="n"/>
    </row>
    <row r="684" ht="14.25" customHeight="1" s="37">
      <c r="E684" s="11" t="n"/>
    </row>
    <row r="685" ht="14.25" customHeight="1" s="37">
      <c r="E685" s="11" t="n"/>
    </row>
    <row r="686" ht="14.25" customHeight="1" s="37">
      <c r="E686" s="11" t="n"/>
    </row>
    <row r="687" ht="14.25" customHeight="1" s="37">
      <c r="E687" s="11" t="n"/>
    </row>
    <row r="688" ht="14.25" customHeight="1" s="37">
      <c r="E688" s="11" t="n"/>
    </row>
    <row r="689" ht="14.25" customHeight="1" s="37">
      <c r="E689" s="11" t="n"/>
    </row>
    <row r="690" ht="14.25" customHeight="1" s="37">
      <c r="E690" s="11" t="n"/>
    </row>
    <row r="691" ht="14.25" customHeight="1" s="37">
      <c r="E691" s="11" t="n"/>
    </row>
    <row r="692" ht="14.25" customHeight="1" s="37">
      <c r="E692" s="11" t="n"/>
    </row>
    <row r="693" ht="14.25" customHeight="1" s="37">
      <c r="E693" s="11" t="n"/>
    </row>
    <row r="694" ht="14.25" customHeight="1" s="37">
      <c r="E694" s="11" t="n"/>
    </row>
    <row r="695" ht="14.25" customHeight="1" s="37">
      <c r="E695" s="11" t="n"/>
    </row>
    <row r="696" ht="14.25" customHeight="1" s="37">
      <c r="E696" s="11" t="n"/>
    </row>
    <row r="697" ht="14.25" customHeight="1" s="37">
      <c r="E697" s="11" t="n"/>
    </row>
    <row r="698" ht="14.25" customHeight="1" s="37">
      <c r="E698" s="11" t="n"/>
    </row>
    <row r="699" ht="14.25" customHeight="1" s="37">
      <c r="E699" s="11" t="n"/>
    </row>
    <row r="700" ht="14.25" customHeight="1" s="37">
      <c r="E700" s="11" t="n"/>
    </row>
    <row r="701" ht="14.25" customHeight="1" s="37">
      <c r="E701" s="11" t="n"/>
    </row>
    <row r="702" ht="14.25" customHeight="1" s="37">
      <c r="E702" s="11" t="n"/>
    </row>
    <row r="703" ht="14.25" customHeight="1" s="37">
      <c r="E703" s="11" t="n"/>
    </row>
    <row r="704" ht="14.25" customHeight="1" s="37">
      <c r="E704" s="11" t="n"/>
    </row>
    <row r="705" ht="14.25" customHeight="1" s="37">
      <c r="E705" s="11" t="n"/>
    </row>
    <row r="706" ht="14.25" customHeight="1" s="37">
      <c r="E706" s="11" t="n"/>
    </row>
    <row r="707" ht="14.25" customHeight="1" s="37">
      <c r="E707" s="11" t="n"/>
    </row>
    <row r="708" ht="14.25" customHeight="1" s="37">
      <c r="E708" s="11" t="n"/>
    </row>
    <row r="709" ht="14.25" customHeight="1" s="37">
      <c r="E709" s="11" t="n"/>
    </row>
    <row r="710" ht="14.25" customHeight="1" s="37">
      <c r="E710" s="11" t="n"/>
    </row>
    <row r="711" ht="14.25" customHeight="1" s="37">
      <c r="E711" s="11" t="n"/>
    </row>
    <row r="712" ht="14.25" customHeight="1" s="37">
      <c r="E712" s="11" t="n"/>
    </row>
    <row r="713" ht="14.25" customHeight="1" s="37">
      <c r="E713" s="11" t="n"/>
    </row>
    <row r="714" ht="14.25" customHeight="1" s="37">
      <c r="E714" s="11" t="n"/>
    </row>
    <row r="715" ht="14.25" customHeight="1" s="37">
      <c r="E715" s="11" t="n"/>
    </row>
    <row r="716" ht="14.25" customHeight="1" s="37">
      <c r="E716" s="11" t="n"/>
    </row>
    <row r="717" ht="14.25" customHeight="1" s="37">
      <c r="E717" s="11" t="n"/>
    </row>
    <row r="718" ht="14.25" customHeight="1" s="37">
      <c r="E718" s="11" t="n"/>
    </row>
    <row r="719" ht="14.25" customHeight="1" s="37">
      <c r="E719" s="11" t="n"/>
    </row>
    <row r="720" ht="14.25" customHeight="1" s="37">
      <c r="E720" s="11" t="n"/>
    </row>
    <row r="721" ht="14.25" customHeight="1" s="37">
      <c r="E721" s="11" t="n"/>
    </row>
    <row r="722" ht="14.25" customHeight="1" s="37">
      <c r="E722" s="11" t="n"/>
    </row>
    <row r="723" ht="14.25" customHeight="1" s="37">
      <c r="E723" s="11" t="n"/>
    </row>
    <row r="724" ht="14.25" customHeight="1" s="37">
      <c r="E724" s="11" t="n"/>
    </row>
    <row r="725" ht="14.25" customHeight="1" s="37">
      <c r="E725" s="11" t="n"/>
    </row>
    <row r="726" ht="14.25" customHeight="1" s="37">
      <c r="E726" s="11" t="n"/>
    </row>
    <row r="727" ht="14.25" customHeight="1" s="37">
      <c r="E727" s="11" t="n"/>
    </row>
    <row r="728" ht="14.25" customHeight="1" s="37">
      <c r="E728" s="11" t="n"/>
    </row>
    <row r="729" ht="14.25" customHeight="1" s="37">
      <c r="E729" s="11" t="n"/>
    </row>
    <row r="730" ht="14.25" customHeight="1" s="37">
      <c r="E730" s="11" t="n"/>
    </row>
    <row r="731" ht="14.25" customHeight="1" s="37">
      <c r="E731" s="11" t="n"/>
    </row>
    <row r="732" ht="14.25" customHeight="1" s="37">
      <c r="E732" s="11" t="n"/>
    </row>
    <row r="733" ht="14.25" customHeight="1" s="37">
      <c r="E733" s="11" t="n"/>
    </row>
    <row r="734" ht="14.25" customHeight="1" s="37">
      <c r="E734" s="11" t="n"/>
    </row>
    <row r="735" ht="14.25" customHeight="1" s="37">
      <c r="E735" s="11" t="n"/>
    </row>
    <row r="736" ht="14.25" customHeight="1" s="37">
      <c r="E736" s="11" t="n"/>
    </row>
    <row r="737" ht="14.25" customHeight="1" s="37">
      <c r="E737" s="11" t="n"/>
    </row>
    <row r="738" ht="14.25" customHeight="1" s="37">
      <c r="E738" s="11" t="n"/>
    </row>
    <row r="739" ht="14.25" customHeight="1" s="37">
      <c r="E739" s="11" t="n"/>
    </row>
    <row r="740" ht="14.25" customHeight="1" s="37">
      <c r="E740" s="11" t="n"/>
    </row>
    <row r="741" ht="14.25" customHeight="1" s="37">
      <c r="E741" s="11" t="n"/>
    </row>
    <row r="742" ht="14.25" customHeight="1" s="37">
      <c r="E742" s="11" t="n"/>
    </row>
    <row r="743" ht="14.25" customHeight="1" s="37">
      <c r="E743" s="11" t="n"/>
    </row>
    <row r="744" ht="14.25" customHeight="1" s="37">
      <c r="E744" s="11" t="n"/>
    </row>
    <row r="745" ht="14.25" customHeight="1" s="37">
      <c r="E745" s="11" t="n"/>
    </row>
    <row r="746" ht="14.25" customHeight="1" s="37">
      <c r="E746" s="11" t="n"/>
    </row>
    <row r="747" ht="14.25" customHeight="1" s="37">
      <c r="E747" s="11" t="n"/>
    </row>
    <row r="748" ht="14.25" customHeight="1" s="37">
      <c r="E748" s="11" t="n"/>
    </row>
    <row r="749" ht="14.25" customHeight="1" s="37">
      <c r="E749" s="11" t="n"/>
    </row>
    <row r="750" ht="14.25" customHeight="1" s="37">
      <c r="E750" s="11" t="n"/>
    </row>
    <row r="751" ht="14.25" customHeight="1" s="37">
      <c r="E751" s="11" t="n"/>
    </row>
    <row r="752" ht="14.25" customHeight="1" s="37">
      <c r="E752" s="11" t="n"/>
    </row>
    <row r="753" ht="14.25" customHeight="1" s="37">
      <c r="E753" s="11" t="n"/>
    </row>
    <row r="754" ht="14.25" customHeight="1" s="37">
      <c r="E754" s="11" t="n"/>
    </row>
    <row r="755" ht="14.25" customHeight="1" s="37">
      <c r="E755" s="11" t="n"/>
    </row>
    <row r="756" ht="14.25" customHeight="1" s="37">
      <c r="E756" s="11" t="n"/>
    </row>
    <row r="757" ht="14.25" customHeight="1" s="37">
      <c r="E757" s="11" t="n"/>
    </row>
    <row r="758" ht="14.25" customHeight="1" s="37">
      <c r="E758" s="11" t="n"/>
    </row>
    <row r="759" ht="14.25" customHeight="1" s="37">
      <c r="E759" s="11" t="n"/>
    </row>
    <row r="760" ht="14.25" customHeight="1" s="37">
      <c r="E760" s="11" t="n"/>
    </row>
    <row r="761" ht="14.25" customHeight="1" s="37">
      <c r="E761" s="11" t="n"/>
    </row>
    <row r="762" ht="14.25" customHeight="1" s="37">
      <c r="E762" s="11" t="n"/>
    </row>
    <row r="763" ht="14.25" customHeight="1" s="37">
      <c r="E763" s="11" t="n"/>
    </row>
    <row r="764" ht="14.25" customHeight="1" s="37">
      <c r="E764" s="11" t="n"/>
    </row>
    <row r="765" ht="14.25" customHeight="1" s="37">
      <c r="E765" s="11" t="n"/>
    </row>
    <row r="766" ht="14.25" customHeight="1" s="37">
      <c r="E766" s="11" t="n"/>
    </row>
    <row r="767" ht="14.25" customHeight="1" s="37">
      <c r="E767" s="11" t="n"/>
    </row>
    <row r="768" ht="14.25" customHeight="1" s="37">
      <c r="E768" s="11" t="n"/>
    </row>
    <row r="769" ht="14.25" customHeight="1" s="37">
      <c r="E769" s="11" t="n"/>
    </row>
    <row r="770" ht="14.25" customHeight="1" s="37">
      <c r="E770" s="11" t="n"/>
    </row>
    <row r="771" ht="14.25" customHeight="1" s="37">
      <c r="E771" s="11" t="n"/>
    </row>
    <row r="772" ht="14.25" customHeight="1" s="37">
      <c r="E772" s="11" t="n"/>
    </row>
    <row r="773" ht="14.25" customHeight="1" s="37">
      <c r="E773" s="11" t="n"/>
    </row>
    <row r="774" ht="14.25" customHeight="1" s="37">
      <c r="E774" s="11" t="n"/>
    </row>
    <row r="775" ht="14.25" customHeight="1" s="37">
      <c r="E775" s="11" t="n"/>
    </row>
    <row r="776" ht="14.25" customHeight="1" s="37">
      <c r="E776" s="11" t="n"/>
    </row>
    <row r="777" ht="14.25" customHeight="1" s="37">
      <c r="E777" s="11" t="n"/>
    </row>
    <row r="778" ht="14.25" customHeight="1" s="37">
      <c r="E778" s="11" t="n"/>
    </row>
    <row r="779" ht="14.25" customHeight="1" s="37">
      <c r="E779" s="11" t="n"/>
    </row>
    <row r="780" ht="14.25" customHeight="1" s="37">
      <c r="E780" s="11" t="n"/>
    </row>
    <row r="781" ht="14.25" customHeight="1" s="37">
      <c r="E781" s="11" t="n"/>
    </row>
    <row r="782" ht="14.25" customHeight="1" s="37">
      <c r="E782" s="11" t="n"/>
    </row>
    <row r="783" ht="14.25" customHeight="1" s="37">
      <c r="E783" s="11" t="n"/>
    </row>
    <row r="784" ht="14.25" customHeight="1" s="37">
      <c r="E784" s="11" t="n"/>
    </row>
    <row r="785" ht="14.25" customHeight="1" s="37">
      <c r="E785" s="11" t="n"/>
    </row>
    <row r="786" ht="14.25" customHeight="1" s="37">
      <c r="E786" s="11" t="n"/>
    </row>
    <row r="787" ht="14.25" customHeight="1" s="37">
      <c r="E787" s="11" t="n"/>
    </row>
    <row r="788" ht="14.25" customHeight="1" s="37">
      <c r="E788" s="11" t="n"/>
    </row>
    <row r="789" ht="14.25" customHeight="1" s="37">
      <c r="E789" s="11" t="n"/>
    </row>
    <row r="790" ht="14.25" customHeight="1" s="37">
      <c r="E790" s="11" t="n"/>
    </row>
    <row r="791" ht="14.25" customHeight="1" s="37">
      <c r="E791" s="11" t="n"/>
    </row>
    <row r="792" ht="14.25" customHeight="1" s="37">
      <c r="E792" s="11" t="n"/>
    </row>
    <row r="793" ht="14.25" customHeight="1" s="37">
      <c r="E793" s="11" t="n"/>
    </row>
    <row r="794" ht="14.25" customHeight="1" s="37">
      <c r="E794" s="11" t="n"/>
    </row>
    <row r="795" ht="14.25" customHeight="1" s="37">
      <c r="E795" s="11" t="n"/>
    </row>
    <row r="796" ht="14.25" customHeight="1" s="37">
      <c r="E796" s="11" t="n"/>
    </row>
    <row r="797" ht="14.25" customHeight="1" s="37">
      <c r="E797" s="11" t="n"/>
    </row>
    <row r="798" ht="14.25" customHeight="1" s="37">
      <c r="E798" s="11" t="n"/>
    </row>
    <row r="799" ht="14.25" customHeight="1" s="37">
      <c r="E799" s="11" t="n"/>
    </row>
    <row r="800" ht="14.25" customHeight="1" s="37">
      <c r="E800" s="11" t="n"/>
    </row>
    <row r="801" ht="14.25" customHeight="1" s="37">
      <c r="E801" s="11" t="n"/>
    </row>
    <row r="802" ht="14.25" customHeight="1" s="37">
      <c r="E802" s="11" t="n"/>
    </row>
    <row r="803" ht="14.25" customHeight="1" s="37">
      <c r="E803" s="11" t="n"/>
    </row>
    <row r="804" ht="14.25" customHeight="1" s="37">
      <c r="E804" s="11" t="n"/>
    </row>
    <row r="805" ht="14.25" customHeight="1" s="37">
      <c r="E805" s="11" t="n"/>
    </row>
    <row r="806" ht="14.25" customHeight="1" s="37">
      <c r="E806" s="11" t="n"/>
    </row>
    <row r="807" ht="14.25" customHeight="1" s="37">
      <c r="E807" s="11" t="n"/>
    </row>
    <row r="808" ht="14.25" customHeight="1" s="37">
      <c r="E808" s="11" t="n"/>
    </row>
    <row r="809" ht="14.25" customHeight="1" s="37">
      <c r="E809" s="11" t="n"/>
    </row>
    <row r="810" ht="14.25" customHeight="1" s="37">
      <c r="E810" s="11" t="n"/>
    </row>
    <row r="811" ht="14.25" customHeight="1" s="37">
      <c r="E811" s="11" t="n"/>
    </row>
    <row r="812" ht="14.25" customHeight="1" s="37">
      <c r="E812" s="11" t="n"/>
    </row>
    <row r="813" ht="14.25" customHeight="1" s="37">
      <c r="E813" s="11" t="n"/>
    </row>
    <row r="814" ht="14.25" customHeight="1" s="37">
      <c r="E814" s="11" t="n"/>
    </row>
    <row r="815" ht="14.25" customHeight="1" s="37">
      <c r="E815" s="11" t="n"/>
    </row>
    <row r="816" ht="14.25" customHeight="1" s="37">
      <c r="E816" s="11" t="n"/>
    </row>
    <row r="817" ht="14.25" customHeight="1" s="37">
      <c r="E817" s="11" t="n"/>
    </row>
    <row r="818" ht="14.25" customHeight="1" s="37">
      <c r="E818" s="11" t="n"/>
    </row>
    <row r="819" ht="14.25" customHeight="1" s="37">
      <c r="E819" s="11" t="n"/>
    </row>
    <row r="820" ht="14.25" customHeight="1" s="37">
      <c r="E820" s="11" t="n"/>
    </row>
    <row r="821" ht="14.25" customHeight="1" s="37">
      <c r="E821" s="11" t="n"/>
    </row>
    <row r="822" ht="14.25" customHeight="1" s="37">
      <c r="E822" s="11" t="n"/>
    </row>
    <row r="823" ht="14.25" customHeight="1" s="37">
      <c r="E823" s="11" t="n"/>
    </row>
    <row r="824" ht="14.25" customHeight="1" s="37">
      <c r="E824" s="11" t="n"/>
    </row>
    <row r="825" ht="14.25" customHeight="1" s="37">
      <c r="E825" s="11" t="n"/>
    </row>
    <row r="826" ht="14.25" customHeight="1" s="37">
      <c r="E826" s="11" t="n"/>
    </row>
    <row r="827" ht="14.25" customHeight="1" s="37">
      <c r="E827" s="11" t="n"/>
    </row>
    <row r="828" ht="14.25" customHeight="1" s="37">
      <c r="E828" s="11" t="n"/>
    </row>
    <row r="829" ht="14.25" customHeight="1" s="37">
      <c r="E829" s="11" t="n"/>
    </row>
    <row r="830" ht="14.25" customHeight="1" s="37">
      <c r="E830" s="11" t="n"/>
    </row>
    <row r="831" ht="14.25" customHeight="1" s="37">
      <c r="E831" s="11" t="n"/>
    </row>
    <row r="832" ht="14.25" customHeight="1" s="37">
      <c r="E832" s="11" t="n"/>
    </row>
    <row r="833" ht="14.25" customHeight="1" s="37">
      <c r="E833" s="11" t="n"/>
    </row>
    <row r="834" ht="14.25" customHeight="1" s="37">
      <c r="E834" s="11" t="n"/>
    </row>
    <row r="835" ht="14.25" customHeight="1" s="37">
      <c r="E835" s="11" t="n"/>
    </row>
    <row r="836" ht="14.25" customHeight="1" s="37">
      <c r="E836" s="11" t="n"/>
    </row>
    <row r="837" ht="14.25" customHeight="1" s="37">
      <c r="E837" s="11" t="n"/>
    </row>
    <row r="838" ht="14.25" customHeight="1" s="37">
      <c r="E838" s="11" t="n"/>
    </row>
    <row r="839" ht="14.25" customHeight="1" s="37">
      <c r="E839" s="11" t="n"/>
    </row>
    <row r="840" ht="14.25" customHeight="1" s="37">
      <c r="E840" s="11" t="n"/>
    </row>
    <row r="841" ht="14.25" customHeight="1" s="37">
      <c r="E841" s="11" t="n"/>
    </row>
    <row r="842" ht="14.25" customHeight="1" s="37">
      <c r="E842" s="11" t="n"/>
    </row>
    <row r="843" ht="14.25" customHeight="1" s="37">
      <c r="E843" s="11" t="n"/>
    </row>
    <row r="844" ht="14.25" customHeight="1" s="37">
      <c r="E844" s="11" t="n"/>
    </row>
    <row r="845" ht="14.25" customHeight="1" s="37">
      <c r="E845" s="11" t="n"/>
    </row>
    <row r="846" ht="14.25" customHeight="1" s="37">
      <c r="E846" s="11" t="n"/>
    </row>
    <row r="847" ht="14.25" customHeight="1" s="37">
      <c r="E847" s="11" t="n"/>
    </row>
    <row r="848" ht="14.25" customHeight="1" s="37">
      <c r="E848" s="11" t="n"/>
    </row>
    <row r="849" ht="14.25" customHeight="1" s="37">
      <c r="E849" s="11" t="n"/>
    </row>
    <row r="850" ht="14.25" customHeight="1" s="37">
      <c r="E850" s="11" t="n"/>
    </row>
    <row r="851" ht="14.25" customHeight="1" s="37">
      <c r="E851" s="11" t="n"/>
    </row>
    <row r="852" ht="14.25" customHeight="1" s="37">
      <c r="E852" s="11" t="n"/>
    </row>
    <row r="853" ht="14.25" customHeight="1" s="37">
      <c r="E853" s="11" t="n"/>
    </row>
    <row r="854" ht="14.25" customHeight="1" s="37">
      <c r="E854" s="11" t="n"/>
    </row>
    <row r="855" ht="14.25" customHeight="1" s="37">
      <c r="E855" s="11" t="n"/>
    </row>
    <row r="856" ht="14.25" customHeight="1" s="37">
      <c r="E856" s="11" t="n"/>
    </row>
    <row r="857" ht="14.25" customHeight="1" s="37">
      <c r="E857" s="11" t="n"/>
    </row>
    <row r="858" ht="14.25" customHeight="1" s="37">
      <c r="E858" s="11" t="n"/>
    </row>
    <row r="859" ht="14.25" customHeight="1" s="37">
      <c r="E859" s="11" t="n"/>
    </row>
    <row r="860" ht="14.25" customHeight="1" s="37">
      <c r="E860" s="11" t="n"/>
    </row>
    <row r="861" ht="14.25" customHeight="1" s="37">
      <c r="E861" s="11" t="n"/>
    </row>
    <row r="862" ht="14.25" customHeight="1" s="37">
      <c r="E862" s="11" t="n"/>
    </row>
    <row r="863" ht="14.25" customHeight="1" s="37">
      <c r="E863" s="11" t="n"/>
    </row>
    <row r="864" ht="14.25" customHeight="1" s="37">
      <c r="E864" s="11" t="n"/>
    </row>
    <row r="865" ht="14.25" customHeight="1" s="37">
      <c r="E865" s="11" t="n"/>
    </row>
    <row r="866" ht="14.25" customHeight="1" s="37">
      <c r="E866" s="11" t="n"/>
    </row>
    <row r="867" ht="14.25" customHeight="1" s="37">
      <c r="E867" s="11" t="n"/>
    </row>
    <row r="868" ht="14.25" customHeight="1" s="37">
      <c r="E868" s="11" t="n"/>
    </row>
    <row r="869" ht="14.25" customHeight="1" s="37">
      <c r="E869" s="11" t="n"/>
    </row>
    <row r="870" ht="14.25" customHeight="1" s="37">
      <c r="E870" s="11" t="n"/>
    </row>
    <row r="871" ht="14.25" customHeight="1" s="37">
      <c r="E871" s="11" t="n"/>
    </row>
    <row r="872" ht="14.25" customHeight="1" s="37">
      <c r="E872" s="11" t="n"/>
    </row>
    <row r="873" ht="14.25" customHeight="1" s="37">
      <c r="E873" s="11" t="n"/>
    </row>
    <row r="874" ht="14.25" customHeight="1" s="37">
      <c r="E874" s="11" t="n"/>
    </row>
    <row r="875" ht="14.25" customHeight="1" s="37">
      <c r="E875" s="11" t="n"/>
    </row>
    <row r="876" ht="14.25" customHeight="1" s="37">
      <c r="E876" s="11" t="n"/>
    </row>
    <row r="877" ht="14.25" customHeight="1" s="37">
      <c r="E877" s="11" t="n"/>
    </row>
    <row r="878" ht="14.25" customHeight="1" s="37">
      <c r="E878" s="11" t="n"/>
    </row>
    <row r="879" ht="14.25" customHeight="1" s="37">
      <c r="E879" s="11" t="n"/>
    </row>
    <row r="880" ht="14.25" customHeight="1" s="37">
      <c r="E880" s="11" t="n"/>
    </row>
    <row r="881" ht="14.25" customHeight="1" s="37">
      <c r="E881" s="11" t="n"/>
    </row>
    <row r="882" ht="14.25" customHeight="1" s="37">
      <c r="E882" s="11" t="n"/>
    </row>
    <row r="883" ht="14.25" customHeight="1" s="37">
      <c r="E883" s="11" t="n"/>
    </row>
    <row r="884" ht="14.25" customHeight="1" s="37">
      <c r="E884" s="11" t="n"/>
    </row>
    <row r="885" ht="14.25" customHeight="1" s="37">
      <c r="E885" s="11" t="n"/>
    </row>
    <row r="886" ht="14.25" customHeight="1" s="37">
      <c r="E886" s="11" t="n"/>
    </row>
    <row r="887" ht="14.25" customHeight="1" s="37">
      <c r="E887" s="11" t="n"/>
    </row>
    <row r="888" ht="14.25" customHeight="1" s="37">
      <c r="E888" s="11" t="n"/>
    </row>
    <row r="889" ht="14.25" customHeight="1" s="37">
      <c r="E889" s="11" t="n"/>
    </row>
    <row r="890" ht="14.25" customHeight="1" s="37">
      <c r="E890" s="11" t="n"/>
    </row>
    <row r="891" ht="14.25" customHeight="1" s="37">
      <c r="E891" s="11" t="n"/>
    </row>
    <row r="892" ht="14.25" customHeight="1" s="37">
      <c r="E892" s="11" t="n"/>
    </row>
    <row r="893" ht="14.25" customHeight="1" s="37">
      <c r="E893" s="11" t="n"/>
    </row>
    <row r="894" ht="14.25" customHeight="1" s="37">
      <c r="E894" s="11" t="n"/>
    </row>
    <row r="895" ht="14.25" customHeight="1" s="37">
      <c r="E895" s="11" t="n"/>
    </row>
    <row r="896" ht="14.25" customHeight="1" s="37">
      <c r="E896" s="11" t="n"/>
    </row>
    <row r="897" ht="14.25" customHeight="1" s="37">
      <c r="E897" s="11" t="n"/>
    </row>
    <row r="898" ht="14.25" customHeight="1" s="37">
      <c r="E898" s="11" t="n"/>
    </row>
    <row r="899" ht="14.25" customHeight="1" s="37">
      <c r="E899" s="11" t="n"/>
    </row>
    <row r="900" ht="14.25" customHeight="1" s="37">
      <c r="E900" s="11" t="n"/>
    </row>
    <row r="901" ht="14.25" customHeight="1" s="37">
      <c r="E901" s="11" t="n"/>
    </row>
    <row r="902" ht="14.25" customHeight="1" s="37">
      <c r="E902" s="11" t="n"/>
    </row>
    <row r="903" ht="14.25" customHeight="1" s="37">
      <c r="E903" s="11" t="n"/>
    </row>
    <row r="904" ht="14.25" customHeight="1" s="37">
      <c r="E904" s="11" t="n"/>
    </row>
    <row r="905" ht="14.25" customHeight="1" s="37">
      <c r="E905" s="11" t="n"/>
    </row>
    <row r="906" ht="14.25" customHeight="1" s="37">
      <c r="E906" s="11" t="n"/>
    </row>
    <row r="907" ht="14.25" customHeight="1" s="37">
      <c r="E907" s="11" t="n"/>
    </row>
    <row r="908" ht="14.25" customHeight="1" s="37">
      <c r="E908" s="11" t="n"/>
    </row>
    <row r="909" ht="14.25" customHeight="1" s="37">
      <c r="E909" s="11" t="n"/>
    </row>
    <row r="910" ht="14.25" customHeight="1" s="37">
      <c r="E910" s="11" t="n"/>
    </row>
    <row r="911" ht="14.25" customHeight="1" s="37">
      <c r="E911" s="11" t="n"/>
    </row>
    <row r="912" ht="14.25" customHeight="1" s="37">
      <c r="E912" s="11" t="n"/>
    </row>
    <row r="913" ht="14.25" customHeight="1" s="37">
      <c r="E913" s="11" t="n"/>
    </row>
    <row r="914" ht="14.25" customHeight="1" s="37">
      <c r="E914" s="11" t="n"/>
    </row>
    <row r="915" ht="14.25" customHeight="1" s="37">
      <c r="E915" s="11" t="n"/>
    </row>
    <row r="916" ht="14.25" customHeight="1" s="37">
      <c r="E916" s="11" t="n"/>
    </row>
    <row r="917" ht="14.25" customHeight="1" s="37">
      <c r="E917" s="11" t="n"/>
    </row>
    <row r="918" ht="14.25" customHeight="1" s="37">
      <c r="E918" s="11" t="n"/>
    </row>
    <row r="919" ht="14.25" customHeight="1" s="37">
      <c r="E919" s="11" t="n"/>
    </row>
    <row r="920" ht="14.25" customHeight="1" s="37">
      <c r="E920" s="11" t="n"/>
    </row>
    <row r="921" ht="14.25" customHeight="1" s="37">
      <c r="E921" s="11" t="n"/>
    </row>
    <row r="922" ht="14.25" customHeight="1" s="37">
      <c r="E922" s="11" t="n"/>
    </row>
    <row r="923" ht="14.25" customHeight="1" s="37">
      <c r="E923" s="11" t="n"/>
    </row>
    <row r="924" ht="14.25" customHeight="1" s="37">
      <c r="E924" s="11" t="n"/>
    </row>
    <row r="925" ht="14.25" customHeight="1" s="37">
      <c r="E925" s="11" t="n"/>
    </row>
    <row r="926" ht="14.25" customHeight="1" s="37">
      <c r="E926" s="11" t="n"/>
    </row>
    <row r="927" ht="14.25" customHeight="1" s="37">
      <c r="E927" s="11" t="n"/>
    </row>
    <row r="928" ht="14.25" customHeight="1" s="37">
      <c r="E928" s="11" t="n"/>
    </row>
    <row r="929" ht="14.25" customHeight="1" s="37">
      <c r="E929" s="11" t="n"/>
    </row>
    <row r="930" ht="14.25" customHeight="1" s="37">
      <c r="E930" s="11" t="n"/>
    </row>
    <row r="931" ht="14.25" customHeight="1" s="37">
      <c r="E931" s="11" t="n"/>
    </row>
    <row r="932" ht="14.25" customHeight="1" s="37">
      <c r="E932" s="11" t="n"/>
    </row>
    <row r="933" ht="14.25" customHeight="1" s="37">
      <c r="E933" s="11" t="n"/>
    </row>
    <row r="934" ht="14.25" customHeight="1" s="37">
      <c r="E934" s="11" t="n"/>
    </row>
    <row r="935" ht="14.25" customHeight="1" s="37">
      <c r="E935" s="11" t="n"/>
    </row>
    <row r="936" ht="14.25" customHeight="1" s="37">
      <c r="E936" s="11" t="n"/>
    </row>
    <row r="937" ht="14.25" customHeight="1" s="37">
      <c r="E937" s="11" t="n"/>
    </row>
    <row r="938" ht="14.25" customHeight="1" s="37">
      <c r="E938" s="11" t="n"/>
    </row>
    <row r="939" ht="14.25" customHeight="1" s="37">
      <c r="E939" s="11" t="n"/>
    </row>
    <row r="940" ht="14.25" customHeight="1" s="37">
      <c r="E940" s="11" t="n"/>
    </row>
    <row r="941" ht="14.25" customHeight="1" s="37">
      <c r="E941" s="11" t="n"/>
    </row>
    <row r="942" ht="14.25" customHeight="1" s="37">
      <c r="E942" s="11" t="n"/>
    </row>
    <row r="943" ht="14.25" customHeight="1" s="37">
      <c r="E943" s="11" t="n"/>
    </row>
    <row r="944" ht="14.25" customHeight="1" s="37">
      <c r="E944" s="11" t="n"/>
    </row>
    <row r="945" ht="14.25" customHeight="1" s="37">
      <c r="E945" s="11" t="n"/>
    </row>
    <row r="946" ht="14.25" customHeight="1" s="37">
      <c r="E946" s="11" t="n"/>
    </row>
    <row r="947" ht="14.25" customHeight="1" s="37">
      <c r="E947" s="11" t="n"/>
    </row>
    <row r="948" ht="14.25" customHeight="1" s="37">
      <c r="E948" s="11" t="n"/>
    </row>
    <row r="949" ht="14.25" customHeight="1" s="37">
      <c r="E949" s="11" t="n"/>
    </row>
    <row r="950" ht="14.25" customHeight="1" s="37">
      <c r="E950" s="11" t="n"/>
    </row>
    <row r="951" ht="14.25" customHeight="1" s="37">
      <c r="E951" s="11" t="n"/>
    </row>
    <row r="952" ht="14.25" customHeight="1" s="37">
      <c r="E952" s="11" t="n"/>
    </row>
    <row r="953" ht="14.25" customHeight="1" s="37">
      <c r="E953" s="11" t="n"/>
    </row>
    <row r="954" ht="14.25" customHeight="1" s="37">
      <c r="E954" s="11" t="n"/>
    </row>
    <row r="955" ht="14.25" customHeight="1" s="37">
      <c r="E955" s="11" t="n"/>
    </row>
    <row r="956" ht="14.25" customHeight="1" s="37">
      <c r="E956" s="11" t="n"/>
    </row>
    <row r="957" ht="14.25" customHeight="1" s="37">
      <c r="E957" s="11" t="n"/>
    </row>
    <row r="958" ht="14.25" customHeight="1" s="37">
      <c r="E958" s="11" t="n"/>
    </row>
    <row r="959" ht="14.25" customHeight="1" s="37">
      <c r="E959" s="11" t="n"/>
    </row>
    <row r="960" ht="14.25" customHeight="1" s="37">
      <c r="E960" s="11" t="n"/>
    </row>
    <row r="961" ht="14.25" customHeight="1" s="37">
      <c r="E961" s="11" t="n"/>
    </row>
    <row r="962" ht="14.25" customHeight="1" s="37">
      <c r="E962" s="11" t="n"/>
    </row>
    <row r="963" ht="14.25" customHeight="1" s="37">
      <c r="E963" s="11" t="n"/>
    </row>
    <row r="964" ht="14.25" customHeight="1" s="37">
      <c r="E964" s="11" t="n"/>
    </row>
    <row r="965" ht="14.25" customHeight="1" s="37">
      <c r="E965" s="11" t="n"/>
    </row>
    <row r="966" ht="14.25" customHeight="1" s="37">
      <c r="E966" s="11" t="n"/>
    </row>
    <row r="967" ht="14.25" customHeight="1" s="37">
      <c r="E967" s="11" t="n"/>
    </row>
    <row r="968" ht="14.25" customHeight="1" s="37">
      <c r="E968" s="11" t="n"/>
    </row>
    <row r="969" ht="14.25" customHeight="1" s="37">
      <c r="E969" s="11" t="n"/>
    </row>
    <row r="970" ht="14.25" customHeight="1" s="37">
      <c r="E970" s="11" t="n"/>
    </row>
    <row r="971" ht="14.25" customHeight="1" s="37">
      <c r="E971" s="11" t="n"/>
    </row>
    <row r="972" ht="14.25" customHeight="1" s="37">
      <c r="E972" s="11" t="n"/>
    </row>
    <row r="973" ht="14.25" customHeight="1" s="37">
      <c r="E973" s="11" t="n"/>
    </row>
    <row r="974" ht="14.25" customHeight="1" s="37">
      <c r="E974" s="11" t="n"/>
    </row>
    <row r="975" ht="14.25" customHeight="1" s="37">
      <c r="E975" s="11" t="n"/>
    </row>
    <row r="976" ht="14.25" customHeight="1" s="37">
      <c r="E976" s="11" t="n"/>
    </row>
    <row r="977" ht="14.25" customHeight="1" s="37">
      <c r="E977" s="11" t="n"/>
    </row>
    <row r="978" ht="14.25" customHeight="1" s="37">
      <c r="E978" s="11" t="n"/>
    </row>
    <row r="979" ht="14.25" customHeight="1" s="37">
      <c r="E979" s="11" t="n"/>
    </row>
    <row r="980" ht="14.25" customHeight="1" s="37">
      <c r="E980" s="11" t="n"/>
    </row>
    <row r="981" ht="14.25" customHeight="1" s="37">
      <c r="E981" s="11" t="n"/>
    </row>
    <row r="982" ht="14.25" customHeight="1" s="37">
      <c r="E982" s="11" t="n"/>
    </row>
    <row r="983" ht="14.25" customHeight="1" s="37">
      <c r="E983" s="11" t="n"/>
    </row>
    <row r="984" ht="14.25" customHeight="1" s="37">
      <c r="E984" s="11" t="n"/>
    </row>
    <row r="985" ht="14.25" customHeight="1" s="37">
      <c r="E985" s="11" t="n"/>
    </row>
    <row r="986" ht="14.25" customHeight="1" s="37">
      <c r="E986" s="11" t="n"/>
    </row>
    <row r="987" ht="14.25" customHeight="1" s="37">
      <c r="E987" s="11" t="n"/>
    </row>
    <row r="988" ht="14.25" customHeight="1" s="37">
      <c r="E988" s="11" t="n"/>
    </row>
    <row r="989" ht="14.25" customHeight="1" s="37">
      <c r="E989" s="11" t="n"/>
    </row>
    <row r="990" ht="14.25" customHeight="1" s="37">
      <c r="E990" s="11" t="n"/>
    </row>
    <row r="991" ht="14.25" customHeight="1" s="37">
      <c r="E991" s="11" t="n"/>
    </row>
    <row r="992" ht="14.25" customHeight="1" s="37">
      <c r="E992" s="11" t="n"/>
    </row>
    <row r="993" ht="14.25" customHeight="1" s="37">
      <c r="E993" s="11" t="n"/>
    </row>
    <row r="994" ht="14.25" customHeight="1" s="37">
      <c r="E994" s="11" t="n"/>
    </row>
    <row r="995" ht="14.25" customHeight="1" s="37">
      <c r="E995" s="11" t="n"/>
    </row>
    <row r="996" ht="14.25" customHeight="1" s="37">
      <c r="E996" s="11" t="n"/>
    </row>
    <row r="997" ht="14.25" customHeight="1" s="37">
      <c r="E997" s="11" t="n"/>
    </row>
    <row r="998" ht="14.25" customHeight="1" s="37">
      <c r="E998" s="11" t="n"/>
    </row>
    <row r="999" ht="14.25" customHeight="1" s="37">
      <c r="E999" s="11" t="n"/>
    </row>
    <row r="1000" ht="14.25" customHeight="1" s="37">
      <c r="E1000" s="11" t="n"/>
    </row>
    <row r="1001" ht="14.25" customHeight="1" s="37"/>
  </sheetData>
  <autoFilter ref="$A$1:$F$1001"/>
  <dataValidations count="1">
    <dataValidation sqref="E2:E1001" showDropDown="0" showInputMessage="0" showErrorMessage="0" allowBlank="1" type="list">
      <formula1>LIST!$F$2:$F$5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30" customWidth="1" style="37" min="2" max="2"/>
    <col width="22" customWidth="1" style="37" min="3" max="3"/>
    <col width="20" customWidth="1" style="37" min="4" max="4"/>
    <col width="24" customWidth="1" style="37" min="5" max="5"/>
    <col width="30" customWidth="1" style="37" min="6" max="6"/>
    <col width="9" customWidth="1" style="37" min="7" max="26"/>
  </cols>
  <sheetData>
    <row r="1" ht="14.25" customHeight="1" s="37">
      <c r="A1" s="7" t="inlineStr">
        <is>
          <t>ID KK</t>
        </is>
      </c>
      <c r="B1" s="7" t="inlineStr">
        <is>
          <t>Nama Pasangan</t>
        </is>
      </c>
      <c r="C1" s="7" t="inlineStr">
        <is>
          <t>Lingkungan</t>
        </is>
      </c>
      <c r="D1" s="7" t="inlineStr">
        <is>
          <t>Tanggal Pembubaran</t>
        </is>
      </c>
      <c r="E1" s="7" t="inlineStr">
        <is>
          <t>Pelaksanaan Lewat</t>
        </is>
      </c>
      <c r="F1" s="7" t="inlineStr">
        <is>
          <t>Keterangan</t>
        </is>
      </c>
    </row>
    <row r="2" ht="14.25" customHeight="1" s="37">
      <c r="A2" s="38" t="inlineStr">
        <is>
          <t>KK0001</t>
        </is>
      </c>
      <c r="B2" s="9" t="n"/>
      <c r="C2" s="9" t="inlineStr">
        <is>
          <t>St. Maria Immacula</t>
        </is>
      </c>
      <c r="D2" s="9" t="n"/>
      <c r="E2" s="9" t="n"/>
      <c r="F2" s="9" t="n"/>
    </row>
    <row r="3" ht="14.25" customHeight="1" s="37">
      <c r="A3" s="38" t="inlineStr">
        <is>
          <t>KK0002</t>
        </is>
      </c>
      <c r="B3" s="9" t="n"/>
      <c r="C3" s="9" t="inlineStr">
        <is>
          <t>St. Maria Immacula</t>
        </is>
      </c>
      <c r="D3" s="9" t="n"/>
      <c r="E3" s="9" t="n"/>
      <c r="F3" s="9" t="n"/>
    </row>
    <row r="4" ht="14.25" customHeight="1" s="37">
      <c r="A4" s="38" t="inlineStr">
        <is>
          <t>KK0003</t>
        </is>
      </c>
      <c r="B4" s="9" t="n"/>
      <c r="C4" s="9" t="inlineStr">
        <is>
          <t>St. Maria Immacula</t>
        </is>
      </c>
      <c r="D4" s="9" t="n"/>
      <c r="E4" s="9" t="n"/>
      <c r="F4" s="9" t="n"/>
    </row>
    <row r="5" ht="14.25" customHeight="1" s="37">
      <c r="A5" s="38" t="inlineStr">
        <is>
          <t>KK0004</t>
        </is>
      </c>
      <c r="B5" s="9" t="n"/>
      <c r="C5" s="9" t="inlineStr">
        <is>
          <t>St. Maria Immacula</t>
        </is>
      </c>
      <c r="D5" s="9" t="n"/>
      <c r="E5" s="9" t="n"/>
      <c r="F5" s="9" t="n"/>
    </row>
    <row r="6" ht="14.25" customHeight="1" s="37">
      <c r="A6" s="38" t="inlineStr">
        <is>
          <t>KK0005</t>
        </is>
      </c>
      <c r="B6" s="9" t="n"/>
      <c r="C6" s="9" t="inlineStr">
        <is>
          <t>St. Maria Immacula</t>
        </is>
      </c>
      <c r="D6" s="9" t="n"/>
      <c r="E6" s="9" t="n"/>
      <c r="F6" s="9" t="n"/>
    </row>
    <row r="7" ht="14.25" customHeight="1" s="37">
      <c r="A7" s="38" t="inlineStr">
        <is>
          <t>KK0006</t>
        </is>
      </c>
      <c r="B7" s="9" t="n"/>
      <c r="C7" s="9" t="inlineStr">
        <is>
          <t>St. Maria Immacula</t>
        </is>
      </c>
      <c r="D7" s="9" t="n"/>
      <c r="E7" s="9" t="n"/>
      <c r="F7" s="9" t="n"/>
    </row>
    <row r="8" ht="14.25" customHeight="1" s="37">
      <c r="A8" s="38" t="inlineStr">
        <is>
          <t>KK0007</t>
        </is>
      </c>
      <c r="B8" s="9" t="n"/>
      <c r="C8" s="9" t="inlineStr">
        <is>
          <t>St. Maria Immacula</t>
        </is>
      </c>
      <c r="D8" s="9" t="n"/>
      <c r="E8" s="9" t="n"/>
      <c r="F8" s="9" t="n"/>
    </row>
    <row r="9" ht="14.25" customHeight="1" s="37">
      <c r="A9" s="38" t="inlineStr">
        <is>
          <t>KK0008</t>
        </is>
      </c>
      <c r="B9" s="9" t="n"/>
      <c r="C9" s="9" t="inlineStr">
        <is>
          <t>St. Maria Immacula</t>
        </is>
      </c>
      <c r="D9" s="9" t="n"/>
      <c r="E9" s="9" t="n"/>
      <c r="F9" s="9" t="n"/>
    </row>
    <row r="10" ht="14.25" customHeight="1" s="37">
      <c r="A10" s="38" t="inlineStr">
        <is>
          <t>KK0009</t>
        </is>
      </c>
      <c r="B10" s="9" t="n"/>
      <c r="C10" s="9" t="inlineStr">
        <is>
          <t>St. Maria Immacula</t>
        </is>
      </c>
      <c r="D10" s="9" t="n"/>
      <c r="E10" s="9" t="n"/>
      <c r="F10" s="9" t="n"/>
    </row>
    <row r="11" ht="14.25" customHeight="1" s="37">
      <c r="A11" s="38" t="inlineStr">
        <is>
          <t>KK0010</t>
        </is>
      </c>
      <c r="B11" s="9" t="n"/>
      <c r="C11" s="9" t="inlineStr">
        <is>
          <t>St. Maria Immacula</t>
        </is>
      </c>
      <c r="D11" s="9" t="n"/>
      <c r="E11" s="9" t="n"/>
      <c r="F11" s="9" t="n"/>
    </row>
    <row r="12" ht="14.25" customHeight="1" s="37">
      <c r="A12" s="38" t="inlineStr">
        <is>
          <t>KK0011</t>
        </is>
      </c>
      <c r="B12" s="9" t="n"/>
      <c r="C12" s="9" t="inlineStr">
        <is>
          <t>St. Maria Immacula</t>
        </is>
      </c>
      <c r="D12" s="9" t="n"/>
      <c r="E12" s="9" t="n"/>
      <c r="F12" s="9" t="n"/>
    </row>
    <row r="13" ht="14.25" customHeight="1" s="37">
      <c r="A13" s="38" t="inlineStr">
        <is>
          <t>KK0012</t>
        </is>
      </c>
      <c r="B13" s="9" t="n"/>
      <c r="C13" s="9" t="inlineStr">
        <is>
          <t>St. Maria Immacula</t>
        </is>
      </c>
      <c r="D13" s="9" t="n"/>
      <c r="E13" s="9" t="n"/>
      <c r="F13" s="9" t="n"/>
    </row>
    <row r="14" ht="14.25" customHeight="1" s="37">
      <c r="A14" s="9" t="n"/>
      <c r="B14" s="9" t="n"/>
      <c r="C14" s="9" t="n"/>
      <c r="D14" s="9" t="n"/>
      <c r="E14" s="9" t="n"/>
      <c r="F14" s="9" t="n"/>
    </row>
    <row r="15" ht="14.25" customHeight="1" s="37">
      <c r="A15" s="9" t="n"/>
      <c r="B15" s="9" t="n"/>
      <c r="C15" s="9" t="n"/>
      <c r="D15" s="9" t="n"/>
      <c r="E15" s="9" t="n"/>
      <c r="F15" s="9" t="n"/>
    </row>
    <row r="16" ht="14.25" customHeight="1" s="37">
      <c r="A16" s="9" t="n"/>
      <c r="B16" s="9" t="n"/>
      <c r="C16" s="9" t="n"/>
      <c r="D16" s="9" t="n"/>
      <c r="E16" s="9" t="n"/>
      <c r="F16" s="9" t="n"/>
    </row>
    <row r="17" ht="14.25" customHeight="1" s="37">
      <c r="A17" s="9" t="n"/>
      <c r="B17" s="9" t="n"/>
      <c r="C17" s="9" t="n"/>
      <c r="D17" s="9" t="n"/>
      <c r="E17" s="9" t="n"/>
      <c r="F17" s="9" t="n"/>
    </row>
    <row r="18" ht="14.25" customHeight="1" s="37">
      <c r="A18" s="9" t="n"/>
      <c r="B18" s="9" t="n"/>
      <c r="C18" s="9" t="n"/>
      <c r="D18" s="9" t="n"/>
      <c r="E18" s="9" t="n"/>
      <c r="F18" s="9" t="n"/>
    </row>
    <row r="19" ht="14.25" customHeight="1" s="37">
      <c r="A19" s="9" t="n"/>
      <c r="B19" s="9" t="n"/>
      <c r="C19" s="9" t="n"/>
      <c r="D19" s="9" t="n"/>
      <c r="E19" s="9" t="n"/>
      <c r="F19" s="9" t="n"/>
    </row>
    <row r="20" ht="14.25" customHeight="1" s="37">
      <c r="A20" s="9" t="n"/>
      <c r="B20" s="9" t="n"/>
      <c r="C20" s="9" t="n"/>
      <c r="D20" s="9" t="n"/>
      <c r="E20" s="9" t="n"/>
      <c r="F20" s="9" t="n"/>
    </row>
    <row r="21" ht="14.25" customHeight="1" s="37">
      <c r="A21" s="9" t="n"/>
      <c r="B21" s="9" t="n"/>
      <c r="C21" s="9" t="n"/>
      <c r="D21" s="9" t="n"/>
      <c r="E21" s="9" t="n"/>
      <c r="F21" s="9" t="n"/>
    </row>
    <row r="22" ht="14.25" customHeight="1" s="37">
      <c r="A22" s="9" t="n"/>
      <c r="B22" s="9" t="n"/>
      <c r="C22" s="9" t="n"/>
      <c r="D22" s="9" t="n"/>
      <c r="E22" s="9" t="n"/>
      <c r="F22" s="9" t="n"/>
    </row>
    <row r="23" ht="14.25" customHeight="1" s="37">
      <c r="A23" s="9" t="n"/>
      <c r="B23" s="9" t="n"/>
      <c r="C23" s="9" t="n"/>
      <c r="D23" s="9" t="n"/>
      <c r="E23" s="9" t="n"/>
      <c r="F23" s="9" t="n"/>
    </row>
    <row r="24" ht="14.25" customHeight="1" s="37">
      <c r="A24" s="9" t="n"/>
      <c r="B24" s="9" t="n"/>
      <c r="C24" s="9" t="n"/>
      <c r="D24" s="9" t="n"/>
      <c r="E24" s="9" t="n"/>
      <c r="F24" s="9" t="n"/>
    </row>
    <row r="25" ht="14.25" customHeight="1" s="37">
      <c r="A25" s="9" t="n"/>
      <c r="B25" s="9" t="n"/>
      <c r="C25" s="9" t="n"/>
      <c r="D25" s="9" t="n"/>
      <c r="E25" s="9" t="n"/>
      <c r="F25" s="9" t="n"/>
    </row>
    <row r="26" ht="14.25" customHeight="1" s="37">
      <c r="A26" s="9" t="n"/>
      <c r="B26" s="9" t="n"/>
      <c r="C26" s="9" t="n"/>
      <c r="D26" s="9" t="n"/>
      <c r="E26" s="9" t="n"/>
      <c r="F26" s="9" t="n"/>
    </row>
    <row r="27" ht="14.25" customHeight="1" s="37">
      <c r="A27" s="9" t="n"/>
      <c r="B27" s="9" t="n"/>
      <c r="C27" s="9" t="n"/>
      <c r="D27" s="9" t="n"/>
      <c r="E27" s="9" t="n"/>
      <c r="F27" s="9" t="n"/>
    </row>
    <row r="28" ht="14.25" customHeight="1" s="37">
      <c r="A28" s="9" t="n"/>
      <c r="B28" s="9" t="n"/>
      <c r="C28" s="9" t="n"/>
      <c r="D28" s="9" t="n"/>
      <c r="E28" s="9" t="n"/>
      <c r="F28" s="9" t="n"/>
    </row>
    <row r="29" ht="14.25" customHeight="1" s="37">
      <c r="A29" s="9" t="n"/>
      <c r="B29" s="9" t="n"/>
      <c r="C29" s="9" t="n"/>
      <c r="D29" s="9" t="n"/>
      <c r="E29" s="9" t="n"/>
      <c r="F29" s="9" t="n"/>
    </row>
    <row r="30" ht="14.25" customHeight="1" s="37">
      <c r="A30" s="9" t="n"/>
      <c r="B30" s="9" t="n"/>
      <c r="C30" s="9" t="n"/>
      <c r="D30" s="9" t="n"/>
      <c r="E30" s="9" t="n"/>
      <c r="F30" s="9" t="n"/>
    </row>
    <row r="31" ht="14.25" customHeight="1" s="37">
      <c r="A31" s="9" t="n"/>
      <c r="B31" s="9" t="n"/>
      <c r="C31" s="9" t="n"/>
      <c r="D31" s="9" t="n"/>
      <c r="E31" s="9" t="n"/>
      <c r="F31" s="9" t="n"/>
    </row>
    <row r="32" ht="14.25" customHeight="1" s="37">
      <c r="A32" s="9" t="n"/>
      <c r="B32" s="9" t="n"/>
      <c r="C32" s="9" t="n"/>
      <c r="D32" s="9" t="n"/>
      <c r="E32" s="9" t="n"/>
      <c r="F32" s="9" t="n"/>
    </row>
    <row r="33" ht="14.25" customHeight="1" s="37">
      <c r="A33" s="9" t="n"/>
      <c r="B33" s="9" t="n"/>
      <c r="C33" s="9" t="n"/>
      <c r="D33" s="9" t="n"/>
      <c r="E33" s="9" t="n"/>
      <c r="F33" s="9" t="n"/>
    </row>
    <row r="34" ht="14.25" customHeight="1" s="37">
      <c r="A34" s="9" t="n"/>
      <c r="B34" s="9" t="n"/>
      <c r="C34" s="9" t="n"/>
      <c r="D34" s="9" t="n"/>
      <c r="E34" s="9" t="n"/>
      <c r="F34" s="9" t="n"/>
    </row>
    <row r="35" ht="14.25" customHeight="1" s="37">
      <c r="A35" s="9" t="n"/>
      <c r="B35" s="9" t="n"/>
      <c r="C35" s="9" t="n"/>
      <c r="D35" s="9" t="n"/>
      <c r="E35" s="9" t="n"/>
      <c r="F35" s="9" t="n"/>
    </row>
    <row r="36" ht="14.25" customHeight="1" s="37">
      <c r="A36" s="9" t="n"/>
      <c r="B36" s="9" t="n"/>
      <c r="C36" s="9" t="n"/>
      <c r="D36" s="9" t="n"/>
      <c r="E36" s="9" t="n"/>
      <c r="F36" s="9" t="n"/>
    </row>
    <row r="37" ht="14.25" customHeight="1" s="37">
      <c r="A37" s="9" t="n"/>
      <c r="B37" s="9" t="n"/>
      <c r="C37" s="9" t="n"/>
      <c r="D37" s="9" t="n"/>
      <c r="E37" s="9" t="n"/>
      <c r="F37" s="9" t="n"/>
    </row>
    <row r="38" ht="14.25" customHeight="1" s="37">
      <c r="A38" s="9" t="n"/>
      <c r="B38" s="9" t="n"/>
      <c r="C38" s="9" t="n"/>
      <c r="D38" s="9" t="n"/>
      <c r="E38" s="9" t="n"/>
      <c r="F38" s="9" t="n"/>
    </row>
    <row r="39" ht="14.25" customHeight="1" s="37">
      <c r="A39" s="9" t="n"/>
      <c r="B39" s="9" t="n"/>
      <c r="C39" s="9" t="n"/>
      <c r="D39" s="9" t="n"/>
      <c r="E39" s="9" t="n"/>
      <c r="F39" s="9" t="n"/>
    </row>
    <row r="40" ht="14.25" customHeight="1" s="37">
      <c r="A40" s="9" t="n"/>
      <c r="B40" s="9" t="n"/>
      <c r="C40" s="9" t="n"/>
      <c r="D40" s="9" t="n"/>
      <c r="E40" s="9" t="n"/>
      <c r="F40" s="9" t="n"/>
    </row>
    <row r="41" ht="14.25" customHeight="1" s="37">
      <c r="A41" s="9" t="n"/>
      <c r="B41" s="9" t="n"/>
      <c r="C41" s="9" t="n"/>
      <c r="D41" s="9" t="n"/>
      <c r="E41" s="9" t="n"/>
      <c r="F41" s="9" t="n"/>
    </row>
    <row r="42" ht="14.25" customHeight="1" s="37">
      <c r="A42" s="9" t="n"/>
      <c r="B42" s="9" t="n"/>
      <c r="C42" s="9" t="n"/>
      <c r="D42" s="9" t="n"/>
      <c r="E42" s="9" t="n"/>
      <c r="F42" s="9" t="n"/>
    </row>
    <row r="43" ht="14.25" customHeight="1" s="37">
      <c r="A43" s="9" t="n"/>
      <c r="B43" s="9" t="n"/>
      <c r="C43" s="9" t="n"/>
      <c r="D43" s="9" t="n"/>
      <c r="E43" s="9" t="n"/>
      <c r="F43" s="9" t="n"/>
    </row>
    <row r="44" ht="14.25" customHeight="1" s="37">
      <c r="A44" s="9" t="n"/>
      <c r="B44" s="9" t="n"/>
      <c r="C44" s="9" t="n"/>
      <c r="D44" s="9" t="n"/>
      <c r="E44" s="9" t="n"/>
      <c r="F44" s="9" t="n"/>
    </row>
    <row r="45" ht="14.25" customHeight="1" s="37">
      <c r="A45" s="9" t="n"/>
      <c r="B45" s="9" t="n"/>
      <c r="C45" s="9" t="n"/>
      <c r="D45" s="9" t="n"/>
      <c r="E45" s="9" t="n"/>
      <c r="F45" s="9" t="n"/>
    </row>
    <row r="46" ht="14.25" customHeight="1" s="37">
      <c r="A46" s="9" t="n"/>
      <c r="B46" s="9" t="n"/>
      <c r="C46" s="9" t="n"/>
      <c r="D46" s="9" t="n"/>
      <c r="E46" s="9" t="n"/>
      <c r="F46" s="9" t="n"/>
    </row>
    <row r="47" ht="14.25" customHeight="1" s="37">
      <c r="A47" s="9" t="n"/>
      <c r="B47" s="9" t="n"/>
      <c r="C47" s="9" t="n"/>
      <c r="D47" s="9" t="n"/>
      <c r="E47" s="9" t="n"/>
      <c r="F47" s="9" t="n"/>
    </row>
    <row r="48" ht="14.25" customHeight="1" s="37">
      <c r="A48" s="9" t="n"/>
      <c r="B48" s="9" t="n"/>
      <c r="C48" s="9" t="n"/>
      <c r="D48" s="9" t="n"/>
      <c r="E48" s="9" t="n"/>
      <c r="F48" s="9" t="n"/>
    </row>
    <row r="49" ht="14.25" customHeight="1" s="37">
      <c r="A49" s="9" t="n"/>
      <c r="B49" s="9" t="n"/>
      <c r="C49" s="9" t="n"/>
      <c r="D49" s="9" t="n"/>
      <c r="E49" s="9" t="n"/>
      <c r="F49" s="9" t="n"/>
    </row>
    <row r="50" ht="14.25" customHeight="1" s="37">
      <c r="A50" s="9" t="n"/>
      <c r="B50" s="9" t="n"/>
      <c r="C50" s="9" t="n"/>
      <c r="D50" s="9" t="n"/>
      <c r="E50" s="9" t="n"/>
      <c r="F50" s="9" t="n"/>
    </row>
    <row r="51" ht="14.25" customHeight="1" s="37">
      <c r="A51" s="9" t="n"/>
      <c r="B51" s="9" t="n"/>
      <c r="C51" s="9" t="n"/>
      <c r="D51" s="9" t="n"/>
      <c r="E51" s="9" t="n"/>
      <c r="F51" s="9" t="n"/>
    </row>
    <row r="52" ht="14.25" customHeight="1" s="37">
      <c r="A52" s="9" t="n"/>
      <c r="B52" s="9" t="n"/>
      <c r="C52" s="9" t="n"/>
      <c r="D52" s="9" t="n"/>
      <c r="E52" s="9" t="n"/>
      <c r="F52" s="9" t="n"/>
    </row>
    <row r="53" ht="14.25" customHeight="1" s="37">
      <c r="A53" s="9" t="n"/>
      <c r="B53" s="9" t="n"/>
      <c r="C53" s="9" t="n"/>
      <c r="D53" s="9" t="n"/>
      <c r="E53" s="9" t="n"/>
      <c r="F53" s="9" t="n"/>
    </row>
    <row r="54" ht="14.25" customHeight="1" s="37">
      <c r="A54" s="9" t="n"/>
      <c r="B54" s="9" t="n"/>
      <c r="C54" s="9" t="n"/>
      <c r="D54" s="9" t="n"/>
      <c r="E54" s="9" t="n"/>
      <c r="F54" s="9" t="n"/>
    </row>
    <row r="55" ht="14.25" customHeight="1" s="37">
      <c r="A55" s="9" t="n"/>
      <c r="B55" s="9" t="n"/>
      <c r="C55" s="9" t="n"/>
      <c r="D55" s="9" t="n"/>
      <c r="E55" s="9" t="n"/>
      <c r="F55" s="9" t="n"/>
    </row>
    <row r="56" ht="14.25" customHeight="1" s="37">
      <c r="A56" s="9" t="n"/>
      <c r="B56" s="9" t="n"/>
      <c r="C56" s="9" t="n"/>
      <c r="D56" s="9" t="n"/>
      <c r="E56" s="9" t="n"/>
      <c r="F56" s="9" t="n"/>
    </row>
    <row r="57" ht="14.25" customHeight="1" s="37">
      <c r="A57" s="9" t="n"/>
      <c r="B57" s="9" t="n"/>
      <c r="C57" s="9" t="n"/>
      <c r="D57" s="9" t="n"/>
      <c r="E57" s="9" t="n"/>
      <c r="F57" s="9" t="n"/>
    </row>
    <row r="58" ht="14.25" customHeight="1" s="37">
      <c r="A58" s="9" t="n"/>
      <c r="B58" s="9" t="n"/>
      <c r="C58" s="9" t="n"/>
      <c r="D58" s="9" t="n"/>
      <c r="E58" s="9" t="n"/>
      <c r="F58" s="9" t="n"/>
    </row>
    <row r="59" ht="14.25" customHeight="1" s="37">
      <c r="A59" s="9" t="n"/>
      <c r="B59" s="9" t="n"/>
      <c r="C59" s="9" t="n"/>
      <c r="D59" s="9" t="n"/>
      <c r="E59" s="9" t="n"/>
      <c r="F59" s="9" t="n"/>
    </row>
    <row r="60" ht="14.25" customHeight="1" s="37">
      <c r="A60" s="9" t="n"/>
      <c r="B60" s="9" t="n"/>
      <c r="C60" s="9" t="n"/>
      <c r="D60" s="9" t="n"/>
      <c r="E60" s="9" t="n"/>
      <c r="F60" s="9" t="n"/>
    </row>
    <row r="61" ht="14.25" customHeight="1" s="37">
      <c r="A61" s="9" t="n"/>
      <c r="B61" s="9" t="n"/>
      <c r="C61" s="9" t="n"/>
      <c r="D61" s="9" t="n"/>
      <c r="E61" s="9" t="n"/>
      <c r="F61" s="9" t="n"/>
    </row>
    <row r="62" ht="14.25" customHeight="1" s="37">
      <c r="A62" s="9" t="n"/>
      <c r="B62" s="9" t="n"/>
      <c r="C62" s="9" t="n"/>
      <c r="D62" s="9" t="n"/>
      <c r="E62" s="9" t="n"/>
      <c r="F62" s="9" t="n"/>
    </row>
    <row r="63" ht="14.25" customHeight="1" s="37">
      <c r="A63" s="9" t="n"/>
      <c r="B63" s="9" t="n"/>
      <c r="C63" s="9" t="n"/>
      <c r="D63" s="9" t="n"/>
      <c r="E63" s="9" t="n"/>
      <c r="F63" s="9" t="n"/>
    </row>
    <row r="64" ht="14.25" customHeight="1" s="37">
      <c r="A64" s="9" t="n"/>
      <c r="B64" s="9" t="n"/>
      <c r="C64" s="9" t="n"/>
      <c r="D64" s="9" t="n"/>
      <c r="E64" s="9" t="n"/>
      <c r="F64" s="9" t="n"/>
    </row>
    <row r="65" ht="14.25" customHeight="1" s="37">
      <c r="A65" s="9" t="n"/>
      <c r="B65" s="9" t="n"/>
      <c r="C65" s="9" t="n"/>
      <c r="D65" s="9" t="n"/>
      <c r="E65" s="9" t="n"/>
      <c r="F65" s="9" t="n"/>
    </row>
    <row r="66" ht="14.25" customHeight="1" s="37">
      <c r="A66" s="9" t="n"/>
      <c r="B66" s="9" t="n"/>
      <c r="C66" s="9" t="n"/>
      <c r="D66" s="9" t="n"/>
      <c r="E66" s="9" t="n"/>
      <c r="F66" s="9" t="n"/>
    </row>
    <row r="67" ht="14.25" customHeight="1" s="37">
      <c r="A67" s="9" t="n"/>
      <c r="B67" s="9" t="n"/>
      <c r="C67" s="9" t="n"/>
      <c r="D67" s="9" t="n"/>
      <c r="E67" s="9" t="n"/>
      <c r="F67" s="9" t="n"/>
    </row>
    <row r="68" ht="14.25" customHeight="1" s="37">
      <c r="A68" s="9" t="n"/>
      <c r="B68" s="9" t="n"/>
      <c r="C68" s="9" t="n"/>
      <c r="D68" s="9" t="n"/>
      <c r="E68" s="9" t="n"/>
      <c r="F68" s="9" t="n"/>
    </row>
    <row r="69" ht="14.25" customHeight="1" s="37">
      <c r="A69" s="9" t="n"/>
      <c r="B69" s="9" t="n"/>
      <c r="C69" s="9" t="n"/>
      <c r="D69" s="9" t="n"/>
      <c r="E69" s="9" t="n"/>
      <c r="F69" s="9" t="n"/>
    </row>
    <row r="70" ht="14.25" customHeight="1" s="37">
      <c r="A70" s="9" t="n"/>
      <c r="B70" s="9" t="n"/>
      <c r="C70" s="9" t="n"/>
      <c r="D70" s="9" t="n"/>
      <c r="E70" s="9" t="n"/>
      <c r="F70" s="9" t="n"/>
    </row>
    <row r="71" ht="14.25" customHeight="1" s="37">
      <c r="A71" s="9" t="n"/>
      <c r="B71" s="9" t="n"/>
      <c r="C71" s="9" t="n"/>
      <c r="D71" s="9" t="n"/>
      <c r="E71" s="9" t="n"/>
      <c r="F71" s="9" t="n"/>
    </row>
    <row r="72" ht="14.25" customHeight="1" s="37">
      <c r="A72" s="9" t="n"/>
      <c r="B72" s="9" t="n"/>
      <c r="C72" s="9" t="n"/>
      <c r="D72" s="9" t="n"/>
      <c r="E72" s="9" t="n"/>
      <c r="F72" s="9" t="n"/>
    </row>
    <row r="73" ht="14.25" customHeight="1" s="37">
      <c r="A73" s="9" t="n"/>
      <c r="B73" s="9" t="n"/>
      <c r="C73" s="9" t="n"/>
      <c r="D73" s="9" t="n"/>
      <c r="E73" s="9" t="n"/>
      <c r="F73" s="9" t="n"/>
    </row>
    <row r="74" ht="14.25" customHeight="1" s="37">
      <c r="A74" s="9" t="n"/>
      <c r="B74" s="9" t="n"/>
      <c r="C74" s="9" t="n"/>
      <c r="D74" s="9" t="n"/>
      <c r="E74" s="9" t="n"/>
      <c r="F74" s="9" t="n"/>
    </row>
    <row r="75" ht="14.25" customHeight="1" s="37">
      <c r="A75" s="9" t="n"/>
      <c r="B75" s="9" t="n"/>
      <c r="C75" s="9" t="n"/>
      <c r="D75" s="9" t="n"/>
      <c r="E75" s="9" t="n"/>
      <c r="F75" s="9" t="n"/>
    </row>
    <row r="76" ht="14.25" customHeight="1" s="37">
      <c r="A76" s="9" t="n"/>
      <c r="B76" s="9" t="n"/>
      <c r="C76" s="9" t="n"/>
      <c r="D76" s="9" t="n"/>
      <c r="E76" s="9" t="n"/>
      <c r="F76" s="9" t="n"/>
    </row>
    <row r="77" ht="14.25" customHeight="1" s="37">
      <c r="A77" s="9" t="n"/>
      <c r="B77" s="9" t="n"/>
      <c r="C77" s="9" t="n"/>
      <c r="D77" s="9" t="n"/>
      <c r="E77" s="9" t="n"/>
      <c r="F77" s="9" t="n"/>
    </row>
    <row r="78" ht="14.25" customHeight="1" s="37">
      <c r="A78" s="9" t="n"/>
      <c r="B78" s="9" t="n"/>
      <c r="C78" s="9" t="n"/>
      <c r="D78" s="9" t="n"/>
      <c r="E78" s="9" t="n"/>
      <c r="F78" s="9" t="n"/>
    </row>
    <row r="79" ht="14.25" customHeight="1" s="37">
      <c r="A79" s="9" t="n"/>
      <c r="B79" s="9" t="n"/>
      <c r="C79" s="9" t="n"/>
      <c r="D79" s="9" t="n"/>
      <c r="E79" s="9" t="n"/>
      <c r="F79" s="9" t="n"/>
    </row>
    <row r="80" ht="14.25" customHeight="1" s="37">
      <c r="A80" s="9" t="n"/>
      <c r="B80" s="9" t="n"/>
      <c r="C80" s="9" t="n"/>
      <c r="D80" s="9" t="n"/>
      <c r="E80" s="9" t="n"/>
      <c r="F80" s="9" t="n"/>
    </row>
    <row r="81" ht="14.25" customHeight="1" s="37">
      <c r="A81" s="9" t="n"/>
      <c r="B81" s="9" t="n"/>
      <c r="C81" s="9" t="n"/>
      <c r="D81" s="9" t="n"/>
      <c r="E81" s="9" t="n"/>
      <c r="F81" s="9" t="n"/>
    </row>
    <row r="82" ht="14.25" customHeight="1" s="37">
      <c r="A82" s="9" t="n"/>
      <c r="B82" s="9" t="n"/>
      <c r="C82" s="9" t="n"/>
      <c r="D82" s="9" t="n"/>
      <c r="E82" s="9" t="n"/>
      <c r="F82" s="9" t="n"/>
    </row>
    <row r="83" ht="14.25" customHeight="1" s="37">
      <c r="A83" s="9" t="n"/>
      <c r="B83" s="9" t="n"/>
      <c r="C83" s="9" t="n"/>
      <c r="D83" s="9" t="n"/>
      <c r="E83" s="9" t="n"/>
      <c r="F83" s="9" t="n"/>
    </row>
    <row r="84" ht="14.25" customHeight="1" s="37">
      <c r="A84" s="9" t="n"/>
      <c r="B84" s="9" t="n"/>
      <c r="C84" s="9" t="n"/>
      <c r="D84" s="9" t="n"/>
      <c r="E84" s="9" t="n"/>
      <c r="F84" s="9" t="n"/>
    </row>
    <row r="85" ht="14.25" customHeight="1" s="37">
      <c r="A85" s="9" t="n"/>
      <c r="B85" s="9" t="n"/>
      <c r="C85" s="9" t="n"/>
      <c r="D85" s="9" t="n"/>
      <c r="E85" s="9" t="n"/>
      <c r="F85" s="9" t="n"/>
    </row>
    <row r="86" ht="14.25" customHeight="1" s="37">
      <c r="A86" s="9" t="n"/>
      <c r="B86" s="9" t="n"/>
      <c r="C86" s="9" t="n"/>
      <c r="D86" s="9" t="n"/>
      <c r="E86" s="9" t="n"/>
      <c r="F86" s="9" t="n"/>
    </row>
    <row r="87" ht="14.25" customHeight="1" s="37">
      <c r="A87" s="9" t="n"/>
      <c r="B87" s="9" t="n"/>
      <c r="C87" s="9" t="n"/>
      <c r="D87" s="9" t="n"/>
      <c r="E87" s="9" t="n"/>
      <c r="F87" s="9" t="n"/>
    </row>
    <row r="88" ht="14.25" customHeight="1" s="37">
      <c r="A88" s="9" t="n"/>
      <c r="B88" s="9" t="n"/>
      <c r="C88" s="9" t="n"/>
      <c r="D88" s="9" t="n"/>
      <c r="E88" s="9" t="n"/>
      <c r="F88" s="9" t="n"/>
    </row>
    <row r="89" ht="14.25" customHeight="1" s="37">
      <c r="A89" s="9" t="n"/>
      <c r="B89" s="9" t="n"/>
      <c r="C89" s="9" t="n"/>
      <c r="D89" s="9" t="n"/>
      <c r="E89" s="9" t="n"/>
      <c r="F89" s="9" t="n"/>
    </row>
    <row r="90" ht="14.25" customHeight="1" s="37">
      <c r="A90" s="9" t="n"/>
      <c r="B90" s="9" t="n"/>
      <c r="C90" s="9" t="n"/>
      <c r="D90" s="9" t="n"/>
      <c r="E90" s="9" t="n"/>
      <c r="F90" s="9" t="n"/>
    </row>
    <row r="91" ht="14.25" customHeight="1" s="37">
      <c r="A91" s="9" t="n"/>
      <c r="B91" s="9" t="n"/>
      <c r="C91" s="9" t="n"/>
      <c r="D91" s="9" t="n"/>
      <c r="E91" s="9" t="n"/>
      <c r="F91" s="9" t="n"/>
    </row>
    <row r="92" ht="14.25" customHeight="1" s="37">
      <c r="A92" s="9" t="n"/>
      <c r="B92" s="9" t="n"/>
      <c r="C92" s="9" t="n"/>
      <c r="D92" s="9" t="n"/>
      <c r="E92" s="9" t="n"/>
      <c r="F92" s="9" t="n"/>
    </row>
    <row r="93" ht="14.25" customHeight="1" s="37">
      <c r="A93" s="9" t="n"/>
      <c r="B93" s="9" t="n"/>
      <c r="C93" s="9" t="n"/>
      <c r="D93" s="9" t="n"/>
      <c r="E93" s="9" t="n"/>
      <c r="F93" s="9" t="n"/>
    </row>
    <row r="94" ht="14.25" customHeight="1" s="37">
      <c r="A94" s="9" t="n"/>
      <c r="B94" s="9" t="n"/>
      <c r="C94" s="9" t="n"/>
      <c r="D94" s="9" t="n"/>
      <c r="E94" s="9" t="n"/>
      <c r="F94" s="9" t="n"/>
    </row>
    <row r="95" ht="14.25" customHeight="1" s="37">
      <c r="A95" s="9" t="n"/>
      <c r="B95" s="9" t="n"/>
      <c r="C95" s="9" t="n"/>
      <c r="D95" s="9" t="n"/>
      <c r="E95" s="9" t="n"/>
      <c r="F95" s="9" t="n"/>
    </row>
    <row r="96" ht="14.25" customHeight="1" s="37">
      <c r="A96" s="9" t="n"/>
      <c r="B96" s="9" t="n"/>
      <c r="C96" s="9" t="n"/>
      <c r="D96" s="9" t="n"/>
      <c r="E96" s="9" t="n"/>
      <c r="F96" s="9" t="n"/>
    </row>
    <row r="97" ht="14.25" customHeight="1" s="37">
      <c r="A97" s="9" t="n"/>
      <c r="B97" s="9" t="n"/>
      <c r="C97" s="9" t="n"/>
      <c r="D97" s="9" t="n"/>
      <c r="E97" s="9" t="n"/>
      <c r="F97" s="9" t="n"/>
    </row>
    <row r="98" ht="14.25" customHeight="1" s="37">
      <c r="A98" s="9" t="n"/>
      <c r="B98" s="9" t="n"/>
      <c r="C98" s="9" t="n"/>
      <c r="D98" s="9" t="n"/>
      <c r="E98" s="9" t="n"/>
      <c r="F98" s="9" t="n"/>
    </row>
    <row r="99" ht="14.25" customHeight="1" s="37">
      <c r="A99" s="9" t="n"/>
      <c r="B99" s="9" t="n"/>
      <c r="C99" s="9" t="n"/>
      <c r="D99" s="9" t="n"/>
      <c r="E99" s="9" t="n"/>
      <c r="F99" s="9" t="n"/>
    </row>
    <row r="100" ht="14.25" customHeight="1" s="37">
      <c r="A100" s="9" t="n"/>
      <c r="B100" s="9" t="n"/>
      <c r="C100" s="9" t="n"/>
      <c r="D100" s="9" t="n"/>
      <c r="E100" s="9" t="n"/>
      <c r="F100" s="9" t="n"/>
    </row>
    <row r="101" ht="14.25" customHeight="1" s="37">
      <c r="A101" s="9" t="n"/>
      <c r="B101" s="9" t="n"/>
      <c r="C101" s="9" t="n"/>
      <c r="D101" s="9" t="n"/>
      <c r="E101" s="9" t="n"/>
      <c r="F101" s="9" t="n"/>
    </row>
    <row r="102" ht="14.25" customHeight="1" s="37">
      <c r="A102" s="9" t="n"/>
      <c r="B102" s="9" t="n"/>
      <c r="C102" s="9" t="n"/>
      <c r="D102" s="9" t="n"/>
      <c r="E102" s="9" t="n"/>
      <c r="F102" s="9" t="n"/>
    </row>
    <row r="103" ht="14.25" customHeight="1" s="37">
      <c r="A103" s="9" t="n"/>
      <c r="B103" s="9" t="n"/>
      <c r="C103" s="9" t="n"/>
      <c r="D103" s="9" t="n"/>
      <c r="E103" s="9" t="n"/>
      <c r="F103" s="9" t="n"/>
    </row>
    <row r="104" ht="14.25" customHeight="1" s="37">
      <c r="A104" s="9" t="n"/>
      <c r="B104" s="9" t="n"/>
      <c r="C104" s="9" t="n"/>
      <c r="D104" s="9" t="n"/>
      <c r="E104" s="9" t="n"/>
      <c r="F104" s="9" t="n"/>
    </row>
    <row r="105" ht="14.25" customHeight="1" s="37">
      <c r="A105" s="9" t="n"/>
      <c r="B105" s="9" t="n"/>
      <c r="C105" s="9" t="n"/>
      <c r="D105" s="9" t="n"/>
      <c r="E105" s="9" t="n"/>
      <c r="F105" s="9" t="n"/>
    </row>
    <row r="106" ht="14.25" customHeight="1" s="37">
      <c r="A106" s="9" t="n"/>
      <c r="B106" s="9" t="n"/>
      <c r="C106" s="9" t="n"/>
      <c r="D106" s="9" t="n"/>
      <c r="E106" s="9" t="n"/>
      <c r="F106" s="9" t="n"/>
    </row>
    <row r="107" ht="14.25" customHeight="1" s="37">
      <c r="A107" s="9" t="n"/>
      <c r="B107" s="9" t="n"/>
      <c r="C107" s="9" t="n"/>
      <c r="D107" s="9" t="n"/>
      <c r="E107" s="9" t="n"/>
      <c r="F107" s="9" t="n"/>
    </row>
    <row r="108" ht="14.25" customHeight="1" s="37">
      <c r="A108" s="9" t="n"/>
      <c r="B108" s="9" t="n"/>
      <c r="C108" s="9" t="n"/>
      <c r="D108" s="9" t="n"/>
      <c r="E108" s="9" t="n"/>
      <c r="F108" s="9" t="n"/>
    </row>
    <row r="109" ht="14.25" customHeight="1" s="37">
      <c r="A109" s="9" t="n"/>
      <c r="B109" s="9" t="n"/>
      <c r="C109" s="9" t="n"/>
      <c r="D109" s="9" t="n"/>
      <c r="E109" s="9" t="n"/>
      <c r="F109" s="9" t="n"/>
    </row>
    <row r="110" ht="14.25" customHeight="1" s="37">
      <c r="A110" s="9" t="n"/>
      <c r="B110" s="9" t="n"/>
      <c r="C110" s="9" t="n"/>
      <c r="D110" s="9" t="n"/>
      <c r="E110" s="9" t="n"/>
      <c r="F110" s="9" t="n"/>
    </row>
    <row r="111" ht="14.25" customHeight="1" s="37">
      <c r="A111" s="9" t="n"/>
      <c r="B111" s="9" t="n"/>
      <c r="C111" s="9" t="n"/>
      <c r="D111" s="9" t="n"/>
      <c r="E111" s="9" t="n"/>
      <c r="F111" s="9" t="n"/>
    </row>
    <row r="112" ht="14.25" customHeight="1" s="37">
      <c r="A112" s="9" t="n"/>
      <c r="B112" s="9" t="n"/>
      <c r="C112" s="9" t="n"/>
      <c r="D112" s="9" t="n"/>
      <c r="E112" s="9" t="n"/>
      <c r="F112" s="9" t="n"/>
    </row>
    <row r="113" ht="14.25" customHeight="1" s="37">
      <c r="A113" s="9" t="n"/>
      <c r="B113" s="9" t="n"/>
      <c r="C113" s="9" t="n"/>
      <c r="D113" s="9" t="n"/>
      <c r="E113" s="9" t="n"/>
      <c r="F113" s="9" t="n"/>
    </row>
    <row r="114" ht="14.25" customHeight="1" s="37">
      <c r="A114" s="9" t="n"/>
      <c r="B114" s="9" t="n"/>
      <c r="C114" s="9" t="n"/>
      <c r="D114" s="9" t="n"/>
      <c r="E114" s="9" t="n"/>
      <c r="F114" s="9" t="n"/>
    </row>
    <row r="115" ht="14.25" customHeight="1" s="37">
      <c r="A115" s="9" t="n"/>
      <c r="B115" s="9" t="n"/>
      <c r="C115" s="9" t="n"/>
      <c r="D115" s="9" t="n"/>
      <c r="E115" s="9" t="n"/>
      <c r="F115" s="9" t="n"/>
    </row>
    <row r="116" ht="14.25" customHeight="1" s="37">
      <c r="A116" s="9" t="n"/>
      <c r="B116" s="9" t="n"/>
      <c r="C116" s="9" t="n"/>
      <c r="D116" s="9" t="n"/>
      <c r="E116" s="9" t="n"/>
      <c r="F116" s="9" t="n"/>
    </row>
    <row r="117" ht="14.25" customHeight="1" s="37">
      <c r="A117" s="9" t="n"/>
      <c r="B117" s="9" t="n"/>
      <c r="C117" s="9" t="n"/>
      <c r="D117" s="9" t="n"/>
      <c r="E117" s="9" t="n"/>
      <c r="F117" s="9" t="n"/>
    </row>
    <row r="118" ht="14.25" customHeight="1" s="37">
      <c r="A118" s="9" t="n"/>
      <c r="B118" s="9" t="n"/>
      <c r="C118" s="9" t="n"/>
      <c r="D118" s="9" t="n"/>
      <c r="E118" s="9" t="n"/>
      <c r="F118" s="9" t="n"/>
    </row>
    <row r="119" ht="14.25" customHeight="1" s="37">
      <c r="A119" s="9" t="n"/>
      <c r="B119" s="9" t="n"/>
      <c r="C119" s="9" t="n"/>
      <c r="D119" s="9" t="n"/>
      <c r="E119" s="9" t="n"/>
      <c r="F119" s="9" t="n"/>
    </row>
    <row r="120" ht="14.25" customHeight="1" s="37">
      <c r="A120" s="9" t="n"/>
      <c r="B120" s="9" t="n"/>
      <c r="C120" s="9" t="n"/>
      <c r="D120" s="9" t="n"/>
      <c r="E120" s="9" t="n"/>
      <c r="F120" s="9" t="n"/>
    </row>
    <row r="121" ht="14.25" customHeight="1" s="37">
      <c r="A121" s="9" t="n"/>
      <c r="B121" s="9" t="n"/>
      <c r="C121" s="9" t="n"/>
      <c r="D121" s="9" t="n"/>
      <c r="E121" s="9" t="n"/>
      <c r="F121" s="9" t="n"/>
    </row>
    <row r="122" ht="14.25" customHeight="1" s="37">
      <c r="A122" s="9" t="n"/>
      <c r="B122" s="9" t="n"/>
      <c r="C122" s="9" t="n"/>
      <c r="D122" s="9" t="n"/>
      <c r="E122" s="9" t="n"/>
      <c r="F122" s="9" t="n"/>
    </row>
    <row r="123" ht="14.25" customHeight="1" s="37">
      <c r="A123" s="9" t="n"/>
      <c r="B123" s="9" t="n"/>
      <c r="C123" s="9" t="n"/>
      <c r="D123" s="9" t="n"/>
      <c r="E123" s="9" t="n"/>
      <c r="F123" s="9" t="n"/>
    </row>
    <row r="124" ht="14.25" customHeight="1" s="37">
      <c r="A124" s="9" t="n"/>
      <c r="B124" s="9" t="n"/>
      <c r="C124" s="9" t="n"/>
      <c r="D124" s="9" t="n"/>
      <c r="E124" s="9" t="n"/>
      <c r="F124" s="9" t="n"/>
    </row>
    <row r="125" ht="14.25" customHeight="1" s="37">
      <c r="A125" s="9" t="n"/>
      <c r="B125" s="9" t="n"/>
      <c r="C125" s="9" t="n"/>
      <c r="D125" s="9" t="n"/>
      <c r="E125" s="9" t="n"/>
      <c r="F125" s="9" t="n"/>
    </row>
    <row r="126" ht="14.25" customHeight="1" s="37">
      <c r="A126" s="9" t="n"/>
      <c r="B126" s="9" t="n"/>
      <c r="C126" s="9" t="n"/>
      <c r="D126" s="9" t="n"/>
      <c r="E126" s="9" t="n"/>
      <c r="F126" s="9" t="n"/>
    </row>
    <row r="127" ht="14.25" customHeight="1" s="37">
      <c r="A127" s="9" t="n"/>
      <c r="B127" s="9" t="n"/>
      <c r="C127" s="9" t="n"/>
      <c r="D127" s="9" t="n"/>
      <c r="E127" s="9" t="n"/>
      <c r="F127" s="9" t="n"/>
    </row>
    <row r="128" ht="14.25" customHeight="1" s="37">
      <c r="A128" s="9" t="n"/>
      <c r="B128" s="9" t="n"/>
      <c r="C128" s="9" t="n"/>
      <c r="D128" s="9" t="n"/>
      <c r="E128" s="9" t="n"/>
      <c r="F128" s="9" t="n"/>
    </row>
    <row r="129" ht="14.25" customHeight="1" s="37">
      <c r="A129" s="9" t="n"/>
      <c r="B129" s="9" t="n"/>
      <c r="C129" s="9" t="n"/>
      <c r="D129" s="9" t="n"/>
      <c r="E129" s="9" t="n"/>
      <c r="F129" s="9" t="n"/>
    </row>
    <row r="130" ht="14.25" customHeight="1" s="37">
      <c r="A130" s="9" t="n"/>
      <c r="B130" s="9" t="n"/>
      <c r="C130" s="9" t="n"/>
      <c r="D130" s="9" t="n"/>
      <c r="E130" s="9" t="n"/>
      <c r="F130" s="9" t="n"/>
    </row>
    <row r="131" ht="14.25" customHeight="1" s="37">
      <c r="A131" s="9" t="n"/>
      <c r="B131" s="9" t="n"/>
      <c r="C131" s="9" t="n"/>
      <c r="D131" s="9" t="n"/>
      <c r="E131" s="9" t="n"/>
      <c r="F131" s="9" t="n"/>
    </row>
    <row r="132" ht="14.25" customHeight="1" s="37">
      <c r="A132" s="9" t="n"/>
      <c r="B132" s="9" t="n"/>
      <c r="C132" s="9" t="n"/>
      <c r="D132" s="9" t="n"/>
      <c r="E132" s="9" t="n"/>
      <c r="F132" s="9" t="n"/>
    </row>
    <row r="133" ht="14.25" customHeight="1" s="37">
      <c r="A133" s="9" t="n"/>
      <c r="B133" s="9" t="n"/>
      <c r="C133" s="9" t="n"/>
      <c r="D133" s="9" t="n"/>
      <c r="E133" s="9" t="n"/>
      <c r="F133" s="9" t="n"/>
    </row>
    <row r="134" ht="14.25" customHeight="1" s="37">
      <c r="A134" s="9" t="n"/>
      <c r="B134" s="9" t="n"/>
      <c r="C134" s="9" t="n"/>
      <c r="D134" s="9" t="n"/>
      <c r="E134" s="9" t="n"/>
      <c r="F134" s="9" t="n"/>
    </row>
    <row r="135" ht="14.25" customHeight="1" s="37">
      <c r="A135" s="9" t="n"/>
      <c r="B135" s="9" t="n"/>
      <c r="C135" s="9" t="n"/>
      <c r="D135" s="9" t="n"/>
      <c r="E135" s="9" t="n"/>
      <c r="F135" s="9" t="n"/>
    </row>
    <row r="136" ht="14.25" customHeight="1" s="37">
      <c r="A136" s="9" t="n"/>
      <c r="B136" s="9" t="n"/>
      <c r="C136" s="9" t="n"/>
      <c r="D136" s="9" t="n"/>
      <c r="E136" s="9" t="n"/>
      <c r="F136" s="9" t="n"/>
    </row>
    <row r="137" ht="14.25" customHeight="1" s="37">
      <c r="A137" s="9" t="n"/>
      <c r="B137" s="9" t="n"/>
      <c r="C137" s="9" t="n"/>
      <c r="D137" s="9" t="n"/>
      <c r="E137" s="9" t="n"/>
      <c r="F137" s="9" t="n"/>
    </row>
    <row r="138" ht="14.25" customHeight="1" s="37">
      <c r="A138" s="9" t="n"/>
      <c r="B138" s="9" t="n"/>
      <c r="C138" s="9" t="n"/>
      <c r="D138" s="9" t="n"/>
      <c r="E138" s="9" t="n"/>
      <c r="F138" s="9" t="n"/>
    </row>
    <row r="139" ht="14.25" customHeight="1" s="37">
      <c r="A139" s="9" t="n"/>
      <c r="B139" s="9" t="n"/>
      <c r="C139" s="9" t="n"/>
      <c r="D139" s="9" t="n"/>
      <c r="E139" s="9" t="n"/>
      <c r="F139" s="9" t="n"/>
    </row>
    <row r="140" ht="14.25" customHeight="1" s="37">
      <c r="A140" s="9" t="n"/>
      <c r="B140" s="9" t="n"/>
      <c r="C140" s="9" t="n"/>
      <c r="D140" s="9" t="n"/>
      <c r="E140" s="9" t="n"/>
      <c r="F140" s="9" t="n"/>
    </row>
    <row r="141" ht="14.25" customHeight="1" s="37">
      <c r="A141" s="9" t="n"/>
      <c r="B141" s="9" t="n"/>
      <c r="C141" s="9" t="n"/>
      <c r="D141" s="9" t="n"/>
      <c r="E141" s="9" t="n"/>
      <c r="F141" s="9" t="n"/>
    </row>
    <row r="142" ht="14.25" customHeight="1" s="37">
      <c r="A142" s="9" t="n"/>
      <c r="B142" s="9" t="n"/>
      <c r="C142" s="9" t="n"/>
      <c r="D142" s="9" t="n"/>
      <c r="E142" s="9" t="n"/>
      <c r="F142" s="9" t="n"/>
    </row>
    <row r="143" ht="14.25" customHeight="1" s="37">
      <c r="A143" s="9" t="n"/>
      <c r="B143" s="9" t="n"/>
      <c r="C143" s="9" t="n"/>
      <c r="D143" s="9" t="n"/>
      <c r="E143" s="9" t="n"/>
      <c r="F143" s="9" t="n"/>
    </row>
    <row r="144" ht="14.25" customHeight="1" s="37">
      <c r="A144" s="9" t="n"/>
      <c r="B144" s="9" t="n"/>
      <c r="C144" s="9" t="n"/>
      <c r="D144" s="9" t="n"/>
      <c r="E144" s="9" t="n"/>
      <c r="F144" s="9" t="n"/>
    </row>
    <row r="145" ht="14.25" customHeight="1" s="37">
      <c r="A145" s="9" t="n"/>
      <c r="B145" s="9" t="n"/>
      <c r="C145" s="9" t="n"/>
      <c r="D145" s="9" t="n"/>
      <c r="E145" s="9" t="n"/>
      <c r="F145" s="9" t="n"/>
    </row>
    <row r="146" ht="14.25" customHeight="1" s="37">
      <c r="A146" s="9" t="n"/>
      <c r="B146" s="9" t="n"/>
      <c r="C146" s="9" t="n"/>
      <c r="D146" s="9" t="n"/>
      <c r="E146" s="9" t="n"/>
      <c r="F146" s="9" t="n"/>
    </row>
    <row r="147" ht="14.25" customHeight="1" s="37">
      <c r="A147" s="9" t="n"/>
      <c r="B147" s="9" t="n"/>
      <c r="C147" s="9" t="n"/>
      <c r="D147" s="9" t="n"/>
      <c r="E147" s="9" t="n"/>
      <c r="F147" s="9" t="n"/>
    </row>
    <row r="148" ht="14.25" customHeight="1" s="37">
      <c r="A148" s="9" t="n"/>
      <c r="B148" s="9" t="n"/>
      <c r="C148" s="9" t="n"/>
      <c r="D148" s="9" t="n"/>
      <c r="E148" s="9" t="n"/>
      <c r="F148" s="9" t="n"/>
    </row>
    <row r="149" ht="14.25" customHeight="1" s="37">
      <c r="A149" s="9" t="n"/>
      <c r="B149" s="9" t="n"/>
      <c r="C149" s="9" t="n"/>
      <c r="D149" s="9" t="n"/>
      <c r="E149" s="9" t="n"/>
      <c r="F149" s="9" t="n"/>
    </row>
    <row r="150" ht="14.25" customHeight="1" s="37">
      <c r="A150" s="9" t="n"/>
      <c r="B150" s="9" t="n"/>
      <c r="C150" s="9" t="n"/>
      <c r="D150" s="9" t="n"/>
      <c r="E150" s="9" t="n"/>
      <c r="F150" s="9" t="n"/>
    </row>
    <row r="151" ht="14.25" customHeight="1" s="37">
      <c r="A151" s="9" t="n"/>
      <c r="B151" s="9" t="n"/>
      <c r="C151" s="9" t="n"/>
      <c r="D151" s="9" t="n"/>
      <c r="E151" s="9" t="n"/>
      <c r="F151" s="9" t="n"/>
    </row>
    <row r="152" ht="14.25" customHeight="1" s="37">
      <c r="A152" s="9" t="n"/>
      <c r="B152" s="9" t="n"/>
      <c r="C152" s="9" t="n"/>
      <c r="D152" s="9" t="n"/>
      <c r="E152" s="9" t="n"/>
      <c r="F152" s="9" t="n"/>
    </row>
    <row r="153" ht="14.25" customHeight="1" s="37">
      <c r="A153" s="9" t="n"/>
      <c r="B153" s="9" t="n"/>
      <c r="C153" s="9" t="n"/>
      <c r="D153" s="9" t="n"/>
      <c r="E153" s="9" t="n"/>
      <c r="F153" s="9" t="n"/>
    </row>
    <row r="154" ht="14.25" customHeight="1" s="37">
      <c r="A154" s="9" t="n"/>
      <c r="B154" s="9" t="n"/>
      <c r="C154" s="9" t="n"/>
      <c r="D154" s="9" t="n"/>
      <c r="E154" s="9" t="n"/>
      <c r="F154" s="9" t="n"/>
    </row>
    <row r="155" ht="14.25" customHeight="1" s="37">
      <c r="A155" s="9" t="n"/>
      <c r="B155" s="9" t="n"/>
      <c r="C155" s="9" t="n"/>
      <c r="D155" s="9" t="n"/>
      <c r="E155" s="9" t="n"/>
      <c r="F155" s="9" t="n"/>
    </row>
    <row r="156" ht="14.25" customHeight="1" s="37">
      <c r="A156" s="9" t="n"/>
      <c r="B156" s="9" t="n"/>
      <c r="C156" s="9" t="n"/>
      <c r="D156" s="9" t="n"/>
      <c r="E156" s="9" t="n"/>
      <c r="F156" s="9" t="n"/>
    </row>
    <row r="157" ht="14.25" customHeight="1" s="37">
      <c r="A157" s="9" t="n"/>
      <c r="B157" s="9" t="n"/>
      <c r="C157" s="9" t="n"/>
      <c r="D157" s="9" t="n"/>
      <c r="E157" s="9" t="n"/>
      <c r="F157" s="9" t="n"/>
    </row>
    <row r="158" ht="14.25" customHeight="1" s="37">
      <c r="A158" s="9" t="n"/>
      <c r="B158" s="9" t="n"/>
      <c r="C158" s="9" t="n"/>
      <c r="D158" s="9" t="n"/>
      <c r="E158" s="9" t="n"/>
      <c r="F158" s="9" t="n"/>
    </row>
    <row r="159" ht="14.25" customHeight="1" s="37">
      <c r="A159" s="9" t="n"/>
      <c r="B159" s="9" t="n"/>
      <c r="C159" s="9" t="n"/>
      <c r="D159" s="9" t="n"/>
      <c r="E159" s="9" t="n"/>
      <c r="F159" s="9" t="n"/>
    </row>
    <row r="160" ht="14.25" customHeight="1" s="37">
      <c r="A160" s="9" t="n"/>
      <c r="B160" s="9" t="n"/>
      <c r="C160" s="9" t="n"/>
      <c r="D160" s="9" t="n"/>
      <c r="E160" s="9" t="n"/>
      <c r="F160" s="9" t="n"/>
    </row>
    <row r="161" ht="14.25" customHeight="1" s="37">
      <c r="A161" s="9" t="n"/>
      <c r="B161" s="9" t="n"/>
      <c r="C161" s="9" t="n"/>
      <c r="D161" s="9" t="n"/>
      <c r="E161" s="9" t="n"/>
      <c r="F161" s="9" t="n"/>
    </row>
    <row r="162" ht="14.25" customHeight="1" s="37">
      <c r="A162" s="9" t="n"/>
      <c r="B162" s="9" t="n"/>
      <c r="C162" s="9" t="n"/>
      <c r="D162" s="9" t="n"/>
      <c r="E162" s="9" t="n"/>
      <c r="F162" s="9" t="n"/>
    </row>
    <row r="163" ht="14.25" customHeight="1" s="37">
      <c r="A163" s="9" t="n"/>
      <c r="B163" s="9" t="n"/>
      <c r="C163" s="9" t="n"/>
      <c r="D163" s="9" t="n"/>
      <c r="E163" s="9" t="n"/>
      <c r="F163" s="9" t="n"/>
    </row>
    <row r="164" ht="14.25" customHeight="1" s="37">
      <c r="A164" s="9" t="n"/>
      <c r="B164" s="9" t="n"/>
      <c r="C164" s="9" t="n"/>
      <c r="D164" s="9" t="n"/>
      <c r="E164" s="9" t="n"/>
      <c r="F164" s="9" t="n"/>
    </row>
    <row r="165" ht="14.25" customHeight="1" s="37">
      <c r="A165" s="9" t="n"/>
      <c r="B165" s="9" t="n"/>
      <c r="C165" s="9" t="n"/>
      <c r="D165" s="9" t="n"/>
      <c r="E165" s="9" t="n"/>
      <c r="F165" s="9" t="n"/>
    </row>
    <row r="166" ht="14.25" customHeight="1" s="37">
      <c r="A166" s="9" t="n"/>
      <c r="B166" s="9" t="n"/>
      <c r="C166" s="9" t="n"/>
      <c r="D166" s="9" t="n"/>
      <c r="E166" s="9" t="n"/>
      <c r="F166" s="9" t="n"/>
    </row>
    <row r="167" ht="14.25" customHeight="1" s="37">
      <c r="A167" s="9" t="n"/>
      <c r="B167" s="9" t="n"/>
      <c r="C167" s="9" t="n"/>
      <c r="D167" s="9" t="n"/>
      <c r="E167" s="9" t="n"/>
      <c r="F167" s="9" t="n"/>
    </row>
    <row r="168" ht="14.25" customHeight="1" s="37">
      <c r="A168" s="9" t="n"/>
      <c r="B168" s="9" t="n"/>
      <c r="C168" s="9" t="n"/>
      <c r="D168" s="9" t="n"/>
      <c r="E168" s="9" t="n"/>
      <c r="F168" s="9" t="n"/>
    </row>
    <row r="169" ht="14.25" customHeight="1" s="37">
      <c r="A169" s="9" t="n"/>
      <c r="B169" s="9" t="n"/>
      <c r="C169" s="9" t="n"/>
      <c r="D169" s="9" t="n"/>
      <c r="E169" s="9" t="n"/>
      <c r="F169" s="9" t="n"/>
    </row>
    <row r="170" ht="14.25" customHeight="1" s="37">
      <c r="A170" s="9" t="n"/>
      <c r="B170" s="9" t="n"/>
      <c r="C170" s="9" t="n"/>
      <c r="D170" s="9" t="n"/>
      <c r="E170" s="9" t="n"/>
      <c r="F170" s="9" t="n"/>
    </row>
    <row r="171" ht="14.25" customHeight="1" s="37">
      <c r="A171" s="9" t="n"/>
      <c r="B171" s="9" t="n"/>
      <c r="C171" s="9" t="n"/>
      <c r="D171" s="9" t="n"/>
      <c r="E171" s="9" t="n"/>
      <c r="F171" s="9" t="n"/>
    </row>
    <row r="172" ht="14.25" customHeight="1" s="37">
      <c r="A172" s="9" t="n"/>
      <c r="B172" s="9" t="n"/>
      <c r="C172" s="9" t="n"/>
      <c r="D172" s="9" t="n"/>
      <c r="E172" s="9" t="n"/>
      <c r="F172" s="9" t="n"/>
    </row>
    <row r="173" ht="14.25" customHeight="1" s="37">
      <c r="A173" s="9" t="n"/>
      <c r="B173" s="9" t="n"/>
      <c r="C173" s="9" t="n"/>
      <c r="D173" s="9" t="n"/>
      <c r="E173" s="9" t="n"/>
      <c r="F173" s="9" t="n"/>
    </row>
    <row r="174" ht="14.25" customHeight="1" s="37">
      <c r="A174" s="9" t="n"/>
      <c r="B174" s="9" t="n"/>
      <c r="C174" s="9" t="n"/>
      <c r="D174" s="9" t="n"/>
      <c r="E174" s="9" t="n"/>
      <c r="F174" s="9" t="n"/>
    </row>
    <row r="175" ht="14.25" customHeight="1" s="37">
      <c r="A175" s="9" t="n"/>
      <c r="B175" s="9" t="n"/>
      <c r="C175" s="9" t="n"/>
      <c r="D175" s="9" t="n"/>
      <c r="E175" s="9" t="n"/>
      <c r="F175" s="9" t="n"/>
    </row>
    <row r="176" ht="14.25" customHeight="1" s="37">
      <c r="A176" s="9" t="n"/>
      <c r="B176" s="9" t="n"/>
      <c r="C176" s="9" t="n"/>
      <c r="D176" s="9" t="n"/>
      <c r="E176" s="9" t="n"/>
      <c r="F176" s="9" t="n"/>
    </row>
    <row r="177" ht="14.25" customHeight="1" s="37">
      <c r="A177" s="9" t="n"/>
      <c r="B177" s="9" t="n"/>
      <c r="C177" s="9" t="n"/>
      <c r="D177" s="9" t="n"/>
      <c r="E177" s="9" t="n"/>
      <c r="F177" s="9" t="n"/>
    </row>
    <row r="178" ht="14.25" customHeight="1" s="37">
      <c r="A178" s="9" t="n"/>
      <c r="B178" s="9" t="n"/>
      <c r="C178" s="9" t="n"/>
      <c r="D178" s="9" t="n"/>
      <c r="E178" s="9" t="n"/>
      <c r="F178" s="9" t="n"/>
    </row>
    <row r="179" ht="14.25" customHeight="1" s="37">
      <c r="A179" s="9" t="n"/>
      <c r="B179" s="9" t="n"/>
      <c r="C179" s="9" t="n"/>
      <c r="D179" s="9" t="n"/>
      <c r="E179" s="9" t="n"/>
      <c r="F179" s="9" t="n"/>
    </row>
    <row r="180" ht="14.25" customHeight="1" s="37">
      <c r="A180" s="9" t="n"/>
      <c r="B180" s="9" t="n"/>
      <c r="C180" s="9" t="n"/>
      <c r="D180" s="9" t="n"/>
      <c r="E180" s="9" t="n"/>
      <c r="F180" s="9" t="n"/>
    </row>
    <row r="181" ht="14.25" customHeight="1" s="37">
      <c r="A181" s="9" t="n"/>
      <c r="B181" s="9" t="n"/>
      <c r="C181" s="9" t="n"/>
      <c r="D181" s="9" t="n"/>
      <c r="E181" s="9" t="n"/>
      <c r="F181" s="9" t="n"/>
    </row>
    <row r="182" ht="14.25" customHeight="1" s="37">
      <c r="A182" s="9" t="n"/>
      <c r="B182" s="9" t="n"/>
      <c r="C182" s="9" t="n"/>
      <c r="D182" s="9" t="n"/>
      <c r="E182" s="9" t="n"/>
      <c r="F182" s="9" t="n"/>
    </row>
    <row r="183" ht="14.25" customHeight="1" s="37">
      <c r="A183" s="9" t="n"/>
      <c r="B183" s="9" t="n"/>
      <c r="C183" s="9" t="n"/>
      <c r="D183" s="9" t="n"/>
      <c r="E183" s="9" t="n"/>
      <c r="F183" s="9" t="n"/>
    </row>
    <row r="184" ht="14.25" customHeight="1" s="37">
      <c r="A184" s="9" t="n"/>
      <c r="B184" s="9" t="n"/>
      <c r="C184" s="9" t="n"/>
      <c r="D184" s="9" t="n"/>
      <c r="E184" s="9" t="n"/>
      <c r="F184" s="9" t="n"/>
    </row>
    <row r="185" ht="14.25" customHeight="1" s="37">
      <c r="A185" s="9" t="n"/>
      <c r="B185" s="9" t="n"/>
      <c r="C185" s="9" t="n"/>
      <c r="D185" s="9" t="n"/>
      <c r="E185" s="9" t="n"/>
      <c r="F185" s="9" t="n"/>
    </row>
    <row r="186" ht="14.25" customHeight="1" s="37">
      <c r="A186" s="9" t="n"/>
      <c r="B186" s="9" t="n"/>
      <c r="C186" s="9" t="n"/>
      <c r="D186" s="9" t="n"/>
      <c r="E186" s="9" t="n"/>
      <c r="F186" s="9" t="n"/>
    </row>
    <row r="187" ht="14.25" customHeight="1" s="37">
      <c r="A187" s="9" t="n"/>
      <c r="B187" s="9" t="n"/>
      <c r="C187" s="9" t="n"/>
      <c r="D187" s="9" t="n"/>
      <c r="E187" s="9" t="n"/>
      <c r="F187" s="9" t="n"/>
    </row>
    <row r="188" ht="14.25" customHeight="1" s="37">
      <c r="A188" s="9" t="n"/>
      <c r="B188" s="9" t="n"/>
      <c r="C188" s="9" t="n"/>
      <c r="D188" s="9" t="n"/>
      <c r="E188" s="9" t="n"/>
      <c r="F188" s="9" t="n"/>
    </row>
    <row r="189" ht="14.25" customHeight="1" s="37">
      <c r="A189" s="9" t="n"/>
      <c r="B189" s="9" t="n"/>
      <c r="C189" s="9" t="n"/>
      <c r="D189" s="9" t="n"/>
      <c r="E189" s="9" t="n"/>
      <c r="F189" s="9" t="n"/>
    </row>
    <row r="190" ht="14.25" customHeight="1" s="37">
      <c r="A190" s="9" t="n"/>
      <c r="B190" s="9" t="n"/>
      <c r="C190" s="9" t="n"/>
      <c r="D190" s="9" t="n"/>
      <c r="E190" s="9" t="n"/>
      <c r="F190" s="9" t="n"/>
    </row>
    <row r="191" ht="14.25" customHeight="1" s="37">
      <c r="A191" s="9" t="n"/>
      <c r="B191" s="9" t="n"/>
      <c r="C191" s="9" t="n"/>
      <c r="D191" s="9" t="n"/>
      <c r="E191" s="9" t="n"/>
      <c r="F191" s="9" t="n"/>
    </row>
    <row r="192" ht="14.25" customHeight="1" s="37">
      <c r="A192" s="9" t="n"/>
      <c r="B192" s="9" t="n"/>
      <c r="C192" s="9" t="n"/>
      <c r="D192" s="9" t="n"/>
      <c r="E192" s="9" t="n"/>
      <c r="F192" s="9" t="n"/>
    </row>
    <row r="193" ht="14.25" customHeight="1" s="37">
      <c r="A193" s="9" t="n"/>
      <c r="B193" s="9" t="n"/>
      <c r="C193" s="9" t="n"/>
      <c r="D193" s="9" t="n"/>
      <c r="E193" s="9" t="n"/>
      <c r="F193" s="9" t="n"/>
    </row>
    <row r="194" ht="14.25" customHeight="1" s="37">
      <c r="A194" s="9" t="n"/>
      <c r="B194" s="9" t="n"/>
      <c r="C194" s="9" t="n"/>
      <c r="D194" s="9" t="n"/>
      <c r="E194" s="9" t="n"/>
      <c r="F194" s="9" t="n"/>
    </row>
    <row r="195" ht="14.25" customHeight="1" s="37">
      <c r="A195" s="9" t="n"/>
      <c r="B195" s="9" t="n"/>
      <c r="C195" s="9" t="n"/>
      <c r="D195" s="9" t="n"/>
      <c r="E195" s="9" t="n"/>
      <c r="F195" s="9" t="n"/>
    </row>
    <row r="196" ht="14.25" customHeight="1" s="37">
      <c r="A196" s="9" t="n"/>
      <c r="B196" s="9" t="n"/>
      <c r="C196" s="9" t="n"/>
      <c r="D196" s="9" t="n"/>
      <c r="E196" s="9" t="n"/>
      <c r="F196" s="9" t="n"/>
    </row>
    <row r="197" ht="14.25" customHeight="1" s="37">
      <c r="A197" s="9" t="n"/>
      <c r="B197" s="9" t="n"/>
      <c r="C197" s="9" t="n"/>
      <c r="D197" s="9" t="n"/>
      <c r="E197" s="9" t="n"/>
      <c r="F197" s="9" t="n"/>
    </row>
    <row r="198" ht="14.25" customHeight="1" s="37">
      <c r="A198" s="9" t="n"/>
      <c r="B198" s="9" t="n"/>
      <c r="C198" s="9" t="n"/>
      <c r="D198" s="9" t="n"/>
      <c r="E198" s="9" t="n"/>
      <c r="F198" s="9" t="n"/>
    </row>
    <row r="199" ht="14.25" customHeight="1" s="37">
      <c r="A199" s="9" t="n"/>
      <c r="B199" s="9" t="n"/>
      <c r="C199" s="9" t="n"/>
      <c r="D199" s="9" t="n"/>
      <c r="E199" s="9" t="n"/>
      <c r="F199" s="9" t="n"/>
    </row>
    <row r="200" ht="14.25" customHeight="1" s="37">
      <c r="A200" s="9" t="n"/>
      <c r="B200" s="9" t="n"/>
      <c r="C200" s="9" t="n"/>
      <c r="D200" s="9" t="n"/>
      <c r="E200" s="9" t="n"/>
      <c r="F200" s="9" t="n"/>
    </row>
    <row r="201" ht="14.25" customHeight="1" s="37">
      <c r="A201" s="9" t="n"/>
      <c r="B201" s="9" t="n"/>
      <c r="C201" s="9" t="n"/>
      <c r="D201" s="9" t="n"/>
      <c r="E201" s="9" t="n"/>
      <c r="F201" s="9" t="n"/>
    </row>
    <row r="202" ht="14.25" customHeight="1" s="37">
      <c r="A202" s="9" t="n"/>
      <c r="B202" s="9" t="n"/>
      <c r="C202" s="9" t="n"/>
      <c r="D202" s="9" t="n"/>
      <c r="E202" s="9" t="n"/>
      <c r="F202" s="9" t="n"/>
    </row>
    <row r="203" ht="14.25" customHeight="1" s="37">
      <c r="A203" s="9" t="n"/>
      <c r="B203" s="9" t="n"/>
      <c r="C203" s="9" t="n"/>
      <c r="D203" s="9" t="n"/>
      <c r="E203" s="9" t="n"/>
      <c r="F203" s="9" t="n"/>
    </row>
    <row r="204" ht="14.25" customHeight="1" s="37">
      <c r="A204" s="9" t="n"/>
      <c r="B204" s="9" t="n"/>
      <c r="C204" s="9" t="n"/>
      <c r="D204" s="9" t="n"/>
      <c r="E204" s="9" t="n"/>
      <c r="F204" s="9" t="n"/>
    </row>
    <row r="205" ht="14.25" customHeight="1" s="37">
      <c r="A205" s="9" t="n"/>
      <c r="B205" s="9" t="n"/>
      <c r="C205" s="9" t="n"/>
      <c r="D205" s="9" t="n"/>
      <c r="E205" s="9" t="n"/>
      <c r="F205" s="9" t="n"/>
    </row>
    <row r="206" ht="14.25" customHeight="1" s="37">
      <c r="A206" s="9" t="n"/>
      <c r="B206" s="9" t="n"/>
      <c r="C206" s="9" t="n"/>
      <c r="D206" s="9" t="n"/>
      <c r="E206" s="9" t="n"/>
      <c r="F206" s="9" t="n"/>
    </row>
    <row r="207" ht="14.25" customHeight="1" s="37">
      <c r="A207" s="9" t="n"/>
      <c r="B207" s="9" t="n"/>
      <c r="C207" s="9" t="n"/>
      <c r="D207" s="9" t="n"/>
      <c r="E207" s="9" t="n"/>
      <c r="F207" s="9" t="n"/>
    </row>
    <row r="208" ht="14.25" customHeight="1" s="37">
      <c r="A208" s="9" t="n"/>
      <c r="B208" s="9" t="n"/>
      <c r="C208" s="9" t="n"/>
      <c r="D208" s="9" t="n"/>
      <c r="E208" s="9" t="n"/>
      <c r="F208" s="9" t="n"/>
    </row>
    <row r="209" ht="14.25" customHeight="1" s="37">
      <c r="A209" s="9" t="n"/>
      <c r="B209" s="9" t="n"/>
      <c r="C209" s="9" t="n"/>
      <c r="D209" s="9" t="n"/>
      <c r="E209" s="9" t="n"/>
      <c r="F209" s="9" t="n"/>
    </row>
    <row r="210" ht="14.25" customHeight="1" s="37">
      <c r="A210" s="9" t="n"/>
      <c r="B210" s="9" t="n"/>
      <c r="C210" s="9" t="n"/>
      <c r="D210" s="9" t="n"/>
      <c r="E210" s="9" t="n"/>
      <c r="F210" s="9" t="n"/>
    </row>
    <row r="211" ht="14.25" customHeight="1" s="37">
      <c r="A211" s="9" t="n"/>
      <c r="B211" s="9" t="n"/>
      <c r="C211" s="9" t="n"/>
      <c r="D211" s="9" t="n"/>
      <c r="E211" s="9" t="n"/>
      <c r="F211" s="9" t="n"/>
    </row>
    <row r="212" ht="14.25" customHeight="1" s="37">
      <c r="A212" s="9" t="n"/>
      <c r="B212" s="9" t="n"/>
      <c r="C212" s="9" t="n"/>
      <c r="D212" s="9" t="n"/>
      <c r="E212" s="9" t="n"/>
      <c r="F212" s="9" t="n"/>
    </row>
    <row r="213" ht="14.25" customHeight="1" s="37">
      <c r="A213" s="9" t="n"/>
      <c r="B213" s="9" t="n"/>
      <c r="C213" s="9" t="n"/>
      <c r="D213" s="9" t="n"/>
      <c r="E213" s="9" t="n"/>
      <c r="F213" s="9" t="n"/>
    </row>
    <row r="214" ht="14.25" customHeight="1" s="37">
      <c r="A214" s="9" t="n"/>
      <c r="B214" s="9" t="n"/>
      <c r="C214" s="9" t="n"/>
      <c r="D214" s="9" t="n"/>
      <c r="E214" s="9" t="n"/>
      <c r="F214" s="9" t="n"/>
    </row>
    <row r="215" ht="14.25" customHeight="1" s="37">
      <c r="A215" s="9" t="n"/>
      <c r="B215" s="9" t="n"/>
      <c r="C215" s="9" t="n"/>
      <c r="D215" s="9" t="n"/>
      <c r="E215" s="9" t="n"/>
      <c r="F215" s="9" t="n"/>
    </row>
    <row r="216" ht="14.25" customHeight="1" s="37">
      <c r="A216" s="9" t="n"/>
      <c r="B216" s="9" t="n"/>
      <c r="C216" s="9" t="n"/>
      <c r="D216" s="9" t="n"/>
      <c r="E216" s="9" t="n"/>
      <c r="F216" s="9" t="n"/>
    </row>
    <row r="217" ht="14.25" customHeight="1" s="37">
      <c r="A217" s="9" t="n"/>
      <c r="B217" s="9" t="n"/>
      <c r="C217" s="9" t="n"/>
      <c r="D217" s="9" t="n"/>
      <c r="E217" s="9" t="n"/>
      <c r="F217" s="9" t="n"/>
    </row>
    <row r="218" ht="14.25" customHeight="1" s="37">
      <c r="A218" s="9" t="n"/>
      <c r="B218" s="9" t="n"/>
      <c r="C218" s="9" t="n"/>
      <c r="D218" s="9" t="n"/>
      <c r="E218" s="9" t="n"/>
      <c r="F218" s="9" t="n"/>
    </row>
    <row r="219" ht="14.25" customHeight="1" s="37">
      <c r="A219" s="9" t="n"/>
      <c r="B219" s="9" t="n"/>
      <c r="C219" s="9" t="n"/>
      <c r="D219" s="9" t="n"/>
      <c r="E219" s="9" t="n"/>
      <c r="F219" s="9" t="n"/>
    </row>
    <row r="220" ht="14.25" customHeight="1" s="37">
      <c r="E220" s="11" t="n"/>
    </row>
    <row r="221" ht="14.25" customHeight="1" s="37">
      <c r="E221" s="11" t="n"/>
    </row>
    <row r="222" ht="14.25" customHeight="1" s="37">
      <c r="E222" s="11" t="n"/>
    </row>
    <row r="223" ht="14.25" customHeight="1" s="37">
      <c r="E223" s="11" t="n"/>
    </row>
    <row r="224" ht="14.25" customHeight="1" s="37">
      <c r="E224" s="11" t="n"/>
    </row>
    <row r="225" ht="14.25" customHeight="1" s="37">
      <c r="E225" s="11" t="n"/>
    </row>
    <row r="226" ht="14.25" customHeight="1" s="37">
      <c r="E226" s="11" t="n"/>
    </row>
    <row r="227" ht="14.25" customHeight="1" s="37">
      <c r="E227" s="11" t="n"/>
    </row>
    <row r="228" ht="14.25" customHeight="1" s="37">
      <c r="E228" s="11" t="n"/>
    </row>
    <row r="229" ht="14.25" customHeight="1" s="37">
      <c r="E229" s="11" t="n"/>
    </row>
    <row r="230" ht="14.25" customHeight="1" s="37">
      <c r="E230" s="11" t="n"/>
    </row>
    <row r="231" ht="14.25" customHeight="1" s="37">
      <c r="E231" s="11" t="n"/>
    </row>
    <row r="232" ht="14.25" customHeight="1" s="37">
      <c r="E232" s="11" t="n"/>
    </row>
    <row r="233" ht="14.25" customHeight="1" s="37">
      <c r="E233" s="11" t="n"/>
    </row>
    <row r="234" ht="14.25" customHeight="1" s="37">
      <c r="E234" s="11" t="n"/>
    </row>
    <row r="235" ht="14.25" customHeight="1" s="37">
      <c r="E235" s="11" t="n"/>
    </row>
    <row r="236" ht="14.25" customHeight="1" s="37">
      <c r="E236" s="11" t="n"/>
    </row>
    <row r="237" ht="14.25" customHeight="1" s="37">
      <c r="E237" s="11" t="n"/>
    </row>
    <row r="238" ht="14.25" customHeight="1" s="37">
      <c r="E238" s="11" t="n"/>
    </row>
    <row r="239" ht="14.25" customHeight="1" s="37">
      <c r="E239" s="11" t="n"/>
    </row>
    <row r="240" ht="14.25" customHeight="1" s="37">
      <c r="E240" s="11" t="n"/>
    </row>
    <row r="241" ht="14.25" customHeight="1" s="37">
      <c r="E241" s="11" t="n"/>
    </row>
    <row r="242" ht="14.25" customHeight="1" s="37">
      <c r="E242" s="11" t="n"/>
    </row>
    <row r="243" ht="14.25" customHeight="1" s="37">
      <c r="E243" s="11" t="n"/>
    </row>
    <row r="244" ht="14.25" customHeight="1" s="37">
      <c r="E244" s="11" t="n"/>
    </row>
    <row r="245" ht="14.25" customHeight="1" s="37">
      <c r="E245" s="11" t="n"/>
    </row>
    <row r="246" ht="14.25" customHeight="1" s="37">
      <c r="E246" s="11" t="n"/>
    </row>
    <row r="247" ht="14.25" customHeight="1" s="37">
      <c r="E247" s="11" t="n"/>
    </row>
    <row r="248" ht="14.25" customHeight="1" s="37">
      <c r="E248" s="11" t="n"/>
    </row>
    <row r="249" ht="14.25" customHeight="1" s="37">
      <c r="E249" s="11" t="n"/>
    </row>
    <row r="250" ht="14.25" customHeight="1" s="37">
      <c r="E250" s="11" t="n"/>
    </row>
    <row r="251" ht="14.25" customHeight="1" s="37">
      <c r="E251" s="11" t="n"/>
    </row>
    <row r="252" ht="14.25" customHeight="1" s="37">
      <c r="E252" s="11" t="n"/>
    </row>
    <row r="253" ht="14.25" customHeight="1" s="37">
      <c r="E253" s="11" t="n"/>
    </row>
    <row r="254" ht="14.25" customHeight="1" s="37">
      <c r="E254" s="11" t="n"/>
    </row>
    <row r="255" ht="14.25" customHeight="1" s="37">
      <c r="E255" s="11" t="n"/>
    </row>
    <row r="256" ht="14.25" customHeight="1" s="37">
      <c r="E256" s="11" t="n"/>
    </row>
    <row r="257" ht="14.25" customHeight="1" s="37">
      <c r="E257" s="11" t="n"/>
    </row>
    <row r="258" ht="14.25" customHeight="1" s="37">
      <c r="E258" s="11" t="n"/>
    </row>
    <row r="259" ht="14.25" customHeight="1" s="37">
      <c r="E259" s="11" t="n"/>
    </row>
    <row r="260" ht="14.25" customHeight="1" s="37">
      <c r="E260" s="11" t="n"/>
    </row>
    <row r="261" ht="14.25" customHeight="1" s="37">
      <c r="E261" s="11" t="n"/>
    </row>
    <row r="262" ht="14.25" customHeight="1" s="37">
      <c r="E262" s="11" t="n"/>
    </row>
    <row r="263" ht="14.25" customHeight="1" s="37">
      <c r="E263" s="11" t="n"/>
    </row>
    <row r="264" ht="14.25" customHeight="1" s="37">
      <c r="E264" s="11" t="n"/>
    </row>
    <row r="265" ht="14.25" customHeight="1" s="37">
      <c r="E265" s="11" t="n"/>
    </row>
    <row r="266" ht="14.25" customHeight="1" s="37">
      <c r="E266" s="11" t="n"/>
    </row>
    <row r="267" ht="14.25" customHeight="1" s="37">
      <c r="E267" s="11" t="n"/>
    </row>
    <row r="268" ht="14.25" customHeight="1" s="37">
      <c r="E268" s="11" t="n"/>
    </row>
    <row r="269" ht="14.25" customHeight="1" s="37">
      <c r="E269" s="11" t="n"/>
    </row>
    <row r="270" ht="14.25" customHeight="1" s="37">
      <c r="E270" s="11" t="n"/>
    </row>
    <row r="271" ht="14.25" customHeight="1" s="37">
      <c r="E271" s="11" t="n"/>
    </row>
    <row r="272" ht="14.25" customHeight="1" s="37">
      <c r="E272" s="11" t="n"/>
    </row>
    <row r="273" ht="14.25" customHeight="1" s="37">
      <c r="E273" s="11" t="n"/>
    </row>
    <row r="274" ht="14.25" customHeight="1" s="37">
      <c r="E274" s="11" t="n"/>
    </row>
    <row r="275" ht="14.25" customHeight="1" s="37">
      <c r="E275" s="11" t="n"/>
    </row>
    <row r="276" ht="14.25" customHeight="1" s="37">
      <c r="E276" s="11" t="n"/>
    </row>
    <row r="277" ht="14.25" customHeight="1" s="37">
      <c r="E277" s="11" t="n"/>
    </row>
    <row r="278" ht="14.25" customHeight="1" s="37">
      <c r="E278" s="11" t="n"/>
    </row>
    <row r="279" ht="14.25" customHeight="1" s="37">
      <c r="E279" s="11" t="n"/>
    </row>
    <row r="280" ht="14.25" customHeight="1" s="37">
      <c r="E280" s="11" t="n"/>
    </row>
    <row r="281" ht="14.25" customHeight="1" s="37">
      <c r="E281" s="11" t="n"/>
    </row>
    <row r="282" ht="14.25" customHeight="1" s="37">
      <c r="E282" s="11" t="n"/>
    </row>
    <row r="283" ht="14.25" customHeight="1" s="37">
      <c r="E283" s="11" t="n"/>
    </row>
    <row r="284" ht="14.25" customHeight="1" s="37">
      <c r="E284" s="11" t="n"/>
    </row>
    <row r="285" ht="14.25" customHeight="1" s="37">
      <c r="E285" s="11" t="n"/>
    </row>
    <row r="286" ht="14.25" customHeight="1" s="37">
      <c r="E286" s="11" t="n"/>
    </row>
    <row r="287" ht="14.25" customHeight="1" s="37">
      <c r="E287" s="11" t="n"/>
    </row>
    <row r="288" ht="14.25" customHeight="1" s="37">
      <c r="E288" s="11" t="n"/>
    </row>
    <row r="289" ht="14.25" customHeight="1" s="37">
      <c r="E289" s="11" t="n"/>
    </row>
    <row r="290" ht="14.25" customHeight="1" s="37">
      <c r="E290" s="11" t="n"/>
    </row>
    <row r="291" ht="14.25" customHeight="1" s="37">
      <c r="E291" s="11" t="n"/>
    </row>
    <row r="292" ht="14.25" customHeight="1" s="37">
      <c r="E292" s="11" t="n"/>
    </row>
    <row r="293" ht="14.25" customHeight="1" s="37">
      <c r="E293" s="11" t="n"/>
    </row>
    <row r="294" ht="14.25" customHeight="1" s="37">
      <c r="E294" s="11" t="n"/>
    </row>
    <row r="295" ht="14.25" customHeight="1" s="37">
      <c r="E295" s="11" t="n"/>
    </row>
    <row r="296" ht="14.25" customHeight="1" s="37">
      <c r="E296" s="11" t="n"/>
    </row>
    <row r="297" ht="14.25" customHeight="1" s="37">
      <c r="E297" s="11" t="n"/>
    </row>
    <row r="298" ht="14.25" customHeight="1" s="37">
      <c r="E298" s="11" t="n"/>
    </row>
    <row r="299" ht="14.25" customHeight="1" s="37">
      <c r="E299" s="11" t="n"/>
    </row>
    <row r="300" ht="14.25" customHeight="1" s="37">
      <c r="E300" s="11" t="n"/>
    </row>
    <row r="301" ht="14.25" customHeight="1" s="37">
      <c r="E301" s="11" t="n"/>
    </row>
    <row r="302" ht="14.25" customHeight="1" s="37">
      <c r="E302" s="11" t="n"/>
    </row>
    <row r="303" ht="14.25" customHeight="1" s="37">
      <c r="E303" s="11" t="n"/>
    </row>
    <row r="304" ht="14.25" customHeight="1" s="37">
      <c r="E304" s="11" t="n"/>
    </row>
    <row r="305" ht="14.25" customHeight="1" s="37">
      <c r="E305" s="11" t="n"/>
    </row>
    <row r="306" ht="14.25" customHeight="1" s="37">
      <c r="E306" s="11" t="n"/>
    </row>
    <row r="307" ht="14.25" customHeight="1" s="37">
      <c r="E307" s="11" t="n"/>
    </row>
    <row r="308" ht="14.25" customHeight="1" s="37">
      <c r="E308" s="11" t="n"/>
    </row>
    <row r="309" ht="14.25" customHeight="1" s="37">
      <c r="E309" s="11" t="n"/>
    </row>
    <row r="310" ht="14.25" customHeight="1" s="37">
      <c r="E310" s="11" t="n"/>
    </row>
    <row r="311" ht="14.25" customHeight="1" s="37">
      <c r="E311" s="11" t="n"/>
    </row>
    <row r="312" ht="14.25" customHeight="1" s="37">
      <c r="E312" s="11" t="n"/>
    </row>
    <row r="313" ht="14.25" customHeight="1" s="37">
      <c r="E313" s="11" t="n"/>
    </row>
    <row r="314" ht="14.25" customHeight="1" s="37">
      <c r="E314" s="11" t="n"/>
    </row>
    <row r="315" ht="14.25" customHeight="1" s="37">
      <c r="E315" s="11" t="n"/>
    </row>
    <row r="316" ht="14.25" customHeight="1" s="37">
      <c r="E316" s="11" t="n"/>
    </row>
    <row r="317" ht="14.25" customHeight="1" s="37">
      <c r="E317" s="11" t="n"/>
    </row>
    <row r="318" ht="14.25" customHeight="1" s="37">
      <c r="E318" s="11" t="n"/>
    </row>
    <row r="319" ht="14.25" customHeight="1" s="37">
      <c r="E319" s="11" t="n"/>
    </row>
    <row r="320" ht="14.25" customHeight="1" s="37">
      <c r="E320" s="11" t="n"/>
    </row>
    <row r="321" ht="14.25" customHeight="1" s="37">
      <c r="E321" s="11" t="n"/>
    </row>
    <row r="322" ht="14.25" customHeight="1" s="37">
      <c r="E322" s="11" t="n"/>
    </row>
    <row r="323" ht="14.25" customHeight="1" s="37">
      <c r="E323" s="11" t="n"/>
    </row>
    <row r="324" ht="14.25" customHeight="1" s="37">
      <c r="E324" s="11" t="n"/>
    </row>
    <row r="325" ht="14.25" customHeight="1" s="37">
      <c r="E325" s="11" t="n"/>
    </row>
    <row r="326" ht="14.25" customHeight="1" s="37">
      <c r="E326" s="11" t="n"/>
    </row>
    <row r="327" ht="14.25" customHeight="1" s="37">
      <c r="E327" s="11" t="n"/>
    </row>
    <row r="328" ht="14.25" customHeight="1" s="37">
      <c r="E328" s="11" t="n"/>
    </row>
    <row r="329" ht="14.25" customHeight="1" s="37">
      <c r="E329" s="11" t="n"/>
    </row>
    <row r="330" ht="14.25" customHeight="1" s="37">
      <c r="E330" s="11" t="n"/>
    </row>
    <row r="331" ht="14.25" customHeight="1" s="37">
      <c r="E331" s="11" t="n"/>
    </row>
    <row r="332" ht="14.25" customHeight="1" s="37">
      <c r="E332" s="11" t="n"/>
    </row>
    <row r="333" ht="14.25" customHeight="1" s="37">
      <c r="E333" s="11" t="n"/>
    </row>
    <row r="334" ht="14.25" customHeight="1" s="37">
      <c r="E334" s="11" t="n"/>
    </row>
    <row r="335" ht="14.25" customHeight="1" s="37">
      <c r="E335" s="11" t="n"/>
    </row>
    <row r="336" ht="14.25" customHeight="1" s="37">
      <c r="E336" s="11" t="n"/>
    </row>
    <row r="337" ht="14.25" customHeight="1" s="37">
      <c r="E337" s="11" t="n"/>
    </row>
    <row r="338" ht="14.25" customHeight="1" s="37">
      <c r="E338" s="11" t="n"/>
    </row>
    <row r="339" ht="14.25" customHeight="1" s="37">
      <c r="E339" s="11" t="n"/>
    </row>
    <row r="340" ht="14.25" customHeight="1" s="37">
      <c r="E340" s="11" t="n"/>
    </row>
    <row r="341" ht="14.25" customHeight="1" s="37">
      <c r="E341" s="11" t="n"/>
    </row>
    <row r="342" ht="14.25" customHeight="1" s="37">
      <c r="E342" s="11" t="n"/>
    </row>
    <row r="343" ht="14.25" customHeight="1" s="37">
      <c r="E343" s="11" t="n"/>
    </row>
    <row r="344" ht="14.25" customHeight="1" s="37">
      <c r="E344" s="11" t="n"/>
    </row>
    <row r="345" ht="14.25" customHeight="1" s="37">
      <c r="E345" s="11" t="n"/>
    </row>
    <row r="346" ht="14.25" customHeight="1" s="37">
      <c r="E346" s="11" t="n"/>
    </row>
    <row r="347" ht="14.25" customHeight="1" s="37">
      <c r="E347" s="11" t="n"/>
    </row>
    <row r="348" ht="14.25" customHeight="1" s="37">
      <c r="E348" s="11" t="n"/>
    </row>
    <row r="349" ht="14.25" customHeight="1" s="37">
      <c r="E349" s="11" t="n"/>
    </row>
    <row r="350" ht="14.25" customHeight="1" s="37">
      <c r="E350" s="11" t="n"/>
    </row>
    <row r="351" ht="14.25" customHeight="1" s="37">
      <c r="E351" s="11" t="n"/>
    </row>
    <row r="352" ht="14.25" customHeight="1" s="37">
      <c r="E352" s="11" t="n"/>
    </row>
    <row r="353" ht="14.25" customHeight="1" s="37">
      <c r="E353" s="11" t="n"/>
    </row>
    <row r="354" ht="14.25" customHeight="1" s="37">
      <c r="E354" s="11" t="n"/>
    </row>
    <row r="355" ht="14.25" customHeight="1" s="37">
      <c r="E355" s="11" t="n"/>
    </row>
    <row r="356" ht="14.25" customHeight="1" s="37">
      <c r="E356" s="11" t="n"/>
    </row>
    <row r="357" ht="14.25" customHeight="1" s="37">
      <c r="E357" s="11" t="n"/>
    </row>
    <row r="358" ht="14.25" customHeight="1" s="37">
      <c r="E358" s="11" t="n"/>
    </row>
    <row r="359" ht="14.25" customHeight="1" s="37">
      <c r="E359" s="11" t="n"/>
    </row>
    <row r="360" ht="14.25" customHeight="1" s="37">
      <c r="E360" s="11" t="n"/>
    </row>
    <row r="361" ht="14.25" customHeight="1" s="37">
      <c r="E361" s="11" t="n"/>
    </row>
    <row r="362" ht="14.25" customHeight="1" s="37">
      <c r="E362" s="11" t="n"/>
    </row>
    <row r="363" ht="14.25" customHeight="1" s="37">
      <c r="E363" s="11" t="n"/>
    </row>
    <row r="364" ht="14.25" customHeight="1" s="37">
      <c r="E364" s="11" t="n"/>
    </row>
    <row r="365" ht="14.25" customHeight="1" s="37">
      <c r="E365" s="11" t="n"/>
    </row>
    <row r="366" ht="14.25" customHeight="1" s="37">
      <c r="E366" s="11" t="n"/>
    </row>
    <row r="367" ht="14.25" customHeight="1" s="37">
      <c r="E367" s="11" t="n"/>
    </row>
    <row r="368" ht="14.25" customHeight="1" s="37">
      <c r="E368" s="11" t="n"/>
    </row>
    <row r="369" ht="14.25" customHeight="1" s="37">
      <c r="E369" s="11" t="n"/>
    </row>
    <row r="370" ht="14.25" customHeight="1" s="37">
      <c r="E370" s="11" t="n"/>
    </row>
    <row r="371" ht="14.25" customHeight="1" s="37">
      <c r="E371" s="11" t="n"/>
    </row>
    <row r="372" ht="14.25" customHeight="1" s="37">
      <c r="E372" s="11" t="n"/>
    </row>
    <row r="373" ht="14.25" customHeight="1" s="37">
      <c r="E373" s="11" t="n"/>
    </row>
    <row r="374" ht="14.25" customHeight="1" s="37">
      <c r="E374" s="11" t="n"/>
    </row>
    <row r="375" ht="14.25" customHeight="1" s="37">
      <c r="E375" s="11" t="n"/>
    </row>
    <row r="376" ht="14.25" customHeight="1" s="37">
      <c r="E376" s="11" t="n"/>
    </row>
    <row r="377" ht="14.25" customHeight="1" s="37">
      <c r="E377" s="11" t="n"/>
    </row>
    <row r="378" ht="14.25" customHeight="1" s="37">
      <c r="E378" s="11" t="n"/>
    </row>
    <row r="379" ht="14.25" customHeight="1" s="37">
      <c r="E379" s="11" t="n"/>
    </row>
    <row r="380" ht="14.25" customHeight="1" s="37">
      <c r="E380" s="11" t="n"/>
    </row>
    <row r="381" ht="14.25" customHeight="1" s="37">
      <c r="E381" s="11" t="n"/>
    </row>
    <row r="382" ht="14.25" customHeight="1" s="37">
      <c r="E382" s="11" t="n"/>
    </row>
    <row r="383" ht="14.25" customHeight="1" s="37">
      <c r="E383" s="11" t="n"/>
    </row>
    <row r="384" ht="14.25" customHeight="1" s="37">
      <c r="E384" s="11" t="n"/>
    </row>
    <row r="385" ht="14.25" customHeight="1" s="37">
      <c r="E385" s="11" t="n"/>
    </row>
    <row r="386" ht="14.25" customHeight="1" s="37">
      <c r="E386" s="11" t="n"/>
    </row>
    <row r="387" ht="14.25" customHeight="1" s="37">
      <c r="E387" s="11" t="n"/>
    </row>
    <row r="388" ht="14.25" customHeight="1" s="37">
      <c r="E388" s="11" t="n"/>
    </row>
    <row r="389" ht="14.25" customHeight="1" s="37">
      <c r="E389" s="11" t="n"/>
    </row>
    <row r="390" ht="14.25" customHeight="1" s="37">
      <c r="E390" s="11" t="n"/>
    </row>
    <row r="391" ht="14.25" customHeight="1" s="37">
      <c r="E391" s="11" t="n"/>
    </row>
    <row r="392" ht="14.25" customHeight="1" s="37">
      <c r="E392" s="11" t="n"/>
    </row>
    <row r="393" ht="14.25" customHeight="1" s="37">
      <c r="E393" s="11" t="n"/>
    </row>
    <row r="394" ht="14.25" customHeight="1" s="37">
      <c r="E394" s="11" t="n"/>
    </row>
    <row r="395" ht="14.25" customHeight="1" s="37">
      <c r="E395" s="11" t="n"/>
    </row>
    <row r="396" ht="14.25" customHeight="1" s="37">
      <c r="E396" s="11" t="n"/>
    </row>
    <row r="397" ht="14.25" customHeight="1" s="37">
      <c r="E397" s="11" t="n"/>
    </row>
    <row r="398" ht="14.25" customHeight="1" s="37">
      <c r="E398" s="11" t="n"/>
    </row>
    <row r="399" ht="14.25" customHeight="1" s="37">
      <c r="E399" s="11" t="n"/>
    </row>
    <row r="400" ht="14.25" customHeight="1" s="37">
      <c r="E400" s="11" t="n"/>
    </row>
    <row r="401" ht="14.25" customHeight="1" s="37">
      <c r="E401" s="11" t="n"/>
    </row>
    <row r="402" ht="14.25" customHeight="1" s="37">
      <c r="E402" s="11" t="n"/>
    </row>
    <row r="403" ht="14.25" customHeight="1" s="37">
      <c r="E403" s="11" t="n"/>
    </row>
    <row r="404" ht="14.25" customHeight="1" s="37">
      <c r="E404" s="11" t="n"/>
    </row>
    <row r="405" ht="14.25" customHeight="1" s="37">
      <c r="E405" s="11" t="n"/>
    </row>
    <row r="406" ht="14.25" customHeight="1" s="37">
      <c r="E406" s="11" t="n"/>
    </row>
    <row r="407" ht="14.25" customHeight="1" s="37">
      <c r="E407" s="11" t="n"/>
    </row>
    <row r="408" ht="14.25" customHeight="1" s="37">
      <c r="E408" s="11" t="n"/>
    </row>
    <row r="409" ht="14.25" customHeight="1" s="37">
      <c r="E409" s="11" t="n"/>
    </row>
    <row r="410" ht="14.25" customHeight="1" s="37">
      <c r="E410" s="11" t="n"/>
    </row>
    <row r="411" ht="14.25" customHeight="1" s="37">
      <c r="E411" s="11" t="n"/>
    </row>
    <row r="412" ht="14.25" customHeight="1" s="37">
      <c r="E412" s="11" t="n"/>
    </row>
    <row r="413" ht="14.25" customHeight="1" s="37">
      <c r="E413" s="11" t="n"/>
    </row>
    <row r="414" ht="14.25" customHeight="1" s="37">
      <c r="E414" s="11" t="n"/>
    </row>
    <row r="415" ht="14.25" customHeight="1" s="37">
      <c r="E415" s="11" t="n"/>
    </row>
    <row r="416" ht="14.25" customHeight="1" s="37">
      <c r="E416" s="11" t="n"/>
    </row>
    <row r="417" ht="14.25" customHeight="1" s="37">
      <c r="E417" s="11" t="n"/>
    </row>
    <row r="418" ht="14.25" customHeight="1" s="37">
      <c r="E418" s="11" t="n"/>
    </row>
    <row r="419" ht="14.25" customHeight="1" s="37">
      <c r="E419" s="11" t="n"/>
    </row>
    <row r="420" ht="14.25" customHeight="1" s="37">
      <c r="E420" s="11" t="n"/>
    </row>
    <row r="421" ht="14.25" customHeight="1" s="37">
      <c r="E421" s="11" t="n"/>
    </row>
    <row r="422" ht="14.25" customHeight="1" s="37">
      <c r="E422" s="11" t="n"/>
    </row>
    <row r="423" ht="14.25" customHeight="1" s="37">
      <c r="E423" s="11" t="n"/>
    </row>
    <row r="424" ht="14.25" customHeight="1" s="37">
      <c r="E424" s="11" t="n"/>
    </row>
    <row r="425" ht="14.25" customHeight="1" s="37">
      <c r="E425" s="11" t="n"/>
    </row>
    <row r="426" ht="14.25" customHeight="1" s="37">
      <c r="E426" s="11" t="n"/>
    </row>
    <row r="427" ht="14.25" customHeight="1" s="37">
      <c r="E427" s="11" t="n"/>
    </row>
    <row r="428" ht="14.25" customHeight="1" s="37">
      <c r="E428" s="11" t="n"/>
    </row>
    <row r="429" ht="14.25" customHeight="1" s="37">
      <c r="E429" s="11" t="n"/>
    </row>
    <row r="430" ht="14.25" customHeight="1" s="37">
      <c r="E430" s="11" t="n"/>
    </row>
    <row r="431" ht="14.25" customHeight="1" s="37">
      <c r="E431" s="11" t="n"/>
    </row>
    <row r="432" ht="14.25" customHeight="1" s="37">
      <c r="E432" s="11" t="n"/>
    </row>
    <row r="433" ht="14.25" customHeight="1" s="37">
      <c r="E433" s="11" t="n"/>
    </row>
    <row r="434" ht="14.25" customHeight="1" s="37">
      <c r="E434" s="11" t="n"/>
    </row>
    <row r="435" ht="14.25" customHeight="1" s="37">
      <c r="E435" s="11" t="n"/>
    </row>
    <row r="436" ht="14.25" customHeight="1" s="37">
      <c r="E436" s="11" t="n"/>
    </row>
    <row r="437" ht="14.25" customHeight="1" s="37">
      <c r="E437" s="11" t="n"/>
    </row>
    <row r="438" ht="14.25" customHeight="1" s="37">
      <c r="E438" s="11" t="n"/>
    </row>
    <row r="439" ht="14.25" customHeight="1" s="37">
      <c r="E439" s="11" t="n"/>
    </row>
    <row r="440" ht="14.25" customHeight="1" s="37">
      <c r="E440" s="11" t="n"/>
    </row>
    <row r="441" ht="14.25" customHeight="1" s="37">
      <c r="E441" s="11" t="n"/>
    </row>
    <row r="442" ht="14.25" customHeight="1" s="37">
      <c r="E442" s="11" t="n"/>
    </row>
    <row r="443" ht="14.25" customHeight="1" s="37">
      <c r="E443" s="11" t="n"/>
    </row>
    <row r="444" ht="14.25" customHeight="1" s="37">
      <c r="E444" s="11" t="n"/>
    </row>
    <row r="445" ht="14.25" customHeight="1" s="37">
      <c r="E445" s="11" t="n"/>
    </row>
    <row r="446" ht="14.25" customHeight="1" s="37">
      <c r="E446" s="11" t="n"/>
    </row>
    <row r="447" ht="14.25" customHeight="1" s="37">
      <c r="E447" s="11" t="n"/>
    </row>
    <row r="448" ht="14.25" customHeight="1" s="37">
      <c r="E448" s="11" t="n"/>
    </row>
    <row r="449" ht="14.25" customHeight="1" s="37">
      <c r="E449" s="11" t="n"/>
    </row>
    <row r="450" ht="14.25" customHeight="1" s="37">
      <c r="E450" s="11" t="n"/>
    </row>
    <row r="451" ht="14.25" customHeight="1" s="37">
      <c r="E451" s="11" t="n"/>
    </row>
    <row r="452" ht="14.25" customHeight="1" s="37">
      <c r="E452" s="11" t="n"/>
    </row>
    <row r="453" ht="14.25" customHeight="1" s="37">
      <c r="E453" s="11" t="n"/>
    </row>
    <row r="454" ht="14.25" customHeight="1" s="37">
      <c r="E454" s="11" t="n"/>
    </row>
    <row r="455" ht="14.25" customHeight="1" s="37">
      <c r="E455" s="11" t="n"/>
    </row>
    <row r="456" ht="14.25" customHeight="1" s="37">
      <c r="E456" s="11" t="n"/>
    </row>
    <row r="457" ht="14.25" customHeight="1" s="37">
      <c r="E457" s="11" t="n"/>
    </row>
    <row r="458" ht="14.25" customHeight="1" s="37">
      <c r="E458" s="11" t="n"/>
    </row>
    <row r="459" ht="14.25" customHeight="1" s="37">
      <c r="E459" s="11" t="n"/>
    </row>
    <row r="460" ht="14.25" customHeight="1" s="37">
      <c r="E460" s="11" t="n"/>
    </row>
    <row r="461" ht="14.25" customHeight="1" s="37">
      <c r="E461" s="11" t="n"/>
    </row>
    <row r="462" ht="14.25" customHeight="1" s="37">
      <c r="E462" s="11" t="n"/>
    </row>
    <row r="463" ht="14.25" customHeight="1" s="37">
      <c r="E463" s="11" t="n"/>
    </row>
    <row r="464" ht="14.25" customHeight="1" s="37">
      <c r="E464" s="11" t="n"/>
    </row>
    <row r="465" ht="14.25" customHeight="1" s="37">
      <c r="E465" s="11" t="n"/>
    </row>
    <row r="466" ht="14.25" customHeight="1" s="37">
      <c r="E466" s="11" t="n"/>
    </row>
    <row r="467" ht="14.25" customHeight="1" s="37">
      <c r="E467" s="11" t="n"/>
    </row>
    <row r="468" ht="14.25" customHeight="1" s="37">
      <c r="E468" s="11" t="n"/>
    </row>
    <row r="469" ht="14.25" customHeight="1" s="37">
      <c r="E469" s="11" t="n"/>
    </row>
    <row r="470" ht="14.25" customHeight="1" s="37">
      <c r="E470" s="11" t="n"/>
    </row>
    <row r="471" ht="14.25" customHeight="1" s="37">
      <c r="E471" s="11" t="n"/>
    </row>
    <row r="472" ht="14.25" customHeight="1" s="37">
      <c r="E472" s="11" t="n"/>
    </row>
    <row r="473" ht="14.25" customHeight="1" s="37">
      <c r="E473" s="11" t="n"/>
    </row>
    <row r="474" ht="14.25" customHeight="1" s="37">
      <c r="E474" s="11" t="n"/>
    </row>
    <row r="475" ht="14.25" customHeight="1" s="37">
      <c r="E475" s="11" t="n"/>
    </row>
    <row r="476" ht="14.25" customHeight="1" s="37">
      <c r="E476" s="11" t="n"/>
    </row>
    <row r="477" ht="14.25" customHeight="1" s="37">
      <c r="E477" s="11" t="n"/>
    </row>
    <row r="478" ht="14.25" customHeight="1" s="37">
      <c r="E478" s="11" t="n"/>
    </row>
    <row r="479" ht="14.25" customHeight="1" s="37">
      <c r="E479" s="11" t="n"/>
    </row>
    <row r="480" ht="14.25" customHeight="1" s="37">
      <c r="E480" s="11" t="n"/>
    </row>
    <row r="481" ht="14.25" customHeight="1" s="37">
      <c r="E481" s="11" t="n"/>
    </row>
    <row r="482" ht="14.25" customHeight="1" s="37">
      <c r="E482" s="11" t="n"/>
    </row>
    <row r="483" ht="14.25" customHeight="1" s="37">
      <c r="E483" s="11" t="n"/>
    </row>
    <row r="484" ht="14.25" customHeight="1" s="37">
      <c r="E484" s="11" t="n"/>
    </row>
    <row r="485" ht="14.25" customHeight="1" s="37">
      <c r="E485" s="11" t="n"/>
    </row>
    <row r="486" ht="14.25" customHeight="1" s="37">
      <c r="E486" s="11" t="n"/>
    </row>
    <row r="487" ht="14.25" customHeight="1" s="37">
      <c r="E487" s="11" t="n"/>
    </row>
    <row r="488" ht="14.25" customHeight="1" s="37">
      <c r="E488" s="11" t="n"/>
    </row>
    <row r="489" ht="14.25" customHeight="1" s="37">
      <c r="E489" s="11" t="n"/>
    </row>
    <row r="490" ht="14.25" customHeight="1" s="37">
      <c r="E490" s="11" t="n"/>
    </row>
    <row r="491" ht="14.25" customHeight="1" s="37">
      <c r="E491" s="11" t="n"/>
    </row>
    <row r="492" ht="14.25" customHeight="1" s="37">
      <c r="E492" s="11" t="n"/>
    </row>
    <row r="493" ht="14.25" customHeight="1" s="37">
      <c r="E493" s="11" t="n"/>
    </row>
    <row r="494" ht="14.25" customHeight="1" s="37">
      <c r="E494" s="11" t="n"/>
    </row>
    <row r="495" ht="14.25" customHeight="1" s="37">
      <c r="E495" s="11" t="n"/>
    </row>
    <row r="496" ht="14.25" customHeight="1" s="37">
      <c r="E496" s="11" t="n"/>
    </row>
    <row r="497" ht="14.25" customHeight="1" s="37">
      <c r="E497" s="11" t="n"/>
    </row>
    <row r="498" ht="14.25" customHeight="1" s="37">
      <c r="E498" s="11" t="n"/>
    </row>
    <row r="499" ht="14.25" customHeight="1" s="37">
      <c r="E499" s="11" t="n"/>
    </row>
    <row r="500" ht="14.25" customHeight="1" s="37">
      <c r="E500" s="11" t="n"/>
    </row>
    <row r="501" ht="14.25" customHeight="1" s="37">
      <c r="E501" s="11" t="n"/>
    </row>
    <row r="502" ht="14.25" customHeight="1" s="37">
      <c r="E502" s="11" t="n"/>
    </row>
    <row r="503" ht="14.25" customHeight="1" s="37">
      <c r="E503" s="11" t="n"/>
    </row>
    <row r="504" ht="14.25" customHeight="1" s="37">
      <c r="E504" s="11" t="n"/>
    </row>
    <row r="505" ht="14.25" customHeight="1" s="37">
      <c r="E505" s="11" t="n"/>
    </row>
    <row r="506" ht="14.25" customHeight="1" s="37">
      <c r="E506" s="11" t="n"/>
    </row>
    <row r="507" ht="14.25" customHeight="1" s="37">
      <c r="E507" s="11" t="n"/>
    </row>
    <row r="508" ht="14.25" customHeight="1" s="37">
      <c r="E508" s="11" t="n"/>
    </row>
    <row r="509" ht="14.25" customHeight="1" s="37">
      <c r="E509" s="11" t="n"/>
    </row>
    <row r="510" ht="14.25" customHeight="1" s="37">
      <c r="E510" s="11" t="n"/>
    </row>
    <row r="511" ht="14.25" customHeight="1" s="37">
      <c r="E511" s="11" t="n"/>
    </row>
    <row r="512" ht="14.25" customHeight="1" s="37">
      <c r="E512" s="11" t="n"/>
    </row>
    <row r="513" ht="14.25" customHeight="1" s="37">
      <c r="E513" s="11" t="n"/>
    </row>
    <row r="514" ht="14.25" customHeight="1" s="37">
      <c r="E514" s="11" t="n"/>
    </row>
    <row r="515" ht="14.25" customHeight="1" s="37">
      <c r="E515" s="11" t="n"/>
    </row>
    <row r="516" ht="14.25" customHeight="1" s="37">
      <c r="E516" s="11" t="n"/>
    </row>
    <row r="517" ht="14.25" customHeight="1" s="37">
      <c r="E517" s="11" t="n"/>
    </row>
    <row r="518" ht="14.25" customHeight="1" s="37">
      <c r="E518" s="11" t="n"/>
    </row>
    <row r="519" ht="14.25" customHeight="1" s="37">
      <c r="E519" s="11" t="n"/>
    </row>
    <row r="520" ht="14.25" customHeight="1" s="37">
      <c r="E520" s="11" t="n"/>
    </row>
    <row r="521" ht="14.25" customHeight="1" s="37">
      <c r="E521" s="11" t="n"/>
    </row>
    <row r="522" ht="14.25" customHeight="1" s="37">
      <c r="E522" s="11" t="n"/>
    </row>
    <row r="523" ht="14.25" customHeight="1" s="37">
      <c r="E523" s="11" t="n"/>
    </row>
    <row r="524" ht="14.25" customHeight="1" s="37">
      <c r="E524" s="11" t="n"/>
    </row>
    <row r="525" ht="14.25" customHeight="1" s="37">
      <c r="E525" s="11" t="n"/>
    </row>
    <row r="526" ht="14.25" customHeight="1" s="37">
      <c r="E526" s="11" t="n"/>
    </row>
    <row r="527" ht="14.25" customHeight="1" s="37">
      <c r="E527" s="11" t="n"/>
    </row>
    <row r="528" ht="14.25" customHeight="1" s="37">
      <c r="E528" s="11" t="n"/>
    </row>
    <row r="529" ht="14.25" customHeight="1" s="37">
      <c r="E529" s="11" t="n"/>
    </row>
    <row r="530" ht="14.25" customHeight="1" s="37">
      <c r="E530" s="11" t="n"/>
    </row>
    <row r="531" ht="14.25" customHeight="1" s="37">
      <c r="E531" s="11" t="n"/>
    </row>
    <row r="532" ht="14.25" customHeight="1" s="37">
      <c r="E532" s="11" t="n"/>
    </row>
    <row r="533" ht="14.25" customHeight="1" s="37">
      <c r="E533" s="11" t="n"/>
    </row>
    <row r="534" ht="14.25" customHeight="1" s="37">
      <c r="E534" s="11" t="n"/>
    </row>
    <row r="535" ht="14.25" customHeight="1" s="37">
      <c r="E535" s="11" t="n"/>
    </row>
    <row r="536" ht="14.25" customHeight="1" s="37">
      <c r="E536" s="11" t="n"/>
    </row>
    <row r="537" ht="14.25" customHeight="1" s="37">
      <c r="E537" s="11" t="n"/>
    </row>
    <row r="538" ht="14.25" customHeight="1" s="37">
      <c r="E538" s="11" t="n"/>
    </row>
    <row r="539" ht="14.25" customHeight="1" s="37">
      <c r="E539" s="11" t="n"/>
    </row>
    <row r="540" ht="14.25" customHeight="1" s="37">
      <c r="E540" s="11" t="n"/>
    </row>
    <row r="541" ht="14.25" customHeight="1" s="37">
      <c r="E541" s="11" t="n"/>
    </row>
    <row r="542" ht="14.25" customHeight="1" s="37">
      <c r="E542" s="11" t="n"/>
    </row>
    <row r="543" ht="14.25" customHeight="1" s="37">
      <c r="E543" s="11" t="n"/>
    </row>
    <row r="544" ht="14.25" customHeight="1" s="37">
      <c r="E544" s="11" t="n"/>
    </row>
    <row r="545" ht="14.25" customHeight="1" s="37">
      <c r="E545" s="11" t="n"/>
    </row>
    <row r="546" ht="14.25" customHeight="1" s="37">
      <c r="E546" s="11" t="n"/>
    </row>
    <row r="547" ht="14.25" customHeight="1" s="37">
      <c r="E547" s="11" t="n"/>
    </row>
    <row r="548" ht="14.25" customHeight="1" s="37">
      <c r="E548" s="11" t="n"/>
    </row>
    <row r="549" ht="14.25" customHeight="1" s="37">
      <c r="E549" s="11" t="n"/>
    </row>
    <row r="550" ht="14.25" customHeight="1" s="37">
      <c r="E550" s="11" t="n"/>
    </row>
    <row r="551" ht="14.25" customHeight="1" s="37">
      <c r="E551" s="11" t="n"/>
    </row>
    <row r="552" ht="14.25" customHeight="1" s="37">
      <c r="E552" s="11" t="n"/>
    </row>
    <row r="553" ht="14.25" customHeight="1" s="37">
      <c r="E553" s="11" t="n"/>
    </row>
    <row r="554" ht="14.25" customHeight="1" s="37">
      <c r="E554" s="11" t="n"/>
    </row>
    <row r="555" ht="14.25" customHeight="1" s="37">
      <c r="E555" s="11" t="n"/>
    </row>
    <row r="556" ht="14.25" customHeight="1" s="37">
      <c r="E556" s="11" t="n"/>
    </row>
    <row r="557" ht="14.25" customHeight="1" s="37">
      <c r="E557" s="11" t="n"/>
    </row>
    <row r="558" ht="14.25" customHeight="1" s="37">
      <c r="E558" s="11" t="n"/>
    </row>
    <row r="559" ht="14.25" customHeight="1" s="37">
      <c r="E559" s="11" t="n"/>
    </row>
    <row r="560" ht="14.25" customHeight="1" s="37">
      <c r="E560" s="11" t="n"/>
    </row>
    <row r="561" ht="14.25" customHeight="1" s="37">
      <c r="E561" s="11" t="n"/>
    </row>
    <row r="562" ht="14.25" customHeight="1" s="37">
      <c r="E562" s="11" t="n"/>
    </row>
    <row r="563" ht="14.25" customHeight="1" s="37">
      <c r="E563" s="11" t="n"/>
    </row>
    <row r="564" ht="14.25" customHeight="1" s="37">
      <c r="E564" s="11" t="n"/>
    </row>
    <row r="565" ht="14.25" customHeight="1" s="37">
      <c r="E565" s="11" t="n"/>
    </row>
    <row r="566" ht="14.25" customHeight="1" s="37">
      <c r="E566" s="11" t="n"/>
    </row>
    <row r="567" ht="14.25" customHeight="1" s="37">
      <c r="E567" s="11" t="n"/>
    </row>
    <row r="568" ht="14.25" customHeight="1" s="37">
      <c r="E568" s="11" t="n"/>
    </row>
    <row r="569" ht="14.25" customHeight="1" s="37">
      <c r="E569" s="11" t="n"/>
    </row>
    <row r="570" ht="14.25" customHeight="1" s="37">
      <c r="E570" s="11" t="n"/>
    </row>
    <row r="571" ht="14.25" customHeight="1" s="37">
      <c r="E571" s="11" t="n"/>
    </row>
    <row r="572" ht="14.25" customHeight="1" s="37">
      <c r="E572" s="11" t="n"/>
    </row>
    <row r="573" ht="14.25" customHeight="1" s="37">
      <c r="E573" s="11" t="n"/>
    </row>
    <row r="574" ht="14.25" customHeight="1" s="37">
      <c r="E574" s="11" t="n"/>
    </row>
    <row r="575" ht="14.25" customHeight="1" s="37">
      <c r="E575" s="11" t="n"/>
    </row>
    <row r="576" ht="14.25" customHeight="1" s="37">
      <c r="E576" s="11" t="n"/>
    </row>
    <row r="577" ht="14.25" customHeight="1" s="37">
      <c r="E577" s="11" t="n"/>
    </row>
    <row r="578" ht="14.25" customHeight="1" s="37">
      <c r="E578" s="11" t="n"/>
    </row>
    <row r="579" ht="14.25" customHeight="1" s="37">
      <c r="E579" s="11" t="n"/>
    </row>
    <row r="580" ht="14.25" customHeight="1" s="37">
      <c r="E580" s="11" t="n"/>
    </row>
    <row r="581" ht="14.25" customHeight="1" s="37">
      <c r="E581" s="11" t="n"/>
    </row>
    <row r="582" ht="14.25" customHeight="1" s="37">
      <c r="E582" s="11" t="n"/>
    </row>
    <row r="583" ht="14.25" customHeight="1" s="37">
      <c r="E583" s="11" t="n"/>
    </row>
    <row r="584" ht="14.25" customHeight="1" s="37">
      <c r="E584" s="11" t="n"/>
    </row>
    <row r="585" ht="14.25" customHeight="1" s="37">
      <c r="E585" s="11" t="n"/>
    </row>
    <row r="586" ht="14.25" customHeight="1" s="37">
      <c r="E586" s="11" t="n"/>
    </row>
    <row r="587" ht="14.25" customHeight="1" s="37">
      <c r="E587" s="11" t="n"/>
    </row>
    <row r="588" ht="14.25" customHeight="1" s="37">
      <c r="E588" s="11" t="n"/>
    </row>
    <row r="589" ht="14.25" customHeight="1" s="37">
      <c r="E589" s="11" t="n"/>
    </row>
    <row r="590" ht="14.25" customHeight="1" s="37">
      <c r="E590" s="11" t="n"/>
    </row>
    <row r="591" ht="14.25" customHeight="1" s="37">
      <c r="E591" s="11" t="n"/>
    </row>
    <row r="592" ht="14.25" customHeight="1" s="37">
      <c r="E592" s="11" t="n"/>
    </row>
    <row r="593" ht="14.25" customHeight="1" s="37">
      <c r="E593" s="11" t="n"/>
    </row>
    <row r="594" ht="14.25" customHeight="1" s="37">
      <c r="E594" s="11" t="n"/>
    </row>
    <row r="595" ht="14.25" customHeight="1" s="37">
      <c r="E595" s="11" t="n"/>
    </row>
    <row r="596" ht="14.25" customHeight="1" s="37">
      <c r="E596" s="11" t="n"/>
    </row>
    <row r="597" ht="14.25" customHeight="1" s="37">
      <c r="E597" s="11" t="n"/>
    </row>
    <row r="598" ht="14.25" customHeight="1" s="37">
      <c r="E598" s="11" t="n"/>
    </row>
    <row r="599" ht="14.25" customHeight="1" s="37">
      <c r="E599" s="11" t="n"/>
    </row>
    <row r="600" ht="14.25" customHeight="1" s="37">
      <c r="E600" s="11" t="n"/>
    </row>
    <row r="601" ht="14.25" customHeight="1" s="37">
      <c r="E601" s="11" t="n"/>
    </row>
    <row r="602" ht="14.25" customHeight="1" s="37">
      <c r="E602" s="11" t="n"/>
    </row>
    <row r="603" ht="14.25" customHeight="1" s="37">
      <c r="E603" s="11" t="n"/>
    </row>
    <row r="604" ht="14.25" customHeight="1" s="37">
      <c r="E604" s="11" t="n"/>
    </row>
    <row r="605" ht="14.25" customHeight="1" s="37">
      <c r="E605" s="11" t="n"/>
    </row>
    <row r="606" ht="14.25" customHeight="1" s="37">
      <c r="E606" s="11" t="n"/>
    </row>
    <row r="607" ht="14.25" customHeight="1" s="37">
      <c r="E607" s="11" t="n"/>
    </row>
    <row r="608" ht="14.25" customHeight="1" s="37">
      <c r="E608" s="11" t="n"/>
    </row>
    <row r="609" ht="14.25" customHeight="1" s="37">
      <c r="E609" s="11" t="n"/>
    </row>
    <row r="610" ht="14.25" customHeight="1" s="37">
      <c r="E610" s="11" t="n"/>
    </row>
    <row r="611" ht="14.25" customHeight="1" s="37">
      <c r="E611" s="11" t="n"/>
    </row>
    <row r="612" ht="14.25" customHeight="1" s="37">
      <c r="E612" s="11" t="n"/>
    </row>
    <row r="613" ht="14.25" customHeight="1" s="37">
      <c r="E613" s="11" t="n"/>
    </row>
    <row r="614" ht="14.25" customHeight="1" s="37">
      <c r="E614" s="11" t="n"/>
    </row>
    <row r="615" ht="14.25" customHeight="1" s="37">
      <c r="E615" s="11" t="n"/>
    </row>
    <row r="616" ht="14.25" customHeight="1" s="37">
      <c r="E616" s="11" t="n"/>
    </row>
    <row r="617" ht="14.25" customHeight="1" s="37">
      <c r="E617" s="11" t="n"/>
    </row>
    <row r="618" ht="14.25" customHeight="1" s="37">
      <c r="E618" s="11" t="n"/>
    </row>
    <row r="619" ht="14.25" customHeight="1" s="37">
      <c r="E619" s="11" t="n"/>
    </row>
    <row r="620" ht="14.25" customHeight="1" s="37">
      <c r="E620" s="11" t="n"/>
    </row>
    <row r="621" ht="14.25" customHeight="1" s="37">
      <c r="E621" s="11" t="n"/>
    </row>
    <row r="622" ht="14.25" customHeight="1" s="37">
      <c r="E622" s="11" t="n"/>
    </row>
    <row r="623" ht="14.25" customHeight="1" s="37">
      <c r="E623" s="11" t="n"/>
    </row>
    <row r="624" ht="14.25" customHeight="1" s="37">
      <c r="E624" s="11" t="n"/>
    </row>
    <row r="625" ht="14.25" customHeight="1" s="37">
      <c r="E625" s="11" t="n"/>
    </row>
    <row r="626" ht="14.25" customHeight="1" s="37">
      <c r="E626" s="11" t="n"/>
    </row>
    <row r="627" ht="14.25" customHeight="1" s="37">
      <c r="E627" s="11" t="n"/>
    </row>
    <row r="628" ht="14.25" customHeight="1" s="37">
      <c r="E628" s="11" t="n"/>
    </row>
    <row r="629" ht="14.25" customHeight="1" s="37">
      <c r="E629" s="11" t="n"/>
    </row>
    <row r="630" ht="14.25" customHeight="1" s="37">
      <c r="E630" s="11" t="n"/>
    </row>
    <row r="631" ht="14.25" customHeight="1" s="37">
      <c r="E631" s="11" t="n"/>
    </row>
    <row r="632" ht="14.25" customHeight="1" s="37">
      <c r="E632" s="11" t="n"/>
    </row>
    <row r="633" ht="14.25" customHeight="1" s="37">
      <c r="E633" s="11" t="n"/>
    </row>
    <row r="634" ht="14.25" customHeight="1" s="37">
      <c r="E634" s="11" t="n"/>
    </row>
    <row r="635" ht="14.25" customHeight="1" s="37">
      <c r="E635" s="11" t="n"/>
    </row>
    <row r="636" ht="14.25" customHeight="1" s="37">
      <c r="E636" s="11" t="n"/>
    </row>
    <row r="637" ht="14.25" customHeight="1" s="37">
      <c r="E637" s="11" t="n"/>
    </row>
    <row r="638" ht="14.25" customHeight="1" s="37">
      <c r="E638" s="11" t="n"/>
    </row>
    <row r="639" ht="14.25" customHeight="1" s="37">
      <c r="E639" s="11" t="n"/>
    </row>
    <row r="640" ht="14.25" customHeight="1" s="37">
      <c r="E640" s="11" t="n"/>
    </row>
    <row r="641" ht="14.25" customHeight="1" s="37">
      <c r="E641" s="11" t="n"/>
    </row>
    <row r="642" ht="14.25" customHeight="1" s="37">
      <c r="E642" s="11" t="n"/>
    </row>
    <row r="643" ht="14.25" customHeight="1" s="37">
      <c r="E643" s="11" t="n"/>
    </row>
    <row r="644" ht="14.25" customHeight="1" s="37">
      <c r="E644" s="11" t="n"/>
    </row>
    <row r="645" ht="14.25" customHeight="1" s="37">
      <c r="E645" s="11" t="n"/>
    </row>
    <row r="646" ht="14.25" customHeight="1" s="37">
      <c r="E646" s="11" t="n"/>
    </row>
    <row r="647" ht="14.25" customHeight="1" s="37">
      <c r="E647" s="11" t="n"/>
    </row>
    <row r="648" ht="14.25" customHeight="1" s="37">
      <c r="E648" s="11" t="n"/>
    </row>
    <row r="649" ht="14.25" customHeight="1" s="37">
      <c r="E649" s="11" t="n"/>
    </row>
    <row r="650" ht="14.25" customHeight="1" s="37">
      <c r="E650" s="11" t="n"/>
    </row>
    <row r="651" ht="14.25" customHeight="1" s="37">
      <c r="E651" s="11" t="n"/>
    </row>
    <row r="652" ht="14.25" customHeight="1" s="37">
      <c r="E652" s="11" t="n"/>
    </row>
    <row r="653" ht="14.25" customHeight="1" s="37">
      <c r="E653" s="11" t="n"/>
    </row>
    <row r="654" ht="14.25" customHeight="1" s="37">
      <c r="E654" s="11" t="n"/>
    </row>
    <row r="655" ht="14.25" customHeight="1" s="37">
      <c r="E655" s="11" t="n"/>
    </row>
    <row r="656" ht="14.25" customHeight="1" s="37">
      <c r="E656" s="11" t="n"/>
    </row>
    <row r="657" ht="14.25" customHeight="1" s="37">
      <c r="E657" s="11" t="n"/>
    </row>
    <row r="658" ht="14.25" customHeight="1" s="37">
      <c r="E658" s="11" t="n"/>
    </row>
    <row r="659" ht="14.25" customHeight="1" s="37">
      <c r="E659" s="11" t="n"/>
    </row>
    <row r="660" ht="14.25" customHeight="1" s="37">
      <c r="E660" s="11" t="n"/>
    </row>
    <row r="661" ht="14.25" customHeight="1" s="37">
      <c r="E661" s="11" t="n"/>
    </row>
    <row r="662" ht="14.25" customHeight="1" s="37">
      <c r="E662" s="11" t="n"/>
    </row>
    <row r="663" ht="14.25" customHeight="1" s="37">
      <c r="E663" s="11" t="n"/>
    </row>
    <row r="664" ht="14.25" customHeight="1" s="37">
      <c r="E664" s="11" t="n"/>
    </row>
    <row r="665" ht="14.25" customHeight="1" s="37">
      <c r="E665" s="11" t="n"/>
    </row>
    <row r="666" ht="14.25" customHeight="1" s="37">
      <c r="E666" s="11" t="n"/>
    </row>
    <row r="667" ht="14.25" customHeight="1" s="37">
      <c r="E667" s="11" t="n"/>
    </row>
    <row r="668" ht="14.25" customHeight="1" s="37">
      <c r="E668" s="11" t="n"/>
    </row>
    <row r="669" ht="14.25" customHeight="1" s="37">
      <c r="E669" s="11" t="n"/>
    </row>
    <row r="670" ht="14.25" customHeight="1" s="37">
      <c r="E670" s="11" t="n"/>
    </row>
    <row r="671" ht="14.25" customHeight="1" s="37">
      <c r="E671" s="11" t="n"/>
    </row>
    <row r="672" ht="14.25" customHeight="1" s="37">
      <c r="E672" s="11" t="n"/>
    </row>
    <row r="673" ht="14.25" customHeight="1" s="37">
      <c r="E673" s="11" t="n"/>
    </row>
    <row r="674" ht="14.25" customHeight="1" s="37">
      <c r="E674" s="11" t="n"/>
    </row>
    <row r="675" ht="14.25" customHeight="1" s="37">
      <c r="E675" s="11" t="n"/>
    </row>
    <row r="676" ht="14.25" customHeight="1" s="37">
      <c r="E676" s="11" t="n"/>
    </row>
    <row r="677" ht="14.25" customHeight="1" s="37">
      <c r="E677" s="11" t="n"/>
    </row>
    <row r="678" ht="14.25" customHeight="1" s="37">
      <c r="E678" s="11" t="n"/>
    </row>
    <row r="679" ht="14.25" customHeight="1" s="37">
      <c r="E679" s="11" t="n"/>
    </row>
    <row r="680" ht="14.25" customHeight="1" s="37">
      <c r="E680" s="11" t="n"/>
    </row>
    <row r="681" ht="14.25" customHeight="1" s="37">
      <c r="E681" s="11" t="n"/>
    </row>
    <row r="682" ht="14.25" customHeight="1" s="37">
      <c r="E682" s="11" t="n"/>
    </row>
    <row r="683" ht="14.25" customHeight="1" s="37">
      <c r="E683" s="11" t="n"/>
    </row>
    <row r="684" ht="14.25" customHeight="1" s="37">
      <c r="E684" s="11" t="n"/>
    </row>
    <row r="685" ht="14.25" customHeight="1" s="37">
      <c r="E685" s="11" t="n"/>
    </row>
    <row r="686" ht="14.25" customHeight="1" s="37">
      <c r="E686" s="11" t="n"/>
    </row>
    <row r="687" ht="14.25" customHeight="1" s="37">
      <c r="E687" s="11" t="n"/>
    </row>
    <row r="688" ht="14.25" customHeight="1" s="37">
      <c r="E688" s="11" t="n"/>
    </row>
    <row r="689" ht="14.25" customHeight="1" s="37">
      <c r="E689" s="11" t="n"/>
    </row>
    <row r="690" ht="14.25" customHeight="1" s="37">
      <c r="E690" s="11" t="n"/>
    </row>
    <row r="691" ht="14.25" customHeight="1" s="37">
      <c r="E691" s="11" t="n"/>
    </row>
    <row r="692" ht="14.25" customHeight="1" s="37">
      <c r="E692" s="11" t="n"/>
    </row>
    <row r="693" ht="14.25" customHeight="1" s="37">
      <c r="E693" s="11" t="n"/>
    </row>
    <row r="694" ht="14.25" customHeight="1" s="37">
      <c r="E694" s="11" t="n"/>
    </row>
    <row r="695" ht="14.25" customHeight="1" s="37">
      <c r="E695" s="11" t="n"/>
    </row>
    <row r="696" ht="14.25" customHeight="1" s="37">
      <c r="E696" s="11" t="n"/>
    </row>
    <row r="697" ht="14.25" customHeight="1" s="37">
      <c r="E697" s="11" t="n"/>
    </row>
    <row r="698" ht="14.25" customHeight="1" s="37">
      <c r="E698" s="11" t="n"/>
    </row>
    <row r="699" ht="14.25" customHeight="1" s="37">
      <c r="E699" s="11" t="n"/>
    </row>
    <row r="700" ht="14.25" customHeight="1" s="37">
      <c r="E700" s="11" t="n"/>
    </row>
    <row r="701" ht="14.25" customHeight="1" s="37">
      <c r="E701" s="11" t="n"/>
    </row>
    <row r="702" ht="14.25" customHeight="1" s="37">
      <c r="E702" s="11" t="n"/>
    </row>
    <row r="703" ht="14.25" customHeight="1" s="37">
      <c r="E703" s="11" t="n"/>
    </row>
    <row r="704" ht="14.25" customHeight="1" s="37">
      <c r="E704" s="11" t="n"/>
    </row>
    <row r="705" ht="14.25" customHeight="1" s="37">
      <c r="E705" s="11" t="n"/>
    </row>
    <row r="706" ht="14.25" customHeight="1" s="37">
      <c r="E706" s="11" t="n"/>
    </row>
    <row r="707" ht="14.25" customHeight="1" s="37">
      <c r="E707" s="11" t="n"/>
    </row>
    <row r="708" ht="14.25" customHeight="1" s="37">
      <c r="E708" s="11" t="n"/>
    </row>
    <row r="709" ht="14.25" customHeight="1" s="37">
      <c r="E709" s="11" t="n"/>
    </row>
    <row r="710" ht="14.25" customHeight="1" s="37">
      <c r="E710" s="11" t="n"/>
    </row>
    <row r="711" ht="14.25" customHeight="1" s="37">
      <c r="E711" s="11" t="n"/>
    </row>
    <row r="712" ht="14.25" customHeight="1" s="37">
      <c r="E712" s="11" t="n"/>
    </row>
    <row r="713" ht="14.25" customHeight="1" s="37">
      <c r="E713" s="11" t="n"/>
    </row>
    <row r="714" ht="14.25" customHeight="1" s="37">
      <c r="E714" s="11" t="n"/>
    </row>
    <row r="715" ht="14.25" customHeight="1" s="37">
      <c r="E715" s="11" t="n"/>
    </row>
    <row r="716" ht="14.25" customHeight="1" s="37">
      <c r="E716" s="11" t="n"/>
    </row>
    <row r="717" ht="14.25" customHeight="1" s="37">
      <c r="E717" s="11" t="n"/>
    </row>
    <row r="718" ht="14.25" customHeight="1" s="37">
      <c r="E718" s="11" t="n"/>
    </row>
    <row r="719" ht="14.25" customHeight="1" s="37">
      <c r="E719" s="11" t="n"/>
    </row>
    <row r="720" ht="14.25" customHeight="1" s="37">
      <c r="E720" s="11" t="n"/>
    </row>
    <row r="721" ht="14.25" customHeight="1" s="37">
      <c r="E721" s="11" t="n"/>
    </row>
    <row r="722" ht="14.25" customHeight="1" s="37">
      <c r="E722" s="11" t="n"/>
    </row>
    <row r="723" ht="14.25" customHeight="1" s="37">
      <c r="E723" s="11" t="n"/>
    </row>
    <row r="724" ht="14.25" customHeight="1" s="37">
      <c r="E724" s="11" t="n"/>
    </row>
    <row r="725" ht="14.25" customHeight="1" s="37">
      <c r="E725" s="11" t="n"/>
    </row>
    <row r="726" ht="14.25" customHeight="1" s="37">
      <c r="E726" s="11" t="n"/>
    </row>
    <row r="727" ht="14.25" customHeight="1" s="37">
      <c r="E727" s="11" t="n"/>
    </row>
    <row r="728" ht="14.25" customHeight="1" s="37">
      <c r="E728" s="11" t="n"/>
    </row>
    <row r="729" ht="14.25" customHeight="1" s="37">
      <c r="E729" s="11" t="n"/>
    </row>
    <row r="730" ht="14.25" customHeight="1" s="37">
      <c r="E730" s="11" t="n"/>
    </row>
    <row r="731" ht="14.25" customHeight="1" s="37">
      <c r="E731" s="11" t="n"/>
    </row>
    <row r="732" ht="14.25" customHeight="1" s="37">
      <c r="E732" s="11" t="n"/>
    </row>
    <row r="733" ht="14.25" customHeight="1" s="37">
      <c r="E733" s="11" t="n"/>
    </row>
    <row r="734" ht="14.25" customHeight="1" s="37">
      <c r="E734" s="11" t="n"/>
    </row>
    <row r="735" ht="14.25" customHeight="1" s="37">
      <c r="E735" s="11" t="n"/>
    </row>
    <row r="736" ht="14.25" customHeight="1" s="37">
      <c r="E736" s="11" t="n"/>
    </row>
    <row r="737" ht="14.25" customHeight="1" s="37">
      <c r="E737" s="11" t="n"/>
    </row>
    <row r="738" ht="14.25" customHeight="1" s="37">
      <c r="E738" s="11" t="n"/>
    </row>
    <row r="739" ht="14.25" customHeight="1" s="37">
      <c r="E739" s="11" t="n"/>
    </row>
    <row r="740" ht="14.25" customHeight="1" s="37">
      <c r="E740" s="11" t="n"/>
    </row>
    <row r="741" ht="14.25" customHeight="1" s="37">
      <c r="E741" s="11" t="n"/>
    </row>
    <row r="742" ht="14.25" customHeight="1" s="37">
      <c r="E742" s="11" t="n"/>
    </row>
    <row r="743" ht="14.25" customHeight="1" s="37">
      <c r="E743" s="11" t="n"/>
    </row>
    <row r="744" ht="14.25" customHeight="1" s="37">
      <c r="E744" s="11" t="n"/>
    </row>
    <row r="745" ht="14.25" customHeight="1" s="37">
      <c r="E745" s="11" t="n"/>
    </row>
    <row r="746" ht="14.25" customHeight="1" s="37">
      <c r="E746" s="11" t="n"/>
    </row>
    <row r="747" ht="14.25" customHeight="1" s="37">
      <c r="E747" s="11" t="n"/>
    </row>
    <row r="748" ht="14.25" customHeight="1" s="37">
      <c r="E748" s="11" t="n"/>
    </row>
    <row r="749" ht="14.25" customHeight="1" s="37">
      <c r="E749" s="11" t="n"/>
    </row>
    <row r="750" ht="14.25" customHeight="1" s="37">
      <c r="E750" s="11" t="n"/>
    </row>
    <row r="751" ht="14.25" customHeight="1" s="37">
      <c r="E751" s="11" t="n"/>
    </row>
    <row r="752" ht="14.25" customHeight="1" s="37">
      <c r="E752" s="11" t="n"/>
    </row>
    <row r="753" ht="14.25" customHeight="1" s="37">
      <c r="E753" s="11" t="n"/>
    </row>
    <row r="754" ht="14.25" customHeight="1" s="37">
      <c r="E754" s="11" t="n"/>
    </row>
    <row r="755" ht="14.25" customHeight="1" s="37">
      <c r="E755" s="11" t="n"/>
    </row>
    <row r="756" ht="14.25" customHeight="1" s="37">
      <c r="E756" s="11" t="n"/>
    </row>
    <row r="757" ht="14.25" customHeight="1" s="37">
      <c r="E757" s="11" t="n"/>
    </row>
    <row r="758" ht="14.25" customHeight="1" s="37">
      <c r="E758" s="11" t="n"/>
    </row>
    <row r="759" ht="14.25" customHeight="1" s="37">
      <c r="E759" s="11" t="n"/>
    </row>
    <row r="760" ht="14.25" customHeight="1" s="37">
      <c r="E760" s="11" t="n"/>
    </row>
    <row r="761" ht="14.25" customHeight="1" s="37">
      <c r="E761" s="11" t="n"/>
    </row>
    <row r="762" ht="14.25" customHeight="1" s="37">
      <c r="E762" s="11" t="n"/>
    </row>
    <row r="763" ht="14.25" customHeight="1" s="37">
      <c r="E763" s="11" t="n"/>
    </row>
    <row r="764" ht="14.25" customHeight="1" s="37">
      <c r="E764" s="11" t="n"/>
    </row>
    <row r="765" ht="14.25" customHeight="1" s="37">
      <c r="E765" s="11" t="n"/>
    </row>
    <row r="766" ht="14.25" customHeight="1" s="37">
      <c r="E766" s="11" t="n"/>
    </row>
    <row r="767" ht="14.25" customHeight="1" s="37">
      <c r="E767" s="11" t="n"/>
    </row>
    <row r="768" ht="14.25" customHeight="1" s="37">
      <c r="E768" s="11" t="n"/>
    </row>
    <row r="769" ht="14.25" customHeight="1" s="37">
      <c r="E769" s="11" t="n"/>
    </row>
    <row r="770" ht="14.25" customHeight="1" s="37">
      <c r="E770" s="11" t="n"/>
    </row>
    <row r="771" ht="14.25" customHeight="1" s="37">
      <c r="E771" s="11" t="n"/>
    </row>
    <row r="772" ht="14.25" customHeight="1" s="37">
      <c r="E772" s="11" t="n"/>
    </row>
    <row r="773" ht="14.25" customHeight="1" s="37">
      <c r="E773" s="11" t="n"/>
    </row>
    <row r="774" ht="14.25" customHeight="1" s="37">
      <c r="E774" s="11" t="n"/>
    </row>
    <row r="775" ht="14.25" customHeight="1" s="37">
      <c r="E775" s="11" t="n"/>
    </row>
    <row r="776" ht="14.25" customHeight="1" s="37">
      <c r="E776" s="11" t="n"/>
    </row>
    <row r="777" ht="14.25" customHeight="1" s="37">
      <c r="E777" s="11" t="n"/>
    </row>
    <row r="778" ht="14.25" customHeight="1" s="37">
      <c r="E778" s="11" t="n"/>
    </row>
    <row r="779" ht="14.25" customHeight="1" s="37">
      <c r="E779" s="11" t="n"/>
    </row>
    <row r="780" ht="14.25" customHeight="1" s="37">
      <c r="E780" s="11" t="n"/>
    </row>
    <row r="781" ht="14.25" customHeight="1" s="37">
      <c r="E781" s="11" t="n"/>
    </row>
    <row r="782" ht="14.25" customHeight="1" s="37">
      <c r="E782" s="11" t="n"/>
    </row>
    <row r="783" ht="14.25" customHeight="1" s="37">
      <c r="E783" s="11" t="n"/>
    </row>
    <row r="784" ht="14.25" customHeight="1" s="37">
      <c r="E784" s="11" t="n"/>
    </row>
    <row r="785" ht="14.25" customHeight="1" s="37">
      <c r="E785" s="11" t="n"/>
    </row>
    <row r="786" ht="14.25" customHeight="1" s="37">
      <c r="E786" s="11" t="n"/>
    </row>
    <row r="787" ht="14.25" customHeight="1" s="37">
      <c r="E787" s="11" t="n"/>
    </row>
    <row r="788" ht="14.25" customHeight="1" s="37">
      <c r="E788" s="11" t="n"/>
    </row>
    <row r="789" ht="14.25" customHeight="1" s="37">
      <c r="E789" s="11" t="n"/>
    </row>
    <row r="790" ht="14.25" customHeight="1" s="37">
      <c r="E790" s="11" t="n"/>
    </row>
    <row r="791" ht="14.25" customHeight="1" s="37">
      <c r="E791" s="11" t="n"/>
    </row>
    <row r="792" ht="14.25" customHeight="1" s="37">
      <c r="E792" s="11" t="n"/>
    </row>
    <row r="793" ht="14.25" customHeight="1" s="37">
      <c r="E793" s="11" t="n"/>
    </row>
    <row r="794" ht="14.25" customHeight="1" s="37">
      <c r="E794" s="11" t="n"/>
    </row>
    <row r="795" ht="14.25" customHeight="1" s="37">
      <c r="E795" s="11" t="n"/>
    </row>
    <row r="796" ht="14.25" customHeight="1" s="37">
      <c r="E796" s="11" t="n"/>
    </row>
    <row r="797" ht="14.25" customHeight="1" s="37">
      <c r="E797" s="11" t="n"/>
    </row>
    <row r="798" ht="14.25" customHeight="1" s="37">
      <c r="E798" s="11" t="n"/>
    </row>
    <row r="799" ht="14.25" customHeight="1" s="37">
      <c r="E799" s="11" t="n"/>
    </row>
    <row r="800" ht="14.25" customHeight="1" s="37">
      <c r="E800" s="11" t="n"/>
    </row>
    <row r="801" ht="14.25" customHeight="1" s="37">
      <c r="E801" s="11" t="n"/>
    </row>
    <row r="802" ht="14.25" customHeight="1" s="37">
      <c r="E802" s="11" t="n"/>
    </row>
    <row r="803" ht="14.25" customHeight="1" s="37">
      <c r="E803" s="11" t="n"/>
    </row>
    <row r="804" ht="14.25" customHeight="1" s="37">
      <c r="E804" s="11" t="n"/>
    </row>
    <row r="805" ht="14.25" customHeight="1" s="37">
      <c r="E805" s="11" t="n"/>
    </row>
    <row r="806" ht="14.25" customHeight="1" s="37">
      <c r="E806" s="11" t="n"/>
    </row>
    <row r="807" ht="14.25" customHeight="1" s="37">
      <c r="E807" s="11" t="n"/>
    </row>
    <row r="808" ht="14.25" customHeight="1" s="37">
      <c r="E808" s="11" t="n"/>
    </row>
    <row r="809" ht="14.25" customHeight="1" s="37">
      <c r="E809" s="11" t="n"/>
    </row>
    <row r="810" ht="14.25" customHeight="1" s="37">
      <c r="E810" s="11" t="n"/>
    </row>
    <row r="811" ht="14.25" customHeight="1" s="37">
      <c r="E811" s="11" t="n"/>
    </row>
    <row r="812" ht="14.25" customHeight="1" s="37">
      <c r="E812" s="11" t="n"/>
    </row>
    <row r="813" ht="14.25" customHeight="1" s="37">
      <c r="E813" s="11" t="n"/>
    </row>
    <row r="814" ht="14.25" customHeight="1" s="37">
      <c r="E814" s="11" t="n"/>
    </row>
    <row r="815" ht="14.25" customHeight="1" s="37">
      <c r="E815" s="11" t="n"/>
    </row>
    <row r="816" ht="14.25" customHeight="1" s="37">
      <c r="E816" s="11" t="n"/>
    </row>
    <row r="817" ht="14.25" customHeight="1" s="37">
      <c r="E817" s="11" t="n"/>
    </row>
    <row r="818" ht="14.25" customHeight="1" s="37">
      <c r="E818" s="11" t="n"/>
    </row>
    <row r="819" ht="14.25" customHeight="1" s="37">
      <c r="E819" s="11" t="n"/>
    </row>
    <row r="820" ht="14.25" customHeight="1" s="37">
      <c r="E820" s="11" t="n"/>
    </row>
    <row r="821" ht="14.25" customHeight="1" s="37">
      <c r="E821" s="11" t="n"/>
    </row>
    <row r="822" ht="14.25" customHeight="1" s="37">
      <c r="E822" s="11" t="n"/>
    </row>
    <row r="823" ht="14.25" customHeight="1" s="37">
      <c r="E823" s="11" t="n"/>
    </row>
    <row r="824" ht="14.25" customHeight="1" s="37">
      <c r="E824" s="11" t="n"/>
    </row>
    <row r="825" ht="14.25" customHeight="1" s="37">
      <c r="E825" s="11" t="n"/>
    </row>
    <row r="826" ht="14.25" customHeight="1" s="37">
      <c r="E826" s="11" t="n"/>
    </row>
    <row r="827" ht="14.25" customHeight="1" s="37">
      <c r="E827" s="11" t="n"/>
    </row>
    <row r="828" ht="14.25" customHeight="1" s="37">
      <c r="E828" s="11" t="n"/>
    </row>
    <row r="829" ht="14.25" customHeight="1" s="37">
      <c r="E829" s="11" t="n"/>
    </row>
    <row r="830" ht="14.25" customHeight="1" s="37">
      <c r="E830" s="11" t="n"/>
    </row>
    <row r="831" ht="14.25" customHeight="1" s="37">
      <c r="E831" s="11" t="n"/>
    </row>
    <row r="832" ht="14.25" customHeight="1" s="37">
      <c r="E832" s="11" t="n"/>
    </row>
    <row r="833" ht="14.25" customHeight="1" s="37">
      <c r="E833" s="11" t="n"/>
    </row>
    <row r="834" ht="14.25" customHeight="1" s="37">
      <c r="E834" s="11" t="n"/>
    </row>
    <row r="835" ht="14.25" customHeight="1" s="37">
      <c r="E835" s="11" t="n"/>
    </row>
    <row r="836" ht="14.25" customHeight="1" s="37">
      <c r="E836" s="11" t="n"/>
    </row>
    <row r="837" ht="14.25" customHeight="1" s="37">
      <c r="E837" s="11" t="n"/>
    </row>
    <row r="838" ht="14.25" customHeight="1" s="37">
      <c r="E838" s="11" t="n"/>
    </row>
    <row r="839" ht="14.25" customHeight="1" s="37">
      <c r="E839" s="11" t="n"/>
    </row>
    <row r="840" ht="14.25" customHeight="1" s="37">
      <c r="E840" s="11" t="n"/>
    </row>
    <row r="841" ht="14.25" customHeight="1" s="37">
      <c r="E841" s="11" t="n"/>
    </row>
    <row r="842" ht="14.25" customHeight="1" s="37">
      <c r="E842" s="11" t="n"/>
    </row>
    <row r="843" ht="14.25" customHeight="1" s="37">
      <c r="E843" s="11" t="n"/>
    </row>
    <row r="844" ht="14.25" customHeight="1" s="37">
      <c r="E844" s="11" t="n"/>
    </row>
    <row r="845" ht="14.25" customHeight="1" s="37">
      <c r="E845" s="11" t="n"/>
    </row>
    <row r="846" ht="14.25" customHeight="1" s="37">
      <c r="E846" s="11" t="n"/>
    </row>
    <row r="847" ht="14.25" customHeight="1" s="37">
      <c r="E847" s="11" t="n"/>
    </row>
    <row r="848" ht="14.25" customHeight="1" s="37">
      <c r="E848" s="11" t="n"/>
    </row>
    <row r="849" ht="14.25" customHeight="1" s="37">
      <c r="E849" s="11" t="n"/>
    </row>
    <row r="850" ht="14.25" customHeight="1" s="37">
      <c r="E850" s="11" t="n"/>
    </row>
    <row r="851" ht="14.25" customHeight="1" s="37">
      <c r="E851" s="11" t="n"/>
    </row>
    <row r="852" ht="14.25" customHeight="1" s="37">
      <c r="E852" s="11" t="n"/>
    </row>
    <row r="853" ht="14.25" customHeight="1" s="37">
      <c r="E853" s="11" t="n"/>
    </row>
    <row r="854" ht="14.25" customHeight="1" s="37">
      <c r="E854" s="11" t="n"/>
    </row>
    <row r="855" ht="14.25" customHeight="1" s="37">
      <c r="E855" s="11" t="n"/>
    </row>
    <row r="856" ht="14.25" customHeight="1" s="37">
      <c r="E856" s="11" t="n"/>
    </row>
    <row r="857" ht="14.25" customHeight="1" s="37">
      <c r="E857" s="11" t="n"/>
    </row>
    <row r="858" ht="14.25" customHeight="1" s="37">
      <c r="E858" s="11" t="n"/>
    </row>
    <row r="859" ht="14.25" customHeight="1" s="37">
      <c r="E859" s="11" t="n"/>
    </row>
    <row r="860" ht="14.25" customHeight="1" s="37">
      <c r="E860" s="11" t="n"/>
    </row>
    <row r="861" ht="14.25" customHeight="1" s="37">
      <c r="E861" s="11" t="n"/>
    </row>
    <row r="862" ht="14.25" customHeight="1" s="37">
      <c r="E862" s="11" t="n"/>
    </row>
    <row r="863" ht="14.25" customHeight="1" s="37">
      <c r="E863" s="11" t="n"/>
    </row>
    <row r="864" ht="14.25" customHeight="1" s="37">
      <c r="E864" s="11" t="n"/>
    </row>
    <row r="865" ht="14.25" customHeight="1" s="37">
      <c r="E865" s="11" t="n"/>
    </row>
    <row r="866" ht="14.25" customHeight="1" s="37">
      <c r="E866" s="11" t="n"/>
    </row>
    <row r="867" ht="14.25" customHeight="1" s="37">
      <c r="E867" s="11" t="n"/>
    </row>
    <row r="868" ht="14.25" customHeight="1" s="37">
      <c r="E868" s="11" t="n"/>
    </row>
    <row r="869" ht="14.25" customHeight="1" s="37">
      <c r="E869" s="11" t="n"/>
    </row>
    <row r="870" ht="14.25" customHeight="1" s="37">
      <c r="E870" s="11" t="n"/>
    </row>
    <row r="871" ht="14.25" customHeight="1" s="37">
      <c r="E871" s="11" t="n"/>
    </row>
    <row r="872" ht="14.25" customHeight="1" s="37">
      <c r="E872" s="11" t="n"/>
    </row>
    <row r="873" ht="14.25" customHeight="1" s="37">
      <c r="E873" s="11" t="n"/>
    </row>
    <row r="874" ht="14.25" customHeight="1" s="37">
      <c r="E874" s="11" t="n"/>
    </row>
    <row r="875" ht="14.25" customHeight="1" s="37">
      <c r="E875" s="11" t="n"/>
    </row>
    <row r="876" ht="14.25" customHeight="1" s="37">
      <c r="E876" s="11" t="n"/>
    </row>
    <row r="877" ht="14.25" customHeight="1" s="37">
      <c r="E877" s="11" t="n"/>
    </row>
    <row r="878" ht="14.25" customHeight="1" s="37">
      <c r="E878" s="11" t="n"/>
    </row>
    <row r="879" ht="14.25" customHeight="1" s="37">
      <c r="E879" s="11" t="n"/>
    </row>
    <row r="880" ht="14.25" customHeight="1" s="37">
      <c r="E880" s="11" t="n"/>
    </row>
    <row r="881" ht="14.25" customHeight="1" s="37">
      <c r="E881" s="11" t="n"/>
    </row>
    <row r="882" ht="14.25" customHeight="1" s="37">
      <c r="E882" s="11" t="n"/>
    </row>
    <row r="883" ht="14.25" customHeight="1" s="37">
      <c r="E883" s="11" t="n"/>
    </row>
    <row r="884" ht="14.25" customHeight="1" s="37">
      <c r="E884" s="11" t="n"/>
    </row>
    <row r="885" ht="14.25" customHeight="1" s="37">
      <c r="E885" s="11" t="n"/>
    </row>
    <row r="886" ht="14.25" customHeight="1" s="37">
      <c r="E886" s="11" t="n"/>
    </row>
    <row r="887" ht="14.25" customHeight="1" s="37">
      <c r="E887" s="11" t="n"/>
    </row>
    <row r="888" ht="14.25" customHeight="1" s="37">
      <c r="E888" s="11" t="n"/>
    </row>
    <row r="889" ht="14.25" customHeight="1" s="37">
      <c r="E889" s="11" t="n"/>
    </row>
    <row r="890" ht="14.25" customHeight="1" s="37">
      <c r="E890" s="11" t="n"/>
    </row>
    <row r="891" ht="14.25" customHeight="1" s="37">
      <c r="E891" s="11" t="n"/>
    </row>
    <row r="892" ht="14.25" customHeight="1" s="37">
      <c r="E892" s="11" t="n"/>
    </row>
    <row r="893" ht="14.25" customHeight="1" s="37">
      <c r="E893" s="11" t="n"/>
    </row>
    <row r="894" ht="14.25" customHeight="1" s="37">
      <c r="E894" s="11" t="n"/>
    </row>
    <row r="895" ht="14.25" customHeight="1" s="37">
      <c r="E895" s="11" t="n"/>
    </row>
    <row r="896" ht="14.25" customHeight="1" s="37">
      <c r="E896" s="11" t="n"/>
    </row>
    <row r="897" ht="14.25" customHeight="1" s="37">
      <c r="E897" s="11" t="n"/>
    </row>
    <row r="898" ht="14.25" customHeight="1" s="37">
      <c r="E898" s="11" t="n"/>
    </row>
    <row r="899" ht="14.25" customHeight="1" s="37">
      <c r="E899" s="11" t="n"/>
    </row>
    <row r="900" ht="14.25" customHeight="1" s="37">
      <c r="E900" s="11" t="n"/>
    </row>
    <row r="901" ht="14.25" customHeight="1" s="37">
      <c r="E901" s="11" t="n"/>
    </row>
    <row r="902" ht="14.25" customHeight="1" s="37">
      <c r="E902" s="11" t="n"/>
    </row>
    <row r="903" ht="14.25" customHeight="1" s="37">
      <c r="E903" s="11" t="n"/>
    </row>
    <row r="904" ht="14.25" customHeight="1" s="37">
      <c r="E904" s="11" t="n"/>
    </row>
    <row r="905" ht="14.25" customHeight="1" s="37">
      <c r="E905" s="11" t="n"/>
    </row>
    <row r="906" ht="14.25" customHeight="1" s="37">
      <c r="E906" s="11" t="n"/>
    </row>
    <row r="907" ht="14.25" customHeight="1" s="37">
      <c r="E907" s="11" t="n"/>
    </row>
    <row r="908" ht="14.25" customHeight="1" s="37">
      <c r="E908" s="11" t="n"/>
    </row>
    <row r="909" ht="14.25" customHeight="1" s="37">
      <c r="E909" s="11" t="n"/>
    </row>
    <row r="910" ht="14.25" customHeight="1" s="37">
      <c r="E910" s="11" t="n"/>
    </row>
    <row r="911" ht="14.25" customHeight="1" s="37">
      <c r="E911" s="11" t="n"/>
    </row>
    <row r="912" ht="14.25" customHeight="1" s="37">
      <c r="E912" s="11" t="n"/>
    </row>
    <row r="913" ht="14.25" customHeight="1" s="37">
      <c r="E913" s="11" t="n"/>
    </row>
    <row r="914" ht="14.25" customHeight="1" s="37">
      <c r="E914" s="11" t="n"/>
    </row>
    <row r="915" ht="14.25" customHeight="1" s="37">
      <c r="E915" s="11" t="n"/>
    </row>
    <row r="916" ht="14.25" customHeight="1" s="37">
      <c r="E916" s="11" t="n"/>
    </row>
    <row r="917" ht="14.25" customHeight="1" s="37">
      <c r="E917" s="11" t="n"/>
    </row>
    <row r="918" ht="14.25" customHeight="1" s="37">
      <c r="E918" s="11" t="n"/>
    </row>
    <row r="919" ht="14.25" customHeight="1" s="37">
      <c r="E919" s="11" t="n"/>
    </row>
    <row r="920" ht="14.25" customHeight="1" s="37">
      <c r="E920" s="11" t="n"/>
    </row>
    <row r="921" ht="14.25" customHeight="1" s="37">
      <c r="E921" s="11" t="n"/>
    </row>
    <row r="922" ht="14.25" customHeight="1" s="37">
      <c r="E922" s="11" t="n"/>
    </row>
    <row r="923" ht="14.25" customHeight="1" s="37">
      <c r="E923" s="11" t="n"/>
    </row>
    <row r="924" ht="14.25" customHeight="1" s="37">
      <c r="E924" s="11" t="n"/>
    </row>
    <row r="925" ht="14.25" customHeight="1" s="37">
      <c r="E925" s="11" t="n"/>
    </row>
    <row r="926" ht="14.25" customHeight="1" s="37">
      <c r="E926" s="11" t="n"/>
    </row>
    <row r="927" ht="14.25" customHeight="1" s="37">
      <c r="E927" s="11" t="n"/>
    </row>
    <row r="928" ht="14.25" customHeight="1" s="37">
      <c r="E928" s="11" t="n"/>
    </row>
    <row r="929" ht="14.25" customHeight="1" s="37">
      <c r="E929" s="11" t="n"/>
    </row>
    <row r="930" ht="14.25" customHeight="1" s="37">
      <c r="E930" s="11" t="n"/>
    </row>
    <row r="931" ht="14.25" customHeight="1" s="37">
      <c r="E931" s="11" t="n"/>
    </row>
    <row r="932" ht="14.25" customHeight="1" s="37">
      <c r="E932" s="11" t="n"/>
    </row>
    <row r="933" ht="14.25" customHeight="1" s="37">
      <c r="E933" s="11" t="n"/>
    </row>
    <row r="934" ht="14.25" customHeight="1" s="37">
      <c r="E934" s="11" t="n"/>
    </row>
    <row r="935" ht="14.25" customHeight="1" s="37">
      <c r="E935" s="11" t="n"/>
    </row>
    <row r="936" ht="14.25" customHeight="1" s="37">
      <c r="E936" s="11" t="n"/>
    </row>
    <row r="937" ht="14.25" customHeight="1" s="37">
      <c r="E937" s="11" t="n"/>
    </row>
    <row r="938" ht="14.25" customHeight="1" s="37">
      <c r="E938" s="11" t="n"/>
    </row>
    <row r="939" ht="14.25" customHeight="1" s="37">
      <c r="E939" s="11" t="n"/>
    </row>
    <row r="940" ht="14.25" customHeight="1" s="37">
      <c r="E940" s="11" t="n"/>
    </row>
    <row r="941" ht="14.25" customHeight="1" s="37">
      <c r="E941" s="11" t="n"/>
    </row>
    <row r="942" ht="14.25" customHeight="1" s="37">
      <c r="E942" s="11" t="n"/>
    </row>
    <row r="943" ht="14.25" customHeight="1" s="37">
      <c r="E943" s="11" t="n"/>
    </row>
    <row r="944" ht="14.25" customHeight="1" s="37">
      <c r="E944" s="11" t="n"/>
    </row>
    <row r="945" ht="14.25" customHeight="1" s="37">
      <c r="E945" s="11" t="n"/>
    </row>
    <row r="946" ht="14.25" customHeight="1" s="37">
      <c r="E946" s="11" t="n"/>
    </row>
    <row r="947" ht="14.25" customHeight="1" s="37">
      <c r="E947" s="11" t="n"/>
    </row>
    <row r="948" ht="14.25" customHeight="1" s="37">
      <c r="E948" s="11" t="n"/>
    </row>
    <row r="949" ht="14.25" customHeight="1" s="37">
      <c r="E949" s="11" t="n"/>
    </row>
    <row r="950" ht="14.25" customHeight="1" s="37">
      <c r="E950" s="11" t="n"/>
    </row>
    <row r="951" ht="14.25" customHeight="1" s="37">
      <c r="E951" s="11" t="n"/>
    </row>
    <row r="952" ht="14.25" customHeight="1" s="37">
      <c r="E952" s="11" t="n"/>
    </row>
    <row r="953" ht="14.25" customHeight="1" s="37">
      <c r="E953" s="11" t="n"/>
    </row>
    <row r="954" ht="14.25" customHeight="1" s="37">
      <c r="E954" s="11" t="n"/>
    </row>
    <row r="955" ht="14.25" customHeight="1" s="37">
      <c r="E955" s="11" t="n"/>
    </row>
    <row r="956" ht="14.25" customHeight="1" s="37">
      <c r="E956" s="11" t="n"/>
    </row>
    <row r="957" ht="14.25" customHeight="1" s="37">
      <c r="E957" s="11" t="n"/>
    </row>
    <row r="958" ht="14.25" customHeight="1" s="37">
      <c r="E958" s="11" t="n"/>
    </row>
    <row r="959" ht="14.25" customHeight="1" s="37">
      <c r="E959" s="11" t="n"/>
    </row>
    <row r="960" ht="14.25" customHeight="1" s="37">
      <c r="E960" s="11" t="n"/>
    </row>
    <row r="961" ht="14.25" customHeight="1" s="37">
      <c r="E961" s="11" t="n"/>
    </row>
    <row r="962" ht="14.25" customHeight="1" s="37">
      <c r="E962" s="11" t="n"/>
    </row>
    <row r="963" ht="14.25" customHeight="1" s="37">
      <c r="E963" s="11" t="n"/>
    </row>
    <row r="964" ht="14.25" customHeight="1" s="37">
      <c r="E964" s="11" t="n"/>
    </row>
    <row r="965" ht="14.25" customHeight="1" s="37">
      <c r="E965" s="11" t="n"/>
    </row>
    <row r="966" ht="14.25" customHeight="1" s="37">
      <c r="E966" s="11" t="n"/>
    </row>
    <row r="967" ht="14.25" customHeight="1" s="37">
      <c r="E967" s="11" t="n"/>
    </row>
    <row r="968" ht="14.25" customHeight="1" s="37">
      <c r="E968" s="11" t="n"/>
    </row>
    <row r="969" ht="14.25" customHeight="1" s="37">
      <c r="E969" s="11" t="n"/>
    </row>
    <row r="970" ht="14.25" customHeight="1" s="37">
      <c r="E970" s="11" t="n"/>
    </row>
    <row r="971" ht="14.25" customHeight="1" s="37">
      <c r="E971" s="11" t="n"/>
    </row>
    <row r="972" ht="14.25" customHeight="1" s="37">
      <c r="E972" s="11" t="n"/>
    </row>
    <row r="973" ht="14.25" customHeight="1" s="37">
      <c r="E973" s="11" t="n"/>
    </row>
    <row r="974" ht="14.25" customHeight="1" s="37">
      <c r="E974" s="11" t="n"/>
    </row>
    <row r="975" ht="14.25" customHeight="1" s="37">
      <c r="E975" s="11" t="n"/>
    </row>
    <row r="976" ht="14.25" customHeight="1" s="37">
      <c r="E976" s="11" t="n"/>
    </row>
    <row r="977" ht="14.25" customHeight="1" s="37">
      <c r="E977" s="11" t="n"/>
    </row>
    <row r="978" ht="14.25" customHeight="1" s="37">
      <c r="E978" s="11" t="n"/>
    </row>
    <row r="979" ht="14.25" customHeight="1" s="37">
      <c r="E979" s="11" t="n"/>
    </row>
    <row r="980" ht="14.25" customHeight="1" s="37">
      <c r="E980" s="11" t="n"/>
    </row>
    <row r="981" ht="14.25" customHeight="1" s="37">
      <c r="E981" s="11" t="n"/>
    </row>
    <row r="982" ht="14.25" customHeight="1" s="37">
      <c r="E982" s="11" t="n"/>
    </row>
    <row r="983" ht="14.25" customHeight="1" s="37">
      <c r="E983" s="11" t="n"/>
    </row>
    <row r="984" ht="14.25" customHeight="1" s="37">
      <c r="E984" s="11" t="n"/>
    </row>
    <row r="985" ht="14.25" customHeight="1" s="37">
      <c r="E985" s="11" t="n"/>
    </row>
    <row r="986" ht="14.25" customHeight="1" s="37">
      <c r="E986" s="11" t="n"/>
    </row>
    <row r="987" ht="14.25" customHeight="1" s="37">
      <c r="E987" s="11" t="n"/>
    </row>
    <row r="988" ht="14.25" customHeight="1" s="37">
      <c r="E988" s="11" t="n"/>
    </row>
    <row r="989" ht="14.25" customHeight="1" s="37">
      <c r="E989" s="11" t="n"/>
    </row>
    <row r="990" ht="14.25" customHeight="1" s="37">
      <c r="E990" s="11" t="n"/>
    </row>
    <row r="991" ht="14.25" customHeight="1" s="37">
      <c r="E991" s="11" t="n"/>
    </row>
    <row r="992" ht="14.25" customHeight="1" s="37">
      <c r="E992" s="11" t="n"/>
    </row>
    <row r="993" ht="14.25" customHeight="1" s="37">
      <c r="E993" s="11" t="n"/>
    </row>
    <row r="994" ht="14.25" customHeight="1" s="37">
      <c r="E994" s="11" t="n"/>
    </row>
    <row r="995" ht="14.25" customHeight="1" s="37">
      <c r="E995" s="11" t="n"/>
    </row>
    <row r="996" ht="14.25" customHeight="1" s="37">
      <c r="E996" s="11" t="n"/>
    </row>
    <row r="997" ht="14.25" customHeight="1" s="37">
      <c r="E997" s="11" t="n"/>
    </row>
    <row r="998" ht="14.25" customHeight="1" s="37">
      <c r="E998" s="11" t="n"/>
    </row>
    <row r="999" ht="14.25" customHeight="1" s="37">
      <c r="E999" s="11" t="n"/>
    </row>
    <row r="1000" ht="14.25" customHeight="1" s="37">
      <c r="E1000" s="11" t="n"/>
    </row>
    <row r="1001" ht="14.25" customHeight="1" s="37"/>
  </sheetData>
  <autoFilter ref="$A$1:$F$1001"/>
  <dataValidations count="1">
    <dataValidation sqref="E2:E1001" showDropDown="0" showInputMessage="0" showErrorMessage="0" allowBlank="1" type="list">
      <formula1>LIST!$G$2:$G$4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2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18" customWidth="1" style="37" min="4" max="5"/>
    <col width="30" customWidth="1" style="37" min="6" max="6"/>
    <col width="9" customWidth="1" style="37" min="7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Sakramen</t>
        </is>
      </c>
      <c r="F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inlineStr">
        <is>
          <t>Wanita/Perempuan</t>
        </is>
      </c>
      <c r="E2" s="9" t="n"/>
      <c r="F2" s="9" t="n"/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inlineStr">
        <is>
          <t>Wanita/Perempuan</t>
        </is>
      </c>
      <c r="E3" s="9" t="n"/>
      <c r="F3" s="9" t="n"/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inlineStr">
        <is>
          <t>Pria/Laki-laki</t>
        </is>
      </c>
      <c r="E4" s="9" t="n"/>
      <c r="F4" s="9" t="n"/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inlineStr">
        <is>
          <t>Wanita/Perempuan</t>
        </is>
      </c>
      <c r="E5" s="9" t="n"/>
      <c r="F5" s="9" t="n"/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inlineStr">
        <is>
          <t>Pria/Laki-laki</t>
        </is>
      </c>
      <c r="E6" s="9" t="n"/>
      <c r="F6" s="9" t="n"/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inlineStr">
        <is>
          <t>Wanita/Perempuan</t>
        </is>
      </c>
      <c r="E7" s="9" t="n"/>
      <c r="F7" s="9" t="n"/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inlineStr">
        <is>
          <t>Pria/Laki-laki</t>
        </is>
      </c>
      <c r="E8" s="9" t="n"/>
      <c r="F8" s="9" t="n"/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inlineStr">
        <is>
          <t>Wanita/Perempuan</t>
        </is>
      </c>
      <c r="E9" s="9" t="n"/>
      <c r="F9" s="9" t="n"/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inlineStr">
        <is>
          <t>Wanita/Perempuan</t>
        </is>
      </c>
      <c r="E10" s="9" t="n"/>
      <c r="F10" s="9" t="n"/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inlineStr">
        <is>
          <t>Pria/Laki-laki</t>
        </is>
      </c>
      <c r="E11" s="9" t="n"/>
      <c r="F11" s="9" t="n"/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inlineStr">
        <is>
          <t>Pria/Laki-laki</t>
        </is>
      </c>
      <c r="E12" s="9" t="n"/>
      <c r="F12" s="9" t="n"/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inlineStr">
        <is>
          <t>Pria/Laki-laki</t>
        </is>
      </c>
      <c r="E13" s="9" t="n"/>
      <c r="F13" s="9" t="n"/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inlineStr">
        <is>
          <t>Wanita/Perempuan</t>
        </is>
      </c>
      <c r="E14" s="9" t="n"/>
      <c r="F14" s="9" t="n"/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inlineStr">
        <is>
          <t>Wanita/Perempuan</t>
        </is>
      </c>
      <c r="E15" s="9" t="n"/>
      <c r="F15" s="9" t="n"/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inlineStr">
        <is>
          <t>Wanita/Perempuan</t>
        </is>
      </c>
      <c r="E16" s="9" t="n"/>
      <c r="F16" s="9" t="n"/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9" t="n"/>
      <c r="F17" s="9" t="n"/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inlineStr">
        <is>
          <t>Wanita/Perempuan</t>
        </is>
      </c>
      <c r="E18" s="9" t="n"/>
      <c r="F18" s="9" t="n"/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inlineStr">
        <is>
          <t>Pria/Laki-laki</t>
        </is>
      </c>
      <c r="E19" s="9" t="n"/>
      <c r="F19" s="9" t="n"/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inlineStr">
        <is>
          <t>Wanita/Perempuan</t>
        </is>
      </c>
      <c r="E20" s="9" t="n"/>
      <c r="F20" s="9" t="n"/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inlineStr">
        <is>
          <t>Pria/Laki-laki</t>
        </is>
      </c>
      <c r="E21" s="9" t="n"/>
      <c r="F21" s="9" t="n"/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inlineStr">
        <is>
          <t>Wanita/Perempuan</t>
        </is>
      </c>
      <c r="E22" s="9" t="n"/>
      <c r="F22" s="9" t="n"/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inlineStr">
        <is>
          <t>Wanita/Perempuan</t>
        </is>
      </c>
      <c r="E23" s="9" t="n"/>
      <c r="F23" s="9" t="n"/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inlineStr">
        <is>
          <t>Wanita/Perempuan</t>
        </is>
      </c>
      <c r="E24" s="9" t="n"/>
      <c r="F24" s="9" t="n"/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inlineStr">
        <is>
          <t>Wanita/Perempuan</t>
        </is>
      </c>
      <c r="E25" s="9" t="n"/>
      <c r="F25" s="9" t="n"/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inlineStr">
        <is>
          <t>Pria/Laki-laki</t>
        </is>
      </c>
      <c r="E26" s="9" t="n"/>
      <c r="F26" s="9" t="n"/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inlineStr">
        <is>
          <t>Pria/Laki-laki</t>
        </is>
      </c>
      <c r="E27" s="9" t="n"/>
      <c r="F27" s="9" t="n"/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inlineStr">
        <is>
          <t>Wanita/Perempuan</t>
        </is>
      </c>
      <c r="E28" s="9" t="n"/>
      <c r="F28" s="9" t="n"/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inlineStr">
        <is>
          <t>Wanita/Perempuan</t>
        </is>
      </c>
      <c r="E29" s="9" t="n"/>
      <c r="F29" s="9" t="n"/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inlineStr">
        <is>
          <t>Wanita/Perempuan</t>
        </is>
      </c>
      <c r="E30" s="9" t="n"/>
      <c r="F30" s="9" t="n"/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inlineStr">
        <is>
          <t>Pria/Laki-laki</t>
        </is>
      </c>
      <c r="E31" s="9" t="n"/>
      <c r="F31" s="9" t="n"/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inlineStr">
        <is>
          <t>Wanita/Perempuan</t>
        </is>
      </c>
      <c r="E35" s="9" t="n"/>
      <c r="F35" s="9" t="n"/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inlineStr">
        <is>
          <t>Pria/Laki-laki</t>
        </is>
      </c>
      <c r="E45" s="9" t="n"/>
      <c r="F45" s="9" t="n"/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inlineStr">
        <is>
          <t>Wanita/Perempuan</t>
        </is>
      </c>
      <c r="E46" s="9" t="n"/>
      <c r="F46" s="9" t="n"/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9" t="n"/>
      <c r="F53" s="9" t="n"/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9" t="n"/>
      <c r="F68" s="9" t="n"/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9" t="n"/>
      <c r="F69" s="9" t="n"/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9" t="n"/>
      <c r="F70" s="9" t="n"/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9" t="n"/>
      <c r="F71" s="9" t="n"/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9" t="n"/>
      <c r="F72" s="9" t="n"/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9" t="n"/>
      <c r="F73" s="9" t="n"/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9" t="n"/>
      <c r="F76" s="9" t="n"/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9" t="n"/>
      <c r="F78" s="9" t="n"/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9" t="n"/>
      <c r="F79" s="9" t="n"/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9" t="n"/>
      <c r="F80" s="9" t="n"/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9" t="n"/>
      <c r="F81" s="9" t="n"/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9" t="n"/>
      <c r="F82" s="9" t="n"/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</row>
    <row r="84" ht="14.25" customHeight="1" s="37">
      <c r="A84" s="9" t="n"/>
      <c r="B84" s="9" t="n"/>
      <c r="C84" s="9" t="n"/>
      <c r="D84" s="9" t="n"/>
      <c r="E84" s="9" t="n"/>
      <c r="F84" s="9" t="n"/>
    </row>
    <row r="85" ht="14.25" customHeight="1" s="37">
      <c r="A85" s="9" t="n"/>
      <c r="B85" s="9" t="n"/>
      <c r="C85" s="9" t="n"/>
      <c r="D85" s="9" t="n"/>
      <c r="E85" s="9" t="n"/>
      <c r="F85" s="9" t="n"/>
    </row>
    <row r="86" ht="14.25" customHeight="1" s="37">
      <c r="A86" s="9" t="n"/>
      <c r="B86" s="9" t="n"/>
      <c r="C86" s="9" t="n"/>
      <c r="D86" s="9" t="n"/>
      <c r="E86" s="9" t="n"/>
      <c r="F86" s="9" t="n"/>
    </row>
    <row r="87" ht="14.25" customHeight="1" s="37">
      <c r="A87" s="9" t="n"/>
      <c r="B87" s="9" t="n"/>
      <c r="C87" s="9" t="n"/>
      <c r="D87" s="9" t="n"/>
      <c r="E87" s="9" t="n"/>
      <c r="F87" s="9" t="n"/>
    </row>
    <row r="88" ht="14.25" customHeight="1" s="37">
      <c r="A88" s="9" t="n"/>
      <c r="B88" s="9" t="n"/>
      <c r="C88" s="9" t="n"/>
      <c r="D88" s="9" t="n"/>
      <c r="E88" s="9" t="n"/>
      <c r="F88" s="9" t="n"/>
    </row>
    <row r="89" ht="14.25" customHeight="1" s="37">
      <c r="A89" s="9" t="n"/>
      <c r="B89" s="9" t="n"/>
      <c r="C89" s="9" t="n"/>
      <c r="D89" s="9" t="n"/>
      <c r="E89" s="9" t="n"/>
      <c r="F89" s="9" t="n"/>
    </row>
    <row r="90" ht="14.25" customHeight="1" s="37">
      <c r="A90" s="9" t="n"/>
      <c r="B90" s="9" t="n"/>
      <c r="C90" s="9" t="n"/>
      <c r="D90" s="9" t="n"/>
      <c r="E90" s="9" t="n"/>
      <c r="F90" s="9" t="n"/>
    </row>
    <row r="91" ht="14.25" customHeight="1" s="37">
      <c r="A91" s="9" t="n"/>
      <c r="B91" s="9" t="n"/>
      <c r="C91" s="9" t="n"/>
      <c r="D91" s="9" t="n"/>
      <c r="E91" s="9" t="n"/>
      <c r="F91" s="9" t="n"/>
    </row>
    <row r="92" ht="14.25" customHeight="1" s="37">
      <c r="A92" s="9" t="n"/>
      <c r="B92" s="9" t="n"/>
      <c r="C92" s="9" t="n"/>
      <c r="D92" s="9" t="n"/>
      <c r="E92" s="9" t="n"/>
      <c r="F92" s="9" t="n"/>
    </row>
    <row r="93" ht="14.25" customHeight="1" s="37">
      <c r="A93" s="9" t="n"/>
      <c r="B93" s="9" t="n"/>
      <c r="C93" s="9" t="n"/>
      <c r="D93" s="9" t="n"/>
      <c r="E93" s="9" t="n"/>
      <c r="F93" s="9" t="n"/>
    </row>
    <row r="94" ht="14.25" customHeight="1" s="37">
      <c r="A94" s="9" t="n"/>
      <c r="B94" s="9" t="n"/>
      <c r="C94" s="9" t="n"/>
      <c r="D94" s="9" t="n"/>
      <c r="E94" s="9" t="n"/>
      <c r="F94" s="9" t="n"/>
    </row>
    <row r="95" ht="14.25" customHeight="1" s="37">
      <c r="A95" s="9" t="n"/>
      <c r="B95" s="9" t="n"/>
      <c r="C95" s="9" t="n"/>
      <c r="D95" s="9" t="n"/>
      <c r="E95" s="9" t="n"/>
      <c r="F95" s="9" t="n"/>
    </row>
    <row r="96" ht="14.25" customHeight="1" s="37">
      <c r="A96" s="9" t="n"/>
      <c r="B96" s="9" t="n"/>
      <c r="C96" s="9" t="n"/>
      <c r="D96" s="9" t="n"/>
      <c r="E96" s="9" t="n"/>
      <c r="F96" s="9" t="n"/>
    </row>
    <row r="97" ht="14.25" customHeight="1" s="37">
      <c r="A97" s="9" t="n"/>
      <c r="B97" s="9" t="n"/>
      <c r="C97" s="9" t="n"/>
      <c r="D97" s="9" t="n"/>
      <c r="E97" s="9" t="n"/>
      <c r="F97" s="9" t="n"/>
    </row>
    <row r="98" ht="14.25" customHeight="1" s="37">
      <c r="A98" s="9" t="n"/>
      <c r="B98" s="9" t="n"/>
      <c r="C98" s="9" t="n"/>
      <c r="D98" s="9" t="n"/>
      <c r="E98" s="9" t="n"/>
      <c r="F98" s="9" t="n"/>
    </row>
    <row r="99" ht="14.25" customHeight="1" s="37">
      <c r="A99" s="9" t="n"/>
      <c r="B99" s="9" t="n"/>
      <c r="C99" s="9" t="n"/>
      <c r="D99" s="9" t="n"/>
      <c r="E99" s="9" t="n"/>
      <c r="F99" s="9" t="n"/>
    </row>
    <row r="100" ht="14.25" customHeight="1" s="37">
      <c r="A100" s="9" t="n"/>
      <c r="B100" s="9" t="n"/>
      <c r="C100" s="9" t="n"/>
      <c r="D100" s="9" t="n"/>
      <c r="E100" s="9" t="n"/>
      <c r="F100" s="9" t="n"/>
    </row>
    <row r="101" ht="14.25" customHeight="1" s="37">
      <c r="A101" s="9" t="n"/>
      <c r="B101" s="9" t="n"/>
      <c r="C101" s="9" t="n"/>
      <c r="D101" s="9" t="n"/>
      <c r="E101" s="9" t="n"/>
      <c r="F101" s="9" t="n"/>
    </row>
    <row r="102" ht="14.25" customHeight="1" s="37">
      <c r="A102" s="9" t="n"/>
      <c r="B102" s="9" t="n"/>
      <c r="C102" s="9" t="n"/>
      <c r="D102" s="9" t="n"/>
      <c r="E102" s="9" t="n"/>
      <c r="F102" s="9" t="n"/>
    </row>
    <row r="103" ht="14.25" customHeight="1" s="37">
      <c r="A103" s="9" t="n"/>
      <c r="B103" s="9" t="n"/>
      <c r="C103" s="9" t="n"/>
      <c r="D103" s="9" t="n"/>
      <c r="E103" s="9" t="n"/>
      <c r="F103" s="9" t="n"/>
    </row>
    <row r="104" ht="14.25" customHeight="1" s="37">
      <c r="A104" s="9" t="n"/>
      <c r="B104" s="9" t="n"/>
      <c r="C104" s="9" t="n"/>
      <c r="D104" s="9" t="n"/>
      <c r="E104" s="9" t="n"/>
      <c r="F104" s="9" t="n"/>
    </row>
    <row r="105" ht="14.25" customHeight="1" s="37">
      <c r="A105" s="9" t="n"/>
      <c r="B105" s="9" t="n"/>
      <c r="C105" s="9" t="n"/>
      <c r="D105" s="9" t="n"/>
      <c r="E105" s="9" t="n"/>
      <c r="F105" s="9" t="n"/>
    </row>
    <row r="106" ht="14.25" customHeight="1" s="37">
      <c r="A106" s="9" t="n"/>
      <c r="B106" s="9" t="n"/>
      <c r="C106" s="9" t="n"/>
      <c r="D106" s="9" t="n"/>
      <c r="E106" s="9" t="n"/>
      <c r="F106" s="9" t="n"/>
    </row>
    <row r="107" ht="14.25" customHeight="1" s="37">
      <c r="A107" s="9" t="n"/>
      <c r="B107" s="9" t="n"/>
      <c r="C107" s="9" t="n"/>
      <c r="D107" s="9" t="n"/>
      <c r="E107" s="9" t="n"/>
      <c r="F107" s="9" t="n"/>
    </row>
    <row r="108" ht="14.25" customHeight="1" s="37">
      <c r="A108" s="9" t="n"/>
      <c r="B108" s="9" t="n"/>
      <c r="C108" s="9" t="n"/>
      <c r="D108" s="9" t="n"/>
      <c r="E108" s="9" t="n"/>
      <c r="F108" s="9" t="n"/>
    </row>
    <row r="109" ht="14.25" customHeight="1" s="37">
      <c r="A109" s="9" t="n"/>
      <c r="B109" s="9" t="n"/>
      <c r="C109" s="9" t="n"/>
      <c r="D109" s="9" t="n"/>
      <c r="E109" s="9" t="n"/>
      <c r="F109" s="9" t="n"/>
    </row>
    <row r="110" ht="14.25" customHeight="1" s="37">
      <c r="A110" s="9" t="n"/>
      <c r="B110" s="9" t="n"/>
      <c r="C110" s="9" t="n"/>
      <c r="D110" s="9" t="n"/>
      <c r="E110" s="9" t="n"/>
      <c r="F110" s="9" t="n"/>
    </row>
    <row r="111" ht="14.25" customHeight="1" s="37">
      <c r="A111" s="9" t="n"/>
      <c r="B111" s="9" t="n"/>
      <c r="C111" s="9" t="n"/>
      <c r="D111" s="9" t="n"/>
      <c r="E111" s="9" t="n"/>
      <c r="F111" s="9" t="n"/>
    </row>
    <row r="112" ht="14.25" customHeight="1" s="37">
      <c r="A112" s="9" t="n"/>
      <c r="B112" s="9" t="n"/>
      <c r="C112" s="9" t="n"/>
      <c r="D112" s="9" t="n"/>
      <c r="E112" s="9" t="n"/>
      <c r="F112" s="9" t="n"/>
    </row>
    <row r="113" ht="14.25" customHeight="1" s="37">
      <c r="A113" s="9" t="n"/>
      <c r="B113" s="9" t="n"/>
      <c r="C113" s="9" t="n"/>
      <c r="D113" s="9" t="n"/>
      <c r="E113" s="9" t="n"/>
      <c r="F113" s="9" t="n"/>
    </row>
    <row r="114" ht="14.25" customHeight="1" s="37">
      <c r="A114" s="9" t="n"/>
      <c r="B114" s="9" t="n"/>
      <c r="C114" s="9" t="n"/>
      <c r="D114" s="9" t="n"/>
      <c r="E114" s="9" t="n"/>
      <c r="F114" s="9" t="n"/>
    </row>
    <row r="115" ht="14.25" customHeight="1" s="37">
      <c r="A115" s="9" t="n"/>
      <c r="B115" s="9" t="n"/>
      <c r="C115" s="9" t="n"/>
      <c r="D115" s="9" t="n"/>
      <c r="E115" s="9" t="n"/>
      <c r="F115" s="9" t="n"/>
    </row>
    <row r="116" ht="14.25" customHeight="1" s="37">
      <c r="A116" s="9" t="n"/>
      <c r="B116" s="9" t="n"/>
      <c r="C116" s="9" t="n"/>
      <c r="D116" s="9" t="n"/>
      <c r="E116" s="9" t="n"/>
      <c r="F116" s="9" t="n"/>
    </row>
    <row r="117" ht="14.25" customHeight="1" s="37">
      <c r="A117" s="9" t="n"/>
      <c r="B117" s="9" t="n"/>
      <c r="C117" s="9" t="n"/>
      <c r="D117" s="9" t="n"/>
      <c r="E117" s="9" t="n"/>
      <c r="F117" s="9" t="n"/>
    </row>
    <row r="118" ht="14.25" customHeight="1" s="37">
      <c r="A118" s="9" t="n"/>
      <c r="B118" s="9" t="n"/>
      <c r="C118" s="9" t="n"/>
      <c r="D118" s="9" t="n"/>
      <c r="E118" s="9" t="n"/>
      <c r="F118" s="9" t="n"/>
    </row>
    <row r="119" ht="14.25" customHeight="1" s="37">
      <c r="A119" s="9" t="n"/>
      <c r="B119" s="9" t="n"/>
      <c r="C119" s="9" t="n"/>
      <c r="D119" s="9" t="n"/>
      <c r="E119" s="9" t="n"/>
      <c r="F119" s="9" t="n"/>
    </row>
    <row r="120" ht="14.25" customHeight="1" s="37">
      <c r="A120" s="9" t="n"/>
      <c r="B120" s="9" t="n"/>
      <c r="C120" s="9" t="n"/>
      <c r="D120" s="9" t="n"/>
      <c r="E120" s="9" t="n"/>
      <c r="F120" s="9" t="n"/>
    </row>
    <row r="121" ht="14.25" customHeight="1" s="37">
      <c r="A121" s="9" t="n"/>
      <c r="B121" s="9" t="n"/>
      <c r="C121" s="9" t="n"/>
      <c r="D121" s="9" t="n"/>
      <c r="E121" s="9" t="n"/>
      <c r="F121" s="9" t="n"/>
    </row>
    <row r="122" ht="14.25" customHeight="1" s="37">
      <c r="A122" s="9" t="n"/>
      <c r="B122" s="9" t="n"/>
      <c r="C122" s="9" t="n"/>
      <c r="D122" s="9" t="n"/>
      <c r="E122" s="9" t="n"/>
      <c r="F122" s="9" t="n"/>
    </row>
    <row r="123" ht="14.25" customHeight="1" s="37">
      <c r="A123" s="9" t="n"/>
      <c r="B123" s="9" t="n"/>
      <c r="C123" s="9" t="n"/>
      <c r="D123" s="9" t="n"/>
      <c r="E123" s="9" t="n"/>
      <c r="F123" s="9" t="n"/>
    </row>
    <row r="124" ht="14.25" customHeight="1" s="37">
      <c r="A124" s="9" t="n"/>
      <c r="B124" s="9" t="n"/>
      <c r="C124" s="9" t="n"/>
      <c r="D124" s="9" t="n"/>
      <c r="E124" s="9" t="n"/>
      <c r="F124" s="9" t="n"/>
    </row>
    <row r="125" ht="14.25" customHeight="1" s="37">
      <c r="A125" s="9" t="n"/>
      <c r="B125" s="9" t="n"/>
      <c r="C125" s="9" t="n"/>
      <c r="D125" s="9" t="n"/>
      <c r="E125" s="9" t="n"/>
      <c r="F125" s="9" t="n"/>
    </row>
    <row r="126" ht="14.25" customHeight="1" s="37">
      <c r="A126" s="9" t="n"/>
      <c r="B126" s="9" t="n"/>
      <c r="C126" s="9" t="n"/>
      <c r="D126" s="9" t="n"/>
      <c r="E126" s="9" t="n"/>
      <c r="F126" s="9" t="n"/>
    </row>
    <row r="127" ht="14.25" customHeight="1" s="37">
      <c r="A127" s="9" t="n"/>
      <c r="B127" s="9" t="n"/>
      <c r="C127" s="9" t="n"/>
      <c r="D127" s="9" t="n"/>
      <c r="E127" s="9" t="n"/>
      <c r="F127" s="9" t="n"/>
    </row>
    <row r="128" ht="14.25" customHeight="1" s="37">
      <c r="A128" s="9" t="n"/>
      <c r="B128" s="9" t="n"/>
      <c r="C128" s="9" t="n"/>
      <c r="D128" s="9" t="n"/>
      <c r="E128" s="9" t="n"/>
      <c r="F128" s="9" t="n"/>
    </row>
    <row r="129" ht="14.25" customHeight="1" s="37">
      <c r="A129" s="9" t="n"/>
      <c r="B129" s="9" t="n"/>
      <c r="C129" s="9" t="n"/>
      <c r="D129" s="9" t="n"/>
      <c r="E129" s="9" t="n"/>
      <c r="F129" s="9" t="n"/>
    </row>
    <row r="130" ht="14.25" customHeight="1" s="37">
      <c r="A130" s="9" t="n"/>
      <c r="B130" s="9" t="n"/>
      <c r="C130" s="9" t="n"/>
      <c r="D130" s="9" t="n"/>
      <c r="E130" s="9" t="n"/>
      <c r="F130" s="9" t="n"/>
    </row>
    <row r="131" ht="14.25" customHeight="1" s="37">
      <c r="A131" s="9" t="n"/>
      <c r="B131" s="9" t="n"/>
      <c r="C131" s="9" t="n"/>
      <c r="D131" s="9" t="n"/>
      <c r="E131" s="9" t="n"/>
      <c r="F131" s="9" t="n"/>
    </row>
    <row r="132" ht="14.25" customHeight="1" s="37">
      <c r="A132" s="9" t="n"/>
      <c r="B132" s="9" t="n"/>
      <c r="C132" s="9" t="n"/>
      <c r="D132" s="9" t="n"/>
      <c r="E132" s="9" t="n"/>
      <c r="F132" s="9" t="n"/>
    </row>
    <row r="133" ht="14.25" customHeight="1" s="37">
      <c r="A133" s="9" t="n"/>
      <c r="B133" s="9" t="n"/>
      <c r="C133" s="9" t="n"/>
      <c r="D133" s="9" t="n"/>
      <c r="E133" s="9" t="n"/>
      <c r="F133" s="9" t="n"/>
    </row>
    <row r="134" ht="14.25" customHeight="1" s="37">
      <c r="A134" s="9" t="n"/>
      <c r="B134" s="9" t="n"/>
      <c r="C134" s="9" t="n"/>
      <c r="D134" s="9" t="n"/>
      <c r="E134" s="9" t="n"/>
      <c r="F134" s="9" t="n"/>
    </row>
    <row r="135" ht="14.25" customHeight="1" s="37">
      <c r="A135" s="9" t="n"/>
      <c r="B135" s="9" t="n"/>
      <c r="C135" s="9" t="n"/>
      <c r="D135" s="9" t="n"/>
      <c r="E135" s="9" t="n"/>
      <c r="F135" s="9" t="n"/>
    </row>
    <row r="136" ht="14.25" customHeight="1" s="37">
      <c r="A136" s="9" t="n"/>
      <c r="B136" s="9" t="n"/>
      <c r="C136" s="9" t="n"/>
      <c r="D136" s="9" t="n"/>
      <c r="E136" s="9" t="n"/>
      <c r="F136" s="9" t="n"/>
    </row>
    <row r="137" ht="14.25" customHeight="1" s="37">
      <c r="A137" s="9" t="n"/>
      <c r="B137" s="9" t="n"/>
      <c r="C137" s="9" t="n"/>
      <c r="D137" s="9" t="n"/>
      <c r="E137" s="9" t="n"/>
      <c r="F137" s="9" t="n"/>
    </row>
    <row r="138" ht="14.25" customHeight="1" s="37">
      <c r="A138" s="9" t="n"/>
      <c r="B138" s="9" t="n"/>
      <c r="C138" s="9" t="n"/>
      <c r="D138" s="9" t="n"/>
      <c r="E138" s="9" t="n"/>
      <c r="F138" s="9" t="n"/>
    </row>
    <row r="139" ht="14.25" customHeight="1" s="37">
      <c r="A139" s="9" t="n"/>
      <c r="B139" s="9" t="n"/>
      <c r="C139" s="9" t="n"/>
      <c r="D139" s="9" t="n"/>
      <c r="E139" s="9" t="n"/>
      <c r="F139" s="9" t="n"/>
    </row>
    <row r="140" ht="14.25" customHeight="1" s="37">
      <c r="A140" s="9" t="n"/>
      <c r="B140" s="9" t="n"/>
      <c r="C140" s="9" t="n"/>
      <c r="D140" s="9" t="n"/>
      <c r="E140" s="9" t="n"/>
      <c r="F140" s="9" t="n"/>
    </row>
    <row r="141" ht="14.25" customHeight="1" s="37">
      <c r="A141" s="9" t="n"/>
      <c r="B141" s="9" t="n"/>
      <c r="C141" s="9" t="n"/>
      <c r="D141" s="9" t="n"/>
      <c r="E141" s="9" t="n"/>
      <c r="F141" s="9" t="n"/>
    </row>
    <row r="142" ht="14.25" customHeight="1" s="37">
      <c r="A142" s="9" t="n"/>
      <c r="B142" s="9" t="n"/>
      <c r="C142" s="9" t="n"/>
      <c r="D142" s="9" t="n"/>
      <c r="E142" s="9" t="n"/>
      <c r="F142" s="9" t="n"/>
    </row>
    <row r="143" ht="14.25" customHeight="1" s="37">
      <c r="A143" s="9" t="n"/>
      <c r="B143" s="9" t="n"/>
      <c r="C143" s="9" t="n"/>
      <c r="D143" s="9" t="n"/>
      <c r="E143" s="9" t="n"/>
      <c r="F143" s="9" t="n"/>
    </row>
    <row r="144" ht="14.25" customHeight="1" s="37">
      <c r="A144" s="9" t="n"/>
      <c r="B144" s="9" t="n"/>
      <c r="C144" s="9" t="n"/>
      <c r="D144" s="9" t="n"/>
      <c r="E144" s="9" t="n"/>
      <c r="F144" s="9" t="n"/>
    </row>
    <row r="145" ht="14.25" customHeight="1" s="37">
      <c r="A145" s="9" t="n"/>
      <c r="B145" s="9" t="n"/>
      <c r="C145" s="9" t="n"/>
      <c r="D145" s="9" t="n"/>
      <c r="E145" s="9" t="n"/>
      <c r="F145" s="9" t="n"/>
    </row>
    <row r="146" ht="14.25" customHeight="1" s="37">
      <c r="A146" s="9" t="n"/>
      <c r="B146" s="9" t="n"/>
      <c r="C146" s="9" t="n"/>
      <c r="D146" s="9" t="n"/>
      <c r="E146" s="9" t="n"/>
      <c r="F146" s="9" t="n"/>
    </row>
    <row r="147" ht="14.25" customHeight="1" s="37">
      <c r="A147" s="9" t="n"/>
      <c r="B147" s="9" t="n"/>
      <c r="C147" s="9" t="n"/>
      <c r="D147" s="9" t="n"/>
      <c r="E147" s="9" t="n"/>
      <c r="F147" s="9" t="n"/>
    </row>
    <row r="148" ht="14.25" customHeight="1" s="37">
      <c r="A148" s="9" t="n"/>
      <c r="B148" s="9" t="n"/>
      <c r="C148" s="9" t="n"/>
      <c r="D148" s="9" t="n"/>
      <c r="E148" s="9" t="n"/>
      <c r="F148" s="9" t="n"/>
    </row>
    <row r="149" ht="14.25" customHeight="1" s="37">
      <c r="A149" s="9" t="n"/>
      <c r="B149" s="9" t="n"/>
      <c r="C149" s="9" t="n"/>
      <c r="D149" s="9" t="n"/>
      <c r="E149" s="9" t="n"/>
      <c r="F149" s="9" t="n"/>
    </row>
    <row r="150" ht="14.25" customHeight="1" s="37">
      <c r="A150" s="9" t="n"/>
      <c r="B150" s="9" t="n"/>
      <c r="C150" s="9" t="n"/>
      <c r="D150" s="9" t="n"/>
      <c r="E150" s="9" t="n"/>
      <c r="F150" s="9" t="n"/>
    </row>
    <row r="151" ht="14.25" customHeight="1" s="37">
      <c r="A151" s="9" t="n"/>
      <c r="B151" s="9" t="n"/>
      <c r="C151" s="9" t="n"/>
      <c r="D151" s="9" t="n"/>
      <c r="E151" s="9" t="n"/>
      <c r="F151" s="9" t="n"/>
    </row>
    <row r="152" ht="14.25" customHeight="1" s="37">
      <c r="A152" s="9" t="n"/>
      <c r="B152" s="9" t="n"/>
      <c r="C152" s="9" t="n"/>
      <c r="D152" s="9" t="n"/>
      <c r="E152" s="9" t="n"/>
      <c r="F152" s="9" t="n"/>
    </row>
    <row r="153" ht="14.25" customHeight="1" s="37">
      <c r="A153" s="9" t="n"/>
      <c r="B153" s="9" t="n"/>
      <c r="C153" s="9" t="n"/>
      <c r="D153" s="9" t="n"/>
      <c r="E153" s="9" t="n"/>
      <c r="F153" s="9" t="n"/>
    </row>
    <row r="154" ht="14.25" customHeight="1" s="37">
      <c r="A154" s="9" t="n"/>
      <c r="B154" s="9" t="n"/>
      <c r="C154" s="9" t="n"/>
      <c r="D154" s="9" t="n"/>
      <c r="E154" s="9" t="n"/>
      <c r="F154" s="9" t="n"/>
    </row>
    <row r="155" ht="14.25" customHeight="1" s="37">
      <c r="A155" s="9" t="n"/>
      <c r="B155" s="9" t="n"/>
      <c r="C155" s="9" t="n"/>
      <c r="D155" s="9" t="n"/>
      <c r="E155" s="9" t="n"/>
      <c r="F155" s="9" t="n"/>
    </row>
    <row r="156" ht="14.25" customHeight="1" s="37">
      <c r="A156" s="9" t="n"/>
      <c r="B156" s="9" t="n"/>
      <c r="C156" s="9" t="n"/>
      <c r="D156" s="9" t="n"/>
      <c r="E156" s="9" t="n"/>
      <c r="F156" s="9" t="n"/>
    </row>
    <row r="157" ht="14.25" customHeight="1" s="37">
      <c r="A157" s="9" t="n"/>
      <c r="B157" s="9" t="n"/>
      <c r="C157" s="9" t="n"/>
      <c r="D157" s="9" t="n"/>
      <c r="E157" s="9" t="n"/>
      <c r="F157" s="9" t="n"/>
    </row>
    <row r="158" ht="14.25" customHeight="1" s="37">
      <c r="A158" s="9" t="n"/>
      <c r="B158" s="9" t="n"/>
      <c r="C158" s="9" t="n"/>
      <c r="D158" s="9" t="n"/>
      <c r="E158" s="9" t="n"/>
      <c r="F158" s="9" t="n"/>
    </row>
    <row r="159" ht="14.25" customHeight="1" s="37">
      <c r="A159" s="9" t="n"/>
      <c r="B159" s="9" t="n"/>
      <c r="C159" s="9" t="n"/>
      <c r="D159" s="9" t="n"/>
      <c r="E159" s="9" t="n"/>
      <c r="F159" s="9" t="n"/>
    </row>
    <row r="160" ht="14.25" customHeight="1" s="37">
      <c r="A160" s="9" t="n"/>
      <c r="B160" s="9" t="n"/>
      <c r="C160" s="9" t="n"/>
      <c r="D160" s="9" t="n"/>
      <c r="E160" s="9" t="n"/>
      <c r="F160" s="9" t="n"/>
    </row>
    <row r="161" ht="14.25" customHeight="1" s="37">
      <c r="A161" s="9" t="n"/>
      <c r="B161" s="9" t="n"/>
      <c r="C161" s="9" t="n"/>
      <c r="D161" s="9" t="n"/>
      <c r="E161" s="9" t="n"/>
      <c r="F161" s="9" t="n"/>
    </row>
    <row r="162" ht="14.25" customHeight="1" s="37">
      <c r="A162" s="9" t="n"/>
      <c r="B162" s="9" t="n"/>
      <c r="C162" s="9" t="n"/>
      <c r="D162" s="9" t="n"/>
      <c r="E162" s="9" t="n"/>
      <c r="F162" s="9" t="n"/>
    </row>
    <row r="163" ht="14.25" customHeight="1" s="37">
      <c r="A163" s="9" t="n"/>
      <c r="B163" s="9" t="n"/>
      <c r="C163" s="9" t="n"/>
      <c r="D163" s="9" t="n"/>
      <c r="E163" s="9" t="n"/>
      <c r="F163" s="9" t="n"/>
    </row>
    <row r="164" ht="14.25" customHeight="1" s="37">
      <c r="A164" s="9" t="n"/>
      <c r="B164" s="9" t="n"/>
      <c r="C164" s="9" t="n"/>
      <c r="D164" s="9" t="n"/>
      <c r="E164" s="9" t="n"/>
      <c r="F164" s="9" t="n"/>
    </row>
    <row r="165" ht="14.25" customHeight="1" s="37">
      <c r="A165" s="9" t="n"/>
      <c r="B165" s="9" t="n"/>
      <c r="C165" s="9" t="n"/>
      <c r="D165" s="9" t="n"/>
      <c r="E165" s="9" t="n"/>
      <c r="F165" s="9" t="n"/>
    </row>
    <row r="166" ht="14.25" customHeight="1" s="37">
      <c r="A166" s="9" t="n"/>
      <c r="B166" s="9" t="n"/>
      <c r="C166" s="9" t="n"/>
      <c r="D166" s="9" t="n"/>
      <c r="E166" s="9" t="n"/>
      <c r="F166" s="9" t="n"/>
    </row>
    <row r="167" ht="14.25" customHeight="1" s="37">
      <c r="A167" s="9" t="n"/>
      <c r="B167" s="9" t="n"/>
      <c r="C167" s="9" t="n"/>
      <c r="D167" s="9" t="n"/>
      <c r="E167" s="9" t="n"/>
      <c r="F167" s="9" t="n"/>
    </row>
    <row r="168" ht="14.25" customHeight="1" s="37">
      <c r="A168" s="9" t="n"/>
      <c r="B168" s="9" t="n"/>
      <c r="C168" s="9" t="n"/>
      <c r="D168" s="9" t="n"/>
      <c r="E168" s="9" t="n"/>
      <c r="F168" s="9" t="n"/>
    </row>
    <row r="169" ht="14.25" customHeight="1" s="37">
      <c r="A169" s="9" t="n"/>
      <c r="B169" s="9" t="n"/>
      <c r="C169" s="9" t="n"/>
      <c r="D169" s="9" t="n"/>
      <c r="E169" s="9" t="n"/>
      <c r="F169" s="9" t="n"/>
    </row>
    <row r="170" ht="14.25" customHeight="1" s="37">
      <c r="A170" s="9" t="n"/>
      <c r="B170" s="9" t="n"/>
      <c r="C170" s="9" t="n"/>
      <c r="D170" s="9" t="n"/>
      <c r="E170" s="9" t="n"/>
      <c r="F170" s="9" t="n"/>
    </row>
    <row r="171" ht="14.25" customHeight="1" s="37">
      <c r="A171" s="9" t="n"/>
      <c r="B171" s="9" t="n"/>
      <c r="C171" s="9" t="n"/>
      <c r="D171" s="9" t="n"/>
      <c r="E171" s="9" t="n"/>
      <c r="F171" s="9" t="n"/>
    </row>
    <row r="172" ht="14.25" customHeight="1" s="37">
      <c r="A172" s="9" t="n"/>
      <c r="B172" s="9" t="n"/>
      <c r="C172" s="9" t="n"/>
      <c r="D172" s="9" t="n"/>
      <c r="E172" s="9" t="n"/>
      <c r="F172" s="9" t="n"/>
    </row>
    <row r="173" ht="14.25" customHeight="1" s="37">
      <c r="A173" s="9" t="n"/>
      <c r="B173" s="9" t="n"/>
      <c r="C173" s="9" t="n"/>
      <c r="D173" s="9" t="n"/>
      <c r="E173" s="9" t="n"/>
      <c r="F173" s="9" t="n"/>
    </row>
    <row r="174" ht="14.25" customHeight="1" s="37">
      <c r="A174" s="9" t="n"/>
      <c r="B174" s="9" t="n"/>
      <c r="C174" s="9" t="n"/>
      <c r="D174" s="9" t="n"/>
      <c r="E174" s="9" t="n"/>
      <c r="F174" s="9" t="n"/>
    </row>
    <row r="175" ht="14.25" customHeight="1" s="37">
      <c r="A175" s="9" t="n"/>
      <c r="B175" s="9" t="n"/>
      <c r="C175" s="9" t="n"/>
      <c r="D175" s="9" t="n"/>
      <c r="E175" s="9" t="n"/>
      <c r="F175" s="9" t="n"/>
    </row>
    <row r="176" ht="14.25" customHeight="1" s="37">
      <c r="A176" s="9" t="n"/>
      <c r="B176" s="9" t="n"/>
      <c r="C176" s="9" t="n"/>
      <c r="D176" s="9" t="n"/>
      <c r="E176" s="9" t="n"/>
      <c r="F176" s="9" t="n"/>
    </row>
    <row r="177" ht="14.25" customHeight="1" s="37">
      <c r="A177" s="9" t="n"/>
      <c r="B177" s="9" t="n"/>
      <c r="C177" s="9" t="n"/>
      <c r="D177" s="9" t="n"/>
      <c r="E177" s="9" t="n"/>
      <c r="F177" s="9" t="n"/>
    </row>
    <row r="178" ht="14.25" customHeight="1" s="37">
      <c r="A178" s="9" t="n"/>
      <c r="B178" s="9" t="n"/>
      <c r="C178" s="9" t="n"/>
      <c r="D178" s="9" t="n"/>
      <c r="E178" s="9" t="n"/>
      <c r="F178" s="9" t="n"/>
    </row>
    <row r="179" ht="14.25" customHeight="1" s="37">
      <c r="A179" s="9" t="n"/>
      <c r="B179" s="9" t="n"/>
      <c r="C179" s="9" t="n"/>
      <c r="D179" s="9" t="n"/>
      <c r="E179" s="9" t="n"/>
      <c r="F179" s="9" t="n"/>
    </row>
    <row r="180" ht="14.25" customHeight="1" s="37">
      <c r="A180" s="9" t="n"/>
      <c r="B180" s="9" t="n"/>
      <c r="C180" s="9" t="n"/>
      <c r="D180" s="9" t="n"/>
      <c r="E180" s="9" t="n"/>
      <c r="F180" s="9" t="n"/>
    </row>
    <row r="181" ht="14.25" customHeight="1" s="37">
      <c r="A181" s="9" t="n"/>
      <c r="B181" s="9" t="n"/>
      <c r="C181" s="9" t="n"/>
      <c r="D181" s="9" t="n"/>
      <c r="E181" s="9" t="n"/>
      <c r="F181" s="9" t="n"/>
    </row>
    <row r="182" ht="14.25" customHeight="1" s="37">
      <c r="A182" s="9" t="n"/>
      <c r="B182" s="9" t="n"/>
      <c r="C182" s="9" t="n"/>
      <c r="D182" s="9" t="n"/>
      <c r="E182" s="9" t="n"/>
      <c r="F182" s="9" t="n"/>
    </row>
    <row r="183" ht="14.25" customHeight="1" s="37">
      <c r="A183" s="9" t="n"/>
      <c r="B183" s="9" t="n"/>
      <c r="C183" s="9" t="n"/>
      <c r="D183" s="9" t="n"/>
      <c r="E183" s="9" t="n"/>
      <c r="F183" s="9" t="n"/>
    </row>
    <row r="184" ht="14.25" customHeight="1" s="37">
      <c r="A184" s="9" t="n"/>
      <c r="B184" s="9" t="n"/>
      <c r="C184" s="9" t="n"/>
      <c r="D184" s="9" t="n"/>
      <c r="E184" s="9" t="n"/>
      <c r="F184" s="9" t="n"/>
    </row>
    <row r="185" ht="14.25" customHeight="1" s="37">
      <c r="A185" s="9" t="n"/>
      <c r="B185" s="9" t="n"/>
      <c r="C185" s="9" t="n"/>
      <c r="D185" s="9" t="n"/>
      <c r="E185" s="9" t="n"/>
      <c r="F185" s="9" t="n"/>
    </row>
    <row r="186" ht="14.25" customHeight="1" s="37">
      <c r="A186" s="9" t="n"/>
      <c r="B186" s="9" t="n"/>
      <c r="C186" s="9" t="n"/>
      <c r="D186" s="9" t="n"/>
      <c r="E186" s="9" t="n"/>
      <c r="F186" s="9" t="n"/>
    </row>
    <row r="187" ht="14.25" customHeight="1" s="37">
      <c r="A187" s="9" t="n"/>
      <c r="B187" s="9" t="n"/>
      <c r="C187" s="9" t="n"/>
      <c r="D187" s="9" t="n"/>
      <c r="E187" s="9" t="n"/>
      <c r="F187" s="9" t="n"/>
    </row>
    <row r="188" ht="14.25" customHeight="1" s="37">
      <c r="A188" s="9" t="n"/>
      <c r="B188" s="9" t="n"/>
      <c r="C188" s="9" t="n"/>
      <c r="D188" s="9" t="n"/>
      <c r="E188" s="9" t="n"/>
      <c r="F188" s="9" t="n"/>
    </row>
    <row r="189" ht="14.25" customHeight="1" s="37">
      <c r="A189" s="9" t="n"/>
      <c r="B189" s="9" t="n"/>
      <c r="C189" s="9" t="n"/>
      <c r="D189" s="9" t="n"/>
      <c r="E189" s="9" t="n"/>
      <c r="F189" s="9" t="n"/>
    </row>
    <row r="190" ht="14.25" customHeight="1" s="37">
      <c r="A190" s="9" t="n"/>
      <c r="B190" s="9" t="n"/>
      <c r="C190" s="9" t="n"/>
      <c r="D190" s="9" t="n"/>
      <c r="E190" s="9" t="n"/>
      <c r="F190" s="9" t="n"/>
    </row>
    <row r="191" ht="14.25" customHeight="1" s="37">
      <c r="A191" s="9" t="n"/>
      <c r="B191" s="9" t="n"/>
      <c r="C191" s="9" t="n"/>
      <c r="D191" s="9" t="n"/>
      <c r="E191" s="9" t="n"/>
      <c r="F191" s="9" t="n"/>
    </row>
    <row r="192" ht="14.25" customHeight="1" s="37">
      <c r="A192" s="9" t="n"/>
      <c r="B192" s="9" t="n"/>
      <c r="C192" s="9" t="n"/>
      <c r="D192" s="9" t="n"/>
      <c r="E192" s="9" t="n"/>
      <c r="F192" s="9" t="n"/>
    </row>
    <row r="193" ht="14.25" customHeight="1" s="37">
      <c r="A193" s="9" t="n"/>
      <c r="B193" s="9" t="n"/>
      <c r="C193" s="9" t="n"/>
      <c r="D193" s="9" t="n"/>
      <c r="E193" s="9" t="n"/>
      <c r="F193" s="9" t="n"/>
    </row>
    <row r="194" ht="14.25" customHeight="1" s="37">
      <c r="A194" s="9" t="n"/>
      <c r="B194" s="9" t="n"/>
      <c r="C194" s="9" t="n"/>
      <c r="D194" s="9" t="n"/>
      <c r="E194" s="9" t="n"/>
      <c r="F194" s="9" t="n"/>
    </row>
    <row r="195" ht="14.25" customHeight="1" s="37">
      <c r="A195" s="9" t="n"/>
      <c r="B195" s="9" t="n"/>
      <c r="C195" s="9" t="n"/>
      <c r="D195" s="9" t="n"/>
      <c r="E195" s="9" t="n"/>
      <c r="F195" s="9" t="n"/>
    </row>
    <row r="196" ht="14.25" customHeight="1" s="37">
      <c r="A196" s="9" t="n"/>
      <c r="B196" s="9" t="n"/>
      <c r="C196" s="9" t="n"/>
      <c r="D196" s="9" t="n"/>
      <c r="E196" s="9" t="n"/>
      <c r="F196" s="9" t="n"/>
    </row>
    <row r="197" ht="14.25" customHeight="1" s="37">
      <c r="A197" s="9" t="n"/>
      <c r="B197" s="9" t="n"/>
      <c r="C197" s="9" t="n"/>
      <c r="D197" s="9" t="n"/>
      <c r="E197" s="9" t="n"/>
      <c r="F197" s="9" t="n"/>
    </row>
    <row r="198" ht="14.25" customHeight="1" s="37">
      <c r="A198" s="9" t="n"/>
      <c r="B198" s="9" t="n"/>
      <c r="C198" s="9" t="n"/>
      <c r="D198" s="9" t="n"/>
      <c r="E198" s="9" t="n"/>
      <c r="F198" s="9" t="n"/>
    </row>
    <row r="199" ht="14.25" customHeight="1" s="37">
      <c r="A199" s="9" t="n"/>
      <c r="B199" s="9" t="n"/>
      <c r="C199" s="9" t="n"/>
      <c r="D199" s="9" t="n"/>
      <c r="E199" s="9" t="n"/>
      <c r="F199" s="9" t="n"/>
    </row>
    <row r="200" ht="14.25" customHeight="1" s="37">
      <c r="A200" s="9" t="n"/>
      <c r="B200" s="9" t="n"/>
      <c r="C200" s="9" t="n"/>
      <c r="D200" s="9" t="n"/>
      <c r="E200" s="9" t="n"/>
      <c r="F200" s="9" t="n"/>
    </row>
    <row r="201" ht="14.25" customHeight="1" s="37">
      <c r="A201" s="9" t="n"/>
      <c r="B201" s="9" t="n"/>
      <c r="C201" s="9" t="n"/>
      <c r="D201" s="9" t="n"/>
      <c r="E201" s="9" t="n"/>
      <c r="F201" s="9" t="n"/>
    </row>
    <row r="202" ht="14.25" customHeight="1" s="37">
      <c r="A202" s="9" t="n"/>
      <c r="B202" s="9" t="n"/>
      <c r="C202" s="9" t="n"/>
      <c r="D202" s="9" t="n"/>
      <c r="E202" s="9" t="n"/>
      <c r="F202" s="9" t="n"/>
    </row>
    <row r="203" ht="14.25" customHeight="1" s="37">
      <c r="A203" s="9" t="n"/>
      <c r="B203" s="9" t="n"/>
      <c r="C203" s="9" t="n"/>
      <c r="D203" s="9" t="n"/>
      <c r="E203" s="9" t="n"/>
      <c r="F203" s="9" t="n"/>
    </row>
    <row r="204" ht="14.25" customHeight="1" s="37">
      <c r="A204" s="9" t="n"/>
      <c r="B204" s="9" t="n"/>
      <c r="C204" s="9" t="n"/>
      <c r="D204" s="9" t="n"/>
      <c r="E204" s="9" t="n"/>
      <c r="F204" s="9" t="n"/>
    </row>
    <row r="205" ht="14.25" customHeight="1" s="37">
      <c r="A205" s="9" t="n"/>
      <c r="B205" s="9" t="n"/>
      <c r="C205" s="9" t="n"/>
      <c r="D205" s="9" t="n"/>
      <c r="E205" s="9" t="n"/>
      <c r="F205" s="9" t="n"/>
    </row>
    <row r="206" ht="14.25" customHeight="1" s="37">
      <c r="A206" s="9" t="n"/>
      <c r="B206" s="9" t="n"/>
      <c r="C206" s="9" t="n"/>
      <c r="D206" s="9" t="n"/>
      <c r="E206" s="9" t="n"/>
      <c r="F206" s="9" t="n"/>
    </row>
    <row r="207" ht="14.25" customHeight="1" s="37">
      <c r="A207" s="9" t="n"/>
      <c r="B207" s="9" t="n"/>
      <c r="C207" s="9" t="n"/>
      <c r="D207" s="9" t="n"/>
      <c r="E207" s="9" t="n"/>
      <c r="F207" s="9" t="n"/>
    </row>
    <row r="208" ht="14.25" customHeight="1" s="37">
      <c r="A208" s="9" t="n"/>
      <c r="B208" s="9" t="n"/>
      <c r="C208" s="9" t="n"/>
      <c r="D208" s="9" t="n"/>
      <c r="E208" s="9" t="n"/>
      <c r="F208" s="9" t="n"/>
    </row>
    <row r="209" ht="14.25" customHeight="1" s="37">
      <c r="A209" s="9" t="n"/>
      <c r="B209" s="9" t="n"/>
      <c r="C209" s="9" t="n"/>
      <c r="D209" s="9" t="n"/>
      <c r="E209" s="9" t="n"/>
      <c r="F209" s="9" t="n"/>
    </row>
    <row r="210" ht="14.25" customHeight="1" s="37">
      <c r="A210" s="9" t="n"/>
      <c r="B210" s="9" t="n"/>
      <c r="C210" s="9" t="n"/>
      <c r="D210" s="9" t="n"/>
      <c r="E210" s="9" t="n"/>
      <c r="F210" s="9" t="n"/>
    </row>
    <row r="211" ht="14.25" customHeight="1" s="37">
      <c r="A211" s="9" t="n"/>
      <c r="B211" s="9" t="n"/>
      <c r="C211" s="9" t="n"/>
      <c r="D211" s="9" t="n"/>
      <c r="E211" s="9" t="n"/>
      <c r="F211" s="9" t="n"/>
    </row>
    <row r="212" ht="14.25" customHeight="1" s="37">
      <c r="A212" s="9" t="n"/>
      <c r="B212" s="9" t="n"/>
      <c r="C212" s="9" t="n"/>
      <c r="D212" s="9" t="n"/>
      <c r="E212" s="9" t="n"/>
      <c r="F212" s="9" t="n"/>
    </row>
    <row r="213" ht="14.25" customHeight="1" s="37">
      <c r="A213" s="9" t="n"/>
      <c r="B213" s="9" t="n"/>
      <c r="C213" s="9" t="n"/>
      <c r="D213" s="9" t="n"/>
      <c r="E213" s="9" t="n"/>
      <c r="F213" s="9" t="n"/>
    </row>
    <row r="214" ht="14.25" customHeight="1" s="37">
      <c r="A214" s="9" t="n"/>
      <c r="B214" s="9" t="n"/>
      <c r="C214" s="9" t="n"/>
      <c r="D214" s="9" t="n"/>
      <c r="E214" s="9" t="n"/>
      <c r="F214" s="9" t="n"/>
    </row>
    <row r="215" ht="14.25" customHeight="1" s="37">
      <c r="A215" s="9" t="n"/>
      <c r="B215" s="9" t="n"/>
      <c r="C215" s="9" t="n"/>
      <c r="D215" s="9" t="n"/>
      <c r="E215" s="9" t="n"/>
      <c r="F215" s="9" t="n"/>
    </row>
    <row r="216" ht="14.25" customHeight="1" s="37">
      <c r="A216" s="9" t="n"/>
      <c r="B216" s="9" t="n"/>
      <c r="C216" s="9" t="n"/>
      <c r="D216" s="9" t="n"/>
      <c r="E216" s="9" t="n"/>
      <c r="F216" s="9" t="n"/>
    </row>
    <row r="217" ht="14.25" customHeight="1" s="37">
      <c r="A217" s="9" t="n"/>
      <c r="B217" s="9" t="n"/>
      <c r="C217" s="9" t="n"/>
      <c r="D217" s="9" t="n"/>
      <c r="E217" s="9" t="n"/>
      <c r="F217" s="9" t="n"/>
    </row>
    <row r="218" ht="14.25" customHeight="1" s="37">
      <c r="A218" s="9" t="n"/>
      <c r="B218" s="9" t="n"/>
      <c r="C218" s="9" t="n"/>
      <c r="D218" s="9" t="n"/>
      <c r="E218" s="9" t="n"/>
      <c r="F218" s="9" t="n"/>
    </row>
    <row r="219" ht="14.25" customHeight="1" s="37">
      <c r="A219" s="9" t="n"/>
      <c r="B219" s="9" t="n"/>
      <c r="C219" s="9" t="n"/>
      <c r="D219" s="9" t="n"/>
      <c r="E219" s="9" t="n"/>
      <c r="F219" s="9" t="n"/>
    </row>
    <row r="220" ht="14.25" customHeight="1" s="37">
      <c r="A220" s="9" t="n"/>
      <c r="B220" s="9" t="n"/>
      <c r="C220" s="9" t="n"/>
      <c r="D220" s="9" t="n"/>
      <c r="E220" s="9" t="n"/>
      <c r="F220" s="9" t="n"/>
    </row>
    <row r="221" ht="14.25" customHeight="1" s="37"/>
    <row r="222" ht="14.25" customHeight="1" s="37"/>
    <row r="223" ht="14.25" customHeight="1" s="37"/>
    <row r="224" ht="14.25" customHeight="1" s="37"/>
    <row r="225" ht="14.25" customHeight="1" s="37"/>
    <row r="226" ht="14.25" customHeight="1" s="37"/>
    <row r="227" ht="14.25" customHeight="1" s="37"/>
    <row r="228" ht="14.25" customHeight="1" s="37"/>
    <row r="229" ht="14.25" customHeight="1" s="37"/>
    <row r="230" ht="14.25" customHeight="1" s="37"/>
    <row r="231" ht="14.25" customHeight="1" s="37"/>
    <row r="232" ht="14.25" customHeight="1" s="37"/>
    <row r="233" ht="14.25" customHeight="1" s="37"/>
    <row r="234" ht="14.25" customHeight="1" s="37"/>
    <row r="235" ht="14.25" customHeight="1" s="37"/>
    <row r="236" ht="14.25" customHeight="1" s="37"/>
    <row r="237" ht="14.25" customHeight="1" s="37"/>
    <row r="238" ht="14.25" customHeight="1" s="37"/>
    <row r="239" ht="14.25" customHeight="1" s="37"/>
    <row r="240" ht="14.25" customHeight="1" s="37"/>
    <row r="241" ht="14.25" customHeight="1" s="37"/>
    <row r="242" ht="14.25" customHeight="1" s="37"/>
    <row r="243" ht="14.25" customHeight="1" s="37"/>
    <row r="244" ht="14.25" customHeight="1" s="37"/>
    <row r="245" ht="14.25" customHeight="1" s="37"/>
    <row r="246" ht="14.25" customHeight="1" s="37"/>
    <row r="247" ht="14.25" customHeight="1" s="37"/>
    <row r="248" ht="14.25" customHeight="1" s="37"/>
    <row r="249" ht="14.25" customHeight="1" s="37"/>
    <row r="250" ht="14.25" customHeight="1" s="37"/>
    <row r="251" ht="14.25" customHeight="1" s="37"/>
    <row r="252" ht="14.25" customHeight="1" s="37"/>
    <row r="253" ht="14.25" customHeight="1" s="37"/>
    <row r="254" ht="14.25" customHeight="1" s="37"/>
    <row r="255" ht="14.25" customHeight="1" s="37"/>
    <row r="256" ht="14.25" customHeight="1" s="37"/>
    <row r="257" ht="14.25" customHeight="1" s="37"/>
    <row r="258" ht="14.25" customHeight="1" s="37"/>
    <row r="259" ht="14.25" customHeight="1" s="37"/>
    <row r="260" ht="14.25" customHeight="1" s="37"/>
    <row r="261" ht="14.25" customHeight="1" s="37"/>
    <row r="262" ht="14.25" customHeight="1" s="37"/>
    <row r="263" ht="14.25" customHeight="1" s="37"/>
    <row r="264" ht="14.25" customHeight="1" s="37"/>
    <row r="265" ht="14.25" customHeight="1" s="37"/>
    <row r="266" ht="14.25" customHeight="1" s="37"/>
    <row r="267" ht="14.25" customHeight="1" s="37"/>
    <row r="268" ht="14.25" customHeight="1" s="37"/>
    <row r="269" ht="14.25" customHeight="1" s="37"/>
    <row r="270" ht="14.25" customHeight="1" s="37"/>
    <row r="271" ht="14.25" customHeight="1" s="37"/>
    <row r="272" ht="14.25" customHeight="1" s="37"/>
    <row r="273" ht="14.25" customHeight="1" s="37"/>
    <row r="274" ht="14.25" customHeight="1" s="37"/>
    <row r="275" ht="14.25" customHeight="1" s="37"/>
    <row r="276" ht="14.25" customHeight="1" s="37"/>
    <row r="277" ht="14.25" customHeight="1" s="37"/>
    <row r="278" ht="14.25" customHeight="1" s="37"/>
    <row r="279" ht="14.25" customHeight="1" s="37"/>
    <row r="280" ht="14.25" customHeight="1" s="37"/>
    <row r="281" ht="14.25" customHeight="1" s="37"/>
    <row r="282" ht="14.25" customHeight="1" s="37"/>
    <row r="283" ht="14.25" customHeight="1" s="37"/>
    <row r="284" ht="14.25" customHeight="1" s="37"/>
    <row r="285" ht="14.25" customHeight="1" s="37"/>
    <row r="286" ht="14.25" customHeight="1" s="37"/>
    <row r="287" ht="14.25" customHeight="1" s="37"/>
    <row r="288" ht="14.25" customHeight="1" s="37"/>
    <row r="289" ht="14.25" customHeight="1" s="37"/>
    <row r="290" ht="14.25" customHeight="1" s="37"/>
    <row r="291" ht="14.25" customHeight="1" s="37"/>
    <row r="292" ht="14.25" customHeight="1" s="37"/>
    <row r="293" ht="14.25" customHeight="1" s="37"/>
    <row r="294" ht="14.25" customHeight="1" s="37"/>
    <row r="295" ht="14.25" customHeight="1" s="37"/>
    <row r="296" ht="14.25" customHeight="1" s="37"/>
    <row r="297" ht="14.25" customHeight="1" s="37"/>
    <row r="298" ht="14.25" customHeight="1" s="37"/>
    <row r="299" ht="14.25" customHeight="1" s="37"/>
    <row r="300" ht="14.25" customHeight="1" s="37"/>
    <row r="301" ht="14.25" customHeight="1" s="37"/>
    <row r="302" ht="14.25" customHeight="1" s="37"/>
    <row r="303" ht="14.25" customHeight="1" s="37"/>
    <row r="304" ht="14.25" customHeight="1" s="37"/>
    <row r="305" ht="14.25" customHeight="1" s="37"/>
    <row r="306" ht="14.25" customHeight="1" s="37"/>
    <row r="307" ht="14.25" customHeight="1" s="37"/>
    <row r="308" ht="14.25" customHeight="1" s="37"/>
    <row r="309" ht="14.25" customHeight="1" s="37"/>
    <row r="310" ht="14.25" customHeight="1" s="37"/>
    <row r="311" ht="14.25" customHeight="1" s="37"/>
    <row r="312" ht="14.25" customHeight="1" s="37"/>
    <row r="313" ht="14.25" customHeight="1" s="37"/>
    <row r="314" ht="14.25" customHeight="1" s="37"/>
    <row r="315" ht="14.25" customHeight="1" s="37"/>
    <row r="316" ht="14.25" customHeight="1" s="37"/>
    <row r="317" ht="14.25" customHeight="1" s="37"/>
    <row r="318" ht="14.25" customHeight="1" s="37"/>
    <row r="319" ht="14.25" customHeight="1" s="37"/>
    <row r="320" ht="14.25" customHeight="1" s="37"/>
    <row r="321" ht="14.25" customHeight="1" s="37"/>
    <row r="322" ht="14.25" customHeight="1" s="37"/>
    <row r="323" ht="14.25" customHeight="1" s="37"/>
    <row r="324" ht="14.25" customHeight="1" s="37"/>
    <row r="325" ht="14.25" customHeight="1" s="37"/>
    <row r="326" ht="14.25" customHeight="1" s="37"/>
    <row r="327" ht="14.25" customHeight="1" s="37"/>
    <row r="328" ht="14.25" customHeight="1" s="37"/>
    <row r="329" ht="14.25" customHeight="1" s="37"/>
    <row r="330" ht="14.25" customHeight="1" s="37"/>
    <row r="331" ht="14.25" customHeight="1" s="37"/>
    <row r="332" ht="14.25" customHeight="1" s="37"/>
    <row r="333" ht="14.25" customHeight="1" s="37"/>
    <row r="334" ht="14.25" customHeight="1" s="37"/>
    <row r="335" ht="14.25" customHeight="1" s="37"/>
    <row r="336" ht="14.25" customHeight="1" s="37"/>
    <row r="337" ht="14.25" customHeight="1" s="37"/>
    <row r="338" ht="14.25" customHeight="1" s="37"/>
    <row r="339" ht="14.25" customHeight="1" s="37"/>
    <row r="340" ht="14.25" customHeight="1" s="37"/>
    <row r="341" ht="14.25" customHeight="1" s="37"/>
    <row r="342" ht="14.25" customHeight="1" s="37"/>
    <row r="343" ht="14.25" customHeight="1" s="37"/>
    <row r="344" ht="14.25" customHeight="1" s="37"/>
    <row r="345" ht="14.25" customHeight="1" s="37"/>
    <row r="346" ht="14.25" customHeight="1" s="37"/>
    <row r="347" ht="14.25" customHeight="1" s="37"/>
    <row r="348" ht="14.25" customHeight="1" s="37"/>
    <row r="349" ht="14.25" customHeight="1" s="37"/>
    <row r="350" ht="14.25" customHeight="1" s="37"/>
    <row r="351" ht="14.25" customHeight="1" s="37"/>
    <row r="352" ht="14.25" customHeight="1" s="37"/>
    <row r="353" ht="14.25" customHeight="1" s="37"/>
    <row r="354" ht="14.25" customHeight="1" s="37"/>
    <row r="355" ht="14.25" customHeight="1" s="37"/>
    <row r="356" ht="14.25" customHeight="1" s="37"/>
    <row r="357" ht="14.25" customHeight="1" s="37"/>
    <row r="358" ht="14.25" customHeight="1" s="37"/>
    <row r="359" ht="14.25" customHeight="1" s="37"/>
    <row r="360" ht="14.25" customHeight="1" s="37"/>
    <row r="361" ht="14.25" customHeight="1" s="37"/>
    <row r="362" ht="14.25" customHeight="1" s="37"/>
    <row r="363" ht="14.25" customHeight="1" s="37"/>
    <row r="364" ht="14.25" customHeight="1" s="37"/>
    <row r="365" ht="14.25" customHeight="1" s="37"/>
    <row r="366" ht="14.25" customHeight="1" s="37"/>
    <row r="367" ht="14.25" customHeight="1" s="37"/>
    <row r="368" ht="14.25" customHeight="1" s="37"/>
    <row r="369" ht="14.25" customHeight="1" s="37"/>
    <row r="370" ht="14.25" customHeight="1" s="37"/>
    <row r="371" ht="14.25" customHeight="1" s="37"/>
    <row r="372" ht="14.25" customHeight="1" s="37"/>
    <row r="373" ht="14.25" customHeight="1" s="37"/>
    <row r="374" ht="14.25" customHeight="1" s="37"/>
    <row r="375" ht="14.25" customHeight="1" s="37"/>
    <row r="376" ht="14.25" customHeight="1" s="37"/>
    <row r="377" ht="14.25" customHeight="1" s="37"/>
    <row r="378" ht="14.25" customHeight="1" s="37"/>
    <row r="379" ht="14.25" customHeight="1" s="37"/>
    <row r="380" ht="14.25" customHeight="1" s="37"/>
    <row r="381" ht="14.25" customHeight="1" s="37"/>
    <row r="382" ht="14.25" customHeight="1" s="37"/>
    <row r="383" ht="14.25" customHeight="1" s="37"/>
    <row r="384" ht="14.25" customHeight="1" s="37"/>
    <row r="385" ht="14.25" customHeight="1" s="37"/>
    <row r="386" ht="14.25" customHeight="1" s="37"/>
    <row r="387" ht="14.25" customHeight="1" s="37"/>
    <row r="388" ht="14.25" customHeight="1" s="37"/>
    <row r="389" ht="14.25" customHeight="1" s="37"/>
    <row r="390" ht="14.25" customHeight="1" s="37"/>
    <row r="391" ht="14.25" customHeight="1" s="37"/>
    <row r="392" ht="14.25" customHeight="1" s="37"/>
    <row r="393" ht="14.25" customHeight="1" s="37"/>
    <row r="394" ht="14.25" customHeight="1" s="37"/>
    <row r="395" ht="14.25" customHeight="1" s="37"/>
    <row r="396" ht="14.25" customHeight="1" s="37"/>
    <row r="397" ht="14.25" customHeight="1" s="37"/>
    <row r="398" ht="14.25" customHeight="1" s="37"/>
    <row r="399" ht="14.25" customHeight="1" s="37"/>
    <row r="400" ht="14.25" customHeight="1" s="37"/>
    <row r="401" ht="14.25" customHeight="1" s="37"/>
    <row r="402" ht="14.25" customHeight="1" s="37"/>
    <row r="403" ht="14.25" customHeight="1" s="37"/>
    <row r="404" ht="14.25" customHeight="1" s="37"/>
    <row r="405" ht="14.25" customHeight="1" s="37"/>
    <row r="406" ht="14.25" customHeight="1" s="37"/>
    <row r="407" ht="14.25" customHeight="1" s="37"/>
    <row r="408" ht="14.25" customHeight="1" s="37"/>
    <row r="409" ht="14.25" customHeight="1" s="37"/>
    <row r="410" ht="14.25" customHeight="1" s="37"/>
    <row r="411" ht="14.25" customHeight="1" s="37"/>
    <row r="412" ht="14.25" customHeight="1" s="37"/>
    <row r="413" ht="14.25" customHeight="1" s="37"/>
    <row r="414" ht="14.25" customHeight="1" s="37"/>
    <row r="415" ht="14.25" customHeight="1" s="37"/>
    <row r="416" ht="14.25" customHeight="1" s="37"/>
    <row r="417" ht="14.25" customHeight="1" s="37"/>
    <row r="418" ht="14.25" customHeight="1" s="37"/>
    <row r="419" ht="14.25" customHeight="1" s="37"/>
    <row r="420" ht="14.25" customHeight="1" s="37"/>
    <row r="421" ht="14.25" customHeight="1" s="37"/>
    <row r="422" ht="14.25" customHeight="1" s="37"/>
    <row r="423" ht="14.25" customHeight="1" s="37"/>
    <row r="424" ht="14.25" customHeight="1" s="37"/>
    <row r="425" ht="14.25" customHeight="1" s="37"/>
    <row r="426" ht="14.25" customHeight="1" s="37"/>
    <row r="427" ht="14.25" customHeight="1" s="37"/>
    <row r="428" ht="14.25" customHeight="1" s="37"/>
    <row r="429" ht="14.25" customHeight="1" s="37"/>
    <row r="430" ht="14.25" customHeight="1" s="37"/>
    <row r="431" ht="14.25" customHeight="1" s="37"/>
    <row r="432" ht="14.25" customHeight="1" s="37"/>
    <row r="433" ht="14.25" customHeight="1" s="37"/>
    <row r="434" ht="14.25" customHeight="1" s="37"/>
    <row r="435" ht="14.25" customHeight="1" s="37"/>
    <row r="436" ht="14.25" customHeight="1" s="37"/>
    <row r="437" ht="14.25" customHeight="1" s="37"/>
    <row r="438" ht="14.25" customHeight="1" s="37"/>
    <row r="439" ht="14.25" customHeight="1" s="37"/>
    <row r="440" ht="14.25" customHeight="1" s="37"/>
    <row r="441" ht="14.25" customHeight="1" s="37"/>
    <row r="442" ht="14.25" customHeight="1" s="37"/>
    <row r="443" ht="14.25" customHeight="1" s="37"/>
    <row r="444" ht="14.25" customHeight="1" s="37"/>
    <row r="445" ht="14.25" customHeight="1" s="37"/>
    <row r="446" ht="14.25" customHeight="1" s="37"/>
    <row r="447" ht="14.25" customHeight="1" s="37"/>
    <row r="448" ht="14.25" customHeight="1" s="37"/>
    <row r="449" ht="14.25" customHeight="1" s="37"/>
    <row r="450" ht="14.25" customHeight="1" s="37"/>
    <row r="451" ht="14.25" customHeight="1" s="37"/>
    <row r="452" ht="14.25" customHeight="1" s="37"/>
    <row r="453" ht="14.25" customHeight="1" s="37"/>
    <row r="454" ht="14.25" customHeight="1" s="37"/>
    <row r="455" ht="14.25" customHeight="1" s="37"/>
    <row r="456" ht="14.25" customHeight="1" s="37"/>
    <row r="457" ht="14.25" customHeight="1" s="37"/>
    <row r="458" ht="14.25" customHeight="1" s="37"/>
    <row r="459" ht="14.25" customHeight="1" s="37"/>
    <row r="460" ht="14.25" customHeight="1" s="37"/>
    <row r="461" ht="14.25" customHeight="1" s="37"/>
    <row r="462" ht="14.25" customHeight="1" s="37"/>
    <row r="463" ht="14.25" customHeight="1" s="37"/>
    <row r="464" ht="14.25" customHeight="1" s="37"/>
    <row r="465" ht="14.25" customHeight="1" s="37"/>
    <row r="466" ht="14.25" customHeight="1" s="37"/>
    <row r="467" ht="14.25" customHeight="1" s="37"/>
    <row r="468" ht="14.25" customHeight="1" s="37"/>
    <row r="469" ht="14.25" customHeight="1" s="37"/>
    <row r="470" ht="14.25" customHeight="1" s="37"/>
    <row r="471" ht="14.25" customHeight="1" s="37"/>
    <row r="472" ht="14.25" customHeight="1" s="37"/>
    <row r="473" ht="14.25" customHeight="1" s="37"/>
    <row r="474" ht="14.25" customHeight="1" s="37"/>
    <row r="475" ht="14.25" customHeight="1" s="37"/>
    <row r="476" ht="14.25" customHeight="1" s="37"/>
    <row r="477" ht="14.25" customHeight="1" s="37"/>
    <row r="478" ht="14.25" customHeight="1" s="37"/>
    <row r="479" ht="14.25" customHeight="1" s="37"/>
    <row r="480" ht="14.25" customHeight="1" s="37"/>
    <row r="481" ht="14.25" customHeight="1" s="37"/>
    <row r="482" ht="14.25" customHeight="1" s="37"/>
    <row r="483" ht="14.25" customHeight="1" s="37"/>
    <row r="484" ht="14.25" customHeight="1" s="37"/>
    <row r="485" ht="14.25" customHeight="1" s="37"/>
    <row r="486" ht="14.25" customHeight="1" s="37"/>
    <row r="487" ht="14.25" customHeight="1" s="37"/>
    <row r="488" ht="14.25" customHeight="1" s="37"/>
    <row r="489" ht="14.25" customHeight="1" s="37"/>
    <row r="490" ht="14.25" customHeight="1" s="37"/>
    <row r="491" ht="14.25" customHeight="1" s="37"/>
    <row r="492" ht="14.25" customHeight="1" s="37"/>
    <row r="493" ht="14.25" customHeight="1" s="37"/>
    <row r="494" ht="14.25" customHeight="1" s="37"/>
    <row r="495" ht="14.25" customHeight="1" s="37"/>
    <row r="496" ht="14.25" customHeight="1" s="37"/>
    <row r="497" ht="14.25" customHeight="1" s="37"/>
    <row r="498" ht="14.25" customHeight="1" s="37"/>
    <row r="499" ht="14.25" customHeight="1" s="37"/>
    <row r="500" ht="14.25" customHeight="1" s="37"/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  <row r="1001" ht="14.25" customHeight="1" s="37"/>
  </sheetData>
  <autoFilter ref="$A$1:$F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18" customWidth="1" style="37" min="4" max="4"/>
    <col width="15" customWidth="1" style="37" min="5" max="5"/>
    <col width="18" customWidth="1" style="37" min="6" max="6"/>
    <col width="20" customWidth="1" style="37" min="7" max="7"/>
    <col width="30" customWidth="1" style="37" min="8" max="8"/>
    <col width="9" customWidth="1" style="37" min="9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Tanggal Lahir</t>
        </is>
      </c>
      <c r="F1" s="7" t="inlineStr">
        <is>
          <t>Tanggal Meninggal</t>
        </is>
      </c>
      <c r="G1" s="7" t="inlineStr">
        <is>
          <t>Umur Saat Meninggal</t>
        </is>
      </c>
      <c r="H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inlineStr">
        <is>
          <t>Wanita/Perempuan</t>
        </is>
      </c>
      <c r="E2" s="44" t="n">
        <v>29749</v>
      </c>
      <c r="F2" s="9" t="n"/>
      <c r="G2" s="9">
        <f>IF(OR(E2="",F2=""),"",DATEDIF(E2,F2,"Y"))</f>
        <v/>
      </c>
      <c r="H2" s="9" t="n"/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inlineStr">
        <is>
          <t>Wanita/Perempuan</t>
        </is>
      </c>
      <c r="E3" s="44" t="n">
        <v>41335</v>
      </c>
      <c r="F3" s="9" t="n"/>
      <c r="G3" s="9">
        <f>IF(OR(E3="",F3=""),"",DATEDIF(E3,F3,"Y"))</f>
        <v/>
      </c>
      <c r="H3" s="9" t="n"/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inlineStr">
        <is>
          <t>Pria/Laki-laki</t>
        </is>
      </c>
      <c r="E4" s="44" t="n">
        <v>34569</v>
      </c>
      <c r="F4" s="9" t="n"/>
      <c r="G4" s="9">
        <f>IF(OR(E4="",F4=""),"",DATEDIF(E4,F4,"Y"))</f>
        <v/>
      </c>
      <c r="H4" s="9" t="n"/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inlineStr">
        <is>
          <t>Wanita/Perempuan</t>
        </is>
      </c>
      <c r="E5" s="44" t="n">
        <v>37350</v>
      </c>
      <c r="F5" s="9" t="n"/>
      <c r="G5" s="9">
        <f>IF(OR(E5="",F5=""),"",DATEDIF(E5,F5,"Y"))</f>
        <v/>
      </c>
      <c r="H5" s="9" t="n"/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inlineStr">
        <is>
          <t>Pria/Laki-laki</t>
        </is>
      </c>
      <c r="E6" s="44" t="n">
        <v>43935</v>
      </c>
      <c r="F6" s="9" t="n"/>
      <c r="G6" s="9">
        <f>IF(OR(E6="",F6=""),"",DATEDIF(E6,F6,"Y"))</f>
        <v/>
      </c>
      <c r="H6" s="9" t="n"/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inlineStr">
        <is>
          <t>Wanita/Perempuan</t>
        </is>
      </c>
      <c r="E7" s="44" t="n">
        <v>21040</v>
      </c>
      <c r="F7" s="9" t="n"/>
      <c r="G7" s="9">
        <f>IF(OR(E7="",F7=""),"",DATEDIF(E7,F7,"Y"))</f>
        <v/>
      </c>
      <c r="H7" s="9" t="n"/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inlineStr">
        <is>
          <t>Pria/Laki-laki</t>
        </is>
      </c>
      <c r="E8" s="44" t="n">
        <v>26249</v>
      </c>
      <c r="F8" s="9" t="n"/>
      <c r="G8" s="9">
        <f>IF(OR(E8="",F8=""),"",DATEDIF(E8,F8,"Y"))</f>
        <v/>
      </c>
      <c r="H8" s="9" t="n"/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inlineStr">
        <is>
          <t>Wanita/Perempuan</t>
        </is>
      </c>
      <c r="E9" s="44" t="n">
        <v>28855</v>
      </c>
      <c r="F9" s="9" t="n"/>
      <c r="G9" s="9">
        <f>IF(OR(E9="",F9=""),"",DATEDIF(E9,F9,"Y"))</f>
        <v/>
      </c>
      <c r="H9" s="9" t="n"/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inlineStr">
        <is>
          <t>Wanita/Perempuan</t>
        </is>
      </c>
      <c r="E10" s="44" t="n">
        <v>37090</v>
      </c>
      <c r="F10" s="9" t="n"/>
      <c r="G10" s="9">
        <f>IF(OR(E10="",F10=""),"",DATEDIF(E10,F10,"Y"))</f>
        <v/>
      </c>
      <c r="H10" s="9" t="n"/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inlineStr">
        <is>
          <t>Pria/Laki-laki</t>
        </is>
      </c>
      <c r="E11" s="44" t="n">
        <v>39568</v>
      </c>
      <c r="F11" s="9" t="n"/>
      <c r="G11" s="9">
        <f>IF(OR(E11="",F11=""),"",DATEDIF(E11,F11,"Y"))</f>
        <v/>
      </c>
      <c r="H11" s="9" t="n"/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inlineStr">
        <is>
          <t>Pria/Laki-laki</t>
        </is>
      </c>
      <c r="E12" s="44" t="n">
        <v>35770</v>
      </c>
      <c r="F12" s="9" t="n"/>
      <c r="G12" s="9">
        <f>IF(OR(E12="",F12=""),"",DATEDIF(E12,F12,"Y"))</f>
        <v/>
      </c>
      <c r="H12" s="9" t="n"/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inlineStr">
        <is>
          <t>Pria/Laki-laki</t>
        </is>
      </c>
      <c r="E13" s="44" t="n">
        <v>26206</v>
      </c>
      <c r="F13" s="9" t="n"/>
      <c r="G13" s="9">
        <f>IF(OR(E13="",F13=""),"",DATEDIF(E13,F13,"Y"))</f>
        <v/>
      </c>
      <c r="H13" s="9" t="n"/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inlineStr">
        <is>
          <t>Wanita/Perempuan</t>
        </is>
      </c>
      <c r="E14" s="44" t="n">
        <v>28467</v>
      </c>
      <c r="F14" s="9" t="n"/>
      <c r="G14" s="9">
        <f>IF(OR(E14="",F14=""),"",DATEDIF(E14,F14,"Y"))</f>
        <v/>
      </c>
      <c r="H14" s="9" t="n"/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inlineStr">
        <is>
          <t>Wanita/Perempuan</t>
        </is>
      </c>
      <c r="E15" s="44" t="n">
        <v>37751</v>
      </c>
      <c r="F15" s="9" t="n"/>
      <c r="G15" s="9">
        <f>IF(OR(E15="",F15=""),"",DATEDIF(E15,F15,"Y"))</f>
        <v/>
      </c>
      <c r="H15" s="9" t="n"/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inlineStr">
        <is>
          <t>Wanita/Perempuan</t>
        </is>
      </c>
      <c r="E16" s="44" t="n">
        <v>39474</v>
      </c>
      <c r="F16" s="9" t="n"/>
      <c r="G16" s="9">
        <f>IF(OR(E16="",F16=""),"",DATEDIF(E16,F16,"Y"))</f>
        <v/>
      </c>
      <c r="H16" s="9" t="n"/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44" t="n">
        <v>27885</v>
      </c>
      <c r="F17" s="9" t="n"/>
      <c r="G17" s="9">
        <f>IF(OR(E17="",F17=""),"",DATEDIF(E17,F17,"Y"))</f>
        <v/>
      </c>
      <c r="H17" s="9" t="n"/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inlineStr">
        <is>
          <t>Wanita/Perempuan</t>
        </is>
      </c>
      <c r="E18" s="44" t="n">
        <v>28604</v>
      </c>
      <c r="F18" s="9" t="n"/>
      <c r="G18" s="9">
        <f>IF(OR(E18="",F18=""),"",DATEDIF(E18,F18,"Y"))</f>
        <v/>
      </c>
      <c r="H18" s="9" t="n"/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inlineStr">
        <is>
          <t>Pria/Laki-laki</t>
        </is>
      </c>
      <c r="E19" s="44" t="n">
        <v>19797</v>
      </c>
      <c r="F19" s="9" t="n"/>
      <c r="G19" s="9">
        <f>IF(OR(E19="",F19=""),"",DATEDIF(E19,F19,"Y"))</f>
        <v/>
      </c>
      <c r="H19" s="9" t="n"/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inlineStr">
        <is>
          <t>Wanita/Perempuan</t>
        </is>
      </c>
      <c r="E20" s="44" t="n">
        <v>22294</v>
      </c>
      <c r="F20" s="9" t="n"/>
      <c r="G20" s="9">
        <f>IF(OR(E20="",F20=""),"",DATEDIF(E20,F20,"Y"))</f>
        <v/>
      </c>
      <c r="H20" s="9" t="n"/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inlineStr">
        <is>
          <t>Pria/Laki-laki</t>
        </is>
      </c>
      <c r="E21" s="44" t="n">
        <v>31169</v>
      </c>
      <c r="F21" s="9" t="n"/>
      <c r="G21" s="9">
        <f>IF(OR(E21="",F21=""),"",DATEDIF(E21,F21,"Y"))</f>
        <v/>
      </c>
      <c r="H21" s="9" t="n"/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inlineStr">
        <is>
          <t>Wanita/Perempuan</t>
        </is>
      </c>
      <c r="E22" s="44" t="n">
        <v>16473</v>
      </c>
      <c r="F22" s="9" t="n"/>
      <c r="G22" s="9">
        <f>IF(OR(E22="",F22=""),"",DATEDIF(E22,F22,"Y"))</f>
        <v/>
      </c>
      <c r="H22" s="9" t="n"/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inlineStr">
        <is>
          <t>Wanita/Perempuan</t>
        </is>
      </c>
      <c r="E23" s="44" t="n">
        <v>24947</v>
      </c>
      <c r="F23" s="9" t="n"/>
      <c r="G23" s="9">
        <f>IF(OR(E23="",F23=""),"",DATEDIF(E23,F23,"Y"))</f>
        <v/>
      </c>
      <c r="H23" s="9" t="n"/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inlineStr">
        <is>
          <t>Wanita/Perempuan</t>
        </is>
      </c>
      <c r="E24" s="44" t="n">
        <v>24995</v>
      </c>
      <c r="F24" s="9" t="n"/>
      <c r="G24" s="9">
        <f>IF(OR(E24="",F24=""),"",DATEDIF(E24,F24,"Y"))</f>
        <v/>
      </c>
      <c r="H24" s="9" t="n"/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inlineStr">
        <is>
          <t>Wanita/Perempuan</t>
        </is>
      </c>
      <c r="E25" s="44" t="n">
        <v>35774</v>
      </c>
      <c r="F25" s="9" t="n"/>
      <c r="G25" s="9">
        <f>IF(OR(E25="",F25=""),"",DATEDIF(E25,F25,"Y"))</f>
        <v/>
      </c>
      <c r="H25" s="9" t="n"/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inlineStr">
        <is>
          <t>Pria/Laki-laki</t>
        </is>
      </c>
      <c r="E26" s="44" t="n">
        <v>36762</v>
      </c>
      <c r="F26" s="9" t="n"/>
      <c r="G26" s="9">
        <f>IF(OR(E26="",F26=""),"",DATEDIF(E26,F26,"Y"))</f>
        <v/>
      </c>
      <c r="H26" s="9" t="n"/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inlineStr">
        <is>
          <t>Pria/Laki-laki</t>
        </is>
      </c>
      <c r="E27" s="44" t="n">
        <v>25587</v>
      </c>
      <c r="F27" s="9" t="n"/>
      <c r="G27" s="9">
        <f>IF(OR(E27="",F27=""),"",DATEDIF(E27,F27,"Y"))</f>
        <v/>
      </c>
      <c r="H27" s="9" t="n"/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inlineStr">
        <is>
          <t>Wanita/Perempuan</t>
        </is>
      </c>
      <c r="E28" s="44" t="n">
        <v>31031</v>
      </c>
      <c r="F28" s="9" t="n"/>
      <c r="G28" s="9">
        <f>IF(OR(E28="",F28=""),"",DATEDIF(E28,F28,"Y"))</f>
        <v/>
      </c>
      <c r="H28" s="9" t="n"/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inlineStr">
        <is>
          <t>Wanita/Perempuan</t>
        </is>
      </c>
      <c r="E29" s="44" t="n">
        <v>42947</v>
      </c>
      <c r="F29" s="9" t="n"/>
      <c r="G29" s="9">
        <f>IF(OR(E29="",F29=""),"",DATEDIF(E29,F29,"Y"))</f>
        <v/>
      </c>
      <c r="H29" s="9" t="n"/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inlineStr">
        <is>
          <t>Wanita/Perempuan</t>
        </is>
      </c>
      <c r="E30" s="44" t="n">
        <v>44869</v>
      </c>
      <c r="F30" s="9" t="n"/>
      <c r="G30" s="9">
        <f>IF(OR(E30="",F30=""),"",DATEDIF(E30,F30,"Y"))</f>
        <v/>
      </c>
      <c r="H30" s="9" t="n"/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inlineStr">
        <is>
          <t>Pria/Laki-laki</t>
        </is>
      </c>
      <c r="E31" s="44" t="n">
        <v>45559</v>
      </c>
      <c r="F31" s="9" t="n"/>
      <c r="G31" s="9">
        <f>IF(OR(E31="",F31=""),"",DATEDIF(E31,F31,"Y"))</f>
        <v/>
      </c>
      <c r="H31" s="9" t="n"/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  <c r="G32" s="9">
        <f>IF(OR(E32="",F32=""),"",DATEDIF(E32,F32,"Y"))</f>
        <v/>
      </c>
      <c r="H32" s="9" t="n"/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  <c r="G33" s="9">
        <f>IF(OR(E33="",F33=""),"",DATEDIF(E33,F33,"Y"))</f>
        <v/>
      </c>
      <c r="H33" s="9" t="n"/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  <c r="G34" s="9">
        <f>IF(OR(E34="",F34=""),"",DATEDIF(E34,F34,"Y"))</f>
        <v/>
      </c>
      <c r="H34" s="9" t="n"/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inlineStr">
        <is>
          <t>Wanita/Perempuan</t>
        </is>
      </c>
      <c r="E35" s="44" t="n">
        <v>36727</v>
      </c>
      <c r="F35" s="9" t="n"/>
      <c r="G35" s="9">
        <f>IF(OR(E35="",F35=""),"",DATEDIF(E35,F35,"Y"))</f>
        <v/>
      </c>
      <c r="H35" s="9" t="n"/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  <c r="G36" s="9">
        <f>IF(OR(E36="",F36=""),"",DATEDIF(E36,F36,"Y"))</f>
        <v/>
      </c>
      <c r="H36" s="9" t="n"/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  <c r="G37" s="9">
        <f>IF(OR(E37="",F37=""),"",DATEDIF(E37,F37,"Y"))</f>
        <v/>
      </c>
      <c r="H37" s="9" t="n"/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  <c r="G38" s="9">
        <f>IF(OR(E38="",F38=""),"",DATEDIF(E38,F38,"Y"))</f>
        <v/>
      </c>
      <c r="H38" s="9" t="n"/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  <c r="G39" s="9">
        <f>IF(OR(E39="",F39=""),"",DATEDIF(E39,F39,"Y"))</f>
        <v/>
      </c>
      <c r="H39" s="9" t="n"/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  <c r="G40" s="9">
        <f>IF(OR(E40="",F40=""),"",DATEDIF(E40,F40,"Y"))</f>
        <v/>
      </c>
      <c r="H40" s="9" t="n"/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  <c r="G41" s="9">
        <f>IF(OR(E41="",F41=""),"",DATEDIF(E41,F41,"Y"))</f>
        <v/>
      </c>
      <c r="H41" s="9" t="n"/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  <c r="G42" s="9">
        <f>IF(OR(E42="",F42=""),"",DATEDIF(E42,F42,"Y"))</f>
        <v/>
      </c>
      <c r="H42" s="9" t="n"/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  <c r="G43" s="9">
        <f>IF(OR(E43="",F43=""),"",DATEDIF(E43,F43,"Y"))</f>
        <v/>
      </c>
      <c r="H43" s="9" t="n"/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  <c r="G44" s="9">
        <f>IF(OR(E44="",F44=""),"",DATEDIF(E44,F44,"Y"))</f>
        <v/>
      </c>
      <c r="H44" s="9" t="n"/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inlineStr">
        <is>
          <t>Pria/Laki-laki</t>
        </is>
      </c>
      <c r="E45" s="44" t="n">
        <v>38784</v>
      </c>
      <c r="F45" s="9" t="n"/>
      <c r="G45" s="9">
        <f>IF(OR(E45="",F45=""),"",DATEDIF(E45,F45,"Y"))</f>
        <v/>
      </c>
      <c r="H45" s="9" t="n"/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inlineStr">
        <is>
          <t>Wanita/Perempuan</t>
        </is>
      </c>
      <c r="E46" s="44" t="n">
        <v>28813</v>
      </c>
      <c r="F46" s="9" t="n"/>
      <c r="G46" s="9">
        <f>IF(OR(E46="",F46=""),"",DATEDIF(E46,F46,"Y"))</f>
        <v/>
      </c>
      <c r="H46" s="9" t="n"/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  <c r="G47" s="9">
        <f>IF(OR(E47="",F47=""),"",DATEDIF(E47,F47,"Y"))</f>
        <v/>
      </c>
      <c r="H47" s="9" t="n"/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  <c r="G48" s="9">
        <f>IF(OR(E48="",F48=""),"",DATEDIF(E48,F48,"Y"))</f>
        <v/>
      </c>
      <c r="H48" s="9" t="n"/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  <c r="G49" s="9">
        <f>IF(OR(E49="",F49=""),"",DATEDIF(E49,F49,"Y"))</f>
        <v/>
      </c>
      <c r="H49" s="9" t="n"/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  <c r="G50" s="9">
        <f>IF(OR(E50="",F50=""),"",DATEDIF(E50,F50,"Y"))</f>
        <v/>
      </c>
      <c r="H50" s="9" t="n"/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  <c r="G51" s="9">
        <f>IF(OR(E51="",F51=""),"",DATEDIF(E51,F51,"Y"))</f>
        <v/>
      </c>
      <c r="H51" s="9" t="n"/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  <c r="G52" s="9">
        <f>IF(OR(E52="",F52=""),"",DATEDIF(E52,F52,"Y"))</f>
        <v/>
      </c>
      <c r="H52" s="9" t="n"/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9" t="n"/>
      <c r="F53" s="9" t="n"/>
      <c r="G53" s="9">
        <f>IF(OR(E53="",F53=""),"",DATEDIF(E53,F53,"Y"))</f>
        <v/>
      </c>
      <c r="H53" s="9" t="n"/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  <c r="G54" s="9">
        <f>IF(OR(E54="",F54=""),"",DATEDIF(E54,F54,"Y"))</f>
        <v/>
      </c>
      <c r="H54" s="9" t="n"/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  <c r="G55" s="9">
        <f>IF(OR(E55="",F55=""),"",DATEDIF(E55,F55,"Y"))</f>
        <v/>
      </c>
      <c r="H55" s="9" t="n"/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  <c r="G56" s="9">
        <f>IF(OR(E56="",F56=""),"",DATEDIF(E56,F56,"Y"))</f>
        <v/>
      </c>
      <c r="H56" s="9" t="n"/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  <c r="G57" s="9">
        <f>IF(OR(E57="",F57=""),"",DATEDIF(E57,F57,"Y"))</f>
        <v/>
      </c>
      <c r="H57" s="9" t="n"/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  <c r="G58" s="9">
        <f>IF(OR(E58="",F58=""),"",DATEDIF(E58,F58,"Y"))</f>
        <v/>
      </c>
      <c r="H58" s="9" t="n"/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  <c r="G59" s="9">
        <f>IF(OR(E59="",F59=""),"",DATEDIF(E59,F59,"Y"))</f>
        <v/>
      </c>
      <c r="H59" s="9" t="n"/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  <c r="G60" s="9">
        <f>IF(OR(E60="",F60=""),"",DATEDIF(E60,F60,"Y"))</f>
        <v/>
      </c>
      <c r="H60" s="9" t="n"/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  <c r="G61" s="9">
        <f>IF(OR(E61="",F61=""),"",DATEDIF(E61,F61,"Y"))</f>
        <v/>
      </c>
      <c r="H61" s="9" t="n"/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  <c r="G62" s="9">
        <f>IF(OR(E62="",F62=""),"",DATEDIF(E62,F62,"Y"))</f>
        <v/>
      </c>
      <c r="H62" s="9" t="n"/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  <c r="G63" s="9">
        <f>IF(OR(E63="",F63=""),"",DATEDIF(E63,F63,"Y"))</f>
        <v/>
      </c>
      <c r="H63" s="9" t="n"/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  <c r="G64" s="9">
        <f>IF(OR(E64="",F64=""),"",DATEDIF(E64,F64,"Y"))</f>
        <v/>
      </c>
      <c r="H64" s="9" t="n"/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  <c r="G65" s="9">
        <f>IF(OR(E65="",F65=""),"",DATEDIF(E65,F65,"Y"))</f>
        <v/>
      </c>
      <c r="H65" s="9" t="n"/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  <c r="G66" s="9">
        <f>IF(OR(E66="",F66=""),"",DATEDIF(E66,F66,"Y"))</f>
        <v/>
      </c>
      <c r="H66" s="9" t="n"/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  <c r="G67" s="9">
        <f>IF(OR(E67="",F67=""),"",DATEDIF(E67,F67,"Y"))</f>
        <v/>
      </c>
      <c r="H67" s="9" t="n"/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44" t="n">
        <v>20979</v>
      </c>
      <c r="F68" s="9" t="n"/>
      <c r="G68" s="9">
        <f>IF(OR(E68="",F68=""),"",DATEDIF(E68,F68,"Y"))</f>
        <v/>
      </c>
      <c r="H68" s="9" t="n"/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44" t="n">
        <v>39282</v>
      </c>
      <c r="F69" s="9" t="n"/>
      <c r="G69" s="9">
        <f>IF(OR(E69="",F69=""),"",DATEDIF(E69,F69,"Y"))</f>
        <v/>
      </c>
      <c r="H69" s="9" t="n"/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44" t="n">
        <v>26249</v>
      </c>
      <c r="F70" s="9" t="n"/>
      <c r="G70" s="9">
        <f>IF(OR(E70="",F70=""),"",DATEDIF(E70,F70,"Y"))</f>
        <v/>
      </c>
      <c r="H70" s="9" t="n"/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44" t="n">
        <v>25695</v>
      </c>
      <c r="F71" s="9" t="n"/>
      <c r="G71" s="9">
        <f>IF(OR(E71="",F71=""),"",DATEDIF(E71,F71,"Y"))</f>
        <v/>
      </c>
      <c r="H71" s="9" t="n"/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44" t="n">
        <v>29334</v>
      </c>
      <c r="F72" s="9" t="n"/>
      <c r="G72" s="9">
        <f>IF(OR(E72="",F72=""),"",DATEDIF(E72,F72,"Y"))</f>
        <v/>
      </c>
      <c r="H72" s="9" t="n"/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44" t="n">
        <v>29334</v>
      </c>
      <c r="F73" s="9" t="n"/>
      <c r="G73" s="9">
        <f>IF(OR(E73="",F73=""),"",DATEDIF(E73,F73,"Y"))</f>
        <v/>
      </c>
      <c r="H73" s="9" t="n"/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  <c r="G74" s="9">
        <f>IF(OR(E74="",F74=""),"",DATEDIF(E74,F74,"Y"))</f>
        <v/>
      </c>
      <c r="H74" s="9" t="n"/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  <c r="G75" s="9">
        <f>IF(OR(E75="",F75=""),"",DATEDIF(E75,F75,"Y"))</f>
        <v/>
      </c>
      <c r="H75" s="9" t="n"/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44" t="n">
        <v>44763</v>
      </c>
      <c r="F76" s="9" t="n"/>
      <c r="G76" s="9">
        <f>IF(OR(E76="",F76=""),"",DATEDIF(E76,F76,"Y"))</f>
        <v/>
      </c>
      <c r="H76" s="9" t="n"/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  <c r="G77" s="9">
        <f>IF(OR(E77="",F77=""),"",DATEDIF(E77,F77,"Y"))</f>
        <v/>
      </c>
      <c r="H77" s="9" t="n"/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44" t="n">
        <v>16473</v>
      </c>
      <c r="F78" s="9" t="n"/>
      <c r="G78" s="9">
        <f>IF(OR(E78="",F78=""),"",DATEDIF(E78,F78,"Y"))</f>
        <v/>
      </c>
      <c r="H78" s="9" t="n"/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9" t="n"/>
      <c r="F79" s="9" t="n"/>
      <c r="G79" s="9">
        <f>IF(OR(E79="",F79=""),"",DATEDIF(E79,F79,"Y"))</f>
        <v/>
      </c>
      <c r="H79" s="9" t="n"/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44" t="n">
        <v>36200</v>
      </c>
      <c r="F80" s="9" t="n"/>
      <c r="G80" s="9">
        <f>IF(OR(E80="",F80=""),"",DATEDIF(E80,F80,"Y"))</f>
        <v/>
      </c>
      <c r="H80" s="9" t="n"/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44" t="n">
        <v>39890</v>
      </c>
      <c r="F81" s="9" t="n"/>
      <c r="G81" s="9">
        <f>IF(OR(E81="",F81=""),"",DATEDIF(E81,F81,"Y"))</f>
        <v/>
      </c>
      <c r="H81" s="9" t="n"/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44" t="n">
        <v>41261</v>
      </c>
      <c r="F82" s="9" t="n"/>
      <c r="G82" s="9">
        <f>IF(OR(E82="",F82=""),"",DATEDIF(E82,F82,"Y"))</f>
        <v/>
      </c>
      <c r="H82" s="9" t="n"/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  <c r="G83" s="9">
        <f>IF(OR(E83="",F83=""),"",DATEDIF(E83,F83,"Y"))</f>
        <v/>
      </c>
      <c r="H83" s="9" t="n"/>
    </row>
    <row r="84" ht="14.25" customHeight="1" s="37">
      <c r="A84" s="9" t="n"/>
      <c r="B84" s="9" t="n"/>
      <c r="C84" s="9" t="n"/>
      <c r="D84" s="9" t="n"/>
      <c r="E84" s="9" t="n"/>
      <c r="F84" s="9" t="n"/>
      <c r="G84" s="9">
        <f>IF(OR(E84="",F84=""),"",DATEDIF(E84,F84,"Y"))</f>
        <v/>
      </c>
      <c r="H84" s="9" t="n"/>
    </row>
    <row r="85" ht="14.25" customHeight="1" s="37">
      <c r="A85" s="9" t="n"/>
      <c r="B85" s="9" t="n"/>
      <c r="C85" s="9" t="n"/>
      <c r="D85" s="9" t="n"/>
      <c r="E85" s="9" t="n"/>
      <c r="F85" s="9" t="n"/>
      <c r="G85" s="9">
        <f>IF(OR(E85="",F85=""),"",DATEDIF(E85,F85,"Y"))</f>
        <v/>
      </c>
      <c r="H85" s="9" t="n"/>
    </row>
    <row r="86" ht="14.25" customHeight="1" s="37">
      <c r="A86" s="9" t="n"/>
      <c r="B86" s="9" t="n"/>
      <c r="C86" s="9" t="n"/>
      <c r="D86" s="9" t="n"/>
      <c r="E86" s="9" t="n"/>
      <c r="F86" s="9" t="n"/>
      <c r="G86" s="9">
        <f>IF(OR(E86="",F86=""),"",DATEDIF(E86,F86,"Y"))</f>
        <v/>
      </c>
      <c r="H86" s="9" t="n"/>
    </row>
    <row r="87" ht="14.25" customHeight="1" s="37">
      <c r="A87" s="9" t="n"/>
      <c r="B87" s="9" t="n"/>
      <c r="C87" s="9" t="n"/>
      <c r="D87" s="9" t="n"/>
      <c r="E87" s="9" t="n"/>
      <c r="F87" s="9" t="n"/>
      <c r="G87" s="9">
        <f>IF(OR(E87="",F87=""),"",DATEDIF(E87,F87,"Y"))</f>
        <v/>
      </c>
      <c r="H87" s="9" t="n"/>
    </row>
    <row r="88" ht="14.25" customHeight="1" s="37">
      <c r="A88" s="9" t="n"/>
      <c r="B88" s="9" t="n"/>
      <c r="C88" s="9" t="n"/>
      <c r="D88" s="9" t="n"/>
      <c r="E88" s="9" t="n"/>
      <c r="F88" s="9" t="n"/>
      <c r="G88" s="9">
        <f>IF(OR(E88="",F88=""),"",DATEDIF(E88,F88,"Y"))</f>
        <v/>
      </c>
      <c r="H88" s="9" t="n"/>
    </row>
    <row r="89" ht="14.25" customHeight="1" s="37">
      <c r="A89" s="9" t="n"/>
      <c r="B89" s="9" t="n"/>
      <c r="C89" s="9" t="n"/>
      <c r="D89" s="9" t="n"/>
      <c r="E89" s="9" t="n"/>
      <c r="F89" s="9" t="n"/>
      <c r="G89" s="9">
        <f>IF(OR(E89="",F89=""),"",DATEDIF(E89,F89,"Y"))</f>
        <v/>
      </c>
      <c r="H89" s="9" t="n"/>
    </row>
    <row r="90" ht="14.25" customHeight="1" s="37">
      <c r="A90" s="9" t="n"/>
      <c r="B90" s="9" t="n"/>
      <c r="C90" s="9" t="n"/>
      <c r="D90" s="9" t="n"/>
      <c r="E90" s="9" t="n"/>
      <c r="F90" s="9" t="n"/>
      <c r="G90" s="9">
        <f>IF(OR(E90="",F90=""),"",DATEDIF(E90,F90,"Y"))</f>
        <v/>
      </c>
      <c r="H90" s="9" t="n"/>
    </row>
    <row r="91" ht="14.25" customHeight="1" s="37">
      <c r="A91" s="9" t="n"/>
      <c r="B91" s="9" t="n"/>
      <c r="C91" s="9" t="n"/>
      <c r="D91" s="9" t="n"/>
      <c r="E91" s="9" t="n"/>
      <c r="F91" s="9" t="n"/>
      <c r="G91" s="9">
        <f>IF(OR(E91="",F91=""),"",DATEDIF(E91,F91,"Y"))</f>
        <v/>
      </c>
      <c r="H91" s="9" t="n"/>
    </row>
    <row r="92" ht="14.25" customHeight="1" s="37">
      <c r="A92" s="9" t="n"/>
      <c r="B92" s="9" t="n"/>
      <c r="C92" s="9" t="n"/>
      <c r="D92" s="9" t="n"/>
      <c r="E92" s="9" t="n"/>
      <c r="F92" s="9" t="n"/>
      <c r="G92" s="9">
        <f>IF(OR(E92="",F92=""),"",DATEDIF(E92,F92,"Y"))</f>
        <v/>
      </c>
      <c r="H92" s="9" t="n"/>
    </row>
    <row r="93" ht="14.25" customHeight="1" s="37">
      <c r="A93" s="9" t="n"/>
      <c r="B93" s="9" t="n"/>
      <c r="C93" s="9" t="n"/>
      <c r="D93" s="9" t="n"/>
      <c r="E93" s="9" t="n"/>
      <c r="F93" s="9" t="n"/>
      <c r="G93" s="9">
        <f>IF(OR(E93="",F93=""),"",DATEDIF(E93,F93,"Y"))</f>
        <v/>
      </c>
      <c r="H93" s="9" t="n"/>
    </row>
    <row r="94" ht="14.25" customHeight="1" s="37">
      <c r="A94" s="9" t="n"/>
      <c r="B94" s="9" t="n"/>
      <c r="C94" s="9" t="n"/>
      <c r="D94" s="9" t="n"/>
      <c r="E94" s="9" t="n"/>
      <c r="F94" s="9" t="n"/>
      <c r="G94" s="9">
        <f>IF(OR(E94="",F94=""),"",DATEDIF(E94,F94,"Y"))</f>
        <v/>
      </c>
      <c r="H94" s="9" t="n"/>
    </row>
    <row r="95" ht="14.25" customHeight="1" s="37">
      <c r="A95" s="9" t="n"/>
      <c r="B95" s="9" t="n"/>
      <c r="C95" s="9" t="n"/>
      <c r="D95" s="9" t="n"/>
      <c r="E95" s="9" t="n"/>
      <c r="F95" s="9" t="n"/>
      <c r="G95" s="9">
        <f>IF(OR(E95="",F95=""),"",DATEDIF(E95,F95,"Y"))</f>
        <v/>
      </c>
      <c r="H95" s="9" t="n"/>
    </row>
    <row r="96" ht="14.25" customHeight="1" s="37">
      <c r="A96" s="9" t="n"/>
      <c r="B96" s="9" t="n"/>
      <c r="C96" s="9" t="n"/>
      <c r="D96" s="9" t="n"/>
      <c r="E96" s="9" t="n"/>
      <c r="F96" s="9" t="n"/>
      <c r="G96" s="9">
        <f>IF(OR(E96="",F96=""),"",DATEDIF(E96,F96,"Y"))</f>
        <v/>
      </c>
      <c r="H96" s="9" t="n"/>
    </row>
    <row r="97" ht="14.25" customHeight="1" s="37">
      <c r="A97" s="9" t="n"/>
      <c r="B97" s="9" t="n"/>
      <c r="C97" s="9" t="n"/>
      <c r="D97" s="9" t="n"/>
      <c r="E97" s="9" t="n"/>
      <c r="F97" s="9" t="n"/>
      <c r="G97" s="9">
        <f>IF(OR(E97="",F97=""),"",DATEDIF(E97,F97,"Y"))</f>
        <v/>
      </c>
      <c r="H97" s="9" t="n"/>
    </row>
    <row r="98" ht="14.25" customHeight="1" s="37">
      <c r="A98" s="9" t="n"/>
      <c r="B98" s="9" t="n"/>
      <c r="C98" s="9" t="n"/>
      <c r="D98" s="9" t="n"/>
      <c r="E98" s="9" t="n"/>
      <c r="F98" s="9" t="n"/>
      <c r="G98" s="9">
        <f>IF(OR(E98="",F98=""),"",DATEDIF(E98,F98,"Y"))</f>
        <v/>
      </c>
      <c r="H98" s="9" t="n"/>
    </row>
    <row r="99" ht="14.25" customHeight="1" s="37">
      <c r="A99" s="9" t="n"/>
      <c r="B99" s="9" t="n"/>
      <c r="C99" s="9" t="n"/>
      <c r="D99" s="9" t="n"/>
      <c r="E99" s="9" t="n"/>
      <c r="F99" s="9" t="n"/>
      <c r="G99" s="9">
        <f>IF(OR(E99="",F99=""),"",DATEDIF(E99,F99,"Y"))</f>
        <v/>
      </c>
      <c r="H99" s="9" t="n"/>
    </row>
    <row r="100" ht="14.25" customHeight="1" s="37">
      <c r="A100" s="9" t="n"/>
      <c r="B100" s="9" t="n"/>
      <c r="C100" s="9" t="n"/>
      <c r="D100" s="9" t="n"/>
      <c r="E100" s="9" t="n"/>
      <c r="F100" s="9" t="n"/>
      <c r="G100" s="9">
        <f>IF(OR(E100="",F100=""),"",DATEDIF(E100,F100,"Y"))</f>
        <v/>
      </c>
      <c r="H100" s="9" t="n"/>
    </row>
    <row r="101" ht="14.25" customHeight="1" s="37">
      <c r="A101" s="9" t="n"/>
      <c r="B101" s="9" t="n"/>
      <c r="C101" s="9" t="n"/>
      <c r="D101" s="9" t="n"/>
      <c r="E101" s="9" t="n"/>
      <c r="F101" s="9" t="n"/>
      <c r="G101" s="9">
        <f>IF(OR(E101="",F101=""),"",DATEDIF(E101,F101,"Y"))</f>
        <v/>
      </c>
      <c r="H101" s="9" t="n"/>
    </row>
    <row r="102" ht="14.25" customHeight="1" s="37">
      <c r="A102" s="9" t="n"/>
      <c r="B102" s="9" t="n"/>
      <c r="C102" s="9" t="n"/>
      <c r="D102" s="9" t="n"/>
      <c r="E102" s="9" t="n"/>
      <c r="F102" s="9" t="n"/>
      <c r="G102" s="9">
        <f>IF(OR(E102="",F102=""),"",DATEDIF(E102,F102,"Y"))</f>
        <v/>
      </c>
      <c r="H102" s="9" t="n"/>
    </row>
    <row r="103" ht="14.25" customHeight="1" s="37">
      <c r="A103" s="9" t="n"/>
      <c r="B103" s="9" t="n"/>
      <c r="C103" s="9" t="n"/>
      <c r="D103" s="9" t="n"/>
      <c r="E103" s="9" t="n"/>
      <c r="F103" s="9" t="n"/>
      <c r="G103" s="9">
        <f>IF(OR(E103="",F103=""),"",DATEDIF(E103,F103,"Y"))</f>
        <v/>
      </c>
      <c r="H103" s="9" t="n"/>
    </row>
    <row r="104" ht="14.25" customHeight="1" s="37">
      <c r="A104" s="9" t="n"/>
      <c r="B104" s="9" t="n"/>
      <c r="C104" s="9" t="n"/>
      <c r="D104" s="9" t="n"/>
      <c r="E104" s="9" t="n"/>
      <c r="F104" s="9" t="n"/>
      <c r="G104" s="9">
        <f>IF(OR(E104="",F104=""),"",DATEDIF(E104,F104,"Y"))</f>
        <v/>
      </c>
      <c r="H104" s="9" t="n"/>
    </row>
    <row r="105" ht="14.25" customHeight="1" s="37">
      <c r="A105" s="9" t="n"/>
      <c r="B105" s="9" t="n"/>
      <c r="C105" s="9" t="n"/>
      <c r="D105" s="9" t="n"/>
      <c r="E105" s="9" t="n"/>
      <c r="F105" s="9" t="n"/>
      <c r="G105" s="9">
        <f>IF(OR(E105="",F105=""),"",DATEDIF(E105,F105,"Y"))</f>
        <v/>
      </c>
      <c r="H105" s="9" t="n"/>
    </row>
    <row r="106" ht="14.25" customHeight="1" s="37">
      <c r="A106" s="9" t="n"/>
      <c r="B106" s="9" t="n"/>
      <c r="C106" s="9" t="n"/>
      <c r="D106" s="9" t="n"/>
      <c r="E106" s="9" t="n"/>
      <c r="F106" s="9" t="n"/>
      <c r="G106" s="9">
        <f>IF(OR(E106="",F106=""),"",DATEDIF(E106,F106,"Y"))</f>
        <v/>
      </c>
      <c r="H106" s="9" t="n"/>
    </row>
    <row r="107" ht="14.25" customHeight="1" s="37">
      <c r="A107" s="9" t="n"/>
      <c r="B107" s="9" t="n"/>
      <c r="C107" s="9" t="n"/>
      <c r="D107" s="9" t="n"/>
      <c r="E107" s="9" t="n"/>
      <c r="F107" s="9" t="n"/>
      <c r="G107" s="9">
        <f>IF(OR(E107="",F107=""),"",DATEDIF(E107,F107,"Y"))</f>
        <v/>
      </c>
      <c r="H107" s="9" t="n"/>
    </row>
    <row r="108" ht="14.25" customHeight="1" s="37">
      <c r="A108" s="9" t="n"/>
      <c r="B108" s="9" t="n"/>
      <c r="C108" s="9" t="n"/>
      <c r="D108" s="9" t="n"/>
      <c r="E108" s="9" t="n"/>
      <c r="F108" s="9" t="n"/>
      <c r="G108" s="9">
        <f>IF(OR(E108="",F108=""),"",DATEDIF(E108,F108,"Y"))</f>
        <v/>
      </c>
      <c r="H108" s="9" t="n"/>
    </row>
    <row r="109" ht="14.25" customHeight="1" s="37">
      <c r="A109" s="9" t="n"/>
      <c r="B109" s="9" t="n"/>
      <c r="C109" s="9" t="n"/>
      <c r="D109" s="9" t="n"/>
      <c r="E109" s="9" t="n"/>
      <c r="F109" s="9" t="n"/>
      <c r="G109" s="9">
        <f>IF(OR(E109="",F109=""),"",DATEDIF(E109,F109,"Y"))</f>
        <v/>
      </c>
      <c r="H109" s="9" t="n"/>
    </row>
    <row r="110" ht="14.25" customHeight="1" s="37">
      <c r="A110" s="9" t="n"/>
      <c r="B110" s="9" t="n"/>
      <c r="C110" s="9" t="n"/>
      <c r="D110" s="9" t="n"/>
      <c r="E110" s="9" t="n"/>
      <c r="F110" s="9" t="n"/>
      <c r="G110" s="9">
        <f>IF(OR(E110="",F110=""),"",DATEDIF(E110,F110,"Y"))</f>
        <v/>
      </c>
      <c r="H110" s="9" t="n"/>
    </row>
    <row r="111" ht="14.25" customHeight="1" s="37">
      <c r="A111" s="9" t="n"/>
      <c r="B111" s="9" t="n"/>
      <c r="C111" s="9" t="n"/>
      <c r="D111" s="9" t="n"/>
      <c r="E111" s="9" t="n"/>
      <c r="F111" s="9" t="n"/>
      <c r="G111" s="9">
        <f>IF(OR(E111="",F111=""),"",DATEDIF(E111,F111,"Y"))</f>
        <v/>
      </c>
      <c r="H111" s="9" t="n"/>
    </row>
    <row r="112" ht="14.25" customHeight="1" s="37">
      <c r="A112" s="9" t="n"/>
      <c r="B112" s="9" t="n"/>
      <c r="C112" s="9" t="n"/>
      <c r="D112" s="9" t="n"/>
      <c r="E112" s="9" t="n"/>
      <c r="F112" s="9" t="n"/>
      <c r="G112" s="9">
        <f>IF(OR(E112="",F112=""),"",DATEDIF(E112,F112,"Y"))</f>
        <v/>
      </c>
      <c r="H112" s="9" t="n"/>
    </row>
    <row r="113" ht="14.25" customHeight="1" s="37">
      <c r="A113" s="9" t="n"/>
      <c r="B113" s="9" t="n"/>
      <c r="C113" s="9" t="n"/>
      <c r="D113" s="9" t="n"/>
      <c r="E113" s="9" t="n"/>
      <c r="F113" s="9" t="n"/>
      <c r="G113" s="9">
        <f>IF(OR(E113="",F113=""),"",DATEDIF(E113,F113,"Y"))</f>
        <v/>
      </c>
      <c r="H113" s="9" t="n"/>
    </row>
    <row r="114" ht="14.25" customHeight="1" s="37">
      <c r="A114" s="9" t="n"/>
      <c r="B114" s="9" t="n"/>
      <c r="C114" s="9" t="n"/>
      <c r="D114" s="9" t="n"/>
      <c r="E114" s="9" t="n"/>
      <c r="F114" s="9" t="n"/>
      <c r="G114" s="9">
        <f>IF(OR(E114="",F114=""),"",DATEDIF(E114,F114,"Y"))</f>
        <v/>
      </c>
      <c r="H114" s="9" t="n"/>
    </row>
    <row r="115" ht="14.25" customHeight="1" s="37">
      <c r="A115" s="9" t="n"/>
      <c r="B115" s="9" t="n"/>
      <c r="C115" s="9" t="n"/>
      <c r="D115" s="9" t="n"/>
      <c r="E115" s="9" t="n"/>
      <c r="F115" s="9" t="n"/>
      <c r="G115" s="9">
        <f>IF(OR(E115="",F115=""),"",DATEDIF(E115,F115,"Y"))</f>
        <v/>
      </c>
      <c r="H115" s="9" t="n"/>
    </row>
    <row r="116" ht="14.25" customHeight="1" s="37">
      <c r="A116" s="9" t="n"/>
      <c r="B116" s="9" t="n"/>
      <c r="C116" s="9" t="n"/>
      <c r="D116" s="9" t="n"/>
      <c r="E116" s="9" t="n"/>
      <c r="F116" s="9" t="n"/>
      <c r="G116" s="9">
        <f>IF(OR(E116="",F116=""),"",DATEDIF(E116,F116,"Y"))</f>
        <v/>
      </c>
      <c r="H116" s="9" t="n"/>
    </row>
    <row r="117" ht="14.25" customHeight="1" s="37">
      <c r="A117" s="9" t="n"/>
      <c r="B117" s="9" t="n"/>
      <c r="C117" s="9" t="n"/>
      <c r="D117" s="9" t="n"/>
      <c r="E117" s="9" t="n"/>
      <c r="F117" s="9" t="n"/>
      <c r="G117" s="9">
        <f>IF(OR(E117="",F117=""),"",DATEDIF(E117,F117,"Y"))</f>
        <v/>
      </c>
      <c r="H117" s="9" t="n"/>
    </row>
    <row r="118" ht="14.25" customHeight="1" s="37">
      <c r="A118" s="9" t="n"/>
      <c r="B118" s="9" t="n"/>
      <c r="C118" s="9" t="n"/>
      <c r="D118" s="9" t="n"/>
      <c r="E118" s="9" t="n"/>
      <c r="F118" s="9" t="n"/>
      <c r="G118" s="9">
        <f>IF(OR(E118="",F118=""),"",DATEDIF(E118,F118,"Y"))</f>
        <v/>
      </c>
      <c r="H118" s="9" t="n"/>
    </row>
    <row r="119" ht="14.25" customHeight="1" s="37">
      <c r="A119" s="9" t="n"/>
      <c r="B119" s="9" t="n"/>
      <c r="C119" s="9" t="n"/>
      <c r="D119" s="9" t="n"/>
      <c r="E119" s="9" t="n"/>
      <c r="F119" s="9" t="n"/>
      <c r="G119" s="9">
        <f>IF(OR(E119="",F119=""),"",DATEDIF(E119,F119,"Y"))</f>
        <v/>
      </c>
      <c r="H119" s="9" t="n"/>
    </row>
    <row r="120" ht="14.25" customHeight="1" s="37">
      <c r="A120" s="9" t="n"/>
      <c r="B120" s="9" t="n"/>
      <c r="C120" s="9" t="n"/>
      <c r="D120" s="9" t="n"/>
      <c r="E120" s="9" t="n"/>
      <c r="F120" s="9" t="n"/>
      <c r="G120" s="9">
        <f>IF(OR(E120="",F120=""),"",DATEDIF(E120,F120,"Y"))</f>
        <v/>
      </c>
      <c r="H120" s="9" t="n"/>
    </row>
    <row r="121" ht="14.25" customHeight="1" s="37">
      <c r="A121" s="9" t="n"/>
      <c r="B121" s="9" t="n"/>
      <c r="C121" s="9" t="n"/>
      <c r="D121" s="9" t="n"/>
      <c r="E121" s="9" t="n"/>
      <c r="F121" s="9" t="n"/>
      <c r="G121" s="9">
        <f>IF(OR(E121="",F121=""),"",DATEDIF(E121,F121,"Y"))</f>
        <v/>
      </c>
      <c r="H121" s="9" t="n"/>
    </row>
    <row r="122" ht="14.25" customHeight="1" s="37">
      <c r="A122" s="9" t="n"/>
      <c r="B122" s="9" t="n"/>
      <c r="C122" s="9" t="n"/>
      <c r="D122" s="9" t="n"/>
      <c r="E122" s="9" t="n"/>
      <c r="F122" s="9" t="n"/>
      <c r="G122" s="9">
        <f>IF(OR(E122="",F122=""),"",DATEDIF(E122,F122,"Y"))</f>
        <v/>
      </c>
      <c r="H122" s="9" t="n"/>
    </row>
    <row r="123" ht="14.25" customHeight="1" s="37">
      <c r="A123" s="9" t="n"/>
      <c r="B123" s="9" t="n"/>
      <c r="C123" s="9" t="n"/>
      <c r="D123" s="9" t="n"/>
      <c r="E123" s="9" t="n"/>
      <c r="F123" s="9" t="n"/>
      <c r="G123" s="9">
        <f>IF(OR(E123="",F123=""),"",DATEDIF(E123,F123,"Y"))</f>
        <v/>
      </c>
      <c r="H123" s="9" t="n"/>
    </row>
    <row r="124" ht="14.25" customHeight="1" s="37">
      <c r="A124" s="9" t="n"/>
      <c r="B124" s="9" t="n"/>
      <c r="C124" s="9" t="n"/>
      <c r="D124" s="9" t="n"/>
      <c r="E124" s="9" t="n"/>
      <c r="F124" s="9" t="n"/>
      <c r="G124" s="9">
        <f>IF(OR(E124="",F124=""),"",DATEDIF(E124,F124,"Y"))</f>
        <v/>
      </c>
      <c r="H124" s="9" t="n"/>
    </row>
    <row r="125" ht="14.25" customHeight="1" s="37">
      <c r="A125" s="9" t="n"/>
      <c r="B125" s="9" t="n"/>
      <c r="C125" s="9" t="n"/>
      <c r="D125" s="9" t="n"/>
      <c r="E125" s="9" t="n"/>
      <c r="F125" s="9" t="n"/>
      <c r="G125" s="9">
        <f>IF(OR(E125="",F125=""),"",DATEDIF(E125,F125,"Y"))</f>
        <v/>
      </c>
      <c r="H125" s="9" t="n"/>
    </row>
    <row r="126" ht="14.25" customHeight="1" s="37">
      <c r="A126" s="9" t="n"/>
      <c r="B126" s="9" t="n"/>
      <c r="C126" s="9" t="n"/>
      <c r="D126" s="9" t="n"/>
      <c r="E126" s="9" t="n"/>
      <c r="F126" s="9" t="n"/>
      <c r="G126" s="9">
        <f>IF(OR(E126="",F126=""),"",DATEDIF(E126,F126,"Y"))</f>
        <v/>
      </c>
      <c r="H126" s="9" t="n"/>
    </row>
    <row r="127" ht="14.25" customHeight="1" s="37">
      <c r="A127" s="9" t="n"/>
      <c r="B127" s="9" t="n"/>
      <c r="C127" s="9" t="n"/>
      <c r="D127" s="9" t="n"/>
      <c r="E127" s="9" t="n"/>
      <c r="F127" s="9" t="n"/>
      <c r="G127" s="9">
        <f>IF(OR(E127="",F127=""),"",DATEDIF(E127,F127,"Y"))</f>
        <v/>
      </c>
      <c r="H127" s="9" t="n"/>
    </row>
    <row r="128" ht="14.25" customHeight="1" s="37">
      <c r="A128" s="9" t="n"/>
      <c r="B128" s="9" t="n"/>
      <c r="C128" s="9" t="n"/>
      <c r="D128" s="9" t="n"/>
      <c r="E128" s="9" t="n"/>
      <c r="F128" s="9" t="n"/>
      <c r="G128" s="9">
        <f>IF(OR(E128="",F128=""),"",DATEDIF(E128,F128,"Y"))</f>
        <v/>
      </c>
      <c r="H128" s="9" t="n"/>
    </row>
    <row r="129" ht="14.25" customHeight="1" s="37">
      <c r="A129" s="9" t="n"/>
      <c r="B129" s="9" t="n"/>
      <c r="C129" s="9" t="n"/>
      <c r="D129" s="9" t="n"/>
      <c r="E129" s="9" t="n"/>
      <c r="F129" s="9" t="n"/>
      <c r="G129" s="9">
        <f>IF(OR(E129="",F129=""),"",DATEDIF(E129,F129,"Y"))</f>
        <v/>
      </c>
      <c r="H129" s="9" t="n"/>
    </row>
    <row r="130" ht="14.25" customHeight="1" s="37">
      <c r="A130" s="9" t="n"/>
      <c r="B130" s="9" t="n"/>
      <c r="C130" s="9" t="n"/>
      <c r="D130" s="9" t="n"/>
      <c r="E130" s="9" t="n"/>
      <c r="F130" s="9" t="n"/>
      <c r="G130" s="9">
        <f>IF(OR(E130="",F130=""),"",DATEDIF(E130,F130,"Y"))</f>
        <v/>
      </c>
      <c r="H130" s="9" t="n"/>
    </row>
    <row r="131" ht="14.25" customHeight="1" s="37">
      <c r="A131" s="9" t="n"/>
      <c r="B131" s="9" t="n"/>
      <c r="C131" s="9" t="n"/>
      <c r="D131" s="9" t="n"/>
      <c r="E131" s="9" t="n"/>
      <c r="F131" s="9" t="n"/>
      <c r="G131" s="9">
        <f>IF(OR(E131="",F131=""),"",DATEDIF(E131,F131,"Y"))</f>
        <v/>
      </c>
      <c r="H131" s="9" t="n"/>
    </row>
    <row r="132" ht="14.25" customHeight="1" s="37">
      <c r="A132" s="9" t="n"/>
      <c r="B132" s="9" t="n"/>
      <c r="C132" s="9" t="n"/>
      <c r="D132" s="9" t="n"/>
      <c r="E132" s="9" t="n"/>
      <c r="F132" s="9" t="n"/>
      <c r="G132" s="9">
        <f>IF(OR(E132="",F132=""),"",DATEDIF(E132,F132,"Y"))</f>
        <v/>
      </c>
      <c r="H132" s="9" t="n"/>
    </row>
    <row r="133" ht="14.25" customHeight="1" s="37">
      <c r="A133" s="9" t="n"/>
      <c r="B133" s="9" t="n"/>
      <c r="C133" s="9" t="n"/>
      <c r="D133" s="9" t="n"/>
      <c r="E133" s="9" t="n"/>
      <c r="F133" s="9" t="n"/>
      <c r="G133" s="9">
        <f>IF(OR(E133="",F133=""),"",DATEDIF(E133,F133,"Y"))</f>
        <v/>
      </c>
      <c r="H133" s="9" t="n"/>
    </row>
    <row r="134" ht="14.25" customHeight="1" s="37">
      <c r="A134" s="9" t="n"/>
      <c r="B134" s="9" t="n"/>
      <c r="C134" s="9" t="n"/>
      <c r="D134" s="9" t="n"/>
      <c r="E134" s="9" t="n"/>
      <c r="F134" s="9" t="n"/>
      <c r="G134" s="9">
        <f>IF(OR(E134="",F134=""),"",DATEDIF(E134,F134,"Y"))</f>
        <v/>
      </c>
      <c r="H134" s="9" t="n"/>
    </row>
    <row r="135" ht="14.25" customHeight="1" s="37">
      <c r="A135" s="9" t="n"/>
      <c r="B135" s="9" t="n"/>
      <c r="C135" s="9" t="n"/>
      <c r="D135" s="9" t="n"/>
      <c r="E135" s="9" t="n"/>
      <c r="F135" s="9" t="n"/>
      <c r="G135" s="9">
        <f>IF(OR(E135="",F135=""),"",DATEDIF(E135,F135,"Y"))</f>
        <v/>
      </c>
      <c r="H135" s="9" t="n"/>
    </row>
    <row r="136" ht="14.25" customHeight="1" s="37">
      <c r="A136" s="9" t="n"/>
      <c r="B136" s="9" t="n"/>
      <c r="C136" s="9" t="n"/>
      <c r="D136" s="9" t="n"/>
      <c r="E136" s="9" t="n"/>
      <c r="F136" s="9" t="n"/>
      <c r="G136" s="9">
        <f>IF(OR(E136="",F136=""),"",DATEDIF(E136,F136,"Y"))</f>
        <v/>
      </c>
      <c r="H136" s="9" t="n"/>
    </row>
    <row r="137" ht="14.25" customHeight="1" s="37">
      <c r="A137" s="9" t="n"/>
      <c r="B137" s="9" t="n"/>
      <c r="C137" s="9" t="n"/>
      <c r="D137" s="9" t="n"/>
      <c r="E137" s="9" t="n"/>
      <c r="F137" s="9" t="n"/>
      <c r="G137" s="9">
        <f>IF(OR(E137="",F137=""),"",DATEDIF(E137,F137,"Y"))</f>
        <v/>
      </c>
      <c r="H137" s="9" t="n"/>
    </row>
    <row r="138" ht="14.25" customHeight="1" s="37">
      <c r="A138" s="9" t="n"/>
      <c r="B138" s="9" t="n"/>
      <c r="C138" s="9" t="n"/>
      <c r="D138" s="9" t="n"/>
      <c r="E138" s="9" t="n"/>
      <c r="F138" s="9" t="n"/>
      <c r="G138" s="9">
        <f>IF(OR(E138="",F138=""),"",DATEDIF(E138,F138,"Y"))</f>
        <v/>
      </c>
      <c r="H138" s="9" t="n"/>
    </row>
    <row r="139" ht="14.25" customHeight="1" s="37">
      <c r="A139" s="9" t="n"/>
      <c r="B139" s="9" t="n"/>
      <c r="C139" s="9" t="n"/>
      <c r="D139" s="9" t="n"/>
      <c r="E139" s="9" t="n"/>
      <c r="F139" s="9" t="n"/>
      <c r="G139" s="9">
        <f>IF(OR(E139="",F139=""),"",DATEDIF(E139,F139,"Y"))</f>
        <v/>
      </c>
      <c r="H139" s="9" t="n"/>
    </row>
    <row r="140" ht="14.25" customHeight="1" s="37">
      <c r="A140" s="9" t="n"/>
      <c r="B140" s="9" t="n"/>
      <c r="C140" s="9" t="n"/>
      <c r="D140" s="9" t="n"/>
      <c r="E140" s="9" t="n"/>
      <c r="F140" s="9" t="n"/>
      <c r="G140" s="9">
        <f>IF(OR(E140="",F140=""),"",DATEDIF(E140,F140,"Y"))</f>
        <v/>
      </c>
      <c r="H140" s="9" t="n"/>
    </row>
    <row r="141" ht="14.25" customHeight="1" s="37">
      <c r="A141" s="9" t="n"/>
      <c r="B141" s="9" t="n"/>
      <c r="C141" s="9" t="n"/>
      <c r="D141" s="9" t="n"/>
      <c r="E141" s="9" t="n"/>
      <c r="F141" s="9" t="n"/>
      <c r="G141" s="9">
        <f>IF(OR(E141="",F141=""),"",DATEDIF(E141,F141,"Y"))</f>
        <v/>
      </c>
      <c r="H141" s="9" t="n"/>
    </row>
    <row r="142" ht="14.25" customHeight="1" s="37">
      <c r="A142" s="9" t="n"/>
      <c r="B142" s="9" t="n"/>
      <c r="C142" s="9" t="n"/>
      <c r="D142" s="9" t="n"/>
      <c r="E142" s="9" t="n"/>
      <c r="F142" s="9" t="n"/>
      <c r="G142" s="9">
        <f>IF(OR(E142="",F142=""),"",DATEDIF(E142,F142,"Y"))</f>
        <v/>
      </c>
      <c r="H142" s="9" t="n"/>
    </row>
    <row r="143" ht="14.25" customHeight="1" s="37">
      <c r="A143" s="9" t="n"/>
      <c r="B143" s="9" t="n"/>
      <c r="C143" s="9" t="n"/>
      <c r="D143" s="9" t="n"/>
      <c r="E143" s="9" t="n"/>
      <c r="F143" s="9" t="n"/>
      <c r="G143" s="9">
        <f>IF(OR(E143="",F143=""),"",DATEDIF(E143,F143,"Y"))</f>
        <v/>
      </c>
      <c r="H143" s="9" t="n"/>
    </row>
    <row r="144" ht="14.25" customHeight="1" s="37">
      <c r="A144" s="9" t="n"/>
      <c r="B144" s="9" t="n"/>
      <c r="C144" s="9" t="n"/>
      <c r="D144" s="9" t="n"/>
      <c r="E144" s="9" t="n"/>
      <c r="F144" s="9" t="n"/>
      <c r="G144" s="9">
        <f>IF(OR(E144="",F144=""),"",DATEDIF(E144,F144,"Y"))</f>
        <v/>
      </c>
      <c r="H144" s="9" t="n"/>
    </row>
    <row r="145" ht="14.25" customHeight="1" s="37">
      <c r="A145" s="9" t="n"/>
      <c r="B145" s="9" t="n"/>
      <c r="C145" s="9" t="n"/>
      <c r="D145" s="9" t="n"/>
      <c r="E145" s="9" t="n"/>
      <c r="F145" s="9" t="n"/>
      <c r="G145" s="9">
        <f>IF(OR(E145="",F145=""),"",DATEDIF(E145,F145,"Y"))</f>
        <v/>
      </c>
      <c r="H145" s="9" t="n"/>
    </row>
    <row r="146" ht="14.25" customHeight="1" s="37">
      <c r="A146" s="9" t="n"/>
      <c r="B146" s="9" t="n"/>
      <c r="C146" s="9" t="n"/>
      <c r="D146" s="9" t="n"/>
      <c r="E146" s="9" t="n"/>
      <c r="F146" s="9" t="n"/>
      <c r="G146" s="9">
        <f>IF(OR(E146="",F146=""),"",DATEDIF(E146,F146,"Y"))</f>
        <v/>
      </c>
      <c r="H146" s="9" t="n"/>
    </row>
    <row r="147" ht="14.25" customHeight="1" s="37">
      <c r="A147" s="9" t="n"/>
      <c r="B147" s="9" t="n"/>
      <c r="C147" s="9" t="n"/>
      <c r="D147" s="9" t="n"/>
      <c r="E147" s="9" t="n"/>
      <c r="F147" s="9" t="n"/>
      <c r="G147" s="9">
        <f>IF(OR(E147="",F147=""),"",DATEDIF(E147,F147,"Y"))</f>
        <v/>
      </c>
      <c r="H147" s="9" t="n"/>
    </row>
    <row r="148" ht="14.25" customHeight="1" s="37">
      <c r="A148" s="9" t="n"/>
      <c r="B148" s="9" t="n"/>
      <c r="C148" s="9" t="n"/>
      <c r="D148" s="9" t="n"/>
      <c r="E148" s="9" t="n"/>
      <c r="F148" s="9" t="n"/>
      <c r="G148" s="9">
        <f>IF(OR(E148="",F148=""),"",DATEDIF(E148,F148,"Y"))</f>
        <v/>
      </c>
      <c r="H148" s="9" t="n"/>
    </row>
    <row r="149" ht="14.25" customHeight="1" s="37">
      <c r="A149" s="9" t="n"/>
      <c r="B149" s="9" t="n"/>
      <c r="C149" s="9" t="n"/>
      <c r="D149" s="9" t="n"/>
      <c r="E149" s="9" t="n"/>
      <c r="F149" s="9" t="n"/>
      <c r="G149" s="9">
        <f>IF(OR(E149="",F149=""),"",DATEDIF(E149,F149,"Y"))</f>
        <v/>
      </c>
      <c r="H149" s="9" t="n"/>
    </row>
    <row r="150" ht="14.25" customHeight="1" s="37">
      <c r="A150" s="9" t="n"/>
      <c r="B150" s="9" t="n"/>
      <c r="C150" s="9" t="n"/>
      <c r="D150" s="9" t="n"/>
      <c r="E150" s="9" t="n"/>
      <c r="F150" s="9" t="n"/>
      <c r="G150" s="9">
        <f>IF(OR(E150="",F150=""),"",DATEDIF(E150,F150,"Y"))</f>
        <v/>
      </c>
      <c r="H150" s="9" t="n"/>
    </row>
    <row r="151" ht="14.25" customHeight="1" s="37">
      <c r="A151" s="9" t="n"/>
      <c r="B151" s="9" t="n"/>
      <c r="C151" s="9" t="n"/>
      <c r="D151" s="9" t="n"/>
      <c r="E151" s="9" t="n"/>
      <c r="F151" s="9" t="n"/>
      <c r="G151" s="9">
        <f>IF(OR(E151="",F151=""),"",DATEDIF(E151,F151,"Y"))</f>
        <v/>
      </c>
      <c r="H151" s="9" t="n"/>
    </row>
    <row r="152" ht="14.25" customHeight="1" s="37">
      <c r="A152" s="9" t="n"/>
      <c r="B152" s="9" t="n"/>
      <c r="C152" s="9" t="n"/>
      <c r="D152" s="9" t="n"/>
      <c r="E152" s="9" t="n"/>
      <c r="F152" s="9" t="n"/>
      <c r="G152" s="9">
        <f>IF(OR(E152="",F152=""),"",DATEDIF(E152,F152,"Y"))</f>
        <v/>
      </c>
      <c r="H152" s="9" t="n"/>
    </row>
    <row r="153" ht="14.25" customHeight="1" s="37">
      <c r="A153" s="9" t="n"/>
      <c r="B153" s="9" t="n"/>
      <c r="C153" s="9" t="n"/>
      <c r="D153" s="9" t="n"/>
      <c r="E153" s="9" t="n"/>
      <c r="F153" s="9" t="n"/>
      <c r="G153" s="9">
        <f>IF(OR(E153="",F153=""),"",DATEDIF(E153,F153,"Y"))</f>
        <v/>
      </c>
      <c r="H153" s="9" t="n"/>
    </row>
    <row r="154" ht="14.25" customHeight="1" s="37">
      <c r="A154" s="9" t="n"/>
      <c r="B154" s="9" t="n"/>
      <c r="C154" s="9" t="n"/>
      <c r="D154" s="9" t="n"/>
      <c r="E154" s="9" t="n"/>
      <c r="F154" s="9" t="n"/>
      <c r="G154" s="9">
        <f>IF(OR(E154="",F154=""),"",DATEDIF(E154,F154,"Y"))</f>
        <v/>
      </c>
      <c r="H154" s="9" t="n"/>
    </row>
    <row r="155" ht="14.25" customHeight="1" s="37">
      <c r="A155" s="9" t="n"/>
      <c r="B155" s="9" t="n"/>
      <c r="C155" s="9" t="n"/>
      <c r="D155" s="9" t="n"/>
      <c r="E155" s="9" t="n"/>
      <c r="F155" s="9" t="n"/>
      <c r="G155" s="9">
        <f>IF(OR(E155="",F155=""),"",DATEDIF(E155,F155,"Y"))</f>
        <v/>
      </c>
      <c r="H155" s="9" t="n"/>
    </row>
    <row r="156" ht="14.25" customHeight="1" s="37">
      <c r="A156" s="9" t="n"/>
      <c r="B156" s="9" t="n"/>
      <c r="C156" s="9" t="n"/>
      <c r="D156" s="9" t="n"/>
      <c r="E156" s="9" t="n"/>
      <c r="F156" s="9" t="n"/>
      <c r="G156" s="9">
        <f>IF(OR(E156="",F156=""),"",DATEDIF(E156,F156,"Y"))</f>
        <v/>
      </c>
      <c r="H156" s="9" t="n"/>
    </row>
    <row r="157" ht="14.25" customHeight="1" s="37">
      <c r="A157" s="9" t="n"/>
      <c r="B157" s="9" t="n"/>
      <c r="C157" s="9" t="n"/>
      <c r="D157" s="9" t="n"/>
      <c r="E157" s="9" t="n"/>
      <c r="F157" s="9" t="n"/>
      <c r="G157" s="9">
        <f>IF(OR(E157="",F157=""),"",DATEDIF(E157,F157,"Y"))</f>
        <v/>
      </c>
      <c r="H157" s="9" t="n"/>
    </row>
    <row r="158" ht="14.25" customHeight="1" s="37">
      <c r="A158" s="9" t="n"/>
      <c r="B158" s="9" t="n"/>
      <c r="C158" s="9" t="n"/>
      <c r="D158" s="9" t="n"/>
      <c r="E158" s="9" t="n"/>
      <c r="F158" s="9" t="n"/>
      <c r="G158" s="9">
        <f>IF(OR(E158="",F158=""),"",DATEDIF(E158,F158,"Y"))</f>
        <v/>
      </c>
      <c r="H158" s="9" t="n"/>
    </row>
    <row r="159" ht="14.25" customHeight="1" s="37">
      <c r="A159" s="9" t="n"/>
      <c r="B159" s="9" t="n"/>
      <c r="C159" s="9" t="n"/>
      <c r="D159" s="9" t="n"/>
      <c r="E159" s="9" t="n"/>
      <c r="F159" s="9" t="n"/>
      <c r="G159" s="9">
        <f>IF(OR(E159="",F159=""),"",DATEDIF(E159,F159,"Y"))</f>
        <v/>
      </c>
      <c r="H159" s="9" t="n"/>
    </row>
    <row r="160" ht="14.25" customHeight="1" s="37">
      <c r="A160" s="9" t="n"/>
      <c r="B160" s="9" t="n"/>
      <c r="C160" s="9" t="n"/>
      <c r="D160" s="9" t="n"/>
      <c r="E160" s="9" t="n"/>
      <c r="F160" s="9" t="n"/>
      <c r="G160" s="9">
        <f>IF(OR(E160="",F160=""),"",DATEDIF(E160,F160,"Y"))</f>
        <v/>
      </c>
      <c r="H160" s="9" t="n"/>
    </row>
    <row r="161" ht="14.25" customHeight="1" s="37">
      <c r="A161" s="9" t="n"/>
      <c r="B161" s="9" t="n"/>
      <c r="C161" s="9" t="n"/>
      <c r="D161" s="9" t="n"/>
      <c r="E161" s="9" t="n"/>
      <c r="F161" s="9" t="n"/>
      <c r="G161" s="9">
        <f>IF(OR(E161="",F161=""),"",DATEDIF(E161,F161,"Y"))</f>
        <v/>
      </c>
      <c r="H161" s="9" t="n"/>
    </row>
    <row r="162" ht="14.25" customHeight="1" s="37">
      <c r="A162" s="9" t="n"/>
      <c r="B162" s="9" t="n"/>
      <c r="C162" s="9" t="n"/>
      <c r="D162" s="9" t="n"/>
      <c r="E162" s="9" t="n"/>
      <c r="F162" s="9" t="n"/>
      <c r="G162" s="9">
        <f>IF(OR(E162="",F162=""),"",DATEDIF(E162,F162,"Y"))</f>
        <v/>
      </c>
      <c r="H162" s="9" t="n"/>
    </row>
    <row r="163" ht="14.25" customHeight="1" s="37">
      <c r="A163" s="9" t="n"/>
      <c r="B163" s="9" t="n"/>
      <c r="C163" s="9" t="n"/>
      <c r="D163" s="9" t="n"/>
      <c r="E163" s="9" t="n"/>
      <c r="F163" s="9" t="n"/>
      <c r="G163" s="9">
        <f>IF(OR(E163="",F163=""),"",DATEDIF(E163,F163,"Y"))</f>
        <v/>
      </c>
      <c r="H163" s="9" t="n"/>
    </row>
    <row r="164" ht="14.25" customHeight="1" s="37">
      <c r="A164" s="9" t="n"/>
      <c r="B164" s="9" t="n"/>
      <c r="C164" s="9" t="n"/>
      <c r="D164" s="9" t="n"/>
      <c r="E164" s="9" t="n"/>
      <c r="F164" s="9" t="n"/>
      <c r="G164" s="9">
        <f>IF(OR(E164="",F164=""),"",DATEDIF(E164,F164,"Y"))</f>
        <v/>
      </c>
      <c r="H164" s="9" t="n"/>
    </row>
    <row r="165" ht="14.25" customHeight="1" s="37">
      <c r="A165" s="9" t="n"/>
      <c r="B165" s="9" t="n"/>
      <c r="C165" s="9" t="n"/>
      <c r="D165" s="9" t="n"/>
      <c r="E165" s="9" t="n"/>
      <c r="F165" s="9" t="n"/>
      <c r="G165" s="9">
        <f>IF(OR(E165="",F165=""),"",DATEDIF(E165,F165,"Y"))</f>
        <v/>
      </c>
      <c r="H165" s="9" t="n"/>
    </row>
    <row r="166" ht="14.25" customHeight="1" s="37">
      <c r="A166" s="9" t="n"/>
      <c r="B166" s="9" t="n"/>
      <c r="C166" s="9" t="n"/>
      <c r="D166" s="9" t="n"/>
      <c r="E166" s="9" t="n"/>
      <c r="F166" s="9" t="n"/>
      <c r="G166" s="9">
        <f>IF(OR(E166="",F166=""),"",DATEDIF(E166,F166,"Y"))</f>
        <v/>
      </c>
      <c r="H166" s="9" t="n"/>
    </row>
    <row r="167" ht="14.25" customHeight="1" s="37">
      <c r="A167" s="9" t="n"/>
      <c r="B167" s="9" t="n"/>
      <c r="C167" s="9" t="n"/>
      <c r="D167" s="9" t="n"/>
      <c r="E167" s="9" t="n"/>
      <c r="F167" s="9" t="n"/>
      <c r="G167" s="9">
        <f>IF(OR(E167="",F167=""),"",DATEDIF(E167,F167,"Y"))</f>
        <v/>
      </c>
      <c r="H167" s="9" t="n"/>
    </row>
    <row r="168" ht="14.25" customHeight="1" s="37">
      <c r="A168" s="9" t="n"/>
      <c r="B168" s="9" t="n"/>
      <c r="C168" s="9" t="n"/>
      <c r="D168" s="9" t="n"/>
      <c r="E168" s="9" t="n"/>
      <c r="F168" s="9" t="n"/>
      <c r="G168" s="9">
        <f>IF(OR(E168="",F168=""),"",DATEDIF(E168,F168,"Y"))</f>
        <v/>
      </c>
      <c r="H168" s="9" t="n"/>
    </row>
    <row r="169" ht="14.25" customHeight="1" s="37">
      <c r="A169" s="9" t="n"/>
      <c r="B169" s="9" t="n"/>
      <c r="C169" s="9" t="n"/>
      <c r="D169" s="9" t="n"/>
      <c r="E169" s="9" t="n"/>
      <c r="F169" s="9" t="n"/>
      <c r="G169" s="9">
        <f>IF(OR(E169="",F169=""),"",DATEDIF(E169,F169,"Y"))</f>
        <v/>
      </c>
      <c r="H169" s="9" t="n"/>
    </row>
    <row r="170" ht="14.25" customHeight="1" s="37">
      <c r="A170" s="9" t="n"/>
      <c r="B170" s="9" t="n"/>
      <c r="C170" s="9" t="n"/>
      <c r="D170" s="9" t="n"/>
      <c r="E170" s="9" t="n"/>
      <c r="F170" s="9" t="n"/>
      <c r="G170" s="9">
        <f>IF(OR(E170="",F170=""),"",DATEDIF(E170,F170,"Y"))</f>
        <v/>
      </c>
      <c r="H170" s="9" t="n"/>
    </row>
    <row r="171" ht="14.25" customHeight="1" s="37">
      <c r="A171" s="9" t="n"/>
      <c r="B171" s="9" t="n"/>
      <c r="C171" s="9" t="n"/>
      <c r="D171" s="9" t="n"/>
      <c r="E171" s="9" t="n"/>
      <c r="F171" s="9" t="n"/>
      <c r="G171" s="9">
        <f>IF(OR(E171="",F171=""),"",DATEDIF(E171,F171,"Y"))</f>
        <v/>
      </c>
      <c r="H171" s="9" t="n"/>
    </row>
    <row r="172" ht="14.25" customHeight="1" s="37">
      <c r="A172" s="9" t="n"/>
      <c r="B172" s="9" t="n"/>
      <c r="C172" s="9" t="n"/>
      <c r="D172" s="9" t="n"/>
      <c r="E172" s="9" t="n"/>
      <c r="F172" s="9" t="n"/>
      <c r="G172" s="9">
        <f>IF(OR(E172="",F172=""),"",DATEDIF(E172,F172,"Y"))</f>
        <v/>
      </c>
      <c r="H172" s="9" t="n"/>
    </row>
    <row r="173" ht="14.25" customHeight="1" s="37">
      <c r="A173" s="9" t="n"/>
      <c r="B173" s="9" t="n"/>
      <c r="C173" s="9" t="n"/>
      <c r="D173" s="9" t="n"/>
      <c r="E173" s="9" t="n"/>
      <c r="F173" s="9" t="n"/>
      <c r="G173" s="9">
        <f>IF(OR(E173="",F173=""),"",DATEDIF(E173,F173,"Y"))</f>
        <v/>
      </c>
      <c r="H173" s="9" t="n"/>
    </row>
    <row r="174" ht="14.25" customHeight="1" s="37">
      <c r="A174" s="9" t="n"/>
      <c r="B174" s="9" t="n"/>
      <c r="C174" s="9" t="n"/>
      <c r="D174" s="9" t="n"/>
      <c r="E174" s="9" t="n"/>
      <c r="F174" s="9" t="n"/>
      <c r="G174" s="9">
        <f>IF(OR(E174="",F174=""),"",DATEDIF(E174,F174,"Y"))</f>
        <v/>
      </c>
      <c r="H174" s="9" t="n"/>
    </row>
    <row r="175" ht="14.25" customHeight="1" s="37">
      <c r="A175" s="9" t="n"/>
      <c r="B175" s="9" t="n"/>
      <c r="C175" s="9" t="n"/>
      <c r="D175" s="9" t="n"/>
      <c r="E175" s="9" t="n"/>
      <c r="F175" s="9" t="n"/>
      <c r="G175" s="9">
        <f>IF(OR(E175="",F175=""),"",DATEDIF(E175,F175,"Y"))</f>
        <v/>
      </c>
      <c r="H175" s="9" t="n"/>
    </row>
    <row r="176" ht="14.25" customHeight="1" s="37">
      <c r="A176" s="9" t="n"/>
      <c r="B176" s="9" t="n"/>
      <c r="C176" s="9" t="n"/>
      <c r="D176" s="9" t="n"/>
      <c r="E176" s="9" t="n"/>
      <c r="F176" s="9" t="n"/>
      <c r="G176" s="9">
        <f>IF(OR(E176="",F176=""),"",DATEDIF(E176,F176,"Y"))</f>
        <v/>
      </c>
      <c r="H176" s="9" t="n"/>
    </row>
    <row r="177" ht="14.25" customHeight="1" s="37">
      <c r="A177" s="9" t="n"/>
      <c r="B177" s="9" t="n"/>
      <c r="C177" s="9" t="n"/>
      <c r="D177" s="9" t="n"/>
      <c r="E177" s="9" t="n"/>
      <c r="F177" s="9" t="n"/>
      <c r="G177" s="9">
        <f>IF(OR(E177="",F177=""),"",DATEDIF(E177,F177,"Y"))</f>
        <v/>
      </c>
      <c r="H177" s="9" t="n"/>
    </row>
    <row r="178" ht="14.25" customHeight="1" s="37">
      <c r="A178" s="9" t="n"/>
      <c r="B178" s="9" t="n"/>
      <c r="C178" s="9" t="n"/>
      <c r="D178" s="9" t="n"/>
      <c r="E178" s="9" t="n"/>
      <c r="F178" s="9" t="n"/>
      <c r="G178" s="9">
        <f>IF(OR(E178="",F178=""),"",DATEDIF(E178,F178,"Y"))</f>
        <v/>
      </c>
      <c r="H178" s="9" t="n"/>
    </row>
    <row r="179" ht="14.25" customHeight="1" s="37">
      <c r="A179" s="9" t="n"/>
      <c r="B179" s="9" t="n"/>
      <c r="C179" s="9" t="n"/>
      <c r="D179" s="9" t="n"/>
      <c r="E179" s="9" t="n"/>
      <c r="F179" s="9" t="n"/>
      <c r="G179" s="9">
        <f>IF(OR(E179="",F179=""),"",DATEDIF(E179,F179,"Y"))</f>
        <v/>
      </c>
      <c r="H179" s="9" t="n"/>
    </row>
    <row r="180" ht="14.25" customHeight="1" s="37">
      <c r="A180" s="9" t="n"/>
      <c r="B180" s="9" t="n"/>
      <c r="C180" s="9" t="n"/>
      <c r="D180" s="9" t="n"/>
      <c r="E180" s="9" t="n"/>
      <c r="F180" s="9" t="n"/>
      <c r="G180" s="9">
        <f>IF(OR(E180="",F180=""),"",DATEDIF(E180,F180,"Y"))</f>
        <v/>
      </c>
      <c r="H180" s="9" t="n"/>
    </row>
    <row r="181" ht="14.25" customHeight="1" s="37">
      <c r="A181" s="9" t="n"/>
      <c r="B181" s="9" t="n"/>
      <c r="C181" s="9" t="n"/>
      <c r="D181" s="9" t="n"/>
      <c r="E181" s="9" t="n"/>
      <c r="F181" s="9" t="n"/>
      <c r="G181" s="9">
        <f>IF(OR(E181="",F181=""),"",DATEDIF(E181,F181,"Y"))</f>
        <v/>
      </c>
      <c r="H181" s="9" t="n"/>
    </row>
    <row r="182" ht="14.25" customHeight="1" s="37">
      <c r="A182" s="9" t="n"/>
      <c r="B182" s="9" t="n"/>
      <c r="C182" s="9" t="n"/>
      <c r="D182" s="9" t="n"/>
      <c r="E182" s="9" t="n"/>
      <c r="F182" s="9" t="n"/>
      <c r="G182" s="9">
        <f>IF(OR(E182="",F182=""),"",DATEDIF(E182,F182,"Y"))</f>
        <v/>
      </c>
      <c r="H182" s="9" t="n"/>
    </row>
    <row r="183" ht="14.25" customHeight="1" s="37">
      <c r="A183" s="9" t="n"/>
      <c r="B183" s="9" t="n"/>
      <c r="C183" s="9" t="n"/>
      <c r="D183" s="9" t="n"/>
      <c r="E183" s="9" t="n"/>
      <c r="F183" s="9" t="n"/>
      <c r="G183" s="9">
        <f>IF(OR(E183="",F183=""),"",DATEDIF(E183,F183,"Y"))</f>
        <v/>
      </c>
      <c r="H183" s="9" t="n"/>
    </row>
    <row r="184" ht="14.25" customHeight="1" s="37">
      <c r="A184" s="9" t="n"/>
      <c r="B184" s="9" t="n"/>
      <c r="C184" s="9" t="n"/>
      <c r="D184" s="9" t="n"/>
      <c r="E184" s="9" t="n"/>
      <c r="F184" s="9" t="n"/>
      <c r="G184" s="9">
        <f>IF(OR(E184="",F184=""),"",DATEDIF(E184,F184,"Y"))</f>
        <v/>
      </c>
      <c r="H184" s="9" t="n"/>
    </row>
    <row r="185" ht="14.25" customHeight="1" s="37">
      <c r="A185" s="9" t="n"/>
      <c r="B185" s="9" t="n"/>
      <c r="C185" s="9" t="n"/>
      <c r="D185" s="9" t="n"/>
      <c r="E185" s="9" t="n"/>
      <c r="F185" s="9" t="n"/>
      <c r="G185" s="9">
        <f>IF(OR(E185="",F185=""),"",DATEDIF(E185,F185,"Y"))</f>
        <v/>
      </c>
      <c r="H185" s="9" t="n"/>
    </row>
    <row r="186" ht="14.25" customHeight="1" s="37">
      <c r="A186" s="9" t="n"/>
      <c r="B186" s="9" t="n"/>
      <c r="C186" s="9" t="n"/>
      <c r="D186" s="9" t="n"/>
      <c r="E186" s="9" t="n"/>
      <c r="F186" s="9" t="n"/>
      <c r="G186" s="9">
        <f>IF(OR(E186="",F186=""),"",DATEDIF(E186,F186,"Y"))</f>
        <v/>
      </c>
      <c r="H186" s="9" t="n"/>
    </row>
    <row r="187" ht="14.25" customHeight="1" s="37">
      <c r="A187" s="9" t="n"/>
      <c r="B187" s="9" t="n"/>
      <c r="C187" s="9" t="n"/>
      <c r="D187" s="9" t="n"/>
      <c r="E187" s="9" t="n"/>
      <c r="F187" s="9" t="n"/>
      <c r="G187" s="9">
        <f>IF(OR(E187="",F187=""),"",DATEDIF(E187,F187,"Y"))</f>
        <v/>
      </c>
      <c r="H187" s="9" t="n"/>
    </row>
    <row r="188" ht="14.25" customHeight="1" s="37">
      <c r="A188" s="9" t="n"/>
      <c r="B188" s="9" t="n"/>
      <c r="C188" s="9" t="n"/>
      <c r="D188" s="9" t="n"/>
      <c r="E188" s="9" t="n"/>
      <c r="F188" s="9" t="n"/>
      <c r="G188" s="9">
        <f>IF(OR(E188="",F188=""),"",DATEDIF(E188,F188,"Y"))</f>
        <v/>
      </c>
      <c r="H188" s="9" t="n"/>
    </row>
    <row r="189" ht="14.25" customHeight="1" s="37">
      <c r="A189" s="9" t="n"/>
      <c r="B189" s="9" t="n"/>
      <c r="C189" s="9" t="n"/>
      <c r="D189" s="9" t="n"/>
      <c r="E189" s="9" t="n"/>
      <c r="F189" s="9" t="n"/>
      <c r="G189" s="9">
        <f>IF(OR(E189="",F189=""),"",DATEDIF(E189,F189,"Y"))</f>
        <v/>
      </c>
      <c r="H189" s="9" t="n"/>
    </row>
    <row r="190" ht="14.25" customHeight="1" s="37">
      <c r="A190" s="9" t="n"/>
      <c r="B190" s="9" t="n"/>
      <c r="C190" s="9" t="n"/>
      <c r="D190" s="9" t="n"/>
      <c r="E190" s="9" t="n"/>
      <c r="F190" s="9" t="n"/>
      <c r="G190" s="9">
        <f>IF(OR(E190="",F190=""),"",DATEDIF(E190,F190,"Y"))</f>
        <v/>
      </c>
      <c r="H190" s="9" t="n"/>
    </row>
    <row r="191" ht="14.25" customHeight="1" s="37">
      <c r="A191" s="9" t="n"/>
      <c r="B191" s="9" t="n"/>
      <c r="C191" s="9" t="n"/>
      <c r="D191" s="9" t="n"/>
      <c r="E191" s="9" t="n"/>
      <c r="F191" s="9" t="n"/>
      <c r="G191" s="9">
        <f>IF(OR(E191="",F191=""),"",DATEDIF(E191,F191,"Y"))</f>
        <v/>
      </c>
      <c r="H191" s="9" t="n"/>
    </row>
    <row r="192" ht="14.25" customHeight="1" s="37">
      <c r="A192" s="9" t="n"/>
      <c r="B192" s="9" t="n"/>
      <c r="C192" s="9" t="n"/>
      <c r="D192" s="9" t="n"/>
      <c r="E192" s="9" t="n"/>
      <c r="F192" s="9" t="n"/>
      <c r="G192" s="9">
        <f>IF(OR(E192="",F192=""),"",DATEDIF(E192,F192,"Y"))</f>
        <v/>
      </c>
      <c r="H192" s="9" t="n"/>
    </row>
    <row r="193" ht="14.25" customHeight="1" s="37">
      <c r="A193" s="9" t="n"/>
      <c r="B193" s="9" t="n"/>
      <c r="C193" s="9" t="n"/>
      <c r="D193" s="9" t="n"/>
      <c r="E193" s="9" t="n"/>
      <c r="F193" s="9" t="n"/>
      <c r="G193" s="9">
        <f>IF(OR(E193="",F193=""),"",DATEDIF(E193,F193,"Y"))</f>
        <v/>
      </c>
      <c r="H193" s="9" t="n"/>
    </row>
    <row r="194" ht="14.25" customHeight="1" s="37">
      <c r="A194" s="9" t="n"/>
      <c r="B194" s="9" t="n"/>
      <c r="C194" s="9" t="n"/>
      <c r="D194" s="9" t="n"/>
      <c r="E194" s="9" t="n"/>
      <c r="F194" s="9" t="n"/>
      <c r="G194" s="9">
        <f>IF(OR(E194="",F194=""),"",DATEDIF(E194,F194,"Y"))</f>
        <v/>
      </c>
      <c r="H194" s="9" t="n"/>
    </row>
    <row r="195" ht="14.25" customHeight="1" s="37">
      <c r="A195" s="9" t="n"/>
      <c r="B195" s="9" t="n"/>
      <c r="C195" s="9" t="n"/>
      <c r="D195" s="9" t="n"/>
      <c r="E195" s="9" t="n"/>
      <c r="F195" s="9" t="n"/>
      <c r="G195" s="9">
        <f>IF(OR(E195="",F195=""),"",DATEDIF(E195,F195,"Y"))</f>
        <v/>
      </c>
      <c r="H195" s="9" t="n"/>
    </row>
    <row r="196" ht="14.25" customHeight="1" s="37">
      <c r="A196" s="9" t="n"/>
      <c r="B196" s="9" t="n"/>
      <c r="C196" s="9" t="n"/>
      <c r="D196" s="9" t="n"/>
      <c r="E196" s="9" t="n"/>
      <c r="F196" s="9" t="n"/>
      <c r="G196" s="9">
        <f>IF(OR(E196="",F196=""),"",DATEDIF(E196,F196,"Y"))</f>
        <v/>
      </c>
      <c r="H196" s="9" t="n"/>
    </row>
    <row r="197" ht="14.25" customHeight="1" s="37">
      <c r="A197" s="9" t="n"/>
      <c r="B197" s="9" t="n"/>
      <c r="C197" s="9" t="n"/>
      <c r="D197" s="9" t="n"/>
      <c r="E197" s="9" t="n"/>
      <c r="F197" s="9" t="n"/>
      <c r="G197" s="9">
        <f>IF(OR(E197="",F197=""),"",DATEDIF(E197,F197,"Y"))</f>
        <v/>
      </c>
      <c r="H197" s="9" t="n"/>
    </row>
    <row r="198" ht="14.25" customHeight="1" s="37">
      <c r="A198" s="9" t="n"/>
      <c r="B198" s="9" t="n"/>
      <c r="C198" s="9" t="n"/>
      <c r="D198" s="9" t="n"/>
      <c r="E198" s="9" t="n"/>
      <c r="F198" s="9" t="n"/>
      <c r="G198" s="9">
        <f>IF(OR(E198="",F198=""),"",DATEDIF(E198,F198,"Y"))</f>
        <v/>
      </c>
      <c r="H198" s="9" t="n"/>
    </row>
    <row r="199" ht="14.25" customHeight="1" s="37">
      <c r="A199" s="9" t="n"/>
      <c r="B199" s="9" t="n"/>
      <c r="C199" s="9" t="n"/>
      <c r="D199" s="9" t="n"/>
      <c r="E199" s="9" t="n"/>
      <c r="F199" s="9" t="n"/>
      <c r="G199" s="9">
        <f>IF(OR(E199="",F199=""),"",DATEDIF(E199,F199,"Y"))</f>
        <v/>
      </c>
      <c r="H199" s="9" t="n"/>
    </row>
    <row r="200" ht="14.25" customHeight="1" s="37">
      <c r="A200" s="9" t="n"/>
      <c r="B200" s="9" t="n"/>
      <c r="C200" s="9" t="n"/>
      <c r="D200" s="9" t="n"/>
      <c r="E200" s="9" t="n"/>
      <c r="F200" s="9" t="n"/>
      <c r="G200" s="9">
        <f>IF(OR(E200="",F200=""),"",DATEDIF(E200,F200,"Y"))</f>
        <v/>
      </c>
      <c r="H200" s="9" t="n"/>
    </row>
    <row r="201" ht="14.25" customHeight="1" s="37">
      <c r="A201" s="9" t="n"/>
      <c r="B201" s="9" t="n"/>
      <c r="C201" s="9" t="n"/>
      <c r="D201" s="9" t="n"/>
      <c r="E201" s="9" t="n"/>
      <c r="F201" s="9" t="n"/>
      <c r="G201" s="9">
        <f>IF(OR(E201="",F201=""),"",DATEDIF(E201,F201,"Y"))</f>
        <v/>
      </c>
      <c r="H201" s="9" t="n"/>
    </row>
    <row r="202" ht="14.25" customHeight="1" s="37">
      <c r="A202" s="9" t="n"/>
      <c r="B202" s="9" t="n"/>
      <c r="C202" s="9" t="n"/>
      <c r="D202" s="9" t="n"/>
      <c r="E202" s="9" t="n"/>
      <c r="F202" s="9" t="n"/>
      <c r="G202" s="9">
        <f>IF(OR(E202="",F202=""),"",DATEDIF(E202,F202,"Y"))</f>
        <v/>
      </c>
      <c r="H202" s="9" t="n"/>
    </row>
    <row r="203" ht="14.25" customHeight="1" s="37">
      <c r="A203" s="9" t="n"/>
      <c r="B203" s="9" t="n"/>
      <c r="C203" s="9" t="n"/>
      <c r="D203" s="9" t="n"/>
      <c r="E203" s="9" t="n"/>
      <c r="F203" s="9" t="n"/>
      <c r="G203" s="9">
        <f>IF(OR(E203="",F203=""),"",DATEDIF(E203,F203,"Y"))</f>
        <v/>
      </c>
      <c r="H203" s="9" t="n"/>
    </row>
    <row r="204" ht="14.25" customHeight="1" s="37">
      <c r="A204" s="9" t="n"/>
      <c r="B204" s="9" t="n"/>
      <c r="C204" s="9" t="n"/>
      <c r="D204" s="9" t="n"/>
      <c r="E204" s="9" t="n"/>
      <c r="F204" s="9" t="n"/>
      <c r="G204" s="9">
        <f>IF(OR(E204="",F204=""),"",DATEDIF(E204,F204,"Y"))</f>
        <v/>
      </c>
      <c r="H204" s="9" t="n"/>
    </row>
    <row r="205" ht="14.25" customHeight="1" s="37">
      <c r="A205" s="9" t="n"/>
      <c r="B205" s="9" t="n"/>
      <c r="C205" s="9" t="n"/>
      <c r="D205" s="9" t="n"/>
      <c r="E205" s="9" t="n"/>
      <c r="F205" s="9" t="n"/>
      <c r="G205" s="9">
        <f>IF(OR(E205="",F205=""),"",DATEDIF(E205,F205,"Y"))</f>
        <v/>
      </c>
      <c r="H205" s="9" t="n"/>
    </row>
    <row r="206" ht="14.25" customHeight="1" s="37">
      <c r="A206" s="9" t="n"/>
      <c r="B206" s="9" t="n"/>
      <c r="C206" s="9" t="n"/>
      <c r="D206" s="9" t="n"/>
      <c r="E206" s="9" t="n"/>
      <c r="F206" s="9" t="n"/>
      <c r="G206" s="9">
        <f>IF(OR(E206="",F206=""),"",DATEDIF(E206,F206,"Y"))</f>
        <v/>
      </c>
      <c r="H206" s="9" t="n"/>
    </row>
    <row r="207" ht="14.25" customHeight="1" s="37">
      <c r="A207" s="9" t="n"/>
      <c r="B207" s="9" t="n"/>
      <c r="C207" s="9" t="n"/>
      <c r="D207" s="9" t="n"/>
      <c r="E207" s="9" t="n"/>
      <c r="F207" s="9" t="n"/>
      <c r="G207" s="9">
        <f>IF(OR(E207="",F207=""),"",DATEDIF(E207,F207,"Y"))</f>
        <v/>
      </c>
      <c r="H207" s="9" t="n"/>
    </row>
    <row r="208" ht="14.25" customHeight="1" s="37">
      <c r="A208" s="9" t="n"/>
      <c r="B208" s="9" t="n"/>
      <c r="C208" s="9" t="n"/>
      <c r="D208" s="9" t="n"/>
      <c r="E208" s="9" t="n"/>
      <c r="F208" s="9" t="n"/>
      <c r="G208" s="9">
        <f>IF(OR(E208="",F208=""),"",DATEDIF(E208,F208,"Y"))</f>
        <v/>
      </c>
      <c r="H208" s="9" t="n"/>
    </row>
    <row r="209" ht="14.25" customHeight="1" s="37">
      <c r="A209" s="9" t="n"/>
      <c r="B209" s="9" t="n"/>
      <c r="C209" s="9" t="n"/>
      <c r="D209" s="9" t="n"/>
      <c r="E209" s="9" t="n"/>
      <c r="F209" s="9" t="n"/>
      <c r="G209" s="9">
        <f>IF(OR(E209="",F209=""),"",DATEDIF(E209,F209,"Y"))</f>
        <v/>
      </c>
      <c r="H209" s="9" t="n"/>
    </row>
    <row r="210" ht="14.25" customHeight="1" s="37">
      <c r="A210" s="9" t="n"/>
      <c r="B210" s="9" t="n"/>
      <c r="C210" s="9" t="n"/>
      <c r="D210" s="9" t="n"/>
      <c r="E210" s="9" t="n"/>
      <c r="F210" s="9" t="n"/>
      <c r="G210" s="9">
        <f>IF(OR(E210="",F210=""),"",DATEDIF(E210,F210,"Y"))</f>
        <v/>
      </c>
      <c r="H210" s="9" t="n"/>
    </row>
    <row r="211" ht="14.25" customHeight="1" s="37">
      <c r="A211" s="9" t="n"/>
      <c r="B211" s="9" t="n"/>
      <c r="C211" s="9" t="n"/>
      <c r="D211" s="9" t="n"/>
      <c r="E211" s="9" t="n"/>
      <c r="F211" s="9" t="n"/>
      <c r="G211" s="9">
        <f>IF(OR(E211="",F211=""),"",DATEDIF(E211,F211,"Y"))</f>
        <v/>
      </c>
      <c r="H211" s="9" t="n"/>
    </row>
    <row r="212" ht="14.25" customHeight="1" s="37">
      <c r="A212" s="9" t="n"/>
      <c r="B212" s="9" t="n"/>
      <c r="C212" s="9" t="n"/>
      <c r="D212" s="9" t="n"/>
      <c r="E212" s="9" t="n"/>
      <c r="F212" s="9" t="n"/>
      <c r="G212" s="9">
        <f>IF(OR(E212="",F212=""),"",DATEDIF(E212,F212,"Y"))</f>
        <v/>
      </c>
      <c r="H212" s="9" t="n"/>
    </row>
    <row r="213" ht="14.25" customHeight="1" s="37">
      <c r="A213" s="9" t="n"/>
      <c r="B213" s="9" t="n"/>
      <c r="C213" s="9" t="n"/>
      <c r="D213" s="9" t="n"/>
      <c r="E213" s="9" t="n"/>
      <c r="F213" s="9" t="n"/>
      <c r="G213" s="9">
        <f>IF(OR(E213="",F213=""),"",DATEDIF(E213,F213,"Y"))</f>
        <v/>
      </c>
      <c r="H213" s="9" t="n"/>
    </row>
    <row r="214" ht="14.25" customHeight="1" s="37">
      <c r="A214" s="9" t="n"/>
      <c r="B214" s="9" t="n"/>
      <c r="C214" s="9" t="n"/>
      <c r="D214" s="9" t="n"/>
      <c r="E214" s="9" t="n"/>
      <c r="F214" s="9" t="n"/>
      <c r="G214" s="9">
        <f>IF(OR(E214="",F214=""),"",DATEDIF(E214,F214,"Y"))</f>
        <v/>
      </c>
      <c r="H214" s="9" t="n"/>
    </row>
    <row r="215" ht="14.25" customHeight="1" s="37">
      <c r="A215" s="9" t="n"/>
      <c r="B215" s="9" t="n"/>
      <c r="C215" s="9" t="n"/>
      <c r="D215" s="9" t="n"/>
      <c r="E215" s="9" t="n"/>
      <c r="F215" s="9" t="n"/>
      <c r="G215" s="9">
        <f>IF(OR(E215="",F215=""),"",DATEDIF(E215,F215,"Y"))</f>
        <v/>
      </c>
      <c r="H215" s="9" t="n"/>
    </row>
    <row r="216" ht="14.25" customHeight="1" s="37">
      <c r="A216" s="9" t="n"/>
      <c r="B216" s="9" t="n"/>
      <c r="C216" s="9" t="n"/>
      <c r="D216" s="9" t="n"/>
      <c r="E216" s="9" t="n"/>
      <c r="F216" s="9" t="n"/>
      <c r="G216" s="9">
        <f>IF(OR(E216="",F216=""),"",DATEDIF(E216,F216,"Y"))</f>
        <v/>
      </c>
      <c r="H216" s="9" t="n"/>
    </row>
    <row r="217" ht="14.25" customHeight="1" s="37">
      <c r="A217" s="9" t="n"/>
      <c r="B217" s="9" t="n"/>
      <c r="C217" s="9" t="n"/>
      <c r="D217" s="9" t="n"/>
      <c r="E217" s="9" t="n"/>
      <c r="F217" s="9" t="n"/>
      <c r="G217" s="9">
        <f>IF(OR(E217="",F217=""),"",DATEDIF(E217,F217,"Y"))</f>
        <v/>
      </c>
      <c r="H217" s="9" t="n"/>
    </row>
    <row r="218" ht="14.25" customHeight="1" s="37">
      <c r="A218" s="9" t="n"/>
      <c r="B218" s="9" t="n"/>
      <c r="C218" s="9" t="n"/>
      <c r="D218" s="9" t="n"/>
      <c r="E218" s="9" t="n"/>
      <c r="F218" s="9" t="n"/>
      <c r="G218" s="9">
        <f>IF(OR(E218="",F218=""),"",DATEDIF(E218,F218,"Y"))</f>
        <v/>
      </c>
      <c r="H218" s="9" t="n"/>
    </row>
    <row r="219" ht="14.25" customHeight="1" s="37">
      <c r="A219" s="9" t="n"/>
      <c r="B219" s="9" t="n"/>
      <c r="C219" s="9" t="n"/>
      <c r="D219" s="9" t="n"/>
      <c r="E219" s="9" t="n"/>
      <c r="F219" s="9" t="n"/>
      <c r="G219" s="9">
        <f>IF(OR(E219="",F219=""),"",DATEDIF(E219,F219,"Y"))</f>
        <v/>
      </c>
      <c r="H219" s="9" t="n"/>
    </row>
    <row r="220" ht="14.25" customHeight="1" s="37">
      <c r="A220" s="9" t="n"/>
      <c r="B220" s="9" t="n"/>
      <c r="C220" s="9" t="n"/>
      <c r="D220" s="9" t="n"/>
      <c r="E220" s="9" t="n"/>
      <c r="F220" s="9" t="n"/>
      <c r="G220" s="9">
        <f>IF(OR(E220="",F220=""),"",DATEDIF(E220,F220,"Y"))</f>
        <v/>
      </c>
      <c r="H220" s="9" t="n"/>
    </row>
    <row r="221" ht="14.25" customHeight="1" s="37">
      <c r="A221" s="9" t="n"/>
      <c r="B221" s="9" t="n"/>
      <c r="C221" s="9" t="n"/>
      <c r="D221" s="9" t="n"/>
      <c r="E221" s="9" t="n"/>
      <c r="F221" s="9" t="n"/>
      <c r="G221" s="9">
        <f>IF(OR(E221="",F221=""),"",DATEDIF(E221,F221,"Y"))</f>
        <v/>
      </c>
      <c r="H221" s="9" t="n"/>
    </row>
    <row r="222" ht="14.25" customHeight="1" s="37">
      <c r="A222" s="9" t="n"/>
      <c r="B222" s="9" t="n"/>
      <c r="C222" s="9" t="n"/>
      <c r="D222" s="9" t="n"/>
      <c r="E222" s="9" t="n"/>
      <c r="F222" s="9" t="n"/>
      <c r="G222" s="9">
        <f>IF(OR(E222="",F222=""),"",DATEDIF(E222,F222,"Y"))</f>
        <v/>
      </c>
      <c r="H222" s="9" t="n"/>
    </row>
    <row r="223" ht="14.25" customHeight="1" s="37">
      <c r="A223" s="9" t="n"/>
      <c r="B223" s="9" t="n"/>
      <c r="C223" s="9" t="n"/>
      <c r="D223" s="9" t="n"/>
      <c r="E223" s="9" t="n"/>
      <c r="F223" s="9" t="n"/>
      <c r="G223" s="9">
        <f>IF(OR(E223="",F223=""),"",DATEDIF(E223,F223,"Y"))</f>
        <v/>
      </c>
      <c r="H223" s="9" t="n"/>
    </row>
    <row r="224" ht="14.25" customHeight="1" s="37">
      <c r="A224" s="9" t="n"/>
      <c r="B224" s="9" t="n"/>
      <c r="C224" s="9" t="n"/>
      <c r="D224" s="9" t="n"/>
      <c r="E224" s="9" t="n"/>
      <c r="F224" s="9" t="n"/>
      <c r="G224" s="9">
        <f>IF(OR(E224="",F224=""),"",DATEDIF(E224,F224,"Y"))</f>
        <v/>
      </c>
      <c r="H224" s="9" t="n"/>
    </row>
    <row r="225" ht="14.25" customHeight="1" s="37">
      <c r="A225" s="9" t="n"/>
      <c r="B225" s="9" t="n"/>
      <c r="C225" s="9" t="n"/>
      <c r="D225" s="9" t="n"/>
      <c r="E225" s="9" t="n"/>
      <c r="F225" s="9" t="n"/>
      <c r="G225" s="9">
        <f>IF(OR(E225="",F225=""),"",DATEDIF(E225,F225,"Y"))</f>
        <v/>
      </c>
      <c r="H225" s="9" t="n"/>
    </row>
    <row r="226" ht="14.25" customHeight="1" s="37">
      <c r="A226" s="9" t="n"/>
      <c r="B226" s="9" t="n"/>
      <c r="C226" s="9" t="n"/>
      <c r="D226" s="9" t="n"/>
      <c r="E226" s="9" t="n"/>
      <c r="F226" s="9" t="n"/>
      <c r="G226" s="9">
        <f>IF(OR(E226="",F226=""),"",DATEDIF(E226,F226,"Y"))</f>
        <v/>
      </c>
      <c r="H226" s="9" t="n"/>
    </row>
    <row r="227" ht="14.25" customHeight="1" s="37">
      <c r="A227" s="9" t="n"/>
      <c r="B227" s="9" t="n"/>
      <c r="C227" s="9" t="n"/>
      <c r="D227" s="9" t="n"/>
      <c r="E227" s="9" t="n"/>
      <c r="F227" s="9" t="n"/>
      <c r="G227" s="9">
        <f>IF(OR(E227="",F227=""),"",DATEDIF(E227,F227,"Y"))</f>
        <v/>
      </c>
      <c r="H227" s="9" t="n"/>
    </row>
    <row r="228" ht="14.25" customHeight="1" s="37">
      <c r="A228" s="9" t="n"/>
      <c r="B228" s="9" t="n"/>
      <c r="C228" s="9" t="n"/>
      <c r="D228" s="9" t="n"/>
      <c r="E228" s="9" t="n"/>
      <c r="F228" s="9" t="n"/>
      <c r="G228" s="9">
        <f>IF(OR(E228="",F228=""),"",DATEDIF(E228,F228,"Y"))</f>
        <v/>
      </c>
      <c r="H228" s="9" t="n"/>
    </row>
    <row r="229" ht="14.25" customHeight="1" s="37">
      <c r="A229" s="9" t="n"/>
      <c r="B229" s="9" t="n"/>
      <c r="C229" s="9" t="n"/>
      <c r="D229" s="9" t="n"/>
      <c r="E229" s="9" t="n"/>
      <c r="F229" s="9" t="n"/>
      <c r="G229" s="9">
        <f>IF(OR(E229="",F229=""),"",DATEDIF(E229,F229,"Y"))</f>
        <v/>
      </c>
      <c r="H229" s="9" t="n"/>
    </row>
    <row r="230" ht="14.25" customHeight="1" s="37">
      <c r="A230" s="9" t="n"/>
      <c r="B230" s="9" t="n"/>
      <c r="C230" s="9" t="n"/>
      <c r="D230" s="9" t="n"/>
      <c r="E230" s="9" t="n"/>
      <c r="F230" s="9" t="n"/>
      <c r="G230" s="9">
        <f>IF(OR(E230="",F230=""),"",DATEDIF(E230,F230,"Y"))</f>
        <v/>
      </c>
      <c r="H230" s="9" t="n"/>
    </row>
    <row r="231" ht="14.25" customHeight="1" s="37">
      <c r="A231" s="9" t="n"/>
      <c r="B231" s="9" t="n"/>
      <c r="C231" s="9" t="n"/>
      <c r="D231" s="9" t="n"/>
      <c r="E231" s="9" t="n"/>
      <c r="F231" s="9" t="n"/>
      <c r="G231" s="9">
        <f>IF(OR(E231="",F231=""),"",DATEDIF(E231,F231,"Y"))</f>
        <v/>
      </c>
      <c r="H231" s="9" t="n"/>
    </row>
    <row r="232" ht="14.25" customHeight="1" s="37">
      <c r="A232" s="9" t="n"/>
      <c r="B232" s="9" t="n"/>
      <c r="C232" s="9" t="n"/>
      <c r="D232" s="9" t="n"/>
      <c r="E232" s="9" t="n"/>
      <c r="F232" s="9" t="n"/>
      <c r="G232" s="9">
        <f>IF(OR(E232="",F232=""),"",DATEDIF(E232,F232,"Y"))</f>
        <v/>
      </c>
      <c r="H232" s="9" t="n"/>
    </row>
    <row r="233" ht="14.25" customHeight="1" s="37">
      <c r="A233" s="9" t="n"/>
      <c r="B233" s="9" t="n"/>
      <c r="C233" s="9" t="n"/>
      <c r="D233" s="9" t="n"/>
      <c r="E233" s="9" t="n"/>
      <c r="F233" s="9" t="n"/>
      <c r="G233" s="9">
        <f>IF(OR(E233="",F233=""),"",DATEDIF(E233,F233,"Y"))</f>
        <v/>
      </c>
      <c r="H233" s="9" t="n"/>
    </row>
    <row r="234" ht="14.25" customHeight="1" s="37">
      <c r="A234" s="9" t="n"/>
      <c r="B234" s="9" t="n"/>
      <c r="C234" s="9" t="n"/>
      <c r="D234" s="9" t="n"/>
      <c r="E234" s="9" t="n"/>
      <c r="F234" s="9" t="n"/>
      <c r="G234" s="9">
        <f>IF(OR(E234="",F234=""),"",DATEDIF(E234,F234,"Y"))</f>
        <v/>
      </c>
      <c r="H234" s="9" t="n"/>
    </row>
    <row r="235" ht="14.25" customHeight="1" s="37">
      <c r="A235" s="9" t="n"/>
      <c r="B235" s="9" t="n"/>
      <c r="C235" s="9" t="n"/>
      <c r="D235" s="9" t="n"/>
      <c r="E235" s="9" t="n"/>
      <c r="F235" s="9" t="n"/>
      <c r="G235" s="9">
        <f>IF(OR(E235="",F235=""),"",DATEDIF(E235,F235,"Y"))</f>
        <v/>
      </c>
      <c r="H235" s="9" t="n"/>
    </row>
    <row r="236" ht="14.25" customHeight="1" s="37">
      <c r="A236" s="9" t="n"/>
      <c r="B236" s="9" t="n"/>
      <c r="C236" s="9" t="n"/>
      <c r="D236" s="9" t="n"/>
      <c r="E236" s="9" t="n"/>
      <c r="F236" s="9" t="n"/>
      <c r="G236" s="9">
        <f>IF(OR(E236="",F236=""),"",DATEDIF(E236,F236,"Y"))</f>
        <v/>
      </c>
      <c r="H236" s="9" t="n"/>
    </row>
    <row r="237" ht="14.25" customHeight="1" s="37">
      <c r="A237" s="9" t="n"/>
      <c r="B237" s="9" t="n"/>
      <c r="C237" s="9" t="n"/>
      <c r="D237" s="9" t="n"/>
      <c r="E237" s="9" t="n"/>
      <c r="F237" s="9" t="n"/>
      <c r="G237" s="9">
        <f>IF(OR(E237="",F237=""),"",DATEDIF(E237,F237,"Y"))</f>
        <v/>
      </c>
      <c r="H237" s="9" t="n"/>
    </row>
    <row r="238" ht="14.25" customHeight="1" s="37">
      <c r="A238" s="9" t="n"/>
      <c r="B238" s="9" t="n"/>
      <c r="C238" s="9" t="n"/>
      <c r="D238" s="9" t="n"/>
      <c r="E238" s="9" t="n"/>
      <c r="F238" s="9" t="n"/>
      <c r="G238" s="9">
        <f>IF(OR(E238="",F238=""),"",DATEDIF(E238,F238,"Y"))</f>
        <v/>
      </c>
      <c r="H238" s="9" t="n"/>
    </row>
    <row r="239" ht="14.25" customHeight="1" s="37">
      <c r="A239" s="9" t="n"/>
      <c r="B239" s="9" t="n"/>
      <c r="C239" s="9" t="n"/>
      <c r="D239" s="9" t="n"/>
      <c r="E239" s="9" t="n"/>
      <c r="F239" s="9" t="n"/>
      <c r="G239" s="9">
        <f>IF(OR(E239="",F239=""),"",DATEDIF(E239,F239,"Y"))</f>
        <v/>
      </c>
      <c r="H239" s="9" t="n"/>
    </row>
    <row r="240" ht="14.25" customHeight="1" s="37">
      <c r="A240" s="9" t="n"/>
      <c r="B240" s="9" t="n"/>
      <c r="C240" s="9" t="n"/>
      <c r="D240" s="9" t="n"/>
      <c r="E240" s="9" t="n"/>
      <c r="F240" s="9" t="n"/>
      <c r="G240" s="9">
        <f>IF(OR(E240="",F240=""),"",DATEDIF(E240,F240,"Y"))</f>
        <v/>
      </c>
      <c r="H240" s="9" t="n"/>
    </row>
    <row r="241" ht="14.25" customHeight="1" s="37">
      <c r="A241" s="9" t="n"/>
      <c r="B241" s="9" t="n"/>
      <c r="C241" s="9" t="n"/>
      <c r="D241" s="9" t="n"/>
      <c r="E241" s="9" t="n"/>
      <c r="F241" s="9" t="n"/>
      <c r="G241" s="9">
        <f>IF(OR(E241="",F241=""),"",DATEDIF(E241,F241,"Y"))</f>
        <v/>
      </c>
      <c r="H241" s="9" t="n"/>
    </row>
    <row r="242" ht="14.25" customHeight="1" s="37">
      <c r="A242" s="9" t="n"/>
      <c r="B242" s="9" t="n"/>
      <c r="C242" s="9" t="n"/>
      <c r="D242" s="9" t="n"/>
      <c r="E242" s="9" t="n"/>
      <c r="F242" s="9" t="n"/>
      <c r="G242" s="9">
        <f>IF(OR(E242="",F242=""),"",DATEDIF(E242,F242,"Y"))</f>
        <v/>
      </c>
      <c r="H242" s="9" t="n"/>
    </row>
    <row r="243" ht="14.25" customHeight="1" s="37">
      <c r="A243" s="9" t="n"/>
      <c r="B243" s="9" t="n"/>
      <c r="C243" s="9" t="n"/>
      <c r="D243" s="9" t="n"/>
      <c r="E243" s="9" t="n"/>
      <c r="F243" s="9" t="n"/>
      <c r="G243" s="9">
        <f>IF(OR(E243="",F243=""),"",DATEDIF(E243,F243,"Y"))</f>
        <v/>
      </c>
      <c r="H243" s="9" t="n"/>
    </row>
    <row r="244" ht="14.25" customHeight="1" s="37">
      <c r="A244" s="9" t="n"/>
      <c r="B244" s="9" t="n"/>
      <c r="C244" s="9" t="n"/>
      <c r="D244" s="9" t="n"/>
      <c r="E244" s="9" t="n"/>
      <c r="F244" s="9" t="n"/>
      <c r="G244" s="9">
        <f>IF(OR(E244="",F244=""),"",DATEDIF(E244,F244,"Y"))</f>
        <v/>
      </c>
      <c r="H244" s="9" t="n"/>
    </row>
    <row r="245" ht="14.25" customHeight="1" s="37">
      <c r="A245" s="9" t="n"/>
      <c r="B245" s="9" t="n"/>
      <c r="C245" s="9" t="n"/>
      <c r="D245" s="9" t="n"/>
      <c r="E245" s="9" t="n"/>
      <c r="F245" s="9" t="n"/>
      <c r="G245" s="9">
        <f>IF(OR(E245="",F245=""),"",DATEDIF(E245,F245,"Y"))</f>
        <v/>
      </c>
      <c r="H245" s="9" t="n"/>
    </row>
    <row r="246" ht="14.25" customHeight="1" s="37">
      <c r="A246" s="9" t="n"/>
      <c r="B246" s="9" t="n"/>
      <c r="C246" s="9" t="n"/>
      <c r="D246" s="9" t="n"/>
      <c r="E246" s="9" t="n"/>
      <c r="F246" s="9" t="n"/>
      <c r="G246" s="9">
        <f>IF(OR(E246="",F246=""),"",DATEDIF(E246,F246,"Y"))</f>
        <v/>
      </c>
      <c r="H246" s="9" t="n"/>
    </row>
    <row r="247" ht="14.25" customHeight="1" s="37">
      <c r="A247" s="9" t="n"/>
      <c r="B247" s="9" t="n"/>
      <c r="C247" s="9" t="n"/>
      <c r="D247" s="9" t="n"/>
      <c r="E247" s="9" t="n"/>
      <c r="F247" s="9" t="n"/>
      <c r="G247" s="9">
        <f>IF(OR(E247="",F247=""),"",DATEDIF(E247,F247,"Y"))</f>
        <v/>
      </c>
      <c r="H247" s="9" t="n"/>
    </row>
    <row r="248" ht="14.25" customHeight="1" s="37">
      <c r="A248" s="9" t="n"/>
      <c r="B248" s="9" t="n"/>
      <c r="C248" s="9" t="n"/>
      <c r="D248" s="9" t="n"/>
      <c r="E248" s="9" t="n"/>
      <c r="F248" s="9" t="n"/>
      <c r="G248" s="9">
        <f>IF(OR(E248="",F248=""),"",DATEDIF(E248,F248,"Y"))</f>
        <v/>
      </c>
      <c r="H248" s="9" t="n"/>
    </row>
    <row r="249" ht="14.25" customHeight="1" s="37">
      <c r="A249" s="9" t="n"/>
      <c r="B249" s="9" t="n"/>
      <c r="C249" s="9" t="n"/>
      <c r="D249" s="9" t="n"/>
      <c r="E249" s="9" t="n"/>
      <c r="F249" s="9" t="n"/>
      <c r="G249" s="9">
        <f>IF(OR(E249="",F249=""),"",DATEDIF(E249,F249,"Y"))</f>
        <v/>
      </c>
      <c r="H249" s="9" t="n"/>
    </row>
    <row r="250" ht="14.25" customHeight="1" s="37">
      <c r="A250" s="9" t="n"/>
      <c r="B250" s="9" t="n"/>
      <c r="C250" s="9" t="n"/>
      <c r="D250" s="9" t="n"/>
      <c r="E250" s="9" t="n"/>
      <c r="F250" s="9" t="n"/>
      <c r="G250" s="9">
        <f>IF(OR(E250="",F250=""),"",DATEDIF(E250,F250,"Y"))</f>
        <v/>
      </c>
      <c r="H250" s="9" t="n"/>
    </row>
    <row r="251" ht="14.25" customHeight="1" s="37">
      <c r="A251" s="9" t="n"/>
      <c r="B251" s="9" t="n"/>
      <c r="C251" s="9" t="n"/>
      <c r="D251" s="9" t="n"/>
      <c r="E251" s="9" t="n"/>
      <c r="F251" s="9" t="n"/>
      <c r="G251" s="9">
        <f>IF(OR(E251="",F251=""),"",DATEDIF(E251,F251,"Y"))</f>
        <v/>
      </c>
      <c r="H251" s="9" t="n"/>
    </row>
    <row r="252" ht="14.25" customHeight="1" s="37">
      <c r="A252" s="9" t="n"/>
      <c r="B252" s="9" t="n"/>
      <c r="C252" s="9" t="n"/>
      <c r="D252" s="9" t="n"/>
      <c r="E252" s="9" t="n"/>
      <c r="F252" s="9" t="n"/>
      <c r="G252" s="9">
        <f>IF(OR(E252="",F252=""),"",DATEDIF(E252,F252,"Y"))</f>
        <v/>
      </c>
      <c r="H252" s="9" t="n"/>
    </row>
    <row r="253" ht="14.25" customHeight="1" s="37">
      <c r="A253" s="9" t="n"/>
      <c r="B253" s="9" t="n"/>
      <c r="C253" s="9" t="n"/>
      <c r="D253" s="9" t="n"/>
      <c r="E253" s="9" t="n"/>
      <c r="F253" s="9" t="n"/>
      <c r="G253" s="9">
        <f>IF(OR(E253="",F253=""),"",DATEDIF(E253,F253,"Y"))</f>
        <v/>
      </c>
      <c r="H253" s="9" t="n"/>
    </row>
    <row r="254" ht="14.25" customHeight="1" s="37">
      <c r="A254" s="9" t="n"/>
      <c r="B254" s="9" t="n"/>
      <c r="C254" s="9" t="n"/>
      <c r="D254" s="9" t="n"/>
      <c r="E254" s="9" t="n"/>
      <c r="F254" s="9" t="n"/>
      <c r="G254" s="9">
        <f>IF(OR(E254="",F254=""),"",DATEDIF(E254,F254,"Y"))</f>
        <v/>
      </c>
      <c r="H254" s="9" t="n"/>
    </row>
    <row r="255" ht="14.25" customHeight="1" s="37">
      <c r="A255" s="9" t="n"/>
      <c r="B255" s="9" t="n"/>
      <c r="C255" s="9" t="n"/>
      <c r="D255" s="9" t="n"/>
      <c r="E255" s="9" t="n"/>
      <c r="F255" s="9" t="n"/>
      <c r="G255" s="9">
        <f>IF(OR(E255="",F255=""),"",DATEDIF(E255,F255,"Y"))</f>
        <v/>
      </c>
      <c r="H255" s="9" t="n"/>
    </row>
    <row r="256" ht="14.25" customHeight="1" s="37">
      <c r="A256" s="9" t="n"/>
      <c r="B256" s="9" t="n"/>
      <c r="C256" s="9" t="n"/>
      <c r="D256" s="9" t="n"/>
      <c r="E256" s="9" t="n"/>
      <c r="F256" s="9" t="n"/>
      <c r="G256" s="9">
        <f>IF(OR(E256="",F256=""),"",DATEDIF(E256,F256,"Y"))</f>
        <v/>
      </c>
      <c r="H256" s="9" t="n"/>
    </row>
    <row r="257" ht="14.25" customHeight="1" s="37">
      <c r="A257" s="9" t="n"/>
      <c r="B257" s="9" t="n"/>
      <c r="C257" s="9" t="n"/>
      <c r="D257" s="9" t="n"/>
      <c r="E257" s="9" t="n"/>
      <c r="F257" s="9" t="n"/>
      <c r="G257" s="9">
        <f>IF(OR(E257="",F257=""),"",DATEDIF(E257,F257,"Y"))</f>
        <v/>
      </c>
      <c r="H257" s="9" t="n"/>
    </row>
    <row r="258" ht="14.25" customHeight="1" s="37">
      <c r="A258" s="9" t="n"/>
      <c r="B258" s="9" t="n"/>
      <c r="C258" s="9" t="n"/>
      <c r="D258" s="9" t="n"/>
      <c r="E258" s="9" t="n"/>
      <c r="F258" s="9" t="n"/>
      <c r="G258" s="9">
        <f>IF(OR(E258="",F258=""),"",DATEDIF(E258,F258,"Y"))</f>
        <v/>
      </c>
      <c r="H258" s="9" t="n"/>
    </row>
    <row r="259" ht="14.25" customHeight="1" s="37">
      <c r="A259" s="9" t="n"/>
      <c r="B259" s="9" t="n"/>
      <c r="C259" s="9" t="n"/>
      <c r="D259" s="9" t="n"/>
      <c r="E259" s="9" t="n"/>
      <c r="F259" s="9" t="n"/>
      <c r="G259" s="9">
        <f>IF(OR(E259="",F259=""),"",DATEDIF(E259,F259,"Y"))</f>
        <v/>
      </c>
      <c r="H259" s="9" t="n"/>
    </row>
    <row r="260" ht="14.25" customHeight="1" s="37">
      <c r="A260" s="9" t="n"/>
      <c r="B260" s="9" t="n"/>
      <c r="C260" s="9" t="n"/>
      <c r="D260" s="9" t="n"/>
      <c r="E260" s="9" t="n"/>
      <c r="F260" s="9" t="n"/>
      <c r="G260" s="9">
        <f>IF(OR(E260="",F260=""),"",DATEDIF(E260,F260,"Y"))</f>
        <v/>
      </c>
      <c r="H260" s="9" t="n"/>
    </row>
    <row r="261" ht="14.25" customHeight="1" s="37">
      <c r="A261" s="9" t="n"/>
      <c r="B261" s="9" t="n"/>
      <c r="C261" s="9" t="n"/>
      <c r="D261" s="9" t="n"/>
      <c r="E261" s="9" t="n"/>
      <c r="F261" s="9" t="n"/>
      <c r="G261" s="9">
        <f>IF(OR(E261="",F261=""),"",DATEDIF(E261,F261,"Y"))</f>
        <v/>
      </c>
      <c r="H261" s="9" t="n"/>
    </row>
    <row r="262" ht="14.25" customHeight="1" s="37">
      <c r="A262" s="9" t="n"/>
      <c r="B262" s="9" t="n"/>
      <c r="C262" s="9" t="n"/>
      <c r="D262" s="9" t="n"/>
      <c r="E262" s="9" t="n"/>
      <c r="F262" s="9" t="n"/>
      <c r="G262" s="9">
        <f>IF(OR(E262="",F262=""),"",DATEDIF(E262,F262,"Y"))</f>
        <v/>
      </c>
      <c r="H262" s="9" t="n"/>
    </row>
    <row r="263" ht="14.25" customHeight="1" s="37">
      <c r="A263" s="9" t="n"/>
      <c r="B263" s="9" t="n"/>
      <c r="C263" s="9" t="n"/>
      <c r="D263" s="9" t="n"/>
      <c r="E263" s="9" t="n"/>
      <c r="F263" s="9" t="n"/>
      <c r="G263" s="9">
        <f>IF(OR(E263="",F263=""),"",DATEDIF(E263,F263,"Y"))</f>
        <v/>
      </c>
      <c r="H263" s="9" t="n"/>
    </row>
    <row r="264" ht="14.25" customHeight="1" s="37">
      <c r="A264" s="9" t="n"/>
      <c r="B264" s="9" t="n"/>
      <c r="C264" s="9" t="n"/>
      <c r="D264" s="9" t="n"/>
      <c r="E264" s="9" t="n"/>
      <c r="F264" s="9" t="n"/>
      <c r="G264" s="9">
        <f>IF(OR(E264="",F264=""),"",DATEDIF(E264,F264,"Y"))</f>
        <v/>
      </c>
      <c r="H264" s="9" t="n"/>
    </row>
    <row r="265" ht="14.25" customHeight="1" s="37">
      <c r="A265" s="9" t="n"/>
      <c r="B265" s="9" t="n"/>
      <c r="C265" s="9" t="n"/>
      <c r="D265" s="9" t="n"/>
      <c r="E265" s="9" t="n"/>
      <c r="F265" s="9" t="n"/>
      <c r="G265" s="9">
        <f>IF(OR(E265="",F265=""),"",DATEDIF(E265,F265,"Y"))</f>
        <v/>
      </c>
      <c r="H265" s="9" t="n"/>
    </row>
    <row r="266" ht="14.25" customHeight="1" s="37">
      <c r="A266" s="9" t="n"/>
      <c r="B266" s="9" t="n"/>
      <c r="C266" s="9" t="n"/>
      <c r="D266" s="9" t="n"/>
      <c r="E266" s="9" t="n"/>
      <c r="F266" s="9" t="n"/>
      <c r="G266" s="9">
        <f>IF(OR(E266="",F266=""),"",DATEDIF(E266,F266,"Y"))</f>
        <v/>
      </c>
      <c r="H266" s="9" t="n"/>
    </row>
    <row r="267" ht="14.25" customHeight="1" s="37">
      <c r="A267" s="9" t="n"/>
      <c r="B267" s="9" t="n"/>
      <c r="C267" s="9" t="n"/>
      <c r="D267" s="9" t="n"/>
      <c r="E267" s="9" t="n"/>
      <c r="F267" s="9" t="n"/>
      <c r="G267" s="9">
        <f>IF(OR(E267="",F267=""),"",DATEDIF(E267,F267,"Y"))</f>
        <v/>
      </c>
      <c r="H267" s="9" t="n"/>
    </row>
    <row r="268" ht="14.25" customHeight="1" s="37">
      <c r="A268" s="9" t="n"/>
      <c r="B268" s="9" t="n"/>
      <c r="C268" s="9" t="n"/>
      <c r="D268" s="9" t="n"/>
      <c r="E268" s="9" t="n"/>
      <c r="F268" s="9" t="n"/>
      <c r="G268" s="9">
        <f>IF(OR(E268="",F268=""),"",DATEDIF(E268,F268,"Y"))</f>
        <v/>
      </c>
      <c r="H268" s="9" t="n"/>
    </row>
    <row r="269" ht="14.25" customHeight="1" s="37">
      <c r="A269" s="9" t="n"/>
      <c r="B269" s="9" t="n"/>
      <c r="C269" s="9" t="n"/>
      <c r="D269" s="9" t="n"/>
      <c r="E269" s="9" t="n"/>
      <c r="F269" s="9" t="n"/>
      <c r="G269" s="9">
        <f>IF(OR(E269="",F269=""),"",DATEDIF(E269,F269,"Y"))</f>
        <v/>
      </c>
      <c r="H269" s="9" t="n"/>
    </row>
    <row r="270" ht="14.25" customHeight="1" s="37">
      <c r="A270" s="9" t="n"/>
      <c r="B270" s="9" t="n"/>
      <c r="C270" s="9" t="n"/>
      <c r="D270" s="9" t="n"/>
      <c r="E270" s="9" t="n"/>
      <c r="F270" s="9" t="n"/>
      <c r="G270" s="9">
        <f>IF(OR(E270="",F270=""),"",DATEDIF(E270,F270,"Y"))</f>
        <v/>
      </c>
      <c r="H270" s="9" t="n"/>
    </row>
    <row r="271" ht="14.25" customHeight="1" s="37">
      <c r="A271" s="9" t="n"/>
      <c r="B271" s="9" t="n"/>
      <c r="C271" s="9" t="n"/>
      <c r="D271" s="9" t="n"/>
      <c r="E271" s="9" t="n"/>
      <c r="F271" s="9" t="n"/>
      <c r="G271" s="9">
        <f>IF(OR(E271="",F271=""),"",DATEDIF(E271,F271,"Y"))</f>
        <v/>
      </c>
      <c r="H271" s="9" t="n"/>
    </row>
    <row r="272" ht="14.25" customHeight="1" s="37">
      <c r="A272" s="9" t="n"/>
      <c r="B272" s="9" t="n"/>
      <c r="C272" s="9" t="n"/>
      <c r="D272" s="9" t="n"/>
      <c r="E272" s="9" t="n"/>
      <c r="F272" s="9" t="n"/>
      <c r="G272" s="9">
        <f>IF(OR(E272="",F272=""),"",DATEDIF(E272,F272,"Y"))</f>
        <v/>
      </c>
      <c r="H272" s="9" t="n"/>
    </row>
    <row r="273" ht="14.25" customHeight="1" s="37">
      <c r="A273" s="9" t="n"/>
      <c r="B273" s="9" t="n"/>
      <c r="C273" s="9" t="n"/>
      <c r="D273" s="9" t="n"/>
      <c r="E273" s="9" t="n"/>
      <c r="F273" s="9" t="n"/>
      <c r="G273" s="9">
        <f>IF(OR(E273="",F273=""),"",DATEDIF(E273,F273,"Y"))</f>
        <v/>
      </c>
      <c r="H273" s="9" t="n"/>
    </row>
    <row r="274" ht="14.25" customHeight="1" s="37">
      <c r="A274" s="9" t="n"/>
      <c r="B274" s="9" t="n"/>
      <c r="C274" s="9" t="n"/>
      <c r="D274" s="9" t="n"/>
      <c r="E274" s="9" t="n"/>
      <c r="F274" s="9" t="n"/>
      <c r="G274" s="9">
        <f>IF(OR(E274="",F274=""),"",DATEDIF(E274,F274,"Y"))</f>
        <v/>
      </c>
      <c r="H274" s="9" t="n"/>
    </row>
    <row r="275" ht="14.25" customHeight="1" s="37">
      <c r="A275" s="9" t="n"/>
      <c r="B275" s="9" t="n"/>
      <c r="C275" s="9" t="n"/>
      <c r="D275" s="9" t="n"/>
      <c r="E275" s="9" t="n"/>
      <c r="F275" s="9" t="n"/>
      <c r="G275" s="9">
        <f>IF(OR(E275="",F275=""),"",DATEDIF(E275,F275,"Y"))</f>
        <v/>
      </c>
      <c r="H275" s="9" t="n"/>
    </row>
    <row r="276" ht="14.25" customHeight="1" s="37">
      <c r="A276" s="9" t="n"/>
      <c r="B276" s="9" t="n"/>
      <c r="C276" s="9" t="n"/>
      <c r="D276" s="9" t="n"/>
      <c r="E276" s="9" t="n"/>
      <c r="F276" s="9" t="n"/>
      <c r="G276" s="9">
        <f>IF(OR(E276="",F276=""),"",DATEDIF(E276,F276,"Y"))</f>
        <v/>
      </c>
      <c r="H276" s="9" t="n"/>
    </row>
    <row r="277" ht="14.25" customHeight="1" s="37">
      <c r="A277" s="9" t="n"/>
      <c r="B277" s="9" t="n"/>
      <c r="C277" s="9" t="n"/>
      <c r="D277" s="9" t="n"/>
      <c r="E277" s="9" t="n"/>
      <c r="F277" s="9" t="n"/>
      <c r="G277" s="9">
        <f>IF(OR(E277="",F277=""),"",DATEDIF(E277,F277,"Y"))</f>
        <v/>
      </c>
      <c r="H277" s="9" t="n"/>
    </row>
    <row r="278" ht="14.25" customHeight="1" s="37">
      <c r="A278" s="9" t="n"/>
      <c r="B278" s="9" t="n"/>
      <c r="C278" s="9" t="n"/>
      <c r="D278" s="9" t="n"/>
      <c r="E278" s="9" t="n"/>
      <c r="F278" s="9" t="n"/>
      <c r="G278" s="9">
        <f>IF(OR(E278="",F278=""),"",DATEDIF(E278,F278,"Y"))</f>
        <v/>
      </c>
      <c r="H278" s="9" t="n"/>
    </row>
    <row r="279" ht="14.25" customHeight="1" s="37">
      <c r="A279" s="9" t="n"/>
      <c r="B279" s="9" t="n"/>
      <c r="C279" s="9" t="n"/>
      <c r="D279" s="9" t="n"/>
      <c r="E279" s="9" t="n"/>
      <c r="F279" s="9" t="n"/>
      <c r="G279" s="9">
        <f>IF(OR(E279="",F279=""),"",DATEDIF(E279,F279,"Y"))</f>
        <v/>
      </c>
      <c r="H279" s="9" t="n"/>
    </row>
    <row r="280" ht="14.25" customHeight="1" s="37">
      <c r="A280" s="9" t="n"/>
      <c r="B280" s="9" t="n"/>
      <c r="C280" s="9" t="n"/>
      <c r="D280" s="9" t="n"/>
      <c r="E280" s="9" t="n"/>
      <c r="F280" s="9" t="n"/>
      <c r="G280" s="9">
        <f>IF(OR(E280="",F280=""),"",DATEDIF(E280,F280,"Y"))</f>
        <v/>
      </c>
      <c r="H280" s="9" t="n"/>
    </row>
    <row r="281" ht="14.25" customHeight="1" s="37">
      <c r="A281" s="9" t="n"/>
      <c r="B281" s="9" t="n"/>
      <c r="C281" s="9" t="n"/>
      <c r="D281" s="9" t="n"/>
      <c r="E281" s="9" t="n"/>
      <c r="F281" s="9" t="n"/>
      <c r="G281" s="9">
        <f>IF(OR(E281="",F281=""),"",DATEDIF(E281,F281,"Y"))</f>
        <v/>
      </c>
      <c r="H281" s="9" t="n"/>
    </row>
    <row r="282" ht="14.25" customHeight="1" s="37">
      <c r="A282" s="9" t="n"/>
      <c r="B282" s="9" t="n"/>
      <c r="C282" s="9" t="n"/>
      <c r="D282" s="9" t="n"/>
      <c r="E282" s="9" t="n"/>
      <c r="F282" s="9" t="n"/>
      <c r="G282" s="9">
        <f>IF(OR(E282="",F282=""),"",DATEDIF(E282,F282,"Y"))</f>
        <v/>
      </c>
      <c r="H282" s="9" t="n"/>
    </row>
    <row r="283" ht="14.25" customHeight="1" s="37">
      <c r="A283" s="9" t="n"/>
      <c r="B283" s="9" t="n"/>
      <c r="C283" s="9" t="n"/>
      <c r="D283" s="9" t="n"/>
      <c r="E283" s="9" t="n"/>
      <c r="F283" s="9" t="n"/>
      <c r="G283" s="9">
        <f>IF(OR(E283="",F283=""),"",DATEDIF(E283,F283,"Y"))</f>
        <v/>
      </c>
      <c r="H283" s="9" t="n"/>
    </row>
    <row r="284" ht="14.25" customHeight="1" s="37">
      <c r="A284" s="9" t="n"/>
      <c r="B284" s="9" t="n"/>
      <c r="C284" s="9" t="n"/>
      <c r="D284" s="9" t="n"/>
      <c r="E284" s="9" t="n"/>
      <c r="F284" s="9" t="n"/>
      <c r="G284" s="9">
        <f>IF(OR(E284="",F284=""),"",DATEDIF(E284,F284,"Y"))</f>
        <v/>
      </c>
      <c r="H284" s="9" t="n"/>
    </row>
    <row r="285" ht="14.25" customHeight="1" s="37">
      <c r="A285" s="9" t="n"/>
      <c r="B285" s="9" t="n"/>
      <c r="C285" s="9" t="n"/>
      <c r="D285" s="9" t="n"/>
      <c r="E285" s="9" t="n"/>
      <c r="F285" s="9" t="n"/>
      <c r="G285" s="9">
        <f>IF(OR(E285="",F285=""),"",DATEDIF(E285,F285,"Y"))</f>
        <v/>
      </c>
      <c r="H285" s="9" t="n"/>
    </row>
    <row r="286" ht="14.25" customHeight="1" s="37">
      <c r="A286" s="9" t="n"/>
      <c r="B286" s="9" t="n"/>
      <c r="C286" s="9" t="n"/>
      <c r="D286" s="9" t="n"/>
      <c r="E286" s="9" t="n"/>
      <c r="F286" s="9" t="n"/>
      <c r="G286" s="9">
        <f>IF(OR(E286="",F286=""),"",DATEDIF(E286,F286,"Y"))</f>
        <v/>
      </c>
      <c r="H286" s="9" t="n"/>
    </row>
    <row r="287" ht="14.25" customHeight="1" s="37">
      <c r="A287" s="9" t="n"/>
      <c r="B287" s="9" t="n"/>
      <c r="C287" s="9" t="n"/>
      <c r="D287" s="9" t="n"/>
      <c r="E287" s="9" t="n"/>
      <c r="F287" s="9" t="n"/>
      <c r="G287" s="9">
        <f>IF(OR(E287="",F287=""),"",DATEDIF(E287,F287,"Y"))</f>
        <v/>
      </c>
      <c r="H287" s="9" t="n"/>
    </row>
    <row r="288" ht="14.25" customHeight="1" s="37">
      <c r="A288" s="9" t="n"/>
      <c r="B288" s="9" t="n"/>
      <c r="C288" s="9" t="n"/>
      <c r="D288" s="9" t="n"/>
      <c r="E288" s="9" t="n"/>
      <c r="F288" s="9" t="n"/>
      <c r="G288" s="9">
        <f>IF(OR(E288="",F288=""),"",DATEDIF(E288,F288,"Y"))</f>
        <v/>
      </c>
      <c r="H288" s="9" t="n"/>
    </row>
    <row r="289" ht="14.25" customHeight="1" s="37">
      <c r="A289" s="9" t="n"/>
      <c r="B289" s="9" t="n"/>
      <c r="C289" s="9" t="n"/>
      <c r="D289" s="9" t="n"/>
      <c r="E289" s="9" t="n"/>
      <c r="F289" s="9" t="n"/>
      <c r="G289" s="9">
        <f>IF(OR(E289="",F289=""),"",DATEDIF(E289,F289,"Y"))</f>
        <v/>
      </c>
      <c r="H289" s="9" t="n"/>
    </row>
    <row r="290" ht="14.25" customHeight="1" s="37">
      <c r="A290" s="9" t="n"/>
      <c r="B290" s="9" t="n"/>
      <c r="C290" s="9" t="n"/>
      <c r="D290" s="9" t="n"/>
      <c r="E290" s="9" t="n"/>
      <c r="F290" s="9" t="n"/>
      <c r="G290" s="9">
        <f>IF(OR(E290="",F290=""),"",DATEDIF(E290,F290,"Y"))</f>
        <v/>
      </c>
      <c r="H290" s="9" t="n"/>
    </row>
    <row r="291" ht="14.25" customHeight="1" s="37">
      <c r="A291" s="9" t="n"/>
      <c r="B291" s="9" t="n"/>
      <c r="C291" s="9" t="n"/>
      <c r="D291" s="9" t="n"/>
      <c r="E291" s="9" t="n"/>
      <c r="F291" s="9" t="n"/>
      <c r="G291" s="9">
        <f>IF(OR(E291="",F291=""),"",DATEDIF(E291,F291,"Y"))</f>
        <v/>
      </c>
      <c r="H291" s="9" t="n"/>
    </row>
    <row r="292" ht="14.25" customHeight="1" s="37">
      <c r="A292" s="9" t="n"/>
      <c r="B292" s="9" t="n"/>
      <c r="C292" s="9" t="n"/>
      <c r="D292" s="9" t="n"/>
      <c r="E292" s="9" t="n"/>
      <c r="F292" s="9" t="n"/>
      <c r="G292" s="9">
        <f>IF(OR(E292="",F292=""),"",DATEDIF(E292,F292,"Y"))</f>
        <v/>
      </c>
      <c r="H292" s="9" t="n"/>
    </row>
    <row r="293" ht="14.25" customHeight="1" s="37">
      <c r="A293" s="9" t="n"/>
      <c r="B293" s="9" t="n"/>
      <c r="C293" s="9" t="n"/>
      <c r="D293" s="9" t="n"/>
      <c r="E293" s="9" t="n"/>
      <c r="F293" s="9" t="n"/>
      <c r="G293" s="9">
        <f>IF(OR(E293="",F293=""),"",DATEDIF(E293,F293,"Y"))</f>
        <v/>
      </c>
      <c r="H293" s="9" t="n"/>
    </row>
    <row r="294" ht="14.25" customHeight="1" s="37">
      <c r="A294" s="9" t="n"/>
      <c r="B294" s="9" t="n"/>
      <c r="C294" s="9" t="n"/>
      <c r="D294" s="9" t="n"/>
      <c r="E294" s="9" t="n"/>
      <c r="F294" s="9" t="n"/>
      <c r="G294" s="9">
        <f>IF(OR(E294="",F294=""),"",DATEDIF(E294,F294,"Y"))</f>
        <v/>
      </c>
      <c r="H294" s="9" t="n"/>
    </row>
    <row r="295" ht="14.25" customHeight="1" s="37">
      <c r="A295" s="9" t="n"/>
      <c r="B295" s="9" t="n"/>
      <c r="C295" s="9" t="n"/>
      <c r="D295" s="9" t="n"/>
      <c r="E295" s="9" t="n"/>
      <c r="F295" s="9" t="n"/>
      <c r="G295" s="9">
        <f>IF(OR(E295="",F295=""),"",DATEDIF(E295,F295,"Y"))</f>
        <v/>
      </c>
      <c r="H295" s="9" t="n"/>
    </row>
    <row r="296" ht="14.25" customHeight="1" s="37">
      <c r="A296" s="9" t="n"/>
      <c r="B296" s="9" t="n"/>
      <c r="C296" s="9" t="n"/>
      <c r="D296" s="9" t="n"/>
      <c r="E296" s="9" t="n"/>
      <c r="F296" s="9" t="n"/>
      <c r="G296" s="9">
        <f>IF(OR(E296="",F296=""),"",DATEDIF(E296,F296,"Y"))</f>
        <v/>
      </c>
      <c r="H296" s="9" t="n"/>
    </row>
    <row r="297" ht="14.25" customHeight="1" s="37">
      <c r="A297" s="9" t="n"/>
      <c r="B297" s="9" t="n"/>
      <c r="C297" s="9" t="n"/>
      <c r="D297" s="9" t="n"/>
      <c r="E297" s="9" t="n"/>
      <c r="F297" s="9" t="n"/>
      <c r="G297" s="9">
        <f>IF(OR(E297="",F297=""),"",DATEDIF(E297,F297,"Y"))</f>
        <v/>
      </c>
      <c r="H297" s="9" t="n"/>
    </row>
    <row r="298" ht="14.25" customHeight="1" s="37">
      <c r="A298" s="9" t="n"/>
      <c r="B298" s="9" t="n"/>
      <c r="C298" s="9" t="n"/>
      <c r="D298" s="9" t="n"/>
      <c r="E298" s="9" t="n"/>
      <c r="F298" s="9" t="n"/>
      <c r="G298" s="9">
        <f>IF(OR(E298="",F298=""),"",DATEDIF(E298,F298,"Y"))</f>
        <v/>
      </c>
      <c r="H298" s="9" t="n"/>
    </row>
    <row r="299" ht="14.25" customHeight="1" s="37">
      <c r="A299" s="9" t="n"/>
      <c r="B299" s="9" t="n"/>
      <c r="C299" s="9" t="n"/>
      <c r="D299" s="9" t="n"/>
      <c r="E299" s="9" t="n"/>
      <c r="F299" s="9" t="n"/>
      <c r="G299" s="9">
        <f>IF(OR(E299="",F299=""),"",DATEDIF(E299,F299,"Y"))</f>
        <v/>
      </c>
      <c r="H299" s="9" t="n"/>
    </row>
    <row r="300" ht="14.25" customHeight="1" s="37">
      <c r="A300" s="9" t="n"/>
      <c r="B300" s="9" t="n"/>
      <c r="C300" s="9" t="n"/>
      <c r="D300" s="9" t="n"/>
      <c r="E300" s="9" t="n"/>
      <c r="F300" s="9" t="n"/>
      <c r="G300" s="9">
        <f>IF(OR(E300="",F300=""),"",DATEDIF(E300,F300,"Y"))</f>
        <v/>
      </c>
      <c r="H300" s="9" t="n"/>
    </row>
    <row r="301" ht="14.25" customHeight="1" s="37">
      <c r="A301" s="9" t="n"/>
      <c r="B301" s="9" t="n"/>
      <c r="C301" s="9" t="n"/>
      <c r="D301" s="9" t="n"/>
      <c r="E301" s="9" t="n"/>
      <c r="F301" s="9" t="n"/>
      <c r="G301" s="9">
        <f>IF(OR(E301="",F301=""),"",DATEDIF(E301,F301,"Y"))</f>
        <v/>
      </c>
      <c r="H301" s="9" t="n"/>
    </row>
    <row r="302" ht="14.25" customHeight="1" s="37">
      <c r="A302" s="9" t="n"/>
      <c r="B302" s="9" t="n"/>
      <c r="C302" s="9" t="n"/>
      <c r="D302" s="9" t="n"/>
      <c r="E302" s="9" t="n"/>
      <c r="F302" s="9" t="n"/>
      <c r="G302" s="9">
        <f>IF(OR(E302="",F302=""),"",DATEDIF(E302,F302,"Y"))</f>
        <v/>
      </c>
      <c r="H302" s="9" t="n"/>
    </row>
    <row r="303" ht="14.25" customHeight="1" s="37">
      <c r="A303" s="9" t="n"/>
      <c r="B303" s="9" t="n"/>
      <c r="C303" s="9" t="n"/>
      <c r="D303" s="9" t="n"/>
      <c r="E303" s="9" t="n"/>
      <c r="F303" s="9" t="n"/>
      <c r="G303" s="9">
        <f>IF(OR(E303="",F303=""),"",DATEDIF(E303,F303,"Y"))</f>
        <v/>
      </c>
      <c r="H303" s="9" t="n"/>
    </row>
    <row r="304" ht="14.25" customHeight="1" s="37">
      <c r="A304" s="9" t="n"/>
      <c r="B304" s="9" t="n"/>
      <c r="C304" s="9" t="n"/>
      <c r="D304" s="9" t="n"/>
      <c r="E304" s="9" t="n"/>
      <c r="F304" s="9" t="n"/>
      <c r="G304" s="9">
        <f>IF(OR(E304="",F304=""),"",DATEDIF(E304,F304,"Y"))</f>
        <v/>
      </c>
      <c r="H304" s="9" t="n"/>
    </row>
    <row r="305" ht="14.25" customHeight="1" s="37">
      <c r="A305" s="9" t="n"/>
      <c r="B305" s="9" t="n"/>
      <c r="C305" s="9" t="n"/>
      <c r="D305" s="9" t="n"/>
      <c r="E305" s="9" t="n"/>
      <c r="F305" s="9" t="n"/>
      <c r="G305" s="9">
        <f>IF(OR(E305="",F305=""),"",DATEDIF(E305,F305,"Y"))</f>
        <v/>
      </c>
      <c r="H305" s="9" t="n"/>
    </row>
    <row r="306" ht="14.25" customHeight="1" s="37">
      <c r="A306" s="9" t="n"/>
      <c r="B306" s="9" t="n"/>
      <c r="C306" s="9" t="n"/>
      <c r="D306" s="9" t="n"/>
      <c r="E306" s="9" t="n"/>
      <c r="F306" s="9" t="n"/>
      <c r="G306" s="9">
        <f>IF(OR(E306="",F306=""),"",DATEDIF(E306,F306,"Y"))</f>
        <v/>
      </c>
      <c r="H306" s="9" t="n"/>
    </row>
    <row r="307" ht="14.25" customHeight="1" s="37">
      <c r="A307" s="9" t="n"/>
      <c r="B307" s="9" t="n"/>
      <c r="C307" s="9" t="n"/>
      <c r="D307" s="9" t="n"/>
      <c r="E307" s="9" t="n"/>
      <c r="F307" s="9" t="n"/>
      <c r="G307" s="9">
        <f>IF(OR(E307="",F307=""),"",DATEDIF(E307,F307,"Y"))</f>
        <v/>
      </c>
      <c r="H307" s="9" t="n"/>
    </row>
    <row r="308" ht="14.25" customHeight="1" s="37">
      <c r="A308" s="9" t="n"/>
      <c r="B308" s="9" t="n"/>
      <c r="C308" s="9" t="n"/>
      <c r="D308" s="9" t="n"/>
      <c r="E308" s="9" t="n"/>
      <c r="F308" s="9" t="n"/>
      <c r="G308" s="9">
        <f>IF(OR(E308="",F308=""),"",DATEDIF(E308,F308,"Y"))</f>
        <v/>
      </c>
      <c r="H308" s="9" t="n"/>
    </row>
    <row r="309" ht="14.25" customHeight="1" s="37">
      <c r="A309" s="9" t="n"/>
      <c r="B309" s="9" t="n"/>
      <c r="C309" s="9" t="n"/>
      <c r="D309" s="9" t="n"/>
      <c r="E309" s="9" t="n"/>
      <c r="F309" s="9" t="n"/>
      <c r="G309" s="9">
        <f>IF(OR(E309="",F309=""),"",DATEDIF(E309,F309,"Y"))</f>
        <v/>
      </c>
      <c r="H309" s="9" t="n"/>
    </row>
    <row r="310" ht="14.25" customHeight="1" s="37">
      <c r="A310" s="9" t="n"/>
      <c r="B310" s="9" t="n"/>
      <c r="C310" s="9" t="n"/>
      <c r="D310" s="9" t="n"/>
      <c r="E310" s="9" t="n"/>
      <c r="F310" s="9" t="n"/>
      <c r="G310" s="9">
        <f>IF(OR(E310="",F310=""),"",DATEDIF(E310,F310,"Y"))</f>
        <v/>
      </c>
      <c r="H310" s="9" t="n"/>
    </row>
    <row r="311" ht="14.25" customHeight="1" s="37">
      <c r="A311" s="9" t="n"/>
      <c r="B311" s="9" t="n"/>
      <c r="C311" s="9" t="n"/>
      <c r="D311" s="9" t="n"/>
      <c r="E311" s="9" t="n"/>
      <c r="F311" s="9" t="n"/>
      <c r="G311" s="9">
        <f>IF(OR(E311="",F311=""),"",DATEDIF(E311,F311,"Y"))</f>
        <v/>
      </c>
      <c r="H311" s="9" t="n"/>
    </row>
    <row r="312" ht="14.25" customHeight="1" s="37">
      <c r="A312" s="9" t="n"/>
      <c r="B312" s="9" t="n"/>
      <c r="C312" s="9" t="n"/>
      <c r="D312" s="9" t="n"/>
      <c r="E312" s="9" t="n"/>
      <c r="F312" s="9" t="n"/>
      <c r="G312" s="9">
        <f>IF(OR(E312="",F312=""),"",DATEDIF(E312,F312,"Y"))</f>
        <v/>
      </c>
      <c r="H312" s="9" t="n"/>
    </row>
    <row r="313" ht="14.25" customHeight="1" s="37">
      <c r="A313" s="9" t="n"/>
      <c r="B313" s="9" t="n"/>
      <c r="C313" s="9" t="n"/>
      <c r="D313" s="9" t="n"/>
      <c r="E313" s="9" t="n"/>
      <c r="F313" s="9" t="n"/>
      <c r="G313" s="9">
        <f>IF(OR(E313="",F313=""),"",DATEDIF(E313,F313,"Y"))</f>
        <v/>
      </c>
      <c r="H313" s="9" t="n"/>
    </row>
    <row r="314" ht="14.25" customHeight="1" s="37">
      <c r="A314" s="9" t="n"/>
      <c r="B314" s="9" t="n"/>
      <c r="C314" s="9" t="n"/>
      <c r="D314" s="9" t="n"/>
      <c r="E314" s="9" t="n"/>
      <c r="F314" s="9" t="n"/>
      <c r="G314" s="9">
        <f>IF(OR(E314="",F314=""),"",DATEDIF(E314,F314,"Y"))</f>
        <v/>
      </c>
      <c r="H314" s="9" t="n"/>
    </row>
    <row r="315" ht="14.25" customHeight="1" s="37">
      <c r="A315" s="9" t="n"/>
      <c r="B315" s="9" t="n"/>
      <c r="C315" s="9" t="n"/>
      <c r="D315" s="9" t="n"/>
      <c r="E315" s="9" t="n"/>
      <c r="F315" s="9" t="n"/>
      <c r="G315" s="9">
        <f>IF(OR(E315="",F315=""),"",DATEDIF(E315,F315,"Y"))</f>
        <v/>
      </c>
      <c r="H315" s="9" t="n"/>
    </row>
    <row r="316" ht="14.25" customHeight="1" s="37">
      <c r="A316" s="9" t="n"/>
      <c r="B316" s="9" t="n"/>
      <c r="C316" s="9" t="n"/>
      <c r="D316" s="9" t="n"/>
      <c r="E316" s="9" t="n"/>
      <c r="F316" s="9" t="n"/>
      <c r="G316" s="9">
        <f>IF(OR(E316="",F316=""),"",DATEDIF(E316,F316,"Y"))</f>
        <v/>
      </c>
      <c r="H316" s="9" t="n"/>
    </row>
    <row r="317" ht="14.25" customHeight="1" s="37">
      <c r="A317" s="9" t="n"/>
      <c r="B317" s="9" t="n"/>
      <c r="C317" s="9" t="n"/>
      <c r="D317" s="9" t="n"/>
      <c r="E317" s="9" t="n"/>
      <c r="F317" s="9" t="n"/>
      <c r="G317" s="9">
        <f>IF(OR(E317="",F317=""),"",DATEDIF(E317,F317,"Y"))</f>
        <v/>
      </c>
      <c r="H317" s="9" t="n"/>
    </row>
    <row r="318" ht="14.25" customHeight="1" s="37">
      <c r="A318" s="9" t="n"/>
      <c r="B318" s="9" t="n"/>
      <c r="C318" s="9" t="n"/>
      <c r="D318" s="9" t="n"/>
      <c r="E318" s="9" t="n"/>
      <c r="F318" s="9" t="n"/>
      <c r="G318" s="9">
        <f>IF(OR(E318="",F318=""),"",DATEDIF(E318,F318,"Y"))</f>
        <v/>
      </c>
      <c r="H318" s="9" t="n"/>
    </row>
    <row r="319" ht="14.25" customHeight="1" s="37">
      <c r="A319" s="9" t="n"/>
      <c r="B319" s="9" t="n"/>
      <c r="C319" s="9" t="n"/>
      <c r="D319" s="9" t="n"/>
      <c r="E319" s="9" t="n"/>
      <c r="F319" s="9" t="n"/>
      <c r="G319" s="9">
        <f>IF(OR(E319="",F319=""),"",DATEDIF(E319,F319,"Y"))</f>
        <v/>
      </c>
      <c r="H319" s="9" t="n"/>
    </row>
    <row r="320" ht="14.25" customHeight="1" s="37">
      <c r="A320" s="9" t="n"/>
      <c r="B320" s="9" t="n"/>
      <c r="C320" s="9" t="n"/>
      <c r="D320" s="9" t="n"/>
      <c r="E320" s="9" t="n"/>
      <c r="F320" s="9" t="n"/>
      <c r="G320" s="9">
        <f>IF(OR(E320="",F320=""),"",DATEDIF(E320,F320,"Y"))</f>
        <v/>
      </c>
      <c r="H320" s="9" t="n"/>
    </row>
    <row r="321" ht="14.25" customHeight="1" s="37">
      <c r="A321" s="9" t="n"/>
      <c r="B321" s="9" t="n"/>
      <c r="C321" s="9" t="n"/>
      <c r="D321" s="9" t="n"/>
      <c r="E321" s="9" t="n"/>
      <c r="F321" s="9" t="n"/>
      <c r="G321" s="9">
        <f>IF(OR(E321="",F321=""),"",DATEDIF(E321,F321,"Y"))</f>
        <v/>
      </c>
      <c r="H321" s="9" t="n"/>
    </row>
    <row r="322" ht="14.25" customHeight="1" s="37">
      <c r="A322" s="9" t="n"/>
      <c r="B322" s="9" t="n"/>
      <c r="C322" s="9" t="n"/>
      <c r="D322" s="9" t="n"/>
      <c r="E322" s="9" t="n"/>
      <c r="F322" s="9" t="n"/>
      <c r="G322" s="9">
        <f>IF(OR(E322="",F322=""),"",DATEDIF(E322,F322,"Y"))</f>
        <v/>
      </c>
      <c r="H322" s="9" t="n"/>
    </row>
    <row r="323" ht="14.25" customHeight="1" s="37">
      <c r="A323" s="9" t="n"/>
      <c r="B323" s="9" t="n"/>
      <c r="C323" s="9" t="n"/>
      <c r="D323" s="9" t="n"/>
      <c r="E323" s="9" t="n"/>
      <c r="F323" s="9" t="n"/>
      <c r="G323" s="9">
        <f>IF(OR(E323="",F323=""),"",DATEDIF(E323,F323,"Y"))</f>
        <v/>
      </c>
      <c r="H323" s="9" t="n"/>
    </row>
    <row r="324" ht="14.25" customHeight="1" s="37">
      <c r="A324" s="9" t="n"/>
      <c r="B324" s="9" t="n"/>
      <c r="C324" s="9" t="n"/>
      <c r="D324" s="9" t="n"/>
      <c r="E324" s="9" t="n"/>
      <c r="F324" s="9" t="n"/>
      <c r="G324" s="9">
        <f>IF(OR(E324="",F324=""),"",DATEDIF(E324,F324,"Y"))</f>
        <v/>
      </c>
      <c r="H324" s="9" t="n"/>
    </row>
    <row r="325" ht="14.25" customHeight="1" s="37">
      <c r="A325" s="9" t="n"/>
      <c r="B325" s="9" t="n"/>
      <c r="C325" s="9" t="n"/>
      <c r="D325" s="9" t="n"/>
      <c r="E325" s="9" t="n"/>
      <c r="F325" s="9" t="n"/>
      <c r="G325" s="9">
        <f>IF(OR(E325="",F325=""),"",DATEDIF(E325,F325,"Y"))</f>
        <v/>
      </c>
      <c r="H325" s="9" t="n"/>
    </row>
    <row r="326" ht="14.25" customHeight="1" s="37">
      <c r="A326" s="9" t="n"/>
      <c r="B326" s="9" t="n"/>
      <c r="C326" s="9" t="n"/>
      <c r="D326" s="9" t="n"/>
      <c r="E326" s="9" t="n"/>
      <c r="F326" s="9" t="n"/>
      <c r="G326" s="9">
        <f>IF(OR(E326="",F326=""),"",DATEDIF(E326,F326,"Y"))</f>
        <v/>
      </c>
      <c r="H326" s="9" t="n"/>
    </row>
    <row r="327" ht="14.25" customHeight="1" s="37">
      <c r="A327" s="9" t="n"/>
      <c r="B327" s="9" t="n"/>
      <c r="C327" s="9" t="n"/>
      <c r="D327" s="9" t="n"/>
      <c r="E327" s="9" t="n"/>
      <c r="F327" s="9" t="n"/>
      <c r="G327" s="9">
        <f>IF(OR(E327="",F327=""),"",DATEDIF(E327,F327,"Y"))</f>
        <v/>
      </c>
      <c r="H327" s="9" t="n"/>
    </row>
    <row r="328" ht="14.25" customHeight="1" s="37">
      <c r="A328" s="9" t="n"/>
      <c r="B328" s="9" t="n"/>
      <c r="C328" s="9" t="n"/>
      <c r="D328" s="9" t="n"/>
      <c r="E328" s="9" t="n"/>
      <c r="F328" s="9" t="n"/>
      <c r="G328" s="9">
        <f>IF(OR(E328="",F328=""),"",DATEDIF(E328,F328,"Y"))</f>
        <v/>
      </c>
      <c r="H328" s="9" t="n"/>
    </row>
    <row r="329" ht="14.25" customHeight="1" s="37">
      <c r="A329" s="9" t="n"/>
      <c r="B329" s="9" t="n"/>
      <c r="C329" s="9" t="n"/>
      <c r="D329" s="9" t="n"/>
      <c r="E329" s="9" t="n"/>
      <c r="F329" s="9" t="n"/>
      <c r="G329" s="9">
        <f>IF(OR(E329="",F329=""),"",DATEDIF(E329,F329,"Y"))</f>
        <v/>
      </c>
      <c r="H329" s="9" t="n"/>
    </row>
    <row r="330" ht="14.25" customHeight="1" s="37">
      <c r="A330" s="9" t="n"/>
      <c r="B330" s="9" t="n"/>
      <c r="C330" s="9" t="n"/>
      <c r="D330" s="9" t="n"/>
      <c r="E330" s="9" t="n"/>
      <c r="F330" s="9" t="n"/>
      <c r="G330" s="9">
        <f>IF(OR(E330="",F330=""),"",DATEDIF(E330,F330,"Y"))</f>
        <v/>
      </c>
      <c r="H330" s="9" t="n"/>
    </row>
    <row r="331" ht="14.25" customHeight="1" s="37">
      <c r="A331" s="9" t="n"/>
      <c r="B331" s="9" t="n"/>
      <c r="C331" s="9" t="n"/>
      <c r="D331" s="9" t="n"/>
      <c r="E331" s="9" t="n"/>
      <c r="F331" s="9" t="n"/>
      <c r="G331" s="9">
        <f>IF(OR(E331="",F331=""),"",DATEDIF(E331,F331,"Y"))</f>
        <v/>
      </c>
      <c r="H331" s="9" t="n"/>
    </row>
    <row r="332" ht="14.25" customHeight="1" s="37">
      <c r="A332" s="9" t="n"/>
      <c r="B332" s="9" t="n"/>
      <c r="C332" s="9" t="n"/>
      <c r="D332" s="9" t="n"/>
      <c r="E332" s="9" t="n"/>
      <c r="F332" s="9" t="n"/>
      <c r="G332" s="9">
        <f>IF(OR(E332="",F332=""),"",DATEDIF(E332,F332,"Y"))</f>
        <v/>
      </c>
      <c r="H332" s="9" t="n"/>
    </row>
    <row r="333" ht="14.25" customHeight="1" s="37">
      <c r="A333" s="9" t="n"/>
      <c r="B333" s="9" t="n"/>
      <c r="C333" s="9" t="n"/>
      <c r="D333" s="9" t="n"/>
      <c r="E333" s="9" t="n"/>
      <c r="F333" s="9" t="n"/>
      <c r="G333" s="9">
        <f>IF(OR(E333="",F333=""),"",DATEDIF(E333,F333,"Y"))</f>
        <v/>
      </c>
      <c r="H333" s="9" t="n"/>
    </row>
    <row r="334" ht="14.25" customHeight="1" s="37">
      <c r="A334" s="9" t="n"/>
      <c r="B334" s="9" t="n"/>
      <c r="C334" s="9" t="n"/>
      <c r="D334" s="9" t="n"/>
      <c r="E334" s="9" t="n"/>
      <c r="F334" s="9" t="n"/>
      <c r="G334" s="9">
        <f>IF(OR(E334="",F334=""),"",DATEDIF(E334,F334,"Y"))</f>
        <v/>
      </c>
      <c r="H334" s="9" t="n"/>
    </row>
    <row r="335" ht="14.25" customHeight="1" s="37">
      <c r="A335" s="9" t="n"/>
      <c r="B335" s="9" t="n"/>
      <c r="C335" s="9" t="n"/>
      <c r="D335" s="9" t="n"/>
      <c r="E335" s="9" t="n"/>
      <c r="F335" s="9" t="n"/>
      <c r="G335" s="9">
        <f>IF(OR(E335="",F335=""),"",DATEDIF(E335,F335,"Y"))</f>
        <v/>
      </c>
      <c r="H335" s="9" t="n"/>
    </row>
    <row r="336" ht="14.25" customHeight="1" s="37">
      <c r="A336" s="9" t="n"/>
      <c r="B336" s="9" t="n"/>
      <c r="C336" s="9" t="n"/>
      <c r="D336" s="9" t="n"/>
      <c r="E336" s="9" t="n"/>
      <c r="F336" s="9" t="n"/>
      <c r="G336" s="9">
        <f>IF(OR(E336="",F336=""),"",DATEDIF(E336,F336,"Y"))</f>
        <v/>
      </c>
      <c r="H336" s="9" t="n"/>
    </row>
    <row r="337" ht="14.25" customHeight="1" s="37">
      <c r="A337" s="9" t="n"/>
      <c r="B337" s="9" t="n"/>
      <c r="C337" s="9" t="n"/>
      <c r="D337" s="9" t="n"/>
      <c r="E337" s="9" t="n"/>
      <c r="F337" s="9" t="n"/>
      <c r="G337" s="9">
        <f>IF(OR(E337="",F337=""),"",DATEDIF(E337,F337,"Y"))</f>
        <v/>
      </c>
      <c r="H337" s="9" t="n"/>
    </row>
    <row r="338" ht="14.25" customHeight="1" s="37">
      <c r="A338" s="9" t="n"/>
      <c r="B338" s="9" t="n"/>
      <c r="C338" s="9" t="n"/>
      <c r="D338" s="9" t="n"/>
      <c r="E338" s="9" t="n"/>
      <c r="F338" s="9" t="n"/>
      <c r="G338" s="9">
        <f>IF(OR(E338="",F338=""),"",DATEDIF(E338,F338,"Y"))</f>
        <v/>
      </c>
      <c r="H338" s="9" t="n"/>
    </row>
    <row r="339" ht="14.25" customHeight="1" s="37">
      <c r="A339" s="9" t="n"/>
      <c r="B339" s="9" t="n"/>
      <c r="C339" s="9" t="n"/>
      <c r="D339" s="9" t="n"/>
      <c r="E339" s="9" t="n"/>
      <c r="F339" s="9" t="n"/>
      <c r="G339" s="9">
        <f>IF(OR(E339="",F339=""),"",DATEDIF(E339,F339,"Y"))</f>
        <v/>
      </c>
      <c r="H339" s="9" t="n"/>
    </row>
    <row r="340" ht="14.25" customHeight="1" s="37">
      <c r="A340" s="9" t="n"/>
      <c r="B340" s="9" t="n"/>
      <c r="C340" s="9" t="n"/>
      <c r="D340" s="9" t="n"/>
      <c r="E340" s="9" t="n"/>
      <c r="F340" s="9" t="n"/>
      <c r="G340" s="9">
        <f>IF(OR(E340="",F340=""),"",DATEDIF(E340,F340,"Y"))</f>
        <v/>
      </c>
      <c r="H340" s="9" t="n"/>
    </row>
    <row r="341" ht="14.25" customHeight="1" s="37">
      <c r="A341" s="9" t="n"/>
      <c r="B341" s="9" t="n"/>
      <c r="C341" s="9" t="n"/>
      <c r="D341" s="9" t="n"/>
      <c r="E341" s="9" t="n"/>
      <c r="F341" s="9" t="n"/>
      <c r="G341" s="9">
        <f>IF(OR(E341="",F341=""),"",DATEDIF(E341,F341,"Y"))</f>
        <v/>
      </c>
      <c r="H341" s="9" t="n"/>
    </row>
    <row r="342" ht="14.25" customHeight="1" s="37">
      <c r="A342" s="9" t="n"/>
      <c r="B342" s="9" t="n"/>
      <c r="C342" s="9" t="n"/>
      <c r="D342" s="9" t="n"/>
      <c r="E342" s="9" t="n"/>
      <c r="F342" s="9" t="n"/>
      <c r="G342" s="9">
        <f>IF(OR(E342="",F342=""),"",DATEDIF(E342,F342,"Y"))</f>
        <v/>
      </c>
      <c r="H342" s="9" t="n"/>
    </row>
    <row r="343" ht="14.25" customHeight="1" s="37">
      <c r="A343" s="9" t="n"/>
      <c r="B343" s="9" t="n"/>
      <c r="C343" s="9" t="n"/>
      <c r="D343" s="9" t="n"/>
      <c r="E343" s="9" t="n"/>
      <c r="F343" s="9" t="n"/>
      <c r="G343" s="9">
        <f>IF(OR(E343="",F343=""),"",DATEDIF(E343,F343,"Y"))</f>
        <v/>
      </c>
      <c r="H343" s="9" t="n"/>
    </row>
    <row r="344" ht="14.25" customHeight="1" s="37">
      <c r="A344" s="9" t="n"/>
      <c r="B344" s="9" t="n"/>
      <c r="C344" s="9" t="n"/>
      <c r="D344" s="9" t="n"/>
      <c r="E344" s="9" t="n"/>
      <c r="F344" s="9" t="n"/>
      <c r="G344" s="9">
        <f>IF(OR(E344="",F344=""),"",DATEDIF(E344,F344,"Y"))</f>
        <v/>
      </c>
      <c r="H344" s="9" t="n"/>
    </row>
    <row r="345" ht="14.25" customHeight="1" s="37">
      <c r="A345" s="9" t="n"/>
      <c r="B345" s="9" t="n"/>
      <c r="C345" s="9" t="n"/>
      <c r="D345" s="9" t="n"/>
      <c r="E345" s="9" t="n"/>
      <c r="F345" s="9" t="n"/>
      <c r="G345" s="9">
        <f>IF(OR(E345="",F345=""),"",DATEDIF(E345,F345,"Y"))</f>
        <v/>
      </c>
      <c r="H345" s="9" t="n"/>
    </row>
    <row r="346" ht="14.25" customHeight="1" s="37">
      <c r="A346" s="9" t="n"/>
      <c r="B346" s="9" t="n"/>
      <c r="C346" s="9" t="n"/>
      <c r="D346" s="9" t="n"/>
      <c r="E346" s="9" t="n"/>
      <c r="F346" s="9" t="n"/>
      <c r="G346" s="9">
        <f>IF(OR(E346="",F346=""),"",DATEDIF(E346,F346,"Y"))</f>
        <v/>
      </c>
      <c r="H346" s="9" t="n"/>
    </row>
    <row r="347" ht="14.25" customHeight="1" s="37">
      <c r="A347" s="9" t="n"/>
      <c r="B347" s="9" t="n"/>
      <c r="C347" s="9" t="n"/>
      <c r="D347" s="9" t="n"/>
      <c r="E347" s="9" t="n"/>
      <c r="F347" s="9" t="n"/>
      <c r="G347" s="9">
        <f>IF(OR(E347="",F347=""),"",DATEDIF(E347,F347,"Y"))</f>
        <v/>
      </c>
      <c r="H347" s="9" t="n"/>
    </row>
    <row r="348" ht="14.25" customHeight="1" s="37">
      <c r="A348" s="9" t="n"/>
      <c r="B348" s="9" t="n"/>
      <c r="C348" s="9" t="n"/>
      <c r="D348" s="9" t="n"/>
      <c r="E348" s="9" t="n"/>
      <c r="F348" s="9" t="n"/>
      <c r="G348" s="9">
        <f>IF(OR(E348="",F348=""),"",DATEDIF(E348,F348,"Y"))</f>
        <v/>
      </c>
      <c r="H348" s="9" t="n"/>
    </row>
    <row r="349" ht="14.25" customHeight="1" s="37">
      <c r="A349" s="9" t="n"/>
      <c r="B349" s="9" t="n"/>
      <c r="C349" s="9" t="n"/>
      <c r="D349" s="9" t="n"/>
      <c r="E349" s="9" t="n"/>
      <c r="F349" s="9" t="n"/>
      <c r="G349" s="9">
        <f>IF(OR(E349="",F349=""),"",DATEDIF(E349,F349,"Y"))</f>
        <v/>
      </c>
      <c r="H349" s="9" t="n"/>
    </row>
    <row r="350" ht="14.25" customHeight="1" s="37">
      <c r="A350" s="9" t="n"/>
      <c r="B350" s="9" t="n"/>
      <c r="C350" s="9" t="n"/>
      <c r="D350" s="9" t="n"/>
      <c r="E350" s="9" t="n"/>
      <c r="F350" s="9" t="n"/>
      <c r="G350" s="9">
        <f>IF(OR(E350="",F350=""),"",DATEDIF(E350,F350,"Y"))</f>
        <v/>
      </c>
      <c r="H350" s="9" t="n"/>
    </row>
    <row r="351" ht="14.25" customHeight="1" s="37">
      <c r="A351" s="9" t="n"/>
      <c r="B351" s="9" t="n"/>
      <c r="C351" s="9" t="n"/>
      <c r="D351" s="9" t="n"/>
      <c r="E351" s="9" t="n"/>
      <c r="F351" s="9" t="n"/>
      <c r="G351" s="9">
        <f>IF(OR(E351="",F351=""),"",DATEDIF(E351,F351,"Y"))</f>
        <v/>
      </c>
      <c r="H351" s="9" t="n"/>
    </row>
    <row r="352" ht="14.25" customHeight="1" s="37">
      <c r="A352" s="9" t="n"/>
      <c r="B352" s="9" t="n"/>
      <c r="C352" s="9" t="n"/>
      <c r="D352" s="9" t="n"/>
      <c r="E352" s="9" t="n"/>
      <c r="F352" s="9" t="n"/>
      <c r="G352" s="9">
        <f>IF(OR(E352="",F352=""),"",DATEDIF(E352,F352,"Y"))</f>
        <v/>
      </c>
      <c r="H352" s="9" t="n"/>
    </row>
    <row r="353" ht="14.25" customHeight="1" s="37">
      <c r="A353" s="9" t="n"/>
      <c r="B353" s="9" t="n"/>
      <c r="C353" s="9" t="n"/>
      <c r="D353" s="9" t="n"/>
      <c r="E353" s="9" t="n"/>
      <c r="F353" s="9" t="n"/>
      <c r="G353" s="9">
        <f>IF(OR(E353="",F353=""),"",DATEDIF(E353,F353,"Y"))</f>
        <v/>
      </c>
      <c r="H353" s="9" t="n"/>
    </row>
    <row r="354" ht="14.25" customHeight="1" s="37">
      <c r="A354" s="9" t="n"/>
      <c r="B354" s="9" t="n"/>
      <c r="C354" s="9" t="n"/>
      <c r="D354" s="9" t="n"/>
      <c r="E354" s="9" t="n"/>
      <c r="F354" s="9" t="n"/>
      <c r="G354" s="9">
        <f>IF(OR(E354="",F354=""),"",DATEDIF(E354,F354,"Y"))</f>
        <v/>
      </c>
      <c r="H354" s="9" t="n"/>
    </row>
    <row r="355" ht="14.25" customHeight="1" s="37">
      <c r="A355" s="9" t="n"/>
      <c r="B355" s="9" t="n"/>
      <c r="C355" s="9" t="n"/>
      <c r="D355" s="9" t="n"/>
      <c r="E355" s="9" t="n"/>
      <c r="F355" s="9" t="n"/>
      <c r="G355" s="9">
        <f>IF(OR(E355="",F355=""),"",DATEDIF(E355,F355,"Y"))</f>
        <v/>
      </c>
      <c r="H355" s="9" t="n"/>
    </row>
    <row r="356" ht="14.25" customHeight="1" s="37">
      <c r="A356" s="9" t="n"/>
      <c r="B356" s="9" t="n"/>
      <c r="C356" s="9" t="n"/>
      <c r="D356" s="9" t="n"/>
      <c r="E356" s="9" t="n"/>
      <c r="F356" s="9" t="n"/>
      <c r="G356" s="9">
        <f>IF(OR(E356="",F356=""),"",DATEDIF(E356,F356,"Y"))</f>
        <v/>
      </c>
      <c r="H356" s="9" t="n"/>
    </row>
    <row r="357" ht="14.25" customHeight="1" s="37">
      <c r="A357" s="9" t="n"/>
      <c r="B357" s="9" t="n"/>
      <c r="C357" s="9" t="n"/>
      <c r="D357" s="9" t="n"/>
      <c r="E357" s="9" t="n"/>
      <c r="F357" s="9" t="n"/>
      <c r="G357" s="9">
        <f>IF(OR(E357="",F357=""),"",DATEDIF(E357,F357,"Y"))</f>
        <v/>
      </c>
      <c r="H357" s="9" t="n"/>
    </row>
    <row r="358" ht="14.25" customHeight="1" s="37">
      <c r="A358" s="9" t="n"/>
      <c r="B358" s="9" t="n"/>
      <c r="C358" s="9" t="n"/>
      <c r="D358" s="9" t="n"/>
      <c r="E358" s="9" t="n"/>
      <c r="F358" s="9" t="n"/>
      <c r="G358" s="9">
        <f>IF(OR(E358="",F358=""),"",DATEDIF(E358,F358,"Y"))</f>
        <v/>
      </c>
      <c r="H358" s="9" t="n"/>
    </row>
    <row r="359" ht="14.25" customHeight="1" s="37">
      <c r="A359" s="9" t="n"/>
      <c r="B359" s="9" t="n"/>
      <c r="C359" s="9" t="n"/>
      <c r="D359" s="9" t="n"/>
      <c r="E359" s="9" t="n"/>
      <c r="F359" s="9" t="n"/>
      <c r="G359" s="9">
        <f>IF(OR(E359="",F359=""),"",DATEDIF(E359,F359,"Y"))</f>
        <v/>
      </c>
      <c r="H359" s="9" t="n"/>
    </row>
    <row r="360" ht="14.25" customHeight="1" s="37">
      <c r="A360" s="9" t="n"/>
      <c r="B360" s="9" t="n"/>
      <c r="C360" s="9" t="n"/>
      <c r="D360" s="9" t="n"/>
      <c r="E360" s="9" t="n"/>
      <c r="F360" s="9" t="n"/>
      <c r="G360" s="9">
        <f>IF(OR(E360="",F360=""),"",DATEDIF(E360,F360,"Y"))</f>
        <v/>
      </c>
      <c r="H360" s="9" t="n"/>
    </row>
    <row r="361" ht="14.25" customHeight="1" s="37">
      <c r="A361" s="9" t="n"/>
      <c r="B361" s="9" t="n"/>
      <c r="C361" s="9" t="n"/>
      <c r="D361" s="9" t="n"/>
      <c r="E361" s="9" t="n"/>
      <c r="F361" s="9" t="n"/>
      <c r="G361" s="9">
        <f>IF(OR(E361="",F361=""),"",DATEDIF(E361,F361,"Y"))</f>
        <v/>
      </c>
      <c r="H361" s="9" t="n"/>
    </row>
    <row r="362" ht="14.25" customHeight="1" s="37">
      <c r="A362" s="9" t="n"/>
      <c r="B362" s="9" t="n"/>
      <c r="C362" s="9" t="n"/>
      <c r="D362" s="9" t="n"/>
      <c r="E362" s="9" t="n"/>
      <c r="F362" s="9" t="n"/>
      <c r="G362" s="9">
        <f>IF(OR(E362="",F362=""),"",DATEDIF(E362,F362,"Y"))</f>
        <v/>
      </c>
      <c r="H362" s="9" t="n"/>
    </row>
    <row r="363" ht="14.25" customHeight="1" s="37">
      <c r="A363" s="9" t="n"/>
      <c r="B363" s="9" t="n"/>
      <c r="C363" s="9" t="n"/>
      <c r="D363" s="9" t="n"/>
      <c r="E363" s="9" t="n"/>
      <c r="F363" s="9" t="n"/>
      <c r="G363" s="9">
        <f>IF(OR(E363="",F363=""),"",DATEDIF(E363,F363,"Y"))</f>
        <v/>
      </c>
      <c r="H363" s="9" t="n"/>
    </row>
    <row r="364" ht="14.25" customHeight="1" s="37">
      <c r="A364" s="9" t="n"/>
      <c r="B364" s="9" t="n"/>
      <c r="C364" s="9" t="n"/>
      <c r="D364" s="9" t="n"/>
      <c r="E364" s="9" t="n"/>
      <c r="F364" s="9" t="n"/>
      <c r="G364" s="9">
        <f>IF(OR(E364="",F364=""),"",DATEDIF(E364,F364,"Y"))</f>
        <v/>
      </c>
      <c r="H364" s="9" t="n"/>
    </row>
    <row r="365" ht="14.25" customHeight="1" s="37">
      <c r="A365" s="9" t="n"/>
      <c r="B365" s="9" t="n"/>
      <c r="C365" s="9" t="n"/>
      <c r="D365" s="9" t="n"/>
      <c r="E365" s="9" t="n"/>
      <c r="F365" s="9" t="n"/>
      <c r="G365" s="9">
        <f>IF(OR(E365="",F365=""),"",DATEDIF(E365,F365,"Y"))</f>
        <v/>
      </c>
      <c r="H365" s="9" t="n"/>
    </row>
    <row r="366" ht="14.25" customHeight="1" s="37">
      <c r="A366" s="9" t="n"/>
      <c r="B366" s="9" t="n"/>
      <c r="C366" s="9" t="n"/>
      <c r="D366" s="9" t="n"/>
      <c r="E366" s="9" t="n"/>
      <c r="F366" s="9" t="n"/>
      <c r="G366" s="9">
        <f>IF(OR(E366="",F366=""),"",DATEDIF(E366,F366,"Y"))</f>
        <v/>
      </c>
      <c r="H366" s="9" t="n"/>
    </row>
    <row r="367" ht="14.25" customHeight="1" s="37">
      <c r="A367" s="9" t="n"/>
      <c r="B367" s="9" t="n"/>
      <c r="C367" s="9" t="n"/>
      <c r="D367" s="9" t="n"/>
      <c r="E367" s="9" t="n"/>
      <c r="F367" s="9" t="n"/>
      <c r="G367" s="9">
        <f>IF(OR(E367="",F367=""),"",DATEDIF(E367,F367,"Y"))</f>
        <v/>
      </c>
      <c r="H367" s="9" t="n"/>
    </row>
    <row r="368" ht="14.25" customHeight="1" s="37">
      <c r="A368" s="9" t="n"/>
      <c r="B368" s="9" t="n"/>
      <c r="C368" s="9" t="n"/>
      <c r="D368" s="9" t="n"/>
      <c r="E368" s="9" t="n"/>
      <c r="F368" s="9" t="n"/>
      <c r="G368" s="9">
        <f>IF(OR(E368="",F368=""),"",DATEDIF(E368,F368,"Y"))</f>
        <v/>
      </c>
      <c r="H368" s="9" t="n"/>
    </row>
    <row r="369" ht="14.25" customHeight="1" s="37">
      <c r="A369" s="9" t="n"/>
      <c r="B369" s="9" t="n"/>
      <c r="C369" s="9" t="n"/>
      <c r="D369" s="9" t="n"/>
      <c r="E369" s="9" t="n"/>
      <c r="F369" s="9" t="n"/>
      <c r="G369" s="9">
        <f>IF(OR(E369="",F369=""),"",DATEDIF(E369,F369,"Y"))</f>
        <v/>
      </c>
      <c r="H369" s="9" t="n"/>
    </row>
    <row r="370" ht="14.25" customHeight="1" s="37">
      <c r="A370" s="9" t="n"/>
      <c r="B370" s="9" t="n"/>
      <c r="C370" s="9" t="n"/>
      <c r="D370" s="9" t="n"/>
      <c r="E370" s="9" t="n"/>
      <c r="F370" s="9" t="n"/>
      <c r="G370" s="9">
        <f>IF(OR(E370="",F370=""),"",DATEDIF(E370,F370,"Y"))</f>
        <v/>
      </c>
      <c r="H370" s="9" t="n"/>
    </row>
    <row r="371" ht="14.25" customHeight="1" s="37">
      <c r="A371" s="9" t="n"/>
      <c r="B371" s="9" t="n"/>
      <c r="C371" s="9" t="n"/>
      <c r="D371" s="9" t="n"/>
      <c r="E371" s="9" t="n"/>
      <c r="F371" s="9" t="n"/>
      <c r="G371" s="9">
        <f>IF(OR(E371="",F371=""),"",DATEDIF(E371,F371,"Y"))</f>
        <v/>
      </c>
      <c r="H371" s="9" t="n"/>
    </row>
    <row r="372" ht="14.25" customHeight="1" s="37">
      <c r="A372" s="9" t="n"/>
      <c r="B372" s="9" t="n"/>
      <c r="C372" s="9" t="n"/>
      <c r="D372" s="9" t="n"/>
      <c r="E372" s="9" t="n"/>
      <c r="F372" s="9" t="n"/>
      <c r="G372" s="9">
        <f>IF(OR(E372="",F372=""),"",DATEDIF(E372,F372,"Y"))</f>
        <v/>
      </c>
      <c r="H372" s="9" t="n"/>
    </row>
    <row r="373" ht="14.25" customHeight="1" s="37">
      <c r="A373" s="9" t="n"/>
      <c r="B373" s="9" t="n"/>
      <c r="C373" s="9" t="n"/>
      <c r="D373" s="9" t="n"/>
      <c r="E373" s="9" t="n"/>
      <c r="F373" s="9" t="n"/>
      <c r="G373" s="9">
        <f>IF(OR(E373="",F373=""),"",DATEDIF(E373,F373,"Y"))</f>
        <v/>
      </c>
      <c r="H373" s="9" t="n"/>
    </row>
    <row r="374" ht="14.25" customHeight="1" s="37">
      <c r="A374" s="9" t="n"/>
      <c r="B374" s="9" t="n"/>
      <c r="C374" s="9" t="n"/>
      <c r="D374" s="9" t="n"/>
      <c r="E374" s="9" t="n"/>
      <c r="F374" s="9" t="n"/>
      <c r="G374" s="9">
        <f>IF(OR(E374="",F374=""),"",DATEDIF(E374,F374,"Y"))</f>
        <v/>
      </c>
      <c r="H374" s="9" t="n"/>
    </row>
    <row r="375" ht="14.25" customHeight="1" s="37">
      <c r="A375" s="9" t="n"/>
      <c r="B375" s="9" t="n"/>
      <c r="C375" s="9" t="n"/>
      <c r="D375" s="9" t="n"/>
      <c r="E375" s="9" t="n"/>
      <c r="F375" s="9" t="n"/>
      <c r="G375" s="9">
        <f>IF(OR(E375="",F375=""),"",DATEDIF(E375,F375,"Y"))</f>
        <v/>
      </c>
      <c r="H375" s="9" t="n"/>
    </row>
    <row r="376" ht="14.25" customHeight="1" s="37">
      <c r="A376" s="9" t="n"/>
      <c r="B376" s="9" t="n"/>
      <c r="C376" s="9" t="n"/>
      <c r="D376" s="9" t="n"/>
      <c r="E376" s="9" t="n"/>
      <c r="F376" s="9" t="n"/>
      <c r="G376" s="9">
        <f>IF(OR(E376="",F376=""),"",DATEDIF(E376,F376,"Y"))</f>
        <v/>
      </c>
      <c r="H376" s="9" t="n"/>
    </row>
    <row r="377" ht="14.25" customHeight="1" s="37">
      <c r="A377" s="9" t="n"/>
      <c r="B377" s="9" t="n"/>
      <c r="C377" s="9" t="n"/>
      <c r="D377" s="9" t="n"/>
      <c r="E377" s="9" t="n"/>
      <c r="F377" s="9" t="n"/>
      <c r="G377" s="9">
        <f>IF(OR(E377="",F377=""),"",DATEDIF(E377,F377,"Y"))</f>
        <v/>
      </c>
      <c r="H377" s="9" t="n"/>
    </row>
    <row r="378" ht="14.25" customHeight="1" s="37">
      <c r="A378" s="9" t="n"/>
      <c r="B378" s="9" t="n"/>
      <c r="C378" s="9" t="n"/>
      <c r="D378" s="9" t="n"/>
      <c r="E378" s="9" t="n"/>
      <c r="F378" s="9" t="n"/>
      <c r="G378" s="9">
        <f>IF(OR(E378="",F378=""),"",DATEDIF(E378,F378,"Y"))</f>
        <v/>
      </c>
      <c r="H378" s="9" t="n"/>
    </row>
    <row r="379" ht="14.25" customHeight="1" s="37">
      <c r="A379" s="9" t="n"/>
      <c r="B379" s="9" t="n"/>
      <c r="C379" s="9" t="n"/>
      <c r="D379" s="9" t="n"/>
      <c r="E379" s="9" t="n"/>
      <c r="F379" s="9" t="n"/>
      <c r="G379" s="9">
        <f>IF(OR(E379="",F379=""),"",DATEDIF(E379,F379,"Y"))</f>
        <v/>
      </c>
      <c r="H379" s="9" t="n"/>
    </row>
    <row r="380" ht="14.25" customHeight="1" s="37">
      <c r="A380" s="9" t="n"/>
      <c r="B380" s="9" t="n"/>
      <c r="C380" s="9" t="n"/>
      <c r="D380" s="9" t="n"/>
      <c r="E380" s="9" t="n"/>
      <c r="F380" s="9" t="n"/>
      <c r="G380" s="9">
        <f>IF(OR(E380="",F380=""),"",DATEDIF(E380,F380,"Y"))</f>
        <v/>
      </c>
      <c r="H380" s="9" t="n"/>
    </row>
    <row r="381" ht="14.25" customHeight="1" s="37">
      <c r="A381" s="9" t="n"/>
      <c r="B381" s="9" t="n"/>
      <c r="C381" s="9" t="n"/>
      <c r="D381" s="9" t="n"/>
      <c r="E381" s="9" t="n"/>
      <c r="F381" s="9" t="n"/>
      <c r="G381" s="9">
        <f>IF(OR(E381="",F381=""),"",DATEDIF(E381,F381,"Y"))</f>
        <v/>
      </c>
      <c r="H381" s="9" t="n"/>
    </row>
    <row r="382" ht="14.25" customHeight="1" s="37">
      <c r="A382" s="9" t="n"/>
      <c r="B382" s="9" t="n"/>
      <c r="C382" s="9" t="n"/>
      <c r="D382" s="9" t="n"/>
      <c r="E382" s="9" t="n"/>
      <c r="F382" s="9" t="n"/>
      <c r="G382" s="9">
        <f>IF(OR(E382="",F382=""),"",DATEDIF(E382,F382,"Y"))</f>
        <v/>
      </c>
      <c r="H382" s="9" t="n"/>
    </row>
    <row r="383" ht="14.25" customHeight="1" s="37">
      <c r="A383" s="9" t="n"/>
      <c r="B383" s="9" t="n"/>
      <c r="C383" s="9" t="n"/>
      <c r="D383" s="9" t="n"/>
      <c r="E383" s="9" t="n"/>
      <c r="F383" s="9" t="n"/>
      <c r="G383" s="9">
        <f>IF(OR(E383="",F383=""),"",DATEDIF(E383,F383,"Y"))</f>
        <v/>
      </c>
      <c r="H383" s="9" t="n"/>
    </row>
    <row r="384" ht="14.25" customHeight="1" s="37">
      <c r="A384" s="9" t="n"/>
      <c r="B384" s="9" t="n"/>
      <c r="C384" s="9" t="n"/>
      <c r="D384" s="9" t="n"/>
      <c r="E384" s="9" t="n"/>
      <c r="F384" s="9" t="n"/>
      <c r="G384" s="9">
        <f>IF(OR(E384="",F384=""),"",DATEDIF(E384,F384,"Y"))</f>
        <v/>
      </c>
      <c r="H384" s="9" t="n"/>
    </row>
    <row r="385" ht="14.25" customHeight="1" s="37">
      <c r="A385" s="9" t="n"/>
      <c r="B385" s="9" t="n"/>
      <c r="C385" s="9" t="n"/>
      <c r="D385" s="9" t="n"/>
      <c r="E385" s="9" t="n"/>
      <c r="F385" s="9" t="n"/>
      <c r="G385" s="9">
        <f>IF(OR(E385="",F385=""),"",DATEDIF(E385,F385,"Y"))</f>
        <v/>
      </c>
      <c r="H385" s="9" t="n"/>
    </row>
    <row r="386" ht="14.25" customHeight="1" s="37">
      <c r="A386" s="9" t="n"/>
      <c r="B386" s="9" t="n"/>
      <c r="C386" s="9" t="n"/>
      <c r="D386" s="9" t="n"/>
      <c r="E386" s="9" t="n"/>
      <c r="F386" s="9" t="n"/>
      <c r="G386" s="9">
        <f>IF(OR(E386="",F386=""),"",DATEDIF(E386,F386,"Y"))</f>
        <v/>
      </c>
      <c r="H386" s="9" t="n"/>
    </row>
    <row r="387" ht="14.25" customHeight="1" s="37">
      <c r="A387" s="9" t="n"/>
      <c r="B387" s="9" t="n"/>
      <c r="C387" s="9" t="n"/>
      <c r="D387" s="9" t="n"/>
      <c r="E387" s="9" t="n"/>
      <c r="F387" s="9" t="n"/>
      <c r="G387" s="9">
        <f>IF(OR(E387="",F387=""),"",DATEDIF(E387,F387,"Y"))</f>
        <v/>
      </c>
      <c r="H387" s="9" t="n"/>
    </row>
    <row r="388" ht="14.25" customHeight="1" s="37">
      <c r="A388" s="9" t="n"/>
      <c r="B388" s="9" t="n"/>
      <c r="C388" s="9" t="n"/>
      <c r="D388" s="9" t="n"/>
      <c r="E388" s="9" t="n"/>
      <c r="F388" s="9" t="n"/>
      <c r="G388" s="9">
        <f>IF(OR(E388="",F388=""),"",DATEDIF(E388,F388,"Y"))</f>
        <v/>
      </c>
      <c r="H388" s="9" t="n"/>
    </row>
    <row r="389" ht="14.25" customHeight="1" s="37">
      <c r="A389" s="9" t="n"/>
      <c r="B389" s="9" t="n"/>
      <c r="C389" s="9" t="n"/>
      <c r="D389" s="9" t="n"/>
      <c r="E389" s="9" t="n"/>
      <c r="F389" s="9" t="n"/>
      <c r="G389" s="9">
        <f>IF(OR(E389="",F389=""),"",DATEDIF(E389,F389,"Y"))</f>
        <v/>
      </c>
      <c r="H389" s="9" t="n"/>
    </row>
    <row r="390" ht="14.25" customHeight="1" s="37">
      <c r="A390" s="9" t="n"/>
      <c r="B390" s="9" t="n"/>
      <c r="C390" s="9" t="n"/>
      <c r="D390" s="9" t="n"/>
      <c r="E390" s="9" t="n"/>
      <c r="F390" s="9" t="n"/>
      <c r="G390" s="9">
        <f>IF(OR(E390="",F390=""),"",DATEDIF(E390,F390,"Y"))</f>
        <v/>
      </c>
      <c r="H390" s="9" t="n"/>
    </row>
    <row r="391" ht="14.25" customHeight="1" s="37">
      <c r="A391" s="9" t="n"/>
      <c r="B391" s="9" t="n"/>
      <c r="C391" s="9" t="n"/>
      <c r="D391" s="9" t="n"/>
      <c r="E391" s="9" t="n"/>
      <c r="F391" s="9" t="n"/>
      <c r="G391" s="9">
        <f>IF(OR(E391="",F391=""),"",DATEDIF(E391,F391,"Y"))</f>
        <v/>
      </c>
      <c r="H391" s="9" t="n"/>
    </row>
    <row r="392" ht="14.25" customHeight="1" s="37">
      <c r="A392" s="9" t="n"/>
      <c r="B392" s="9" t="n"/>
      <c r="C392" s="9" t="n"/>
      <c r="D392" s="9" t="n"/>
      <c r="E392" s="9" t="n"/>
      <c r="F392" s="9" t="n"/>
      <c r="G392" s="9">
        <f>IF(OR(E392="",F392=""),"",DATEDIF(E392,F392,"Y"))</f>
        <v/>
      </c>
      <c r="H392" s="9" t="n"/>
    </row>
    <row r="393" ht="14.25" customHeight="1" s="37">
      <c r="A393" s="9" t="n"/>
      <c r="B393" s="9" t="n"/>
      <c r="C393" s="9" t="n"/>
      <c r="D393" s="9" t="n"/>
      <c r="E393" s="9" t="n"/>
      <c r="F393" s="9" t="n"/>
      <c r="G393" s="9">
        <f>IF(OR(E393="",F393=""),"",DATEDIF(E393,F393,"Y"))</f>
        <v/>
      </c>
      <c r="H393" s="9" t="n"/>
    </row>
    <row r="394" ht="14.25" customHeight="1" s="37">
      <c r="A394" s="9" t="n"/>
      <c r="B394" s="9" t="n"/>
      <c r="C394" s="9" t="n"/>
      <c r="D394" s="9" t="n"/>
      <c r="E394" s="9" t="n"/>
      <c r="F394" s="9" t="n"/>
      <c r="G394" s="9">
        <f>IF(OR(E394="",F394=""),"",DATEDIF(E394,F394,"Y"))</f>
        <v/>
      </c>
      <c r="H394" s="9" t="n"/>
    </row>
    <row r="395" ht="14.25" customHeight="1" s="37">
      <c r="A395" s="9" t="n"/>
      <c r="B395" s="9" t="n"/>
      <c r="C395" s="9" t="n"/>
      <c r="D395" s="9" t="n"/>
      <c r="E395" s="9" t="n"/>
      <c r="F395" s="9" t="n"/>
      <c r="G395" s="9">
        <f>IF(OR(E395="",F395=""),"",DATEDIF(E395,F395,"Y"))</f>
        <v/>
      </c>
      <c r="H395" s="9" t="n"/>
    </row>
    <row r="396" ht="14.25" customHeight="1" s="37">
      <c r="A396" s="9" t="n"/>
      <c r="B396" s="9" t="n"/>
      <c r="C396" s="9" t="n"/>
      <c r="D396" s="9" t="n"/>
      <c r="E396" s="9" t="n"/>
      <c r="F396" s="9" t="n"/>
      <c r="G396" s="9">
        <f>IF(OR(E396="",F396=""),"",DATEDIF(E396,F396,"Y"))</f>
        <v/>
      </c>
      <c r="H396" s="9" t="n"/>
    </row>
    <row r="397" ht="14.25" customHeight="1" s="37">
      <c r="A397" s="9" t="n"/>
      <c r="B397" s="9" t="n"/>
      <c r="C397" s="9" t="n"/>
      <c r="D397" s="9" t="n"/>
      <c r="E397" s="9" t="n"/>
      <c r="F397" s="9" t="n"/>
      <c r="G397" s="9">
        <f>IF(OR(E397="",F397=""),"",DATEDIF(E397,F397,"Y"))</f>
        <v/>
      </c>
      <c r="H397" s="9" t="n"/>
    </row>
    <row r="398" ht="14.25" customHeight="1" s="37">
      <c r="A398" s="9" t="n"/>
      <c r="B398" s="9" t="n"/>
      <c r="C398" s="9" t="n"/>
      <c r="D398" s="9" t="n"/>
      <c r="E398" s="9" t="n"/>
      <c r="F398" s="9" t="n"/>
      <c r="G398" s="9">
        <f>IF(OR(E398="",F398=""),"",DATEDIF(E398,F398,"Y"))</f>
        <v/>
      </c>
      <c r="H398" s="9" t="n"/>
    </row>
    <row r="399" ht="14.25" customHeight="1" s="37">
      <c r="A399" s="9" t="n"/>
      <c r="B399" s="9" t="n"/>
      <c r="C399" s="9" t="n"/>
      <c r="D399" s="9" t="n"/>
      <c r="E399" s="9" t="n"/>
      <c r="F399" s="9" t="n"/>
      <c r="G399" s="9">
        <f>IF(OR(E399="",F399=""),"",DATEDIF(E399,F399,"Y"))</f>
        <v/>
      </c>
      <c r="H399" s="9" t="n"/>
    </row>
    <row r="400" ht="14.25" customHeight="1" s="37">
      <c r="A400" s="9" t="n"/>
      <c r="B400" s="9" t="n"/>
      <c r="C400" s="9" t="n"/>
      <c r="D400" s="9" t="n"/>
      <c r="E400" s="9" t="n"/>
      <c r="F400" s="9" t="n"/>
      <c r="G400" s="9">
        <f>IF(OR(E400="",F400=""),"",DATEDIF(E400,F400,"Y"))</f>
        <v/>
      </c>
      <c r="H400" s="9" t="n"/>
    </row>
    <row r="401" ht="14.25" customHeight="1" s="37">
      <c r="A401" s="9" t="n"/>
      <c r="B401" s="9" t="n"/>
      <c r="C401" s="9" t="n"/>
      <c r="D401" s="9" t="n"/>
      <c r="E401" s="9" t="n"/>
      <c r="F401" s="9" t="n"/>
      <c r="G401" s="9">
        <f>IF(OR(E401="",F401=""),"",DATEDIF(E401,F401,"Y"))</f>
        <v/>
      </c>
      <c r="H401" s="9" t="n"/>
    </row>
    <row r="402" ht="14.25" customHeight="1" s="37">
      <c r="A402" s="9" t="n"/>
      <c r="B402" s="9" t="n"/>
      <c r="C402" s="9" t="n"/>
      <c r="D402" s="9" t="n"/>
      <c r="E402" s="9" t="n"/>
      <c r="F402" s="9" t="n"/>
      <c r="G402" s="9">
        <f>IF(OR(E402="",F402=""),"",DATEDIF(E402,F402,"Y"))</f>
        <v/>
      </c>
      <c r="H402" s="9" t="n"/>
    </row>
    <row r="403" ht="14.25" customHeight="1" s="37">
      <c r="A403" s="9" t="n"/>
      <c r="B403" s="9" t="n"/>
      <c r="C403" s="9" t="n"/>
      <c r="D403" s="9" t="n"/>
      <c r="E403" s="9" t="n"/>
      <c r="F403" s="9" t="n"/>
      <c r="G403" s="9">
        <f>IF(OR(E403="",F403=""),"",DATEDIF(E403,F403,"Y"))</f>
        <v/>
      </c>
      <c r="H403" s="9" t="n"/>
    </row>
    <row r="404" ht="14.25" customHeight="1" s="37">
      <c r="A404" s="9" t="n"/>
      <c r="B404" s="9" t="n"/>
      <c r="C404" s="9" t="n"/>
      <c r="D404" s="9" t="n"/>
      <c r="E404" s="9" t="n"/>
      <c r="F404" s="9" t="n"/>
      <c r="G404" s="9">
        <f>IF(OR(E404="",F404=""),"",DATEDIF(E404,F404,"Y"))</f>
        <v/>
      </c>
      <c r="H404" s="9" t="n"/>
    </row>
    <row r="405" ht="14.25" customHeight="1" s="37">
      <c r="A405" s="9" t="n"/>
      <c r="B405" s="9" t="n"/>
      <c r="C405" s="9" t="n"/>
      <c r="D405" s="9" t="n"/>
      <c r="E405" s="9" t="n"/>
      <c r="F405" s="9" t="n"/>
      <c r="G405" s="9">
        <f>IF(OR(E405="",F405=""),"",DATEDIF(E405,F405,"Y"))</f>
        <v/>
      </c>
      <c r="H405" s="9" t="n"/>
    </row>
    <row r="406" ht="14.25" customHeight="1" s="37">
      <c r="A406" s="9" t="n"/>
      <c r="B406" s="9" t="n"/>
      <c r="C406" s="9" t="n"/>
      <c r="D406" s="9" t="n"/>
      <c r="E406" s="9" t="n"/>
      <c r="F406" s="9" t="n"/>
      <c r="G406" s="9">
        <f>IF(OR(E406="",F406=""),"",DATEDIF(E406,F406,"Y"))</f>
        <v/>
      </c>
      <c r="H406" s="9" t="n"/>
    </row>
    <row r="407" ht="14.25" customHeight="1" s="37">
      <c r="A407" s="9" t="n"/>
      <c r="B407" s="9" t="n"/>
      <c r="C407" s="9" t="n"/>
      <c r="D407" s="9" t="n"/>
      <c r="E407" s="9" t="n"/>
      <c r="F407" s="9" t="n"/>
      <c r="G407" s="9">
        <f>IF(OR(E407="",F407=""),"",DATEDIF(E407,F407,"Y"))</f>
        <v/>
      </c>
      <c r="H407" s="9" t="n"/>
    </row>
    <row r="408" ht="14.25" customHeight="1" s="37">
      <c r="A408" s="9" t="n"/>
      <c r="B408" s="9" t="n"/>
      <c r="C408" s="9" t="n"/>
      <c r="D408" s="9" t="n"/>
      <c r="E408" s="9" t="n"/>
      <c r="F408" s="9" t="n"/>
      <c r="G408" s="9">
        <f>IF(OR(E408="",F408=""),"",DATEDIF(E408,F408,"Y"))</f>
        <v/>
      </c>
      <c r="H408" s="9" t="n"/>
    </row>
    <row r="409" ht="14.25" customHeight="1" s="37">
      <c r="A409" s="9" t="n"/>
      <c r="B409" s="9" t="n"/>
      <c r="C409" s="9" t="n"/>
      <c r="D409" s="9" t="n"/>
      <c r="E409" s="9" t="n"/>
      <c r="F409" s="9" t="n"/>
      <c r="G409" s="9">
        <f>IF(OR(E409="",F409=""),"",DATEDIF(E409,F409,"Y"))</f>
        <v/>
      </c>
      <c r="H409" s="9" t="n"/>
    </row>
    <row r="410" ht="14.25" customHeight="1" s="37">
      <c r="A410" s="9" t="n"/>
      <c r="B410" s="9" t="n"/>
      <c r="C410" s="9" t="n"/>
      <c r="D410" s="9" t="n"/>
      <c r="E410" s="9" t="n"/>
      <c r="F410" s="9" t="n"/>
      <c r="G410" s="9">
        <f>IF(OR(E410="",F410=""),"",DATEDIF(E410,F410,"Y"))</f>
        <v/>
      </c>
      <c r="H410" s="9" t="n"/>
    </row>
    <row r="411" ht="14.25" customHeight="1" s="37">
      <c r="A411" s="9" t="n"/>
      <c r="B411" s="9" t="n"/>
      <c r="C411" s="9" t="n"/>
      <c r="D411" s="9" t="n"/>
      <c r="E411" s="9" t="n"/>
      <c r="F411" s="9" t="n"/>
      <c r="G411" s="9">
        <f>IF(OR(E411="",F411=""),"",DATEDIF(E411,F411,"Y"))</f>
        <v/>
      </c>
      <c r="H411" s="9" t="n"/>
    </row>
    <row r="412" ht="14.25" customHeight="1" s="37">
      <c r="A412" s="9" t="n"/>
      <c r="B412" s="9" t="n"/>
      <c r="C412" s="9" t="n"/>
      <c r="D412" s="9" t="n"/>
      <c r="E412" s="9" t="n"/>
      <c r="F412" s="9" t="n"/>
      <c r="G412" s="9">
        <f>IF(OR(E412="",F412=""),"",DATEDIF(E412,F412,"Y"))</f>
        <v/>
      </c>
      <c r="H412" s="9" t="n"/>
    </row>
    <row r="413" ht="14.25" customHeight="1" s="37">
      <c r="A413" s="9" t="n"/>
      <c r="B413" s="9" t="n"/>
      <c r="C413" s="9" t="n"/>
      <c r="D413" s="9" t="n"/>
      <c r="E413" s="9" t="n"/>
      <c r="F413" s="9" t="n"/>
      <c r="G413" s="9">
        <f>IF(OR(E413="",F413=""),"",DATEDIF(E413,F413,"Y"))</f>
        <v/>
      </c>
      <c r="H413" s="9" t="n"/>
    </row>
    <row r="414" ht="14.25" customHeight="1" s="37">
      <c r="A414" s="9" t="n"/>
      <c r="B414" s="9" t="n"/>
      <c r="C414" s="9" t="n"/>
      <c r="D414" s="9" t="n"/>
      <c r="E414" s="9" t="n"/>
      <c r="F414" s="9" t="n"/>
      <c r="G414" s="9">
        <f>IF(OR(E414="",F414=""),"",DATEDIF(E414,F414,"Y"))</f>
        <v/>
      </c>
      <c r="H414" s="9" t="n"/>
    </row>
    <row r="415" ht="14.25" customHeight="1" s="37">
      <c r="A415" s="9" t="n"/>
      <c r="B415" s="9" t="n"/>
      <c r="C415" s="9" t="n"/>
      <c r="D415" s="9" t="n"/>
      <c r="E415" s="9" t="n"/>
      <c r="F415" s="9" t="n"/>
      <c r="G415" s="9">
        <f>IF(OR(E415="",F415=""),"",DATEDIF(E415,F415,"Y"))</f>
        <v/>
      </c>
      <c r="H415" s="9" t="n"/>
    </row>
    <row r="416" ht="14.25" customHeight="1" s="37">
      <c r="A416" s="9" t="n"/>
      <c r="B416" s="9" t="n"/>
      <c r="C416" s="9" t="n"/>
      <c r="D416" s="9" t="n"/>
      <c r="E416" s="9" t="n"/>
      <c r="F416" s="9" t="n"/>
      <c r="G416" s="9">
        <f>IF(OR(E416="",F416=""),"",DATEDIF(E416,F416,"Y"))</f>
        <v/>
      </c>
      <c r="H416" s="9" t="n"/>
    </row>
    <row r="417" ht="14.25" customHeight="1" s="37">
      <c r="A417" s="9" t="n"/>
      <c r="B417" s="9" t="n"/>
      <c r="C417" s="9" t="n"/>
      <c r="D417" s="9" t="n"/>
      <c r="E417" s="9" t="n"/>
      <c r="F417" s="9" t="n"/>
      <c r="G417" s="9">
        <f>IF(OR(E417="",F417=""),"",DATEDIF(E417,F417,"Y"))</f>
        <v/>
      </c>
      <c r="H417" s="9" t="n"/>
    </row>
    <row r="418" ht="14.25" customHeight="1" s="37">
      <c r="A418" s="9" t="n"/>
      <c r="B418" s="9" t="n"/>
      <c r="C418" s="9" t="n"/>
      <c r="D418" s="9" t="n"/>
      <c r="E418" s="9" t="n"/>
      <c r="F418" s="9" t="n"/>
      <c r="G418" s="9">
        <f>IF(OR(E418="",F418=""),"",DATEDIF(E418,F418,"Y"))</f>
        <v/>
      </c>
      <c r="H418" s="9" t="n"/>
    </row>
    <row r="419" ht="14.25" customHeight="1" s="37">
      <c r="A419" s="9" t="n"/>
      <c r="B419" s="9" t="n"/>
      <c r="C419" s="9" t="n"/>
      <c r="D419" s="9" t="n"/>
      <c r="E419" s="9" t="n"/>
      <c r="F419" s="9" t="n"/>
      <c r="G419" s="9">
        <f>IF(OR(E419="",F419=""),"",DATEDIF(E419,F419,"Y"))</f>
        <v/>
      </c>
      <c r="H419" s="9" t="n"/>
    </row>
    <row r="420" ht="14.25" customHeight="1" s="37">
      <c r="A420" s="9" t="n"/>
      <c r="B420" s="9" t="n"/>
      <c r="C420" s="9" t="n"/>
      <c r="D420" s="9" t="n"/>
      <c r="E420" s="9" t="n"/>
      <c r="F420" s="9" t="n"/>
      <c r="G420" s="9">
        <f>IF(OR(E420="",F420=""),"",DATEDIF(E420,F420,"Y"))</f>
        <v/>
      </c>
      <c r="H420" s="9" t="n"/>
    </row>
    <row r="421" ht="14.25" customHeight="1" s="37">
      <c r="A421" s="9" t="n"/>
      <c r="B421" s="9" t="n"/>
      <c r="C421" s="9" t="n"/>
      <c r="D421" s="9" t="n"/>
      <c r="E421" s="9" t="n"/>
      <c r="F421" s="9" t="n"/>
      <c r="G421" s="9">
        <f>IF(OR(E421="",F421=""),"",DATEDIF(E421,F421,"Y"))</f>
        <v/>
      </c>
      <c r="H421" s="9" t="n"/>
    </row>
    <row r="422" ht="14.25" customHeight="1" s="37">
      <c r="A422" s="9" t="n"/>
      <c r="B422" s="9" t="n"/>
      <c r="C422" s="9" t="n"/>
      <c r="D422" s="9" t="n"/>
      <c r="E422" s="9" t="n"/>
      <c r="F422" s="9" t="n"/>
      <c r="G422" s="9">
        <f>IF(OR(E422="",F422=""),"",DATEDIF(E422,F422,"Y"))</f>
        <v/>
      </c>
      <c r="H422" s="9" t="n"/>
    </row>
    <row r="423" ht="14.25" customHeight="1" s="37">
      <c r="A423" s="9" t="n"/>
      <c r="B423" s="9" t="n"/>
      <c r="C423" s="9" t="n"/>
      <c r="D423" s="9" t="n"/>
      <c r="E423" s="9" t="n"/>
      <c r="F423" s="9" t="n"/>
      <c r="G423" s="9">
        <f>IF(OR(E423="",F423=""),"",DATEDIF(E423,F423,"Y"))</f>
        <v/>
      </c>
      <c r="H423" s="9" t="n"/>
    </row>
    <row r="424" ht="14.25" customHeight="1" s="37">
      <c r="A424" s="9" t="n"/>
      <c r="B424" s="9" t="n"/>
      <c r="C424" s="9" t="n"/>
      <c r="D424" s="9" t="n"/>
      <c r="E424" s="9" t="n"/>
      <c r="F424" s="9" t="n"/>
      <c r="G424" s="9">
        <f>IF(OR(E424="",F424=""),"",DATEDIF(E424,F424,"Y"))</f>
        <v/>
      </c>
      <c r="H424" s="9" t="n"/>
    </row>
    <row r="425" ht="14.25" customHeight="1" s="37">
      <c r="A425" s="9" t="n"/>
      <c r="B425" s="9" t="n"/>
      <c r="C425" s="9" t="n"/>
      <c r="D425" s="9" t="n"/>
      <c r="E425" s="9" t="n"/>
      <c r="F425" s="9" t="n"/>
      <c r="G425" s="9">
        <f>IF(OR(E425="",F425=""),"",DATEDIF(E425,F425,"Y"))</f>
        <v/>
      </c>
      <c r="H425" s="9" t="n"/>
    </row>
    <row r="426" ht="14.25" customHeight="1" s="37">
      <c r="A426" s="9" t="n"/>
      <c r="B426" s="9" t="n"/>
      <c r="C426" s="9" t="n"/>
      <c r="D426" s="9" t="n"/>
      <c r="E426" s="9" t="n"/>
      <c r="F426" s="9" t="n"/>
      <c r="G426" s="9">
        <f>IF(OR(E426="",F426=""),"",DATEDIF(E426,F426,"Y"))</f>
        <v/>
      </c>
      <c r="H426" s="9" t="n"/>
    </row>
    <row r="427" ht="14.25" customHeight="1" s="37">
      <c r="A427" s="9" t="n"/>
      <c r="B427" s="9" t="n"/>
      <c r="C427" s="9" t="n"/>
      <c r="D427" s="9" t="n"/>
      <c r="E427" s="9" t="n"/>
      <c r="F427" s="9" t="n"/>
      <c r="G427" s="9">
        <f>IF(OR(E427="",F427=""),"",DATEDIF(E427,F427,"Y"))</f>
        <v/>
      </c>
      <c r="H427" s="9" t="n"/>
    </row>
    <row r="428" ht="14.25" customHeight="1" s="37">
      <c r="A428" s="9" t="n"/>
      <c r="B428" s="9" t="n"/>
      <c r="C428" s="9" t="n"/>
      <c r="D428" s="9" t="n"/>
      <c r="E428" s="9" t="n"/>
      <c r="F428" s="9" t="n"/>
      <c r="G428" s="9">
        <f>IF(OR(E428="",F428=""),"",DATEDIF(E428,F428,"Y"))</f>
        <v/>
      </c>
      <c r="H428" s="9" t="n"/>
    </row>
    <row r="429" ht="14.25" customHeight="1" s="37">
      <c r="A429" s="9" t="n"/>
      <c r="B429" s="9" t="n"/>
      <c r="C429" s="9" t="n"/>
      <c r="D429" s="9" t="n"/>
      <c r="E429" s="9" t="n"/>
      <c r="F429" s="9" t="n"/>
      <c r="G429" s="9">
        <f>IF(OR(E429="",F429=""),"",DATEDIF(E429,F429,"Y"))</f>
        <v/>
      </c>
      <c r="H429" s="9" t="n"/>
    </row>
    <row r="430" ht="14.25" customHeight="1" s="37">
      <c r="A430" s="9" t="n"/>
      <c r="B430" s="9" t="n"/>
      <c r="C430" s="9" t="n"/>
      <c r="D430" s="9" t="n"/>
      <c r="E430" s="9" t="n"/>
      <c r="F430" s="9" t="n"/>
      <c r="G430" s="9">
        <f>IF(OR(E430="",F430=""),"",DATEDIF(E430,F430,"Y"))</f>
        <v/>
      </c>
      <c r="H430" s="9" t="n"/>
    </row>
    <row r="431" ht="14.25" customHeight="1" s="37">
      <c r="A431" s="9" t="n"/>
      <c r="B431" s="9" t="n"/>
      <c r="C431" s="9" t="n"/>
      <c r="D431" s="9" t="n"/>
      <c r="E431" s="9" t="n"/>
      <c r="F431" s="9" t="n"/>
      <c r="G431" s="9">
        <f>IF(OR(E431="",F431=""),"",DATEDIF(E431,F431,"Y"))</f>
        <v/>
      </c>
      <c r="H431" s="9" t="n"/>
    </row>
    <row r="432" ht="14.25" customHeight="1" s="37">
      <c r="A432" s="9" t="n"/>
      <c r="B432" s="9" t="n"/>
      <c r="C432" s="9" t="n"/>
      <c r="D432" s="9" t="n"/>
      <c r="E432" s="9" t="n"/>
      <c r="F432" s="9" t="n"/>
      <c r="G432" s="9">
        <f>IF(OR(E432="",F432=""),"",DATEDIF(E432,F432,"Y"))</f>
        <v/>
      </c>
      <c r="H432" s="9" t="n"/>
    </row>
    <row r="433" ht="14.25" customHeight="1" s="37">
      <c r="A433" s="9" t="n"/>
      <c r="B433" s="9" t="n"/>
      <c r="C433" s="9" t="n"/>
      <c r="D433" s="9" t="n"/>
      <c r="E433" s="9" t="n"/>
      <c r="F433" s="9" t="n"/>
      <c r="G433" s="9">
        <f>IF(OR(E433="",F433=""),"",DATEDIF(E433,F433,"Y"))</f>
        <v/>
      </c>
      <c r="H433" s="9" t="n"/>
    </row>
    <row r="434" ht="14.25" customHeight="1" s="37">
      <c r="A434" s="9" t="n"/>
      <c r="B434" s="9" t="n"/>
      <c r="C434" s="9" t="n"/>
      <c r="D434" s="9" t="n"/>
      <c r="E434" s="9" t="n"/>
      <c r="F434" s="9" t="n"/>
      <c r="G434" s="9">
        <f>IF(OR(E434="",F434=""),"",DATEDIF(E434,F434,"Y"))</f>
        <v/>
      </c>
      <c r="H434" s="9" t="n"/>
    </row>
    <row r="435" ht="14.25" customHeight="1" s="37">
      <c r="A435" s="9" t="n"/>
      <c r="B435" s="9" t="n"/>
      <c r="C435" s="9" t="n"/>
      <c r="D435" s="9" t="n"/>
      <c r="E435" s="9" t="n"/>
      <c r="F435" s="9" t="n"/>
      <c r="G435" s="9">
        <f>IF(OR(E435="",F435=""),"",DATEDIF(E435,F435,"Y"))</f>
        <v/>
      </c>
      <c r="H435" s="9" t="n"/>
    </row>
    <row r="436" ht="14.25" customHeight="1" s="37">
      <c r="A436" s="9" t="n"/>
      <c r="B436" s="9" t="n"/>
      <c r="C436" s="9" t="n"/>
      <c r="D436" s="9" t="n"/>
      <c r="E436" s="9" t="n"/>
      <c r="F436" s="9" t="n"/>
      <c r="G436" s="9">
        <f>IF(OR(E436="",F436=""),"",DATEDIF(E436,F436,"Y"))</f>
        <v/>
      </c>
      <c r="H436" s="9" t="n"/>
    </row>
    <row r="437" ht="14.25" customHeight="1" s="37">
      <c r="A437" s="9" t="n"/>
      <c r="B437" s="9" t="n"/>
      <c r="C437" s="9" t="n"/>
      <c r="D437" s="9" t="n"/>
      <c r="E437" s="9" t="n"/>
      <c r="F437" s="9" t="n"/>
      <c r="G437" s="9">
        <f>IF(OR(E437="",F437=""),"",DATEDIF(E437,F437,"Y"))</f>
        <v/>
      </c>
      <c r="H437" s="9" t="n"/>
    </row>
    <row r="438" ht="14.25" customHeight="1" s="37">
      <c r="A438" s="9" t="n"/>
      <c r="B438" s="9" t="n"/>
      <c r="C438" s="9" t="n"/>
      <c r="D438" s="9" t="n"/>
      <c r="E438" s="9" t="n"/>
      <c r="F438" s="9" t="n"/>
      <c r="G438" s="9">
        <f>IF(OR(E438="",F438=""),"",DATEDIF(E438,F438,"Y"))</f>
        <v/>
      </c>
      <c r="H438" s="9" t="n"/>
    </row>
    <row r="439" ht="14.25" customHeight="1" s="37">
      <c r="A439" s="9" t="n"/>
      <c r="B439" s="9" t="n"/>
      <c r="C439" s="9" t="n"/>
      <c r="D439" s="9" t="n"/>
      <c r="E439" s="9" t="n"/>
      <c r="F439" s="9" t="n"/>
      <c r="G439" s="9">
        <f>IF(OR(E439="",F439=""),"",DATEDIF(E439,F439,"Y"))</f>
        <v/>
      </c>
      <c r="H439" s="9" t="n"/>
    </row>
    <row r="440" ht="14.25" customHeight="1" s="37">
      <c r="A440" s="9" t="n"/>
      <c r="B440" s="9" t="n"/>
      <c r="C440" s="9" t="n"/>
      <c r="D440" s="9" t="n"/>
      <c r="E440" s="9" t="n"/>
      <c r="F440" s="9" t="n"/>
      <c r="G440" s="9">
        <f>IF(OR(E440="",F440=""),"",DATEDIF(E440,F440,"Y"))</f>
        <v/>
      </c>
      <c r="H440" s="9" t="n"/>
    </row>
    <row r="441" ht="14.25" customHeight="1" s="37">
      <c r="A441" s="9" t="n"/>
      <c r="B441" s="9" t="n"/>
      <c r="C441" s="9" t="n"/>
      <c r="D441" s="9" t="n"/>
      <c r="E441" s="9" t="n"/>
      <c r="F441" s="9" t="n"/>
      <c r="G441" s="9">
        <f>IF(OR(E441="",F441=""),"",DATEDIF(E441,F441,"Y"))</f>
        <v/>
      </c>
      <c r="H441" s="9" t="n"/>
    </row>
    <row r="442" ht="14.25" customHeight="1" s="37">
      <c r="A442" s="9" t="n"/>
      <c r="B442" s="9" t="n"/>
      <c r="C442" s="9" t="n"/>
      <c r="D442" s="9" t="n"/>
      <c r="E442" s="9" t="n"/>
      <c r="F442" s="9" t="n"/>
      <c r="G442" s="9">
        <f>IF(OR(E442="",F442=""),"",DATEDIF(E442,F442,"Y"))</f>
        <v/>
      </c>
      <c r="H442" s="9" t="n"/>
    </row>
    <row r="443" ht="14.25" customHeight="1" s="37">
      <c r="A443" s="9" t="n"/>
      <c r="B443" s="9" t="n"/>
      <c r="C443" s="9" t="n"/>
      <c r="D443" s="9" t="n"/>
      <c r="E443" s="9" t="n"/>
      <c r="F443" s="9" t="n"/>
      <c r="G443" s="9">
        <f>IF(OR(E443="",F443=""),"",DATEDIF(E443,F443,"Y"))</f>
        <v/>
      </c>
      <c r="H443" s="9" t="n"/>
    </row>
    <row r="444" ht="14.25" customHeight="1" s="37">
      <c r="A444" s="9" t="n"/>
      <c r="B444" s="9" t="n"/>
      <c r="C444" s="9" t="n"/>
      <c r="D444" s="9" t="n"/>
      <c r="E444" s="9" t="n"/>
      <c r="F444" s="9" t="n"/>
      <c r="G444" s="9">
        <f>IF(OR(E444="",F444=""),"",DATEDIF(E444,F444,"Y"))</f>
        <v/>
      </c>
      <c r="H444" s="9" t="n"/>
    </row>
    <row r="445" ht="14.25" customHeight="1" s="37">
      <c r="A445" s="9" t="n"/>
      <c r="B445" s="9" t="n"/>
      <c r="C445" s="9" t="n"/>
      <c r="D445" s="9" t="n"/>
      <c r="E445" s="9" t="n"/>
      <c r="F445" s="9" t="n"/>
      <c r="G445" s="9">
        <f>IF(OR(E445="",F445=""),"",DATEDIF(E445,F445,"Y"))</f>
        <v/>
      </c>
      <c r="H445" s="9" t="n"/>
    </row>
    <row r="446" ht="14.25" customHeight="1" s="37">
      <c r="A446" s="9" t="n"/>
      <c r="B446" s="9" t="n"/>
      <c r="C446" s="9" t="n"/>
      <c r="D446" s="9" t="n"/>
      <c r="E446" s="9" t="n"/>
      <c r="F446" s="9" t="n"/>
      <c r="G446" s="9">
        <f>IF(OR(E446="",F446=""),"",DATEDIF(E446,F446,"Y"))</f>
        <v/>
      </c>
      <c r="H446" s="9" t="n"/>
    </row>
    <row r="447" ht="14.25" customHeight="1" s="37">
      <c r="A447" s="9" t="n"/>
      <c r="B447" s="9" t="n"/>
      <c r="C447" s="9" t="n"/>
      <c r="D447" s="9" t="n"/>
      <c r="E447" s="9" t="n"/>
      <c r="F447" s="9" t="n"/>
      <c r="G447" s="9">
        <f>IF(OR(E447="",F447=""),"",DATEDIF(E447,F447,"Y"))</f>
        <v/>
      </c>
      <c r="H447" s="9" t="n"/>
    </row>
    <row r="448" ht="14.25" customHeight="1" s="37">
      <c r="A448" s="9" t="n"/>
      <c r="B448" s="9" t="n"/>
      <c r="C448" s="9" t="n"/>
      <c r="D448" s="9" t="n"/>
      <c r="E448" s="9" t="n"/>
      <c r="F448" s="9" t="n"/>
      <c r="G448" s="9">
        <f>IF(OR(E448="",F448=""),"",DATEDIF(E448,F448,"Y"))</f>
        <v/>
      </c>
      <c r="H448" s="9" t="n"/>
    </row>
    <row r="449" ht="14.25" customHeight="1" s="37">
      <c r="A449" s="9" t="n"/>
      <c r="B449" s="9" t="n"/>
      <c r="C449" s="9" t="n"/>
      <c r="D449" s="9" t="n"/>
      <c r="E449" s="9" t="n"/>
      <c r="F449" s="9" t="n"/>
      <c r="G449" s="9">
        <f>IF(OR(E449="",F449=""),"",DATEDIF(E449,F449,"Y"))</f>
        <v/>
      </c>
      <c r="H449" s="9" t="n"/>
    </row>
    <row r="450" ht="14.25" customHeight="1" s="37">
      <c r="A450" s="9" t="n"/>
      <c r="B450" s="9" t="n"/>
      <c r="C450" s="9" t="n"/>
      <c r="D450" s="9" t="n"/>
      <c r="E450" s="9" t="n"/>
      <c r="F450" s="9" t="n"/>
      <c r="G450" s="9">
        <f>IF(OR(E450="",F450=""),"",DATEDIF(E450,F450,"Y"))</f>
        <v/>
      </c>
      <c r="H450" s="9" t="n"/>
    </row>
    <row r="451" ht="14.25" customHeight="1" s="37">
      <c r="A451" s="9" t="n"/>
      <c r="B451" s="9" t="n"/>
      <c r="C451" s="9" t="n"/>
      <c r="D451" s="9" t="n"/>
      <c r="E451" s="9" t="n"/>
      <c r="F451" s="9" t="n"/>
      <c r="G451" s="9">
        <f>IF(OR(E451="",F451=""),"",DATEDIF(E451,F451,"Y"))</f>
        <v/>
      </c>
      <c r="H451" s="9" t="n"/>
    </row>
    <row r="452" ht="14.25" customHeight="1" s="37">
      <c r="A452" s="9" t="n"/>
      <c r="B452" s="9" t="n"/>
      <c r="C452" s="9" t="n"/>
      <c r="D452" s="9" t="n"/>
      <c r="E452" s="9" t="n"/>
      <c r="F452" s="9" t="n"/>
      <c r="G452" s="9">
        <f>IF(OR(E452="",F452=""),"",DATEDIF(E452,F452,"Y"))</f>
        <v/>
      </c>
      <c r="H452" s="9" t="n"/>
    </row>
    <row r="453" ht="14.25" customHeight="1" s="37">
      <c r="A453" s="9" t="n"/>
      <c r="B453" s="9" t="n"/>
      <c r="C453" s="9" t="n"/>
      <c r="D453" s="9" t="n"/>
      <c r="E453" s="9" t="n"/>
      <c r="F453" s="9" t="n"/>
      <c r="G453" s="9">
        <f>IF(OR(E453="",F453=""),"",DATEDIF(E453,F453,"Y"))</f>
        <v/>
      </c>
      <c r="H453" s="9" t="n"/>
    </row>
    <row r="454" ht="14.25" customHeight="1" s="37">
      <c r="A454" s="9" t="n"/>
      <c r="B454" s="9" t="n"/>
      <c r="C454" s="9" t="n"/>
      <c r="D454" s="9" t="n"/>
      <c r="E454" s="9" t="n"/>
      <c r="F454" s="9" t="n"/>
      <c r="G454" s="9">
        <f>IF(OR(E454="",F454=""),"",DATEDIF(E454,F454,"Y"))</f>
        <v/>
      </c>
      <c r="H454" s="9" t="n"/>
    </row>
    <row r="455" ht="14.25" customHeight="1" s="37">
      <c r="A455" s="9" t="n"/>
      <c r="B455" s="9" t="n"/>
      <c r="C455" s="9" t="n"/>
      <c r="D455" s="9" t="n"/>
      <c r="E455" s="9" t="n"/>
      <c r="F455" s="9" t="n"/>
      <c r="G455" s="9">
        <f>IF(OR(E455="",F455=""),"",DATEDIF(E455,F455,"Y"))</f>
        <v/>
      </c>
      <c r="H455" s="9" t="n"/>
    </row>
    <row r="456" ht="14.25" customHeight="1" s="37">
      <c r="A456" s="9" t="n"/>
      <c r="B456" s="9" t="n"/>
      <c r="C456" s="9" t="n"/>
      <c r="D456" s="9" t="n"/>
      <c r="E456" s="9" t="n"/>
      <c r="F456" s="9" t="n"/>
      <c r="G456" s="9">
        <f>IF(OR(E456="",F456=""),"",DATEDIF(E456,F456,"Y"))</f>
        <v/>
      </c>
      <c r="H456" s="9" t="n"/>
    </row>
    <row r="457" ht="14.25" customHeight="1" s="37">
      <c r="A457" s="9" t="n"/>
      <c r="B457" s="9" t="n"/>
      <c r="C457" s="9" t="n"/>
      <c r="D457" s="9" t="n"/>
      <c r="E457" s="9" t="n"/>
      <c r="F457" s="9" t="n"/>
      <c r="G457" s="9">
        <f>IF(OR(E457="",F457=""),"",DATEDIF(E457,F457,"Y"))</f>
        <v/>
      </c>
      <c r="H457" s="9" t="n"/>
    </row>
    <row r="458" ht="14.25" customHeight="1" s="37">
      <c r="A458" s="9" t="n"/>
      <c r="B458" s="9" t="n"/>
      <c r="C458" s="9" t="n"/>
      <c r="D458" s="9" t="n"/>
      <c r="E458" s="9" t="n"/>
      <c r="F458" s="9" t="n"/>
      <c r="G458" s="9">
        <f>IF(OR(E458="",F458=""),"",DATEDIF(E458,F458,"Y"))</f>
        <v/>
      </c>
      <c r="H458" s="9" t="n"/>
    </row>
    <row r="459" ht="14.25" customHeight="1" s="37">
      <c r="A459" s="9" t="n"/>
      <c r="B459" s="9" t="n"/>
      <c r="C459" s="9" t="n"/>
      <c r="D459" s="9" t="n"/>
      <c r="E459" s="9" t="n"/>
      <c r="F459" s="9" t="n"/>
      <c r="G459" s="9">
        <f>IF(OR(E459="",F459=""),"",DATEDIF(E459,F459,"Y"))</f>
        <v/>
      </c>
      <c r="H459" s="9" t="n"/>
    </row>
    <row r="460" ht="14.25" customHeight="1" s="37">
      <c r="A460" s="9" t="n"/>
      <c r="B460" s="9" t="n"/>
      <c r="C460" s="9" t="n"/>
      <c r="D460" s="9" t="n"/>
      <c r="E460" s="9" t="n"/>
      <c r="F460" s="9" t="n"/>
      <c r="G460" s="9">
        <f>IF(OR(E460="",F460=""),"",DATEDIF(E460,F460,"Y"))</f>
        <v/>
      </c>
      <c r="H460" s="9" t="n"/>
    </row>
    <row r="461" ht="14.25" customHeight="1" s="37">
      <c r="A461" s="9" t="n"/>
      <c r="B461" s="9" t="n"/>
      <c r="C461" s="9" t="n"/>
      <c r="D461" s="9" t="n"/>
      <c r="E461" s="9" t="n"/>
      <c r="F461" s="9" t="n"/>
      <c r="G461" s="9">
        <f>IF(OR(E461="",F461=""),"",DATEDIF(E461,F461,"Y"))</f>
        <v/>
      </c>
      <c r="H461" s="9" t="n"/>
    </row>
    <row r="462" ht="14.25" customHeight="1" s="37">
      <c r="A462" s="9" t="n"/>
      <c r="B462" s="9" t="n"/>
      <c r="C462" s="9" t="n"/>
      <c r="D462" s="9" t="n"/>
      <c r="E462" s="9" t="n"/>
      <c r="F462" s="9" t="n"/>
      <c r="G462" s="9">
        <f>IF(OR(E462="",F462=""),"",DATEDIF(E462,F462,"Y"))</f>
        <v/>
      </c>
      <c r="H462" s="9" t="n"/>
    </row>
    <row r="463" ht="14.25" customHeight="1" s="37">
      <c r="A463" s="9" t="n"/>
      <c r="B463" s="9" t="n"/>
      <c r="C463" s="9" t="n"/>
      <c r="D463" s="9" t="n"/>
      <c r="E463" s="9" t="n"/>
      <c r="F463" s="9" t="n"/>
      <c r="G463" s="9">
        <f>IF(OR(E463="",F463=""),"",DATEDIF(E463,F463,"Y"))</f>
        <v/>
      </c>
      <c r="H463" s="9" t="n"/>
    </row>
    <row r="464" ht="14.25" customHeight="1" s="37">
      <c r="A464" s="9" t="n"/>
      <c r="B464" s="9" t="n"/>
      <c r="C464" s="9" t="n"/>
      <c r="D464" s="9" t="n"/>
      <c r="E464" s="9" t="n"/>
      <c r="F464" s="9" t="n"/>
      <c r="G464" s="9">
        <f>IF(OR(E464="",F464=""),"",DATEDIF(E464,F464,"Y"))</f>
        <v/>
      </c>
      <c r="H464" s="9" t="n"/>
    </row>
    <row r="465" ht="14.25" customHeight="1" s="37">
      <c r="A465" s="9" t="n"/>
      <c r="B465" s="9" t="n"/>
      <c r="C465" s="9" t="n"/>
      <c r="D465" s="9" t="n"/>
      <c r="E465" s="9" t="n"/>
      <c r="F465" s="9" t="n"/>
      <c r="G465" s="9">
        <f>IF(OR(E465="",F465=""),"",DATEDIF(E465,F465,"Y"))</f>
        <v/>
      </c>
      <c r="H465" s="9" t="n"/>
    </row>
    <row r="466" ht="14.25" customHeight="1" s="37">
      <c r="A466" s="9" t="n"/>
      <c r="B466" s="9" t="n"/>
      <c r="C466" s="9" t="n"/>
      <c r="D466" s="9" t="n"/>
      <c r="E466" s="9" t="n"/>
      <c r="F466" s="9" t="n"/>
      <c r="G466" s="9">
        <f>IF(OR(E466="",F466=""),"",DATEDIF(E466,F466,"Y"))</f>
        <v/>
      </c>
      <c r="H466" s="9" t="n"/>
    </row>
    <row r="467" ht="14.25" customHeight="1" s="37">
      <c r="A467" s="9" t="n"/>
      <c r="B467" s="9" t="n"/>
      <c r="C467" s="9" t="n"/>
      <c r="D467" s="9" t="n"/>
      <c r="E467" s="9" t="n"/>
      <c r="F467" s="9" t="n"/>
      <c r="G467" s="9">
        <f>IF(OR(E467="",F467=""),"",DATEDIF(E467,F467,"Y"))</f>
        <v/>
      </c>
      <c r="H467" s="9" t="n"/>
    </row>
    <row r="468" ht="14.25" customHeight="1" s="37">
      <c r="A468" s="9" t="n"/>
      <c r="B468" s="9" t="n"/>
      <c r="C468" s="9" t="n"/>
      <c r="D468" s="9" t="n"/>
      <c r="E468" s="9" t="n"/>
      <c r="F468" s="9" t="n"/>
      <c r="G468" s="9">
        <f>IF(OR(E468="",F468=""),"",DATEDIF(E468,F468,"Y"))</f>
        <v/>
      </c>
      <c r="H468" s="9" t="n"/>
    </row>
    <row r="469" ht="14.25" customHeight="1" s="37">
      <c r="A469" s="9" t="n"/>
      <c r="B469" s="9" t="n"/>
      <c r="C469" s="9" t="n"/>
      <c r="D469" s="9" t="n"/>
      <c r="E469" s="9" t="n"/>
      <c r="F469" s="9" t="n"/>
      <c r="G469" s="9">
        <f>IF(OR(E469="",F469=""),"",DATEDIF(E469,F469,"Y"))</f>
        <v/>
      </c>
      <c r="H469" s="9" t="n"/>
    </row>
    <row r="470" ht="14.25" customHeight="1" s="37">
      <c r="A470" s="9" t="n"/>
      <c r="B470" s="9" t="n"/>
      <c r="C470" s="9" t="n"/>
      <c r="D470" s="9" t="n"/>
      <c r="E470" s="9" t="n"/>
      <c r="F470" s="9" t="n"/>
      <c r="G470" s="9">
        <f>IF(OR(E470="",F470=""),"",DATEDIF(E470,F470,"Y"))</f>
        <v/>
      </c>
      <c r="H470" s="9" t="n"/>
    </row>
    <row r="471" ht="14.25" customHeight="1" s="37">
      <c r="A471" s="9" t="n"/>
      <c r="B471" s="9" t="n"/>
      <c r="C471" s="9" t="n"/>
      <c r="D471" s="9" t="n"/>
      <c r="E471" s="9" t="n"/>
      <c r="F471" s="9" t="n"/>
      <c r="G471" s="9">
        <f>IF(OR(E471="",F471=""),"",DATEDIF(E471,F471,"Y"))</f>
        <v/>
      </c>
      <c r="H471" s="9" t="n"/>
    </row>
    <row r="472" ht="14.25" customHeight="1" s="37">
      <c r="A472" s="9" t="n"/>
      <c r="B472" s="9" t="n"/>
      <c r="C472" s="9" t="n"/>
      <c r="D472" s="9" t="n"/>
      <c r="E472" s="9" t="n"/>
      <c r="F472" s="9" t="n"/>
      <c r="G472" s="9">
        <f>IF(OR(E472="",F472=""),"",DATEDIF(E472,F472,"Y"))</f>
        <v/>
      </c>
      <c r="H472" s="9" t="n"/>
    </row>
    <row r="473" ht="14.25" customHeight="1" s="37">
      <c r="A473" s="9" t="n"/>
      <c r="B473" s="9" t="n"/>
      <c r="C473" s="9" t="n"/>
      <c r="D473" s="9" t="n"/>
      <c r="E473" s="9" t="n"/>
      <c r="F473" s="9" t="n"/>
      <c r="G473" s="9">
        <f>IF(OR(E473="",F473=""),"",DATEDIF(E473,F473,"Y"))</f>
        <v/>
      </c>
      <c r="H473" s="9" t="n"/>
    </row>
    <row r="474" ht="14.25" customHeight="1" s="37">
      <c r="A474" s="9" t="n"/>
      <c r="B474" s="9" t="n"/>
      <c r="C474" s="9" t="n"/>
      <c r="D474" s="9" t="n"/>
      <c r="E474" s="9" t="n"/>
      <c r="F474" s="9" t="n"/>
      <c r="G474" s="9">
        <f>IF(OR(E474="",F474=""),"",DATEDIF(E474,F474,"Y"))</f>
        <v/>
      </c>
      <c r="H474" s="9" t="n"/>
    </row>
    <row r="475" ht="14.25" customHeight="1" s="37">
      <c r="A475" s="9" t="n"/>
      <c r="B475" s="9" t="n"/>
      <c r="C475" s="9" t="n"/>
      <c r="D475" s="9" t="n"/>
      <c r="E475" s="9" t="n"/>
      <c r="F475" s="9" t="n"/>
      <c r="G475" s="9">
        <f>IF(OR(E475="",F475=""),"",DATEDIF(E475,F475,"Y"))</f>
        <v/>
      </c>
      <c r="H475" s="9" t="n"/>
    </row>
    <row r="476" ht="14.25" customHeight="1" s="37">
      <c r="A476" s="9" t="n"/>
      <c r="B476" s="9" t="n"/>
      <c r="C476" s="9" t="n"/>
      <c r="D476" s="9" t="n"/>
      <c r="E476" s="9" t="n"/>
      <c r="F476" s="9" t="n"/>
      <c r="G476" s="9">
        <f>IF(OR(E476="",F476=""),"",DATEDIF(E476,F476,"Y"))</f>
        <v/>
      </c>
      <c r="H476" s="9" t="n"/>
    </row>
    <row r="477" ht="14.25" customHeight="1" s="37">
      <c r="A477" s="9" t="n"/>
      <c r="B477" s="9" t="n"/>
      <c r="C477" s="9" t="n"/>
      <c r="D477" s="9" t="n"/>
      <c r="E477" s="9" t="n"/>
      <c r="F477" s="9" t="n"/>
      <c r="G477" s="9">
        <f>IF(OR(E477="",F477=""),"",DATEDIF(E477,F477,"Y"))</f>
        <v/>
      </c>
      <c r="H477" s="9" t="n"/>
    </row>
    <row r="478" ht="14.25" customHeight="1" s="37">
      <c r="A478" s="9" t="n"/>
      <c r="B478" s="9" t="n"/>
      <c r="C478" s="9" t="n"/>
      <c r="D478" s="9" t="n"/>
      <c r="E478" s="9" t="n"/>
      <c r="F478" s="9" t="n"/>
      <c r="G478" s="9">
        <f>IF(OR(E478="",F478=""),"",DATEDIF(E478,F478,"Y"))</f>
        <v/>
      </c>
      <c r="H478" s="9" t="n"/>
    </row>
    <row r="479" ht="14.25" customHeight="1" s="37">
      <c r="A479" s="9" t="n"/>
      <c r="B479" s="9" t="n"/>
      <c r="C479" s="9" t="n"/>
      <c r="D479" s="9" t="n"/>
      <c r="E479" s="9" t="n"/>
      <c r="F479" s="9" t="n"/>
      <c r="G479" s="9">
        <f>IF(OR(E479="",F479=""),"",DATEDIF(E479,F479,"Y"))</f>
        <v/>
      </c>
      <c r="H479" s="9" t="n"/>
    </row>
    <row r="480" ht="14.25" customHeight="1" s="37">
      <c r="A480" s="9" t="n"/>
      <c r="B480" s="9" t="n"/>
      <c r="C480" s="9" t="n"/>
      <c r="D480" s="9" t="n"/>
      <c r="E480" s="9" t="n"/>
      <c r="F480" s="9" t="n"/>
      <c r="G480" s="9">
        <f>IF(OR(E480="",F480=""),"",DATEDIF(E480,F480,"Y"))</f>
        <v/>
      </c>
      <c r="H480" s="9" t="n"/>
    </row>
    <row r="481" ht="14.25" customHeight="1" s="37">
      <c r="A481" s="9" t="n"/>
      <c r="B481" s="9" t="n"/>
      <c r="C481" s="9" t="n"/>
      <c r="D481" s="9" t="n"/>
      <c r="E481" s="9" t="n"/>
      <c r="F481" s="9" t="n"/>
      <c r="G481" s="9">
        <f>IF(OR(E481="",F481=""),"",DATEDIF(E481,F481,"Y"))</f>
        <v/>
      </c>
      <c r="H481" s="9" t="n"/>
    </row>
    <row r="482" ht="14.25" customHeight="1" s="37">
      <c r="A482" s="9" t="n"/>
      <c r="B482" s="9" t="n"/>
      <c r="C482" s="9" t="n"/>
      <c r="D482" s="9" t="n"/>
      <c r="E482" s="9" t="n"/>
      <c r="F482" s="9" t="n"/>
      <c r="G482" s="9">
        <f>IF(OR(E482="",F482=""),"",DATEDIF(E482,F482,"Y"))</f>
        <v/>
      </c>
      <c r="H482" s="9" t="n"/>
    </row>
    <row r="483" ht="14.25" customHeight="1" s="37">
      <c r="A483" s="9" t="n"/>
      <c r="B483" s="9" t="n"/>
      <c r="C483" s="9" t="n"/>
      <c r="D483" s="9" t="n"/>
      <c r="E483" s="9" t="n"/>
      <c r="F483" s="9" t="n"/>
      <c r="G483" s="9">
        <f>IF(OR(E483="",F483=""),"",DATEDIF(E483,F483,"Y"))</f>
        <v/>
      </c>
      <c r="H483" s="9" t="n"/>
    </row>
    <row r="484" ht="14.25" customHeight="1" s="37">
      <c r="A484" s="9" t="n"/>
      <c r="B484" s="9" t="n"/>
      <c r="C484" s="9" t="n"/>
      <c r="D484" s="9" t="n"/>
      <c r="E484" s="9" t="n"/>
      <c r="F484" s="9" t="n"/>
      <c r="G484" s="9">
        <f>IF(OR(E484="",F484=""),"",DATEDIF(E484,F484,"Y"))</f>
        <v/>
      </c>
      <c r="H484" s="9" t="n"/>
    </row>
    <row r="485" ht="14.25" customHeight="1" s="37">
      <c r="A485" s="9" t="n"/>
      <c r="B485" s="9" t="n"/>
      <c r="C485" s="9" t="n"/>
      <c r="D485" s="9" t="n"/>
      <c r="E485" s="9" t="n"/>
      <c r="F485" s="9" t="n"/>
      <c r="G485" s="9">
        <f>IF(OR(E485="",F485=""),"",DATEDIF(E485,F485,"Y"))</f>
        <v/>
      </c>
      <c r="H485" s="9" t="n"/>
    </row>
    <row r="486" ht="14.25" customHeight="1" s="37">
      <c r="A486" s="9" t="n"/>
      <c r="B486" s="9" t="n"/>
      <c r="C486" s="9" t="n"/>
      <c r="D486" s="9" t="n"/>
      <c r="E486" s="9" t="n"/>
      <c r="F486" s="9" t="n"/>
      <c r="G486" s="9">
        <f>IF(OR(E486="",F486=""),"",DATEDIF(E486,F486,"Y"))</f>
        <v/>
      </c>
      <c r="H486" s="9" t="n"/>
    </row>
    <row r="487" ht="14.25" customHeight="1" s="37">
      <c r="A487" s="9" t="n"/>
      <c r="B487" s="9" t="n"/>
      <c r="C487" s="9" t="n"/>
      <c r="D487" s="9" t="n"/>
      <c r="E487" s="9" t="n"/>
      <c r="F487" s="9" t="n"/>
      <c r="G487" s="9">
        <f>IF(OR(E487="",F487=""),"",DATEDIF(E487,F487,"Y"))</f>
        <v/>
      </c>
      <c r="H487" s="9" t="n"/>
    </row>
    <row r="488" ht="14.25" customHeight="1" s="37">
      <c r="A488" s="9" t="n"/>
      <c r="B488" s="9" t="n"/>
      <c r="C488" s="9" t="n"/>
      <c r="D488" s="9" t="n"/>
      <c r="E488" s="9" t="n"/>
      <c r="F488" s="9" t="n"/>
      <c r="G488" s="9">
        <f>IF(OR(E488="",F488=""),"",DATEDIF(E488,F488,"Y"))</f>
        <v/>
      </c>
      <c r="H488" s="9" t="n"/>
    </row>
    <row r="489" ht="14.25" customHeight="1" s="37">
      <c r="A489" s="9" t="n"/>
      <c r="B489" s="9" t="n"/>
      <c r="C489" s="9" t="n"/>
      <c r="D489" s="9" t="n"/>
      <c r="E489" s="9" t="n"/>
      <c r="F489" s="9" t="n"/>
      <c r="G489" s="9">
        <f>IF(OR(E489="",F489=""),"",DATEDIF(E489,F489,"Y"))</f>
        <v/>
      </c>
      <c r="H489" s="9" t="n"/>
    </row>
    <row r="490" ht="14.25" customHeight="1" s="37">
      <c r="A490" s="9" t="n"/>
      <c r="B490" s="9" t="n"/>
      <c r="C490" s="9" t="n"/>
      <c r="D490" s="9" t="n"/>
      <c r="E490" s="9" t="n"/>
      <c r="F490" s="9" t="n"/>
      <c r="G490" s="9">
        <f>IF(OR(E490="",F490=""),"",DATEDIF(E490,F490,"Y"))</f>
        <v/>
      </c>
      <c r="H490" s="9" t="n"/>
    </row>
    <row r="491" ht="14.25" customHeight="1" s="37">
      <c r="A491" s="9" t="n"/>
      <c r="B491" s="9" t="n"/>
      <c r="C491" s="9" t="n"/>
      <c r="D491" s="9" t="n"/>
      <c r="E491" s="9" t="n"/>
      <c r="F491" s="9" t="n"/>
      <c r="G491" s="9">
        <f>IF(OR(E491="",F491=""),"",DATEDIF(E491,F491,"Y"))</f>
        <v/>
      </c>
      <c r="H491" s="9" t="n"/>
    </row>
    <row r="492" ht="14.25" customHeight="1" s="37">
      <c r="A492" s="9" t="n"/>
      <c r="B492" s="9" t="n"/>
      <c r="C492" s="9" t="n"/>
      <c r="D492" s="9" t="n"/>
      <c r="E492" s="9" t="n"/>
      <c r="F492" s="9" t="n"/>
      <c r="G492" s="9">
        <f>IF(OR(E492="",F492=""),"",DATEDIF(E492,F492,"Y"))</f>
        <v/>
      </c>
      <c r="H492" s="9" t="n"/>
    </row>
    <row r="493" ht="14.25" customHeight="1" s="37">
      <c r="A493" s="9" t="n"/>
      <c r="B493" s="9" t="n"/>
      <c r="C493" s="9" t="n"/>
      <c r="D493" s="9" t="n"/>
      <c r="E493" s="9" t="n"/>
      <c r="F493" s="9" t="n"/>
      <c r="G493" s="9">
        <f>IF(OR(E493="",F493=""),"",DATEDIF(E493,F493,"Y"))</f>
        <v/>
      </c>
      <c r="H493" s="9" t="n"/>
    </row>
    <row r="494" ht="14.25" customHeight="1" s="37">
      <c r="A494" s="9" t="n"/>
      <c r="B494" s="9" t="n"/>
      <c r="C494" s="9" t="n"/>
      <c r="D494" s="9" t="n"/>
      <c r="E494" s="9" t="n"/>
      <c r="F494" s="9" t="n"/>
      <c r="G494" s="9">
        <f>IF(OR(E494="",F494=""),"",DATEDIF(E494,F494,"Y"))</f>
        <v/>
      </c>
      <c r="H494" s="9" t="n"/>
    </row>
    <row r="495" ht="14.25" customHeight="1" s="37">
      <c r="A495" s="9" t="n"/>
      <c r="B495" s="9" t="n"/>
      <c r="C495" s="9" t="n"/>
      <c r="D495" s="9" t="n"/>
      <c r="E495" s="9" t="n"/>
      <c r="F495" s="9" t="n"/>
      <c r="G495" s="9">
        <f>IF(OR(E495="",F495=""),"",DATEDIF(E495,F495,"Y"))</f>
        <v/>
      </c>
      <c r="H495" s="9" t="n"/>
    </row>
    <row r="496" ht="14.25" customHeight="1" s="37">
      <c r="A496" s="9" t="n"/>
      <c r="B496" s="9" t="n"/>
      <c r="C496" s="9" t="n"/>
      <c r="D496" s="9" t="n"/>
      <c r="E496" s="9" t="n"/>
      <c r="F496" s="9" t="n"/>
      <c r="G496" s="9">
        <f>IF(OR(E496="",F496=""),"",DATEDIF(E496,F496,"Y"))</f>
        <v/>
      </c>
      <c r="H496" s="9" t="n"/>
    </row>
    <row r="497" ht="14.25" customHeight="1" s="37">
      <c r="A497" s="9" t="n"/>
      <c r="B497" s="9" t="n"/>
      <c r="C497" s="9" t="n"/>
      <c r="D497" s="9" t="n"/>
      <c r="E497" s="9" t="n"/>
      <c r="F497" s="9" t="n"/>
      <c r="G497" s="9">
        <f>IF(OR(E497="",F497=""),"",DATEDIF(E497,F497,"Y"))</f>
        <v/>
      </c>
      <c r="H497" s="9" t="n"/>
    </row>
    <row r="498" ht="14.25" customHeight="1" s="37">
      <c r="A498" s="9" t="n"/>
      <c r="B498" s="9" t="n"/>
      <c r="C498" s="9" t="n"/>
      <c r="D498" s="9" t="n"/>
      <c r="E498" s="9" t="n"/>
      <c r="F498" s="9" t="n"/>
      <c r="G498" s="9">
        <f>IF(OR(E498="",F498=""),"",DATEDIF(E498,F498,"Y"))</f>
        <v/>
      </c>
      <c r="H498" s="9" t="n"/>
    </row>
    <row r="499" ht="14.25" customHeight="1" s="37">
      <c r="A499" s="9" t="n"/>
      <c r="B499" s="9" t="n"/>
      <c r="C499" s="9" t="n"/>
      <c r="D499" s="9" t="n"/>
      <c r="E499" s="9" t="n"/>
      <c r="F499" s="9" t="n"/>
      <c r="G499" s="9">
        <f>IF(OR(E499="",F499=""),"",DATEDIF(E499,F499,"Y"))</f>
        <v/>
      </c>
      <c r="H499" s="9" t="n"/>
    </row>
    <row r="500" ht="14.25" customHeight="1" s="37">
      <c r="A500" s="9" t="n"/>
      <c r="B500" s="9" t="n"/>
      <c r="C500" s="9" t="n"/>
      <c r="D500" s="9" t="n"/>
      <c r="E500" s="9" t="n"/>
      <c r="F500" s="9" t="n"/>
      <c r="G500" s="9">
        <f>IF(OR(E500="",F500=""),"",DATEDIF(E500,F500,"Y"))</f>
        <v/>
      </c>
      <c r="H500" s="9" t="n"/>
    </row>
    <row r="501" ht="14.25" customHeight="1" s="37">
      <c r="A501" s="9" t="n"/>
      <c r="B501" s="9" t="n"/>
      <c r="C501" s="9" t="n"/>
      <c r="D501" s="9" t="n"/>
      <c r="E501" s="9" t="n"/>
      <c r="F501" s="9" t="n"/>
      <c r="G501" s="9">
        <f>IF(OR(E501="",F501=""),"",DATEDIF(E501,F501,"Y"))</f>
        <v/>
      </c>
      <c r="H501" s="9" t="n"/>
    </row>
    <row r="502" ht="14.25" customHeight="1" s="37">
      <c r="A502" s="9" t="n"/>
      <c r="B502" s="9" t="n"/>
      <c r="C502" s="9" t="n"/>
      <c r="D502" s="9" t="n"/>
      <c r="E502" s="9" t="n"/>
      <c r="F502" s="9" t="n"/>
      <c r="G502" s="9">
        <f>IF(OR(E502="",F502=""),"",DATEDIF(E502,F502,"Y"))</f>
        <v/>
      </c>
      <c r="H502" s="9" t="n"/>
    </row>
    <row r="503" ht="14.25" customHeight="1" s="37">
      <c r="A503" s="9" t="n"/>
      <c r="B503" s="9" t="n"/>
      <c r="C503" s="9" t="n"/>
      <c r="D503" s="9" t="n"/>
      <c r="E503" s="9" t="n"/>
      <c r="F503" s="9" t="n"/>
      <c r="G503" s="9">
        <f>IF(OR(E503="",F503=""),"",DATEDIF(E503,F503,"Y"))</f>
        <v/>
      </c>
      <c r="H503" s="9" t="n"/>
    </row>
    <row r="504" ht="14.25" customHeight="1" s="37">
      <c r="A504" s="9" t="n"/>
      <c r="B504" s="9" t="n"/>
      <c r="C504" s="9" t="n"/>
      <c r="D504" s="9" t="n"/>
      <c r="E504" s="9" t="n"/>
      <c r="F504" s="9" t="n"/>
      <c r="G504" s="9">
        <f>IF(OR(E504="",F504=""),"",DATEDIF(E504,F504,"Y"))</f>
        <v/>
      </c>
      <c r="H504" s="9" t="n"/>
    </row>
    <row r="505" ht="14.25" customHeight="1" s="37">
      <c r="A505" s="9" t="n"/>
      <c r="B505" s="9" t="n"/>
      <c r="C505" s="9" t="n"/>
      <c r="D505" s="9" t="n"/>
      <c r="E505" s="9" t="n"/>
      <c r="F505" s="9" t="n"/>
      <c r="G505" s="9">
        <f>IF(OR(E505="",F505=""),"",DATEDIF(E505,F505,"Y"))</f>
        <v/>
      </c>
      <c r="H505" s="9" t="n"/>
    </row>
    <row r="506" ht="14.25" customHeight="1" s="37">
      <c r="A506" s="9" t="n"/>
      <c r="B506" s="9" t="n"/>
      <c r="C506" s="9" t="n"/>
      <c r="D506" s="9" t="n"/>
      <c r="E506" s="9" t="n"/>
      <c r="F506" s="9" t="n"/>
      <c r="G506" s="9">
        <f>IF(OR(E506="",F506=""),"",DATEDIF(E506,F506,"Y"))</f>
        <v/>
      </c>
      <c r="H506" s="9" t="n"/>
    </row>
    <row r="507" ht="14.25" customHeight="1" s="37">
      <c r="A507" s="9" t="n"/>
      <c r="B507" s="9" t="n"/>
      <c r="C507" s="9" t="n"/>
      <c r="D507" s="9" t="n"/>
      <c r="E507" s="9" t="n"/>
      <c r="F507" s="9" t="n"/>
      <c r="G507" s="9">
        <f>IF(OR(E507="",F507=""),"",DATEDIF(E507,F507,"Y"))</f>
        <v/>
      </c>
      <c r="H507" s="9" t="n"/>
    </row>
    <row r="508" ht="14.25" customHeight="1" s="37">
      <c r="A508" s="9" t="n"/>
      <c r="B508" s="9" t="n"/>
      <c r="C508" s="9" t="n"/>
      <c r="D508" s="9" t="n"/>
      <c r="E508" s="9" t="n"/>
      <c r="F508" s="9" t="n"/>
      <c r="G508" s="9">
        <f>IF(OR(E508="",F508=""),"",DATEDIF(E508,F508,"Y"))</f>
        <v/>
      </c>
      <c r="H508" s="9" t="n"/>
    </row>
    <row r="509" ht="14.25" customHeight="1" s="37">
      <c r="A509" s="9" t="n"/>
      <c r="B509" s="9" t="n"/>
      <c r="C509" s="9" t="n"/>
      <c r="D509" s="9" t="n"/>
      <c r="E509" s="9" t="n"/>
      <c r="F509" s="9" t="n"/>
      <c r="G509" s="9">
        <f>IF(OR(E509="",F509=""),"",DATEDIF(E509,F509,"Y"))</f>
        <v/>
      </c>
      <c r="H509" s="9" t="n"/>
    </row>
    <row r="510" ht="14.25" customHeight="1" s="37">
      <c r="A510" s="9" t="n"/>
      <c r="B510" s="9" t="n"/>
      <c r="C510" s="9" t="n"/>
      <c r="D510" s="9" t="n"/>
      <c r="E510" s="9" t="n"/>
      <c r="F510" s="9" t="n"/>
      <c r="G510" s="9">
        <f>IF(OR(E510="",F510=""),"",DATEDIF(E510,F510,"Y"))</f>
        <v/>
      </c>
      <c r="H510" s="9" t="n"/>
    </row>
    <row r="511" ht="14.25" customHeight="1" s="37">
      <c r="A511" s="9" t="n"/>
      <c r="B511" s="9" t="n"/>
      <c r="C511" s="9" t="n"/>
      <c r="D511" s="9" t="n"/>
      <c r="E511" s="9" t="n"/>
      <c r="F511" s="9" t="n"/>
      <c r="G511" s="9">
        <f>IF(OR(E511="",F511=""),"",DATEDIF(E511,F511,"Y"))</f>
        <v/>
      </c>
      <c r="H511" s="9" t="n"/>
    </row>
    <row r="512" ht="14.25" customHeight="1" s="37">
      <c r="A512" s="9" t="n"/>
      <c r="B512" s="9" t="n"/>
      <c r="C512" s="9" t="n"/>
      <c r="D512" s="9" t="n"/>
      <c r="E512" s="9" t="n"/>
      <c r="F512" s="9" t="n"/>
      <c r="G512" s="9">
        <f>IF(OR(E512="",F512=""),"",DATEDIF(E512,F512,"Y"))</f>
        <v/>
      </c>
      <c r="H512" s="9" t="n"/>
    </row>
    <row r="513" ht="14.25" customHeight="1" s="37">
      <c r="A513" s="9" t="n"/>
      <c r="B513" s="9" t="n"/>
      <c r="C513" s="9" t="n"/>
      <c r="D513" s="9" t="n"/>
      <c r="E513" s="9" t="n"/>
      <c r="F513" s="9" t="n"/>
      <c r="G513" s="9">
        <f>IF(OR(E513="",F513=""),"",DATEDIF(E513,F513,"Y"))</f>
        <v/>
      </c>
      <c r="H513" s="9" t="n"/>
    </row>
    <row r="514" ht="14.25" customHeight="1" s="37">
      <c r="A514" s="9" t="n"/>
      <c r="B514" s="9" t="n"/>
      <c r="C514" s="9" t="n"/>
      <c r="D514" s="9" t="n"/>
      <c r="E514" s="9" t="n"/>
      <c r="F514" s="9" t="n"/>
      <c r="G514" s="9">
        <f>IF(OR(E514="",F514=""),"",DATEDIF(E514,F514,"Y"))</f>
        <v/>
      </c>
      <c r="H514" s="9" t="n"/>
    </row>
    <row r="515" ht="14.25" customHeight="1" s="37">
      <c r="A515" s="9" t="n"/>
      <c r="B515" s="9" t="n"/>
      <c r="C515" s="9" t="n"/>
      <c r="D515" s="9" t="n"/>
      <c r="E515" s="9" t="n"/>
      <c r="F515" s="9" t="n"/>
      <c r="G515" s="9">
        <f>IF(OR(E515="",F515=""),"",DATEDIF(E515,F515,"Y"))</f>
        <v/>
      </c>
      <c r="H515" s="9" t="n"/>
    </row>
    <row r="516" ht="14.25" customHeight="1" s="37">
      <c r="A516" s="9" t="n"/>
      <c r="B516" s="9" t="n"/>
      <c r="C516" s="9" t="n"/>
      <c r="D516" s="9" t="n"/>
      <c r="E516" s="9" t="n"/>
      <c r="F516" s="9" t="n"/>
      <c r="G516" s="9">
        <f>IF(OR(E516="",F516=""),"",DATEDIF(E516,F516,"Y"))</f>
        <v/>
      </c>
      <c r="H516" s="9" t="n"/>
    </row>
    <row r="517" ht="14.25" customHeight="1" s="37">
      <c r="A517" s="9" t="n"/>
      <c r="B517" s="9" t="n"/>
      <c r="C517" s="9" t="n"/>
      <c r="D517" s="9" t="n"/>
      <c r="E517" s="9" t="n"/>
      <c r="F517" s="9" t="n"/>
      <c r="G517" s="9">
        <f>IF(OR(E517="",F517=""),"",DATEDIF(E517,F517,"Y"))</f>
        <v/>
      </c>
      <c r="H517" s="9" t="n"/>
    </row>
    <row r="518" ht="14.25" customHeight="1" s="37">
      <c r="A518" s="9" t="n"/>
      <c r="B518" s="9" t="n"/>
      <c r="C518" s="9" t="n"/>
      <c r="D518" s="9" t="n"/>
      <c r="E518" s="9" t="n"/>
      <c r="F518" s="9" t="n"/>
      <c r="G518" s="9">
        <f>IF(OR(E518="",F518=""),"",DATEDIF(E518,F518,"Y"))</f>
        <v/>
      </c>
      <c r="H518" s="9" t="n"/>
    </row>
    <row r="519" ht="14.25" customHeight="1" s="37">
      <c r="A519" s="9" t="n"/>
      <c r="B519" s="9" t="n"/>
      <c r="C519" s="9" t="n"/>
      <c r="D519" s="9" t="n"/>
      <c r="E519" s="9" t="n"/>
      <c r="F519" s="9" t="n"/>
      <c r="G519" s="9">
        <f>IF(OR(E519="",F519=""),"",DATEDIF(E519,F519,"Y"))</f>
        <v/>
      </c>
      <c r="H519" s="9" t="n"/>
    </row>
    <row r="520" ht="14.25" customHeight="1" s="37">
      <c r="A520" s="9" t="n"/>
      <c r="B520" s="9" t="n"/>
      <c r="C520" s="9" t="n"/>
      <c r="D520" s="9" t="n"/>
      <c r="E520" s="9" t="n"/>
      <c r="F520" s="9" t="n"/>
      <c r="G520" s="9">
        <f>IF(OR(E520="",F520=""),"",DATEDIF(E520,F520,"Y"))</f>
        <v/>
      </c>
      <c r="H520" s="9" t="n"/>
    </row>
    <row r="521" ht="14.25" customHeight="1" s="37">
      <c r="A521" s="9" t="n"/>
      <c r="B521" s="9" t="n"/>
      <c r="C521" s="9" t="n"/>
      <c r="D521" s="9" t="n"/>
      <c r="E521" s="9" t="n"/>
      <c r="F521" s="9" t="n"/>
      <c r="G521" s="9">
        <f>IF(OR(E521="",F521=""),"",DATEDIF(E521,F521,"Y"))</f>
        <v/>
      </c>
      <c r="H521" s="9" t="n"/>
    </row>
    <row r="522" ht="14.25" customHeight="1" s="37">
      <c r="A522" s="9" t="n"/>
      <c r="B522" s="9" t="n"/>
      <c r="C522" s="9" t="n"/>
      <c r="D522" s="9" t="n"/>
      <c r="E522" s="9" t="n"/>
      <c r="F522" s="9" t="n"/>
      <c r="G522" s="9">
        <f>IF(OR(E522="",F522=""),"",DATEDIF(E522,F522,"Y"))</f>
        <v/>
      </c>
      <c r="H522" s="9" t="n"/>
    </row>
    <row r="523" ht="14.25" customHeight="1" s="37">
      <c r="A523" s="9" t="n"/>
      <c r="B523" s="9" t="n"/>
      <c r="C523" s="9" t="n"/>
      <c r="D523" s="9" t="n"/>
      <c r="E523" s="9" t="n"/>
      <c r="F523" s="9" t="n"/>
      <c r="G523" s="9">
        <f>IF(OR(E523="",F523=""),"",DATEDIF(E523,F523,"Y"))</f>
        <v/>
      </c>
      <c r="H523" s="9" t="n"/>
    </row>
    <row r="524" ht="14.25" customHeight="1" s="37">
      <c r="A524" s="9" t="n"/>
      <c r="B524" s="9" t="n"/>
      <c r="C524" s="9" t="n"/>
      <c r="D524" s="9" t="n"/>
      <c r="E524" s="9" t="n"/>
      <c r="F524" s="9" t="n"/>
      <c r="G524" s="9">
        <f>IF(OR(E524="",F524=""),"",DATEDIF(E524,F524,"Y"))</f>
        <v/>
      </c>
      <c r="H524" s="9" t="n"/>
    </row>
    <row r="525" ht="14.25" customHeight="1" s="37">
      <c r="A525" s="9" t="n"/>
      <c r="B525" s="9" t="n"/>
      <c r="C525" s="9" t="n"/>
      <c r="D525" s="9" t="n"/>
      <c r="E525" s="9" t="n"/>
      <c r="F525" s="9" t="n"/>
      <c r="G525" s="9">
        <f>IF(OR(E525="",F525=""),"",DATEDIF(E525,F525,"Y"))</f>
        <v/>
      </c>
      <c r="H525" s="9" t="n"/>
    </row>
    <row r="526" ht="14.25" customHeight="1" s="37">
      <c r="A526" s="9" t="n"/>
      <c r="B526" s="9" t="n"/>
      <c r="C526" s="9" t="n"/>
      <c r="D526" s="9" t="n"/>
      <c r="E526" s="9" t="n"/>
      <c r="F526" s="9" t="n"/>
      <c r="G526" s="9">
        <f>IF(OR(E526="",F526=""),"",DATEDIF(E526,F526,"Y"))</f>
        <v/>
      </c>
      <c r="H526" s="9" t="n"/>
    </row>
    <row r="527" ht="14.25" customHeight="1" s="37">
      <c r="A527" s="9" t="n"/>
      <c r="B527" s="9" t="n"/>
      <c r="C527" s="9" t="n"/>
      <c r="D527" s="9" t="n"/>
      <c r="E527" s="9" t="n"/>
      <c r="F527" s="9" t="n"/>
      <c r="G527" s="9">
        <f>IF(OR(E527="",F527=""),"",DATEDIF(E527,F527,"Y"))</f>
        <v/>
      </c>
      <c r="H527" s="9" t="n"/>
    </row>
    <row r="528" ht="14.25" customHeight="1" s="37">
      <c r="A528" s="9" t="n"/>
      <c r="B528" s="9" t="n"/>
      <c r="C528" s="9" t="n"/>
      <c r="D528" s="9" t="n"/>
      <c r="E528" s="9" t="n"/>
      <c r="F528" s="9" t="n"/>
      <c r="G528" s="9">
        <f>IF(OR(E528="",F528=""),"",DATEDIF(E528,F528,"Y"))</f>
        <v/>
      </c>
      <c r="H528" s="9" t="n"/>
    </row>
    <row r="529" ht="14.25" customHeight="1" s="37">
      <c r="A529" s="9" t="n"/>
      <c r="B529" s="9" t="n"/>
      <c r="C529" s="9" t="n"/>
      <c r="D529" s="9" t="n"/>
      <c r="E529" s="9" t="n"/>
      <c r="F529" s="9" t="n"/>
      <c r="G529" s="9">
        <f>IF(OR(E529="",F529=""),"",DATEDIF(E529,F529,"Y"))</f>
        <v/>
      </c>
      <c r="H529" s="9" t="n"/>
    </row>
    <row r="530" ht="14.25" customHeight="1" s="37">
      <c r="A530" s="9" t="n"/>
      <c r="B530" s="9" t="n"/>
      <c r="C530" s="9" t="n"/>
      <c r="D530" s="9" t="n"/>
      <c r="E530" s="9" t="n"/>
      <c r="F530" s="9" t="n"/>
      <c r="G530" s="9">
        <f>IF(OR(E530="",F530=""),"",DATEDIF(E530,F530,"Y"))</f>
        <v/>
      </c>
      <c r="H530" s="9" t="n"/>
    </row>
    <row r="531" ht="14.25" customHeight="1" s="37">
      <c r="A531" s="9" t="n"/>
      <c r="B531" s="9" t="n"/>
      <c r="C531" s="9" t="n"/>
      <c r="D531" s="9" t="n"/>
      <c r="E531" s="9" t="n"/>
      <c r="F531" s="9" t="n"/>
      <c r="G531" s="9">
        <f>IF(OR(E531="",F531=""),"",DATEDIF(E531,F531,"Y"))</f>
        <v/>
      </c>
      <c r="H531" s="9" t="n"/>
    </row>
    <row r="532" ht="14.25" customHeight="1" s="37">
      <c r="A532" s="9" t="n"/>
      <c r="B532" s="9" t="n"/>
      <c r="C532" s="9" t="n"/>
      <c r="D532" s="9" t="n"/>
      <c r="E532" s="9" t="n"/>
      <c r="F532" s="9" t="n"/>
      <c r="G532" s="9">
        <f>IF(OR(E532="",F532=""),"",DATEDIF(E532,F532,"Y"))</f>
        <v/>
      </c>
      <c r="H532" s="9" t="n"/>
    </row>
    <row r="533" ht="14.25" customHeight="1" s="37">
      <c r="A533" s="9" t="n"/>
      <c r="B533" s="9" t="n"/>
      <c r="C533" s="9" t="n"/>
      <c r="D533" s="9" t="n"/>
      <c r="E533" s="9" t="n"/>
      <c r="F533" s="9" t="n"/>
      <c r="G533" s="9">
        <f>IF(OR(E533="",F533=""),"",DATEDIF(E533,F533,"Y"))</f>
        <v/>
      </c>
      <c r="H533" s="9" t="n"/>
    </row>
    <row r="534" ht="14.25" customHeight="1" s="37">
      <c r="A534" s="9" t="n"/>
      <c r="B534" s="9" t="n"/>
      <c r="C534" s="9" t="n"/>
      <c r="D534" s="9" t="n"/>
      <c r="E534" s="9" t="n"/>
      <c r="F534" s="9" t="n"/>
      <c r="G534" s="9">
        <f>IF(OR(E534="",F534=""),"",DATEDIF(E534,F534,"Y"))</f>
        <v/>
      </c>
      <c r="H534" s="9" t="n"/>
    </row>
    <row r="535" ht="14.25" customHeight="1" s="37">
      <c r="A535" s="9" t="n"/>
      <c r="B535" s="9" t="n"/>
      <c r="C535" s="9" t="n"/>
      <c r="D535" s="9" t="n"/>
      <c r="E535" s="9" t="n"/>
      <c r="F535" s="9" t="n"/>
      <c r="G535" s="9">
        <f>IF(OR(E535="",F535=""),"",DATEDIF(E535,F535,"Y"))</f>
        <v/>
      </c>
      <c r="H535" s="9" t="n"/>
    </row>
    <row r="536" ht="14.25" customHeight="1" s="37">
      <c r="A536" s="9" t="n"/>
      <c r="B536" s="9" t="n"/>
      <c r="C536" s="9" t="n"/>
      <c r="D536" s="9" t="n"/>
      <c r="E536" s="9" t="n"/>
      <c r="F536" s="9" t="n"/>
      <c r="G536" s="9">
        <f>IF(OR(E536="",F536=""),"",DATEDIF(E536,F536,"Y"))</f>
        <v/>
      </c>
      <c r="H536" s="9" t="n"/>
    </row>
    <row r="537" ht="14.25" customHeight="1" s="37">
      <c r="A537" s="9" t="n"/>
      <c r="B537" s="9" t="n"/>
      <c r="C537" s="9" t="n"/>
      <c r="D537" s="9" t="n"/>
      <c r="E537" s="9" t="n"/>
      <c r="F537" s="9" t="n"/>
      <c r="G537" s="9">
        <f>IF(OR(E537="",F537=""),"",DATEDIF(E537,F537,"Y"))</f>
        <v/>
      </c>
      <c r="H537" s="9" t="n"/>
    </row>
    <row r="538" ht="14.25" customHeight="1" s="37">
      <c r="A538" s="9" t="n"/>
      <c r="B538" s="9" t="n"/>
      <c r="C538" s="9" t="n"/>
      <c r="D538" s="9" t="n"/>
      <c r="E538" s="9" t="n"/>
      <c r="F538" s="9" t="n"/>
      <c r="G538" s="9">
        <f>IF(OR(E538="",F538=""),"",DATEDIF(E538,F538,"Y"))</f>
        <v/>
      </c>
      <c r="H538" s="9" t="n"/>
    </row>
    <row r="539" ht="14.25" customHeight="1" s="37">
      <c r="A539" s="9" t="n"/>
      <c r="B539" s="9" t="n"/>
      <c r="C539" s="9" t="n"/>
      <c r="D539" s="9" t="n"/>
      <c r="E539" s="9" t="n"/>
      <c r="F539" s="9" t="n"/>
      <c r="G539" s="9">
        <f>IF(OR(E539="",F539=""),"",DATEDIF(E539,F539,"Y"))</f>
        <v/>
      </c>
      <c r="H539" s="9" t="n"/>
    </row>
    <row r="540" ht="14.25" customHeight="1" s="37">
      <c r="A540" s="9" t="n"/>
      <c r="B540" s="9" t="n"/>
      <c r="C540" s="9" t="n"/>
      <c r="D540" s="9" t="n"/>
      <c r="E540" s="9" t="n"/>
      <c r="F540" s="9" t="n"/>
      <c r="G540" s="9">
        <f>IF(OR(E540="",F540=""),"",DATEDIF(E540,F540,"Y"))</f>
        <v/>
      </c>
      <c r="H540" s="9" t="n"/>
    </row>
    <row r="541" ht="14.25" customHeight="1" s="37">
      <c r="A541" s="9" t="n"/>
      <c r="B541" s="9" t="n"/>
      <c r="C541" s="9" t="n"/>
      <c r="D541" s="9" t="n"/>
      <c r="E541" s="9" t="n"/>
      <c r="F541" s="9" t="n"/>
      <c r="G541" s="9">
        <f>IF(OR(E541="",F541=""),"",DATEDIF(E541,F541,"Y"))</f>
        <v/>
      </c>
      <c r="H541" s="9" t="n"/>
    </row>
    <row r="542" ht="14.25" customHeight="1" s="37">
      <c r="A542" s="9" t="n"/>
      <c r="B542" s="9" t="n"/>
      <c r="C542" s="9" t="n"/>
      <c r="D542" s="9" t="n"/>
      <c r="E542" s="9" t="n"/>
      <c r="F542" s="9" t="n"/>
      <c r="G542" s="9">
        <f>IF(OR(E542="",F542=""),"",DATEDIF(E542,F542,"Y"))</f>
        <v/>
      </c>
      <c r="H542" s="9" t="n"/>
    </row>
    <row r="543" ht="14.25" customHeight="1" s="37">
      <c r="A543" s="9" t="n"/>
      <c r="B543" s="9" t="n"/>
      <c r="C543" s="9" t="n"/>
      <c r="D543" s="9" t="n"/>
      <c r="E543" s="9" t="n"/>
      <c r="F543" s="9" t="n"/>
      <c r="G543" s="9">
        <f>IF(OR(E543="",F543=""),"",DATEDIF(E543,F543,"Y"))</f>
        <v/>
      </c>
      <c r="H543" s="9" t="n"/>
    </row>
    <row r="544" ht="14.25" customHeight="1" s="37">
      <c r="A544" s="9" t="n"/>
      <c r="B544" s="9" t="n"/>
      <c r="C544" s="9" t="n"/>
      <c r="D544" s="9" t="n"/>
      <c r="E544" s="9" t="n"/>
      <c r="F544" s="9" t="n"/>
      <c r="G544" s="9">
        <f>IF(OR(E544="",F544=""),"",DATEDIF(E544,F544,"Y"))</f>
        <v/>
      </c>
      <c r="H544" s="9" t="n"/>
    </row>
    <row r="545" ht="14.25" customHeight="1" s="37">
      <c r="A545" s="9" t="n"/>
      <c r="B545" s="9" t="n"/>
      <c r="C545" s="9" t="n"/>
      <c r="D545" s="9" t="n"/>
      <c r="E545" s="9" t="n"/>
      <c r="F545" s="9" t="n"/>
      <c r="G545" s="9">
        <f>IF(OR(E545="",F545=""),"",DATEDIF(E545,F545,"Y"))</f>
        <v/>
      </c>
      <c r="H545" s="9" t="n"/>
    </row>
    <row r="546" ht="14.25" customHeight="1" s="37">
      <c r="A546" s="9" t="n"/>
      <c r="B546" s="9" t="n"/>
      <c r="C546" s="9" t="n"/>
      <c r="D546" s="9" t="n"/>
      <c r="E546" s="9" t="n"/>
      <c r="F546" s="9" t="n"/>
      <c r="G546" s="9">
        <f>IF(OR(E546="",F546=""),"",DATEDIF(E546,F546,"Y"))</f>
        <v/>
      </c>
      <c r="H546" s="9" t="n"/>
    </row>
    <row r="547" ht="14.25" customHeight="1" s="37">
      <c r="A547" s="9" t="n"/>
      <c r="B547" s="9" t="n"/>
      <c r="C547" s="9" t="n"/>
      <c r="D547" s="9" t="n"/>
      <c r="E547" s="9" t="n"/>
      <c r="F547" s="9" t="n"/>
      <c r="G547" s="9">
        <f>IF(OR(E547="",F547=""),"",DATEDIF(E547,F547,"Y"))</f>
        <v/>
      </c>
      <c r="H547" s="9" t="n"/>
    </row>
    <row r="548" ht="14.25" customHeight="1" s="37">
      <c r="A548" s="9" t="n"/>
      <c r="B548" s="9" t="n"/>
      <c r="C548" s="9" t="n"/>
      <c r="D548" s="9" t="n"/>
      <c r="E548" s="9" t="n"/>
      <c r="F548" s="9" t="n"/>
      <c r="G548" s="9">
        <f>IF(OR(E548="",F548=""),"",DATEDIF(E548,F548,"Y"))</f>
        <v/>
      </c>
      <c r="H548" s="9" t="n"/>
    </row>
    <row r="549" ht="14.25" customHeight="1" s="37">
      <c r="A549" s="9" t="n"/>
      <c r="B549" s="9" t="n"/>
      <c r="C549" s="9" t="n"/>
      <c r="D549" s="9" t="n"/>
      <c r="E549" s="9" t="n"/>
      <c r="F549" s="9" t="n"/>
      <c r="G549" s="9">
        <f>IF(OR(E549="",F549=""),"",DATEDIF(E549,F549,"Y"))</f>
        <v/>
      </c>
      <c r="H549" s="9" t="n"/>
    </row>
    <row r="550" ht="14.25" customHeight="1" s="37">
      <c r="A550" s="9" t="n"/>
      <c r="B550" s="9" t="n"/>
      <c r="C550" s="9" t="n"/>
      <c r="D550" s="9" t="n"/>
      <c r="E550" s="9" t="n"/>
      <c r="F550" s="9" t="n"/>
      <c r="G550" s="9">
        <f>IF(OR(E550="",F550=""),"",DATEDIF(E550,F550,"Y"))</f>
        <v/>
      </c>
      <c r="H550" s="9" t="n"/>
    </row>
    <row r="551" ht="14.25" customHeight="1" s="37">
      <c r="A551" s="9" t="n"/>
      <c r="B551" s="9" t="n"/>
      <c r="C551" s="9" t="n"/>
      <c r="D551" s="9" t="n"/>
      <c r="E551" s="9" t="n"/>
      <c r="F551" s="9" t="n"/>
      <c r="G551" s="9">
        <f>IF(OR(E551="",F551=""),"",DATEDIF(E551,F551,"Y"))</f>
        <v/>
      </c>
      <c r="H551" s="9" t="n"/>
    </row>
    <row r="552" ht="14.25" customHeight="1" s="37">
      <c r="A552" s="9" t="n"/>
      <c r="B552" s="9" t="n"/>
      <c r="C552" s="9" t="n"/>
      <c r="D552" s="9" t="n"/>
      <c r="E552" s="9" t="n"/>
      <c r="F552" s="9" t="n"/>
      <c r="G552" s="9">
        <f>IF(OR(E552="",F552=""),"",DATEDIF(E552,F552,"Y"))</f>
        <v/>
      </c>
      <c r="H552" s="9" t="n"/>
    </row>
    <row r="553" ht="14.25" customHeight="1" s="37">
      <c r="A553" s="9" t="n"/>
      <c r="B553" s="9" t="n"/>
      <c r="C553" s="9" t="n"/>
      <c r="D553" s="9" t="n"/>
      <c r="E553" s="9" t="n"/>
      <c r="F553" s="9" t="n"/>
      <c r="G553" s="9">
        <f>IF(OR(E553="",F553=""),"",DATEDIF(E553,F553,"Y"))</f>
        <v/>
      </c>
      <c r="H553" s="9" t="n"/>
    </row>
    <row r="554" ht="14.25" customHeight="1" s="37">
      <c r="A554" s="9" t="n"/>
      <c r="B554" s="9" t="n"/>
      <c r="C554" s="9" t="n"/>
      <c r="D554" s="9" t="n"/>
      <c r="E554" s="9" t="n"/>
      <c r="F554" s="9" t="n"/>
      <c r="G554" s="9">
        <f>IF(OR(E554="",F554=""),"",DATEDIF(E554,F554,"Y"))</f>
        <v/>
      </c>
      <c r="H554" s="9" t="n"/>
    </row>
    <row r="555" ht="14.25" customHeight="1" s="37">
      <c r="A555" s="9" t="n"/>
      <c r="B555" s="9" t="n"/>
      <c r="C555" s="9" t="n"/>
      <c r="D555" s="9" t="n"/>
      <c r="E555" s="9" t="n"/>
      <c r="F555" s="9" t="n"/>
      <c r="G555" s="9">
        <f>IF(OR(E555="",F555=""),"",DATEDIF(E555,F555,"Y"))</f>
        <v/>
      </c>
      <c r="H555" s="9" t="n"/>
    </row>
    <row r="556" ht="14.25" customHeight="1" s="37">
      <c r="A556" s="9" t="n"/>
      <c r="B556" s="9" t="n"/>
      <c r="C556" s="9" t="n"/>
      <c r="D556" s="9" t="n"/>
      <c r="E556" s="9" t="n"/>
      <c r="F556" s="9" t="n"/>
      <c r="G556" s="9">
        <f>IF(OR(E556="",F556=""),"",DATEDIF(E556,F556,"Y"))</f>
        <v/>
      </c>
      <c r="H556" s="9" t="n"/>
    </row>
    <row r="557" ht="14.25" customHeight="1" s="37">
      <c r="A557" s="9" t="n"/>
      <c r="B557" s="9" t="n"/>
      <c r="C557" s="9" t="n"/>
      <c r="D557" s="9" t="n"/>
      <c r="E557" s="9" t="n"/>
      <c r="F557" s="9" t="n"/>
      <c r="G557" s="9">
        <f>IF(OR(E557="",F557=""),"",DATEDIF(E557,F557,"Y"))</f>
        <v/>
      </c>
      <c r="H557" s="9" t="n"/>
    </row>
    <row r="558" ht="14.25" customHeight="1" s="37">
      <c r="A558" s="9" t="n"/>
      <c r="B558" s="9" t="n"/>
      <c r="C558" s="9" t="n"/>
      <c r="D558" s="9" t="n"/>
      <c r="E558" s="9" t="n"/>
      <c r="F558" s="9" t="n"/>
      <c r="G558" s="9">
        <f>IF(OR(E558="",F558=""),"",DATEDIF(E558,F558,"Y"))</f>
        <v/>
      </c>
      <c r="H558" s="9" t="n"/>
    </row>
    <row r="559" ht="14.25" customHeight="1" s="37">
      <c r="A559" s="9" t="n"/>
      <c r="B559" s="9" t="n"/>
      <c r="C559" s="9" t="n"/>
      <c r="D559" s="9" t="n"/>
      <c r="E559" s="9" t="n"/>
      <c r="F559" s="9" t="n"/>
      <c r="G559" s="9">
        <f>IF(OR(E559="",F559=""),"",DATEDIF(E559,F559,"Y"))</f>
        <v/>
      </c>
      <c r="H559" s="9" t="n"/>
    </row>
    <row r="560" ht="14.25" customHeight="1" s="37">
      <c r="A560" s="9" t="n"/>
      <c r="B560" s="9" t="n"/>
      <c r="C560" s="9" t="n"/>
      <c r="D560" s="9" t="n"/>
      <c r="E560" s="9" t="n"/>
      <c r="F560" s="9" t="n"/>
      <c r="G560" s="9">
        <f>IF(OR(E560="",F560=""),"",DATEDIF(E560,F560,"Y"))</f>
        <v/>
      </c>
      <c r="H560" s="9" t="n"/>
    </row>
    <row r="561" ht="14.25" customHeight="1" s="37">
      <c r="A561" s="9" t="n"/>
      <c r="B561" s="9" t="n"/>
      <c r="C561" s="9" t="n"/>
      <c r="D561" s="9" t="n"/>
      <c r="E561" s="9" t="n"/>
      <c r="F561" s="9" t="n"/>
      <c r="G561" s="9">
        <f>IF(OR(E561="",F561=""),"",DATEDIF(E561,F561,"Y"))</f>
        <v/>
      </c>
      <c r="H561" s="9" t="n"/>
    </row>
    <row r="562" ht="14.25" customHeight="1" s="37">
      <c r="A562" s="9" t="n"/>
      <c r="B562" s="9" t="n"/>
      <c r="C562" s="9" t="n"/>
      <c r="D562" s="9" t="n"/>
      <c r="E562" s="9" t="n"/>
      <c r="F562" s="9" t="n"/>
      <c r="G562" s="9">
        <f>IF(OR(E562="",F562=""),"",DATEDIF(E562,F562,"Y"))</f>
        <v/>
      </c>
      <c r="H562" s="9" t="n"/>
    </row>
    <row r="563" ht="14.25" customHeight="1" s="37">
      <c r="A563" s="9" t="n"/>
      <c r="B563" s="9" t="n"/>
      <c r="C563" s="9" t="n"/>
      <c r="D563" s="9" t="n"/>
      <c r="E563" s="9" t="n"/>
      <c r="F563" s="9" t="n"/>
      <c r="G563" s="9">
        <f>IF(OR(E563="",F563=""),"",DATEDIF(E563,F563,"Y"))</f>
        <v/>
      </c>
      <c r="H563" s="9" t="n"/>
    </row>
    <row r="564" ht="14.25" customHeight="1" s="37">
      <c r="A564" s="9" t="n"/>
      <c r="B564" s="9" t="n"/>
      <c r="C564" s="9" t="n"/>
      <c r="D564" s="9" t="n"/>
      <c r="E564" s="9" t="n"/>
      <c r="F564" s="9" t="n"/>
      <c r="G564" s="9">
        <f>IF(OR(E564="",F564=""),"",DATEDIF(E564,F564,"Y"))</f>
        <v/>
      </c>
      <c r="H564" s="9" t="n"/>
    </row>
    <row r="565" ht="14.25" customHeight="1" s="37">
      <c r="A565" s="9" t="n"/>
      <c r="B565" s="9" t="n"/>
      <c r="C565" s="9" t="n"/>
      <c r="D565" s="9" t="n"/>
      <c r="E565" s="9" t="n"/>
      <c r="F565" s="9" t="n"/>
      <c r="G565" s="9">
        <f>IF(OR(E565="",F565=""),"",DATEDIF(E565,F565,"Y"))</f>
        <v/>
      </c>
      <c r="H565" s="9" t="n"/>
    </row>
    <row r="566" ht="14.25" customHeight="1" s="37">
      <c r="A566" s="9" t="n"/>
      <c r="B566" s="9" t="n"/>
      <c r="C566" s="9" t="n"/>
      <c r="D566" s="9" t="n"/>
      <c r="E566" s="9" t="n"/>
      <c r="F566" s="9" t="n"/>
      <c r="G566" s="9">
        <f>IF(OR(E566="",F566=""),"",DATEDIF(E566,F566,"Y"))</f>
        <v/>
      </c>
      <c r="H566" s="9" t="n"/>
    </row>
    <row r="567" ht="14.25" customHeight="1" s="37">
      <c r="A567" s="9" t="n"/>
      <c r="B567" s="9" t="n"/>
      <c r="C567" s="9" t="n"/>
      <c r="D567" s="9" t="n"/>
      <c r="E567" s="9" t="n"/>
      <c r="F567" s="9" t="n"/>
      <c r="G567" s="9">
        <f>IF(OR(E567="",F567=""),"",DATEDIF(E567,F567,"Y"))</f>
        <v/>
      </c>
      <c r="H567" s="9" t="n"/>
    </row>
    <row r="568" ht="14.25" customHeight="1" s="37">
      <c r="A568" s="9" t="n"/>
      <c r="B568" s="9" t="n"/>
      <c r="C568" s="9" t="n"/>
      <c r="D568" s="9" t="n"/>
      <c r="E568" s="9" t="n"/>
      <c r="F568" s="9" t="n"/>
      <c r="G568" s="9">
        <f>IF(OR(E568="",F568=""),"",DATEDIF(E568,F568,"Y"))</f>
        <v/>
      </c>
      <c r="H568" s="9" t="n"/>
    </row>
    <row r="569" ht="14.25" customHeight="1" s="37">
      <c r="A569" s="9" t="n"/>
      <c r="B569" s="9" t="n"/>
      <c r="C569" s="9" t="n"/>
      <c r="D569" s="9" t="n"/>
      <c r="E569" s="9" t="n"/>
      <c r="F569" s="9" t="n"/>
      <c r="G569" s="9">
        <f>IF(OR(E569="",F569=""),"",DATEDIF(E569,F569,"Y"))</f>
        <v/>
      </c>
      <c r="H569" s="9" t="n"/>
    </row>
    <row r="570" ht="14.25" customHeight="1" s="37">
      <c r="A570" s="9" t="n"/>
      <c r="B570" s="9" t="n"/>
      <c r="C570" s="9" t="n"/>
      <c r="D570" s="9" t="n"/>
      <c r="E570" s="9" t="n"/>
      <c r="F570" s="9" t="n"/>
      <c r="G570" s="9">
        <f>IF(OR(E570="",F570=""),"",DATEDIF(E570,F570,"Y"))</f>
        <v/>
      </c>
      <c r="H570" s="9" t="n"/>
    </row>
    <row r="571" ht="14.25" customHeight="1" s="37">
      <c r="A571" s="9" t="n"/>
      <c r="B571" s="9" t="n"/>
      <c r="C571" s="9" t="n"/>
      <c r="D571" s="9" t="n"/>
      <c r="E571" s="9" t="n"/>
      <c r="F571" s="9" t="n"/>
      <c r="G571" s="9">
        <f>IF(OR(E571="",F571=""),"",DATEDIF(E571,F571,"Y"))</f>
        <v/>
      </c>
      <c r="H571" s="9" t="n"/>
    </row>
    <row r="572" ht="14.25" customHeight="1" s="37">
      <c r="A572" s="9" t="n"/>
      <c r="B572" s="9" t="n"/>
      <c r="C572" s="9" t="n"/>
      <c r="D572" s="9" t="n"/>
      <c r="E572" s="9" t="n"/>
      <c r="F572" s="9" t="n"/>
      <c r="G572" s="9">
        <f>IF(OR(E572="",F572=""),"",DATEDIF(E572,F572,"Y"))</f>
        <v/>
      </c>
      <c r="H572" s="9" t="n"/>
    </row>
    <row r="573" ht="14.25" customHeight="1" s="37">
      <c r="A573" s="9" t="n"/>
      <c r="B573" s="9" t="n"/>
      <c r="C573" s="9" t="n"/>
      <c r="D573" s="9" t="n"/>
      <c r="E573" s="9" t="n"/>
      <c r="F573" s="9" t="n"/>
      <c r="G573" s="9">
        <f>IF(OR(E573="",F573=""),"",DATEDIF(E573,F573,"Y"))</f>
        <v/>
      </c>
      <c r="H573" s="9" t="n"/>
    </row>
    <row r="574" ht="14.25" customHeight="1" s="37">
      <c r="A574" s="9" t="n"/>
      <c r="B574" s="9" t="n"/>
      <c r="C574" s="9" t="n"/>
      <c r="D574" s="9" t="n"/>
      <c r="E574" s="9" t="n"/>
      <c r="F574" s="9" t="n"/>
      <c r="G574" s="9">
        <f>IF(OR(E574="",F574=""),"",DATEDIF(E574,F574,"Y"))</f>
        <v/>
      </c>
      <c r="H574" s="9" t="n"/>
    </row>
    <row r="575" ht="14.25" customHeight="1" s="37">
      <c r="A575" s="9" t="n"/>
      <c r="B575" s="9" t="n"/>
      <c r="C575" s="9" t="n"/>
      <c r="D575" s="9" t="n"/>
      <c r="E575" s="9" t="n"/>
      <c r="F575" s="9" t="n"/>
      <c r="G575" s="9">
        <f>IF(OR(E575="",F575=""),"",DATEDIF(E575,F575,"Y"))</f>
        <v/>
      </c>
      <c r="H575" s="9" t="n"/>
    </row>
    <row r="576" ht="14.25" customHeight="1" s="37">
      <c r="A576" s="9" t="n"/>
      <c r="B576" s="9" t="n"/>
      <c r="C576" s="9" t="n"/>
      <c r="D576" s="9" t="n"/>
      <c r="E576" s="9" t="n"/>
      <c r="F576" s="9" t="n"/>
      <c r="G576" s="9">
        <f>IF(OR(E576="",F576=""),"",DATEDIF(E576,F576,"Y"))</f>
        <v/>
      </c>
      <c r="H576" s="9" t="n"/>
    </row>
    <row r="577" ht="14.25" customHeight="1" s="37">
      <c r="A577" s="9" t="n"/>
      <c r="B577" s="9" t="n"/>
      <c r="C577" s="9" t="n"/>
      <c r="D577" s="9" t="n"/>
      <c r="E577" s="9" t="n"/>
      <c r="F577" s="9" t="n"/>
      <c r="G577" s="9">
        <f>IF(OR(E577="",F577=""),"",DATEDIF(E577,F577,"Y"))</f>
        <v/>
      </c>
      <c r="H577" s="9" t="n"/>
    </row>
    <row r="578" ht="14.25" customHeight="1" s="37">
      <c r="A578" s="9" t="n"/>
      <c r="B578" s="9" t="n"/>
      <c r="C578" s="9" t="n"/>
      <c r="D578" s="9" t="n"/>
      <c r="E578" s="9" t="n"/>
      <c r="F578" s="9" t="n"/>
      <c r="G578" s="9">
        <f>IF(OR(E578="",F578=""),"",DATEDIF(E578,F578,"Y"))</f>
        <v/>
      </c>
      <c r="H578" s="9" t="n"/>
    </row>
    <row r="579" ht="14.25" customHeight="1" s="37">
      <c r="A579" s="9" t="n"/>
      <c r="B579" s="9" t="n"/>
      <c r="C579" s="9" t="n"/>
      <c r="D579" s="9" t="n"/>
      <c r="E579" s="9" t="n"/>
      <c r="F579" s="9" t="n"/>
      <c r="G579" s="9">
        <f>IF(OR(E579="",F579=""),"",DATEDIF(E579,F579,"Y"))</f>
        <v/>
      </c>
      <c r="H579" s="9" t="n"/>
    </row>
    <row r="580" ht="14.25" customHeight="1" s="37">
      <c r="A580" s="9" t="n"/>
      <c r="B580" s="9" t="n"/>
      <c r="C580" s="9" t="n"/>
      <c r="D580" s="9" t="n"/>
      <c r="E580" s="9" t="n"/>
      <c r="F580" s="9" t="n"/>
      <c r="G580" s="9">
        <f>IF(OR(E580="",F580=""),"",DATEDIF(E580,F580,"Y"))</f>
        <v/>
      </c>
      <c r="H580" s="9" t="n"/>
    </row>
    <row r="581" ht="14.25" customHeight="1" s="37">
      <c r="A581" s="9" t="n"/>
      <c r="B581" s="9" t="n"/>
      <c r="C581" s="9" t="n"/>
      <c r="D581" s="9" t="n"/>
      <c r="E581" s="9" t="n"/>
      <c r="F581" s="9" t="n"/>
      <c r="G581" s="9">
        <f>IF(OR(E581="",F581=""),"",DATEDIF(E581,F581,"Y"))</f>
        <v/>
      </c>
      <c r="H581" s="9" t="n"/>
    </row>
    <row r="582" ht="14.25" customHeight="1" s="37">
      <c r="A582" s="9" t="n"/>
      <c r="B582" s="9" t="n"/>
      <c r="C582" s="9" t="n"/>
      <c r="D582" s="9" t="n"/>
      <c r="E582" s="9" t="n"/>
      <c r="F582" s="9" t="n"/>
      <c r="G582" s="9">
        <f>IF(OR(E582="",F582=""),"",DATEDIF(E582,F582,"Y"))</f>
        <v/>
      </c>
      <c r="H582" s="9" t="n"/>
    </row>
    <row r="583" ht="14.25" customHeight="1" s="37">
      <c r="A583" s="9" t="n"/>
      <c r="B583" s="9" t="n"/>
      <c r="C583" s="9" t="n"/>
      <c r="D583" s="9" t="n"/>
      <c r="E583" s="9" t="n"/>
      <c r="F583" s="9" t="n"/>
      <c r="G583" s="9">
        <f>IF(OR(E583="",F583=""),"",DATEDIF(E583,F583,"Y"))</f>
        <v/>
      </c>
      <c r="H583" s="9" t="n"/>
    </row>
    <row r="584" ht="14.25" customHeight="1" s="37">
      <c r="A584" s="9" t="n"/>
      <c r="B584" s="9" t="n"/>
      <c r="C584" s="9" t="n"/>
      <c r="D584" s="9" t="n"/>
      <c r="E584" s="9" t="n"/>
      <c r="F584" s="9" t="n"/>
      <c r="G584" s="9">
        <f>IF(OR(E584="",F584=""),"",DATEDIF(E584,F584,"Y"))</f>
        <v/>
      </c>
      <c r="H584" s="9" t="n"/>
    </row>
    <row r="585" ht="14.25" customHeight="1" s="37">
      <c r="A585" s="9" t="n"/>
      <c r="B585" s="9" t="n"/>
      <c r="C585" s="9" t="n"/>
      <c r="D585" s="9" t="n"/>
      <c r="E585" s="9" t="n"/>
      <c r="F585" s="9" t="n"/>
      <c r="G585" s="9">
        <f>IF(OR(E585="",F585=""),"",DATEDIF(E585,F585,"Y"))</f>
        <v/>
      </c>
      <c r="H585" s="9" t="n"/>
    </row>
    <row r="586" ht="14.25" customHeight="1" s="37">
      <c r="A586" s="9" t="n"/>
      <c r="B586" s="9" t="n"/>
      <c r="C586" s="9" t="n"/>
      <c r="D586" s="9" t="n"/>
      <c r="E586" s="9" t="n"/>
      <c r="F586" s="9" t="n"/>
      <c r="G586" s="9">
        <f>IF(OR(E586="",F586=""),"",DATEDIF(E586,F586,"Y"))</f>
        <v/>
      </c>
      <c r="H586" s="9" t="n"/>
    </row>
    <row r="587" ht="14.25" customHeight="1" s="37">
      <c r="A587" s="9" t="n"/>
      <c r="B587" s="9" t="n"/>
      <c r="C587" s="9" t="n"/>
      <c r="D587" s="9" t="n"/>
      <c r="E587" s="9" t="n"/>
      <c r="F587" s="9" t="n"/>
      <c r="G587" s="9">
        <f>IF(OR(E587="",F587=""),"",DATEDIF(E587,F587,"Y"))</f>
        <v/>
      </c>
      <c r="H587" s="9" t="n"/>
    </row>
    <row r="588" ht="14.25" customHeight="1" s="37">
      <c r="A588" s="9" t="n"/>
      <c r="B588" s="9" t="n"/>
      <c r="C588" s="9" t="n"/>
      <c r="D588" s="9" t="n"/>
      <c r="E588" s="9" t="n"/>
      <c r="F588" s="9" t="n"/>
      <c r="G588" s="9">
        <f>IF(OR(E588="",F588=""),"",DATEDIF(E588,F588,"Y"))</f>
        <v/>
      </c>
      <c r="H588" s="9" t="n"/>
    </row>
    <row r="589" ht="14.25" customHeight="1" s="37">
      <c r="A589" s="9" t="n"/>
      <c r="B589" s="9" t="n"/>
      <c r="C589" s="9" t="n"/>
      <c r="D589" s="9" t="n"/>
      <c r="E589" s="9" t="n"/>
      <c r="F589" s="9" t="n"/>
      <c r="G589" s="9">
        <f>IF(OR(E589="",F589=""),"",DATEDIF(E589,F589,"Y"))</f>
        <v/>
      </c>
      <c r="H589" s="9" t="n"/>
    </row>
    <row r="590" ht="14.25" customHeight="1" s="37">
      <c r="A590" s="9" t="n"/>
      <c r="B590" s="9" t="n"/>
      <c r="C590" s="9" t="n"/>
      <c r="D590" s="9" t="n"/>
      <c r="E590" s="9" t="n"/>
      <c r="F590" s="9" t="n"/>
      <c r="G590" s="9">
        <f>IF(OR(E590="",F590=""),"",DATEDIF(E590,F590,"Y"))</f>
        <v/>
      </c>
      <c r="H590" s="9" t="n"/>
    </row>
    <row r="591" ht="14.25" customHeight="1" s="37">
      <c r="A591" s="9" t="n"/>
      <c r="B591" s="9" t="n"/>
      <c r="C591" s="9" t="n"/>
      <c r="D591" s="9" t="n"/>
      <c r="E591" s="9" t="n"/>
      <c r="F591" s="9" t="n"/>
      <c r="G591" s="9">
        <f>IF(OR(E591="",F591=""),"",DATEDIF(E591,F591,"Y"))</f>
        <v/>
      </c>
      <c r="H591" s="9" t="n"/>
    </row>
    <row r="592" ht="14.25" customHeight="1" s="37">
      <c r="A592" s="9" t="n"/>
      <c r="B592" s="9" t="n"/>
      <c r="C592" s="9" t="n"/>
      <c r="D592" s="9" t="n"/>
      <c r="E592" s="9" t="n"/>
      <c r="F592" s="9" t="n"/>
      <c r="G592" s="9">
        <f>IF(OR(E592="",F592=""),"",DATEDIF(E592,F592,"Y"))</f>
        <v/>
      </c>
      <c r="H592" s="9" t="n"/>
    </row>
    <row r="593" ht="14.25" customHeight="1" s="37">
      <c r="A593" s="9" t="n"/>
      <c r="B593" s="9" t="n"/>
      <c r="C593" s="9" t="n"/>
      <c r="D593" s="9" t="n"/>
      <c r="E593" s="9" t="n"/>
      <c r="F593" s="9" t="n"/>
      <c r="G593" s="9">
        <f>IF(OR(E593="",F593=""),"",DATEDIF(E593,F593,"Y"))</f>
        <v/>
      </c>
      <c r="H593" s="9" t="n"/>
    </row>
    <row r="594" ht="14.25" customHeight="1" s="37">
      <c r="A594" s="9" t="n"/>
      <c r="B594" s="9" t="n"/>
      <c r="C594" s="9" t="n"/>
      <c r="D594" s="9" t="n"/>
      <c r="E594" s="9" t="n"/>
      <c r="F594" s="9" t="n"/>
      <c r="G594" s="9">
        <f>IF(OR(E594="",F594=""),"",DATEDIF(E594,F594,"Y"))</f>
        <v/>
      </c>
      <c r="H594" s="9" t="n"/>
    </row>
    <row r="595" ht="14.25" customHeight="1" s="37">
      <c r="A595" s="9" t="n"/>
      <c r="B595" s="9" t="n"/>
      <c r="C595" s="9" t="n"/>
      <c r="D595" s="9" t="n"/>
      <c r="E595" s="9" t="n"/>
      <c r="F595" s="9" t="n"/>
      <c r="G595" s="9">
        <f>IF(OR(E595="",F595=""),"",DATEDIF(E595,F595,"Y"))</f>
        <v/>
      </c>
      <c r="H595" s="9" t="n"/>
    </row>
    <row r="596" ht="14.25" customHeight="1" s="37">
      <c r="A596" s="9" t="n"/>
      <c r="B596" s="9" t="n"/>
      <c r="C596" s="9" t="n"/>
      <c r="D596" s="9" t="n"/>
      <c r="E596" s="9" t="n"/>
      <c r="F596" s="9" t="n"/>
      <c r="G596" s="9">
        <f>IF(OR(E596="",F596=""),"",DATEDIF(E596,F596,"Y"))</f>
        <v/>
      </c>
      <c r="H596" s="9" t="n"/>
    </row>
    <row r="597" ht="14.25" customHeight="1" s="37">
      <c r="A597" s="9" t="n"/>
      <c r="B597" s="9" t="n"/>
      <c r="C597" s="9" t="n"/>
      <c r="D597" s="9" t="n"/>
      <c r="E597" s="9" t="n"/>
      <c r="F597" s="9" t="n"/>
      <c r="G597" s="9">
        <f>IF(OR(E597="",F597=""),"",DATEDIF(E597,F597,"Y"))</f>
        <v/>
      </c>
      <c r="H597" s="9" t="n"/>
    </row>
    <row r="598" ht="14.25" customHeight="1" s="37">
      <c r="A598" s="9" t="n"/>
      <c r="B598" s="9" t="n"/>
      <c r="C598" s="9" t="n"/>
      <c r="D598" s="9" t="n"/>
      <c r="E598" s="9" t="n"/>
      <c r="F598" s="9" t="n"/>
      <c r="G598" s="9">
        <f>IF(OR(E598="",F598=""),"",DATEDIF(E598,F598,"Y"))</f>
        <v/>
      </c>
      <c r="H598" s="9" t="n"/>
    </row>
    <row r="599" ht="14.25" customHeight="1" s="37">
      <c r="A599" s="9" t="n"/>
      <c r="B599" s="9" t="n"/>
      <c r="C599" s="9" t="n"/>
      <c r="D599" s="9" t="n"/>
      <c r="E599" s="9" t="n"/>
      <c r="F599" s="9" t="n"/>
      <c r="G599" s="9">
        <f>IF(OR(E599="",F599=""),"",DATEDIF(E599,F599,"Y"))</f>
        <v/>
      </c>
      <c r="H599" s="9" t="n"/>
    </row>
    <row r="600" ht="14.25" customHeight="1" s="37">
      <c r="A600" s="9" t="n"/>
      <c r="B600" s="9" t="n"/>
      <c r="C600" s="9" t="n"/>
      <c r="D600" s="9" t="n"/>
      <c r="E600" s="9" t="n"/>
      <c r="F600" s="9" t="n"/>
      <c r="G600" s="9">
        <f>IF(OR(E600="",F600=""),"",DATEDIF(E600,F600,"Y"))</f>
        <v/>
      </c>
      <c r="H600" s="9" t="n"/>
    </row>
    <row r="601" ht="14.25" customHeight="1" s="37">
      <c r="A601" s="9" t="n"/>
      <c r="B601" s="9" t="n"/>
      <c r="C601" s="9" t="n"/>
      <c r="D601" s="9" t="n"/>
      <c r="E601" s="9" t="n"/>
      <c r="F601" s="9" t="n"/>
      <c r="G601" s="9">
        <f>IF(OR(E601="",F601=""),"",DATEDIF(E601,F601,"Y"))</f>
        <v/>
      </c>
      <c r="H601" s="9" t="n"/>
    </row>
    <row r="602" ht="14.25" customHeight="1" s="37">
      <c r="A602" s="9" t="n"/>
      <c r="B602" s="9" t="n"/>
      <c r="C602" s="9" t="n"/>
      <c r="D602" s="9" t="n"/>
      <c r="E602" s="9" t="n"/>
      <c r="F602" s="9" t="n"/>
      <c r="G602" s="9">
        <f>IF(OR(E602="",F602=""),"",DATEDIF(E602,F602,"Y"))</f>
        <v/>
      </c>
      <c r="H602" s="9" t="n"/>
    </row>
    <row r="603" ht="14.25" customHeight="1" s="37">
      <c r="A603" s="9" t="n"/>
      <c r="B603" s="9" t="n"/>
      <c r="C603" s="9" t="n"/>
      <c r="D603" s="9" t="n"/>
      <c r="E603" s="9" t="n"/>
      <c r="F603" s="9" t="n"/>
      <c r="G603" s="9">
        <f>IF(OR(E603="",F603=""),"",DATEDIF(E603,F603,"Y"))</f>
        <v/>
      </c>
      <c r="H603" s="9" t="n"/>
    </row>
    <row r="604" ht="14.25" customHeight="1" s="37">
      <c r="A604" s="9" t="n"/>
      <c r="B604" s="9" t="n"/>
      <c r="C604" s="9" t="n"/>
      <c r="D604" s="9" t="n"/>
      <c r="E604" s="9" t="n"/>
      <c r="F604" s="9" t="n"/>
      <c r="G604" s="9">
        <f>IF(OR(E604="",F604=""),"",DATEDIF(E604,F604,"Y"))</f>
        <v/>
      </c>
      <c r="H604" s="9" t="n"/>
    </row>
    <row r="605" ht="14.25" customHeight="1" s="37">
      <c r="A605" s="9" t="n"/>
      <c r="B605" s="9" t="n"/>
      <c r="C605" s="9" t="n"/>
      <c r="D605" s="9" t="n"/>
      <c r="E605" s="9" t="n"/>
      <c r="F605" s="9" t="n"/>
      <c r="G605" s="9">
        <f>IF(OR(E605="",F605=""),"",DATEDIF(E605,F605,"Y"))</f>
        <v/>
      </c>
      <c r="H605" s="9" t="n"/>
    </row>
    <row r="606" ht="14.25" customHeight="1" s="37">
      <c r="A606" s="9" t="n"/>
      <c r="B606" s="9" t="n"/>
      <c r="C606" s="9" t="n"/>
      <c r="D606" s="9" t="n"/>
      <c r="E606" s="9" t="n"/>
      <c r="F606" s="9" t="n"/>
      <c r="G606" s="9">
        <f>IF(OR(E606="",F606=""),"",DATEDIF(E606,F606,"Y"))</f>
        <v/>
      </c>
      <c r="H606" s="9" t="n"/>
    </row>
    <row r="607" ht="14.25" customHeight="1" s="37">
      <c r="A607" s="9" t="n"/>
      <c r="B607" s="9" t="n"/>
      <c r="C607" s="9" t="n"/>
      <c r="D607" s="9" t="n"/>
      <c r="E607" s="9" t="n"/>
      <c r="F607" s="9" t="n"/>
      <c r="G607" s="9">
        <f>IF(OR(E607="",F607=""),"",DATEDIF(E607,F607,"Y"))</f>
        <v/>
      </c>
      <c r="H607" s="9" t="n"/>
    </row>
    <row r="608" ht="14.25" customHeight="1" s="37">
      <c r="A608" s="9" t="n"/>
      <c r="B608" s="9" t="n"/>
      <c r="C608" s="9" t="n"/>
      <c r="D608" s="9" t="n"/>
      <c r="E608" s="9" t="n"/>
      <c r="F608" s="9" t="n"/>
      <c r="G608" s="9">
        <f>IF(OR(E608="",F608=""),"",DATEDIF(E608,F608,"Y"))</f>
        <v/>
      </c>
      <c r="H608" s="9" t="n"/>
    </row>
    <row r="609" ht="14.25" customHeight="1" s="37">
      <c r="A609" s="9" t="n"/>
      <c r="B609" s="9" t="n"/>
      <c r="C609" s="9" t="n"/>
      <c r="D609" s="9" t="n"/>
      <c r="E609" s="9" t="n"/>
      <c r="F609" s="9" t="n"/>
      <c r="G609" s="9">
        <f>IF(OR(E609="",F609=""),"",DATEDIF(E609,F609,"Y"))</f>
        <v/>
      </c>
      <c r="H609" s="9" t="n"/>
    </row>
    <row r="610" ht="14.25" customHeight="1" s="37">
      <c r="A610" s="9" t="n"/>
      <c r="B610" s="9" t="n"/>
      <c r="C610" s="9" t="n"/>
      <c r="D610" s="9" t="n"/>
      <c r="E610" s="9" t="n"/>
      <c r="F610" s="9" t="n"/>
      <c r="G610" s="9">
        <f>IF(OR(E610="",F610=""),"",DATEDIF(E610,F610,"Y"))</f>
        <v/>
      </c>
      <c r="H610" s="9" t="n"/>
    </row>
    <row r="611" ht="14.25" customHeight="1" s="37">
      <c r="A611" s="9" t="n"/>
      <c r="B611" s="9" t="n"/>
      <c r="C611" s="9" t="n"/>
      <c r="D611" s="9" t="n"/>
      <c r="E611" s="9" t="n"/>
      <c r="F611" s="9" t="n"/>
      <c r="G611" s="9">
        <f>IF(OR(E611="",F611=""),"",DATEDIF(E611,F611,"Y"))</f>
        <v/>
      </c>
      <c r="H611" s="9" t="n"/>
    </row>
    <row r="612" ht="14.25" customHeight="1" s="37">
      <c r="A612" s="9" t="n"/>
      <c r="B612" s="9" t="n"/>
      <c r="C612" s="9" t="n"/>
      <c r="D612" s="9" t="n"/>
      <c r="E612" s="9" t="n"/>
      <c r="F612" s="9" t="n"/>
      <c r="G612" s="9">
        <f>IF(OR(E612="",F612=""),"",DATEDIF(E612,F612,"Y"))</f>
        <v/>
      </c>
      <c r="H612" s="9" t="n"/>
    </row>
    <row r="613" ht="14.25" customHeight="1" s="37">
      <c r="A613" s="9" t="n"/>
      <c r="B613" s="9" t="n"/>
      <c r="C613" s="9" t="n"/>
      <c r="D613" s="9" t="n"/>
      <c r="E613" s="9" t="n"/>
      <c r="F613" s="9" t="n"/>
      <c r="G613" s="9">
        <f>IF(OR(E613="",F613=""),"",DATEDIF(E613,F613,"Y"))</f>
        <v/>
      </c>
      <c r="H613" s="9" t="n"/>
    </row>
    <row r="614" ht="14.25" customHeight="1" s="37">
      <c r="A614" s="9" t="n"/>
      <c r="B614" s="9" t="n"/>
      <c r="C614" s="9" t="n"/>
      <c r="D614" s="9" t="n"/>
      <c r="E614" s="9" t="n"/>
      <c r="F614" s="9" t="n"/>
      <c r="G614" s="9">
        <f>IF(OR(E614="",F614=""),"",DATEDIF(E614,F614,"Y"))</f>
        <v/>
      </c>
      <c r="H614" s="9" t="n"/>
    </row>
    <row r="615" ht="14.25" customHeight="1" s="37">
      <c r="A615" s="9" t="n"/>
      <c r="B615" s="9" t="n"/>
      <c r="C615" s="9" t="n"/>
      <c r="D615" s="9" t="n"/>
      <c r="E615" s="9" t="n"/>
      <c r="F615" s="9" t="n"/>
      <c r="G615" s="9">
        <f>IF(OR(E615="",F615=""),"",DATEDIF(E615,F615,"Y"))</f>
        <v/>
      </c>
      <c r="H615" s="9" t="n"/>
    </row>
    <row r="616" ht="14.25" customHeight="1" s="37">
      <c r="A616" s="9" t="n"/>
      <c r="B616" s="9" t="n"/>
      <c r="C616" s="9" t="n"/>
      <c r="D616" s="9" t="n"/>
      <c r="E616" s="9" t="n"/>
      <c r="F616" s="9" t="n"/>
      <c r="G616" s="9">
        <f>IF(OR(E616="",F616=""),"",DATEDIF(E616,F616,"Y"))</f>
        <v/>
      </c>
      <c r="H616" s="9" t="n"/>
    </row>
    <row r="617" ht="14.25" customHeight="1" s="37">
      <c r="A617" s="9" t="n"/>
      <c r="B617" s="9" t="n"/>
      <c r="C617" s="9" t="n"/>
      <c r="D617" s="9" t="n"/>
      <c r="E617" s="9" t="n"/>
      <c r="F617" s="9" t="n"/>
      <c r="G617" s="9">
        <f>IF(OR(E617="",F617=""),"",DATEDIF(E617,F617,"Y"))</f>
        <v/>
      </c>
      <c r="H617" s="9" t="n"/>
    </row>
    <row r="618" ht="14.25" customHeight="1" s="37">
      <c r="A618" s="9" t="n"/>
      <c r="B618" s="9" t="n"/>
      <c r="C618" s="9" t="n"/>
      <c r="D618" s="9" t="n"/>
      <c r="E618" s="9" t="n"/>
      <c r="F618" s="9" t="n"/>
      <c r="G618" s="9">
        <f>IF(OR(E618="",F618=""),"",DATEDIF(E618,F618,"Y"))</f>
        <v/>
      </c>
      <c r="H618" s="9" t="n"/>
    </row>
    <row r="619" ht="14.25" customHeight="1" s="37">
      <c r="A619" s="9" t="n"/>
      <c r="B619" s="9" t="n"/>
      <c r="C619" s="9" t="n"/>
      <c r="D619" s="9" t="n"/>
      <c r="E619" s="9" t="n"/>
      <c r="F619" s="9" t="n"/>
      <c r="G619" s="9">
        <f>IF(OR(E619="",F619=""),"",DATEDIF(E619,F619,"Y"))</f>
        <v/>
      </c>
      <c r="H619" s="9" t="n"/>
    </row>
    <row r="620" ht="14.25" customHeight="1" s="37">
      <c r="A620" s="9" t="n"/>
      <c r="B620" s="9" t="n"/>
      <c r="C620" s="9" t="n"/>
      <c r="D620" s="9" t="n"/>
      <c r="E620" s="9" t="n"/>
      <c r="F620" s="9" t="n"/>
      <c r="G620" s="9">
        <f>IF(OR(E620="",F620=""),"",DATEDIF(E620,F620,"Y"))</f>
        <v/>
      </c>
      <c r="H620" s="9" t="n"/>
    </row>
    <row r="621" ht="14.25" customHeight="1" s="37">
      <c r="A621" s="9" t="n"/>
      <c r="B621" s="9" t="n"/>
      <c r="C621" s="9" t="n"/>
      <c r="D621" s="9" t="n"/>
      <c r="E621" s="9" t="n"/>
      <c r="F621" s="9" t="n"/>
      <c r="G621" s="9">
        <f>IF(OR(E621="",F621=""),"",DATEDIF(E621,F621,"Y"))</f>
        <v/>
      </c>
      <c r="H621" s="9" t="n"/>
    </row>
    <row r="622" ht="14.25" customHeight="1" s="37">
      <c r="A622" s="9" t="n"/>
      <c r="B622" s="9" t="n"/>
      <c r="C622" s="9" t="n"/>
      <c r="D622" s="9" t="n"/>
      <c r="E622" s="9" t="n"/>
      <c r="F622" s="9" t="n"/>
      <c r="G622" s="9">
        <f>IF(OR(E622="",F622=""),"",DATEDIF(E622,F622,"Y"))</f>
        <v/>
      </c>
      <c r="H622" s="9" t="n"/>
    </row>
    <row r="623" ht="14.25" customHeight="1" s="37">
      <c r="A623" s="9" t="n"/>
      <c r="B623" s="9" t="n"/>
      <c r="C623" s="9" t="n"/>
      <c r="D623" s="9" t="n"/>
      <c r="E623" s="9" t="n"/>
      <c r="F623" s="9" t="n"/>
      <c r="G623" s="9">
        <f>IF(OR(E623="",F623=""),"",DATEDIF(E623,F623,"Y"))</f>
        <v/>
      </c>
      <c r="H623" s="9" t="n"/>
    </row>
    <row r="624" ht="14.25" customHeight="1" s="37">
      <c r="A624" s="9" t="n"/>
      <c r="B624" s="9" t="n"/>
      <c r="C624" s="9" t="n"/>
      <c r="D624" s="9" t="n"/>
      <c r="E624" s="9" t="n"/>
      <c r="F624" s="9" t="n"/>
      <c r="G624" s="9">
        <f>IF(OR(E624="",F624=""),"",DATEDIF(E624,F624,"Y"))</f>
        <v/>
      </c>
      <c r="H624" s="9" t="n"/>
    </row>
    <row r="625" ht="14.25" customHeight="1" s="37">
      <c r="A625" s="9" t="n"/>
      <c r="B625" s="9" t="n"/>
      <c r="C625" s="9" t="n"/>
      <c r="D625" s="9" t="n"/>
      <c r="E625" s="9" t="n"/>
      <c r="F625" s="9" t="n"/>
      <c r="G625" s="9">
        <f>IF(OR(E625="",F625=""),"",DATEDIF(E625,F625,"Y"))</f>
        <v/>
      </c>
      <c r="H625" s="9" t="n"/>
    </row>
    <row r="626" ht="14.25" customHeight="1" s="37">
      <c r="A626" s="9" t="n"/>
      <c r="B626" s="9" t="n"/>
      <c r="C626" s="9" t="n"/>
      <c r="D626" s="9" t="n"/>
      <c r="E626" s="9" t="n"/>
      <c r="F626" s="9" t="n"/>
      <c r="G626" s="9">
        <f>IF(OR(E626="",F626=""),"",DATEDIF(E626,F626,"Y"))</f>
        <v/>
      </c>
      <c r="H626" s="9" t="n"/>
    </row>
    <row r="627" ht="14.25" customHeight="1" s="37">
      <c r="A627" s="9" t="n"/>
      <c r="B627" s="9" t="n"/>
      <c r="C627" s="9" t="n"/>
      <c r="D627" s="9" t="n"/>
      <c r="E627" s="9" t="n"/>
      <c r="F627" s="9" t="n"/>
      <c r="G627" s="9">
        <f>IF(OR(E627="",F627=""),"",DATEDIF(E627,F627,"Y"))</f>
        <v/>
      </c>
      <c r="H627" s="9" t="n"/>
    </row>
    <row r="628" ht="14.25" customHeight="1" s="37">
      <c r="A628" s="9" t="n"/>
      <c r="B628" s="9" t="n"/>
      <c r="C628" s="9" t="n"/>
      <c r="D628" s="9" t="n"/>
      <c r="E628" s="9" t="n"/>
      <c r="F628" s="9" t="n"/>
      <c r="G628" s="9">
        <f>IF(OR(E628="",F628=""),"",DATEDIF(E628,F628,"Y"))</f>
        <v/>
      </c>
      <c r="H628" s="9" t="n"/>
    </row>
    <row r="629" ht="14.25" customHeight="1" s="37">
      <c r="A629" s="9" t="n"/>
      <c r="B629" s="9" t="n"/>
      <c r="C629" s="9" t="n"/>
      <c r="D629" s="9" t="n"/>
      <c r="E629" s="9" t="n"/>
      <c r="F629" s="9" t="n"/>
      <c r="G629" s="9">
        <f>IF(OR(E629="",F629=""),"",DATEDIF(E629,F629,"Y"))</f>
        <v/>
      </c>
      <c r="H629" s="9" t="n"/>
    </row>
    <row r="630" ht="14.25" customHeight="1" s="37">
      <c r="A630" s="9" t="n"/>
      <c r="B630" s="9" t="n"/>
      <c r="C630" s="9" t="n"/>
      <c r="D630" s="9" t="n"/>
      <c r="E630" s="9" t="n"/>
      <c r="F630" s="9" t="n"/>
      <c r="G630" s="9">
        <f>IF(OR(E630="",F630=""),"",DATEDIF(E630,F630,"Y"))</f>
        <v/>
      </c>
      <c r="H630" s="9" t="n"/>
    </row>
    <row r="631" ht="14.25" customHeight="1" s="37">
      <c r="A631" s="9" t="n"/>
      <c r="B631" s="9" t="n"/>
      <c r="C631" s="9" t="n"/>
      <c r="D631" s="9" t="n"/>
      <c r="E631" s="9" t="n"/>
      <c r="F631" s="9" t="n"/>
      <c r="G631" s="9">
        <f>IF(OR(E631="",F631=""),"",DATEDIF(E631,F631,"Y"))</f>
        <v/>
      </c>
      <c r="H631" s="9" t="n"/>
    </row>
    <row r="632" ht="14.25" customHeight="1" s="37">
      <c r="A632" s="9" t="n"/>
      <c r="B632" s="9" t="n"/>
      <c r="C632" s="9" t="n"/>
      <c r="D632" s="9" t="n"/>
      <c r="E632" s="9" t="n"/>
      <c r="F632" s="9" t="n"/>
      <c r="G632" s="9">
        <f>IF(OR(E632="",F632=""),"",DATEDIF(E632,F632,"Y"))</f>
        <v/>
      </c>
      <c r="H632" s="9" t="n"/>
    </row>
    <row r="633" ht="14.25" customHeight="1" s="37">
      <c r="A633" s="9" t="n"/>
      <c r="B633" s="9" t="n"/>
      <c r="C633" s="9" t="n"/>
      <c r="D633" s="9" t="n"/>
      <c r="E633" s="9" t="n"/>
      <c r="F633" s="9" t="n"/>
      <c r="G633" s="9">
        <f>IF(OR(E633="",F633=""),"",DATEDIF(E633,F633,"Y"))</f>
        <v/>
      </c>
      <c r="H633" s="9" t="n"/>
    </row>
    <row r="634" ht="14.25" customHeight="1" s="37">
      <c r="A634" s="9" t="n"/>
      <c r="B634" s="9" t="n"/>
      <c r="C634" s="9" t="n"/>
      <c r="D634" s="9" t="n"/>
      <c r="E634" s="9" t="n"/>
      <c r="F634" s="9" t="n"/>
      <c r="G634" s="9">
        <f>IF(OR(E634="",F634=""),"",DATEDIF(E634,F634,"Y"))</f>
        <v/>
      </c>
      <c r="H634" s="9" t="n"/>
    </row>
    <row r="635" ht="14.25" customHeight="1" s="37">
      <c r="A635" s="9" t="n"/>
      <c r="B635" s="9" t="n"/>
      <c r="C635" s="9" t="n"/>
      <c r="D635" s="9" t="n"/>
      <c r="E635" s="9" t="n"/>
      <c r="F635" s="9" t="n"/>
      <c r="G635" s="9">
        <f>IF(OR(E635="",F635=""),"",DATEDIF(E635,F635,"Y"))</f>
        <v/>
      </c>
      <c r="H635" s="9" t="n"/>
    </row>
    <row r="636" ht="14.25" customHeight="1" s="37">
      <c r="A636" s="9" t="n"/>
      <c r="B636" s="9" t="n"/>
      <c r="C636" s="9" t="n"/>
      <c r="D636" s="9" t="n"/>
      <c r="E636" s="9" t="n"/>
      <c r="F636" s="9" t="n"/>
      <c r="G636" s="9">
        <f>IF(OR(E636="",F636=""),"",DATEDIF(E636,F636,"Y"))</f>
        <v/>
      </c>
      <c r="H636" s="9" t="n"/>
    </row>
    <row r="637" ht="14.25" customHeight="1" s="37">
      <c r="A637" s="9" t="n"/>
      <c r="B637" s="9" t="n"/>
      <c r="C637" s="9" t="n"/>
      <c r="D637" s="9" t="n"/>
      <c r="E637" s="9" t="n"/>
      <c r="F637" s="9" t="n"/>
      <c r="G637" s="9">
        <f>IF(OR(E637="",F637=""),"",DATEDIF(E637,F637,"Y"))</f>
        <v/>
      </c>
      <c r="H637" s="9" t="n"/>
    </row>
    <row r="638" ht="14.25" customHeight="1" s="37">
      <c r="A638" s="9" t="n"/>
      <c r="B638" s="9" t="n"/>
      <c r="C638" s="9" t="n"/>
      <c r="D638" s="9" t="n"/>
      <c r="E638" s="9" t="n"/>
      <c r="F638" s="9" t="n"/>
      <c r="G638" s="9">
        <f>IF(OR(E638="",F638=""),"",DATEDIF(E638,F638,"Y"))</f>
        <v/>
      </c>
      <c r="H638" s="9" t="n"/>
    </row>
    <row r="639" ht="14.25" customHeight="1" s="37">
      <c r="A639" s="9" t="n"/>
      <c r="B639" s="9" t="n"/>
      <c r="C639" s="9" t="n"/>
      <c r="D639" s="9" t="n"/>
      <c r="E639" s="9" t="n"/>
      <c r="F639" s="9" t="n"/>
      <c r="G639" s="9">
        <f>IF(OR(E639="",F639=""),"",DATEDIF(E639,F639,"Y"))</f>
        <v/>
      </c>
      <c r="H639" s="9" t="n"/>
    </row>
    <row r="640" ht="14.25" customHeight="1" s="37">
      <c r="A640" s="9" t="n"/>
      <c r="B640" s="9" t="n"/>
      <c r="C640" s="9" t="n"/>
      <c r="D640" s="9" t="n"/>
      <c r="E640" s="9" t="n"/>
      <c r="F640" s="9" t="n"/>
      <c r="G640" s="9">
        <f>IF(OR(E640="",F640=""),"",DATEDIF(E640,F640,"Y"))</f>
        <v/>
      </c>
      <c r="H640" s="9" t="n"/>
    </row>
    <row r="641" ht="14.25" customHeight="1" s="37">
      <c r="A641" s="9" t="n"/>
      <c r="B641" s="9" t="n"/>
      <c r="C641" s="9" t="n"/>
      <c r="D641" s="9" t="n"/>
      <c r="E641" s="9" t="n"/>
      <c r="F641" s="9" t="n"/>
      <c r="G641" s="9">
        <f>IF(OR(E641="",F641=""),"",DATEDIF(E641,F641,"Y"))</f>
        <v/>
      </c>
      <c r="H641" s="9" t="n"/>
    </row>
    <row r="642" ht="14.25" customHeight="1" s="37">
      <c r="A642" s="9" t="n"/>
      <c r="B642" s="9" t="n"/>
      <c r="C642" s="9" t="n"/>
      <c r="D642" s="9" t="n"/>
      <c r="E642" s="9" t="n"/>
      <c r="F642" s="9" t="n"/>
      <c r="G642" s="9">
        <f>IF(OR(E642="",F642=""),"",DATEDIF(E642,F642,"Y"))</f>
        <v/>
      </c>
      <c r="H642" s="9" t="n"/>
    </row>
    <row r="643" ht="14.25" customHeight="1" s="37">
      <c r="A643" s="9" t="n"/>
      <c r="B643" s="9" t="n"/>
      <c r="C643" s="9" t="n"/>
      <c r="D643" s="9" t="n"/>
      <c r="E643" s="9" t="n"/>
      <c r="F643" s="9" t="n"/>
      <c r="G643" s="9">
        <f>IF(OR(E643="",F643=""),"",DATEDIF(E643,F643,"Y"))</f>
        <v/>
      </c>
      <c r="H643" s="9" t="n"/>
    </row>
    <row r="644" ht="14.25" customHeight="1" s="37">
      <c r="A644" s="9" t="n"/>
      <c r="B644" s="9" t="n"/>
      <c r="C644" s="9" t="n"/>
      <c r="D644" s="9" t="n"/>
      <c r="E644" s="9" t="n"/>
      <c r="F644" s="9" t="n"/>
      <c r="G644" s="9">
        <f>IF(OR(E644="",F644=""),"",DATEDIF(E644,F644,"Y"))</f>
        <v/>
      </c>
      <c r="H644" s="9" t="n"/>
    </row>
    <row r="645" ht="14.25" customHeight="1" s="37">
      <c r="A645" s="9" t="n"/>
      <c r="B645" s="9" t="n"/>
      <c r="C645" s="9" t="n"/>
      <c r="D645" s="9" t="n"/>
      <c r="E645" s="9" t="n"/>
      <c r="F645" s="9" t="n"/>
      <c r="G645" s="9">
        <f>IF(OR(E645="",F645=""),"",DATEDIF(E645,F645,"Y"))</f>
        <v/>
      </c>
      <c r="H645" s="9" t="n"/>
    </row>
    <row r="646" ht="14.25" customHeight="1" s="37">
      <c r="A646" s="9" t="n"/>
      <c r="B646" s="9" t="n"/>
      <c r="C646" s="9" t="n"/>
      <c r="D646" s="9" t="n"/>
      <c r="E646" s="9" t="n"/>
      <c r="F646" s="9" t="n"/>
      <c r="G646" s="9">
        <f>IF(OR(E646="",F646=""),"",DATEDIF(E646,F646,"Y"))</f>
        <v/>
      </c>
      <c r="H646" s="9" t="n"/>
    </row>
    <row r="647" ht="14.25" customHeight="1" s="37">
      <c r="A647" s="9" t="n"/>
      <c r="B647" s="9" t="n"/>
      <c r="C647" s="9" t="n"/>
      <c r="D647" s="9" t="n"/>
      <c r="E647" s="9" t="n"/>
      <c r="F647" s="9" t="n"/>
      <c r="G647" s="9">
        <f>IF(OR(E647="",F647=""),"",DATEDIF(E647,F647,"Y"))</f>
        <v/>
      </c>
      <c r="H647" s="9" t="n"/>
    </row>
    <row r="648" ht="14.25" customHeight="1" s="37">
      <c r="A648" s="9" t="n"/>
      <c r="B648" s="9" t="n"/>
      <c r="C648" s="9" t="n"/>
      <c r="D648" s="9" t="n"/>
      <c r="E648" s="9" t="n"/>
      <c r="F648" s="9" t="n"/>
      <c r="G648" s="9">
        <f>IF(OR(E648="",F648=""),"",DATEDIF(E648,F648,"Y"))</f>
        <v/>
      </c>
      <c r="H648" s="9" t="n"/>
    </row>
    <row r="649" ht="14.25" customHeight="1" s="37">
      <c r="A649" s="9" t="n"/>
      <c r="B649" s="9" t="n"/>
      <c r="C649" s="9" t="n"/>
      <c r="D649" s="9" t="n"/>
      <c r="E649" s="9" t="n"/>
      <c r="F649" s="9" t="n"/>
      <c r="G649" s="9">
        <f>IF(OR(E649="",F649=""),"",DATEDIF(E649,F649,"Y"))</f>
        <v/>
      </c>
      <c r="H649" s="9" t="n"/>
    </row>
    <row r="650" ht="14.25" customHeight="1" s="37">
      <c r="A650" s="9" t="n"/>
      <c r="B650" s="9" t="n"/>
      <c r="C650" s="9" t="n"/>
      <c r="D650" s="9" t="n"/>
      <c r="E650" s="9" t="n"/>
      <c r="F650" s="9" t="n"/>
      <c r="G650" s="9">
        <f>IF(OR(E650="",F650=""),"",DATEDIF(E650,F650,"Y"))</f>
        <v/>
      </c>
      <c r="H650" s="9" t="n"/>
    </row>
    <row r="651" ht="14.25" customHeight="1" s="37">
      <c r="A651" s="9" t="n"/>
      <c r="B651" s="9" t="n"/>
      <c r="C651" s="9" t="n"/>
      <c r="D651" s="9" t="n"/>
      <c r="E651" s="9" t="n"/>
      <c r="F651" s="9" t="n"/>
      <c r="G651" s="9">
        <f>IF(OR(E651="",F651=""),"",DATEDIF(E651,F651,"Y"))</f>
        <v/>
      </c>
      <c r="H651" s="9" t="n"/>
    </row>
    <row r="652" ht="14.25" customHeight="1" s="37">
      <c r="A652" s="9" t="n"/>
      <c r="B652" s="9" t="n"/>
      <c r="C652" s="9" t="n"/>
      <c r="D652" s="9" t="n"/>
      <c r="E652" s="9" t="n"/>
      <c r="F652" s="9" t="n"/>
      <c r="G652" s="9">
        <f>IF(OR(E652="",F652=""),"",DATEDIF(E652,F652,"Y"))</f>
        <v/>
      </c>
      <c r="H652" s="9" t="n"/>
    </row>
    <row r="653" ht="14.25" customHeight="1" s="37">
      <c r="A653" s="9" t="n"/>
      <c r="B653" s="9" t="n"/>
      <c r="C653" s="9" t="n"/>
      <c r="D653" s="9" t="n"/>
      <c r="E653" s="9" t="n"/>
      <c r="F653" s="9" t="n"/>
      <c r="G653" s="9">
        <f>IF(OR(E653="",F653=""),"",DATEDIF(E653,F653,"Y"))</f>
        <v/>
      </c>
      <c r="H653" s="9" t="n"/>
    </row>
    <row r="654" ht="14.25" customHeight="1" s="37">
      <c r="A654" s="9" t="n"/>
      <c r="B654" s="9" t="n"/>
      <c r="C654" s="9" t="n"/>
      <c r="D654" s="9" t="n"/>
      <c r="E654" s="9" t="n"/>
      <c r="F654" s="9" t="n"/>
      <c r="G654" s="9">
        <f>IF(OR(E654="",F654=""),"",DATEDIF(E654,F654,"Y"))</f>
        <v/>
      </c>
      <c r="H654" s="9" t="n"/>
    </row>
    <row r="655" ht="14.25" customHeight="1" s="37">
      <c r="A655" s="9" t="n"/>
      <c r="B655" s="9" t="n"/>
      <c r="C655" s="9" t="n"/>
      <c r="D655" s="9" t="n"/>
      <c r="E655" s="9" t="n"/>
      <c r="F655" s="9" t="n"/>
      <c r="G655" s="9">
        <f>IF(OR(E655="",F655=""),"",DATEDIF(E655,F655,"Y"))</f>
        <v/>
      </c>
      <c r="H655" s="9" t="n"/>
    </row>
    <row r="656" ht="14.25" customHeight="1" s="37">
      <c r="A656" s="9" t="n"/>
      <c r="B656" s="9" t="n"/>
      <c r="C656" s="9" t="n"/>
      <c r="D656" s="9" t="n"/>
      <c r="E656" s="9" t="n"/>
      <c r="F656" s="9" t="n"/>
      <c r="G656" s="9">
        <f>IF(OR(E656="",F656=""),"",DATEDIF(E656,F656,"Y"))</f>
        <v/>
      </c>
      <c r="H656" s="9" t="n"/>
    </row>
    <row r="657" ht="14.25" customHeight="1" s="37">
      <c r="A657" s="9" t="n"/>
      <c r="B657" s="9" t="n"/>
      <c r="C657" s="9" t="n"/>
      <c r="D657" s="9" t="n"/>
      <c r="E657" s="9" t="n"/>
      <c r="F657" s="9" t="n"/>
      <c r="G657" s="9">
        <f>IF(OR(E657="",F657=""),"",DATEDIF(E657,F657,"Y"))</f>
        <v/>
      </c>
      <c r="H657" s="9" t="n"/>
    </row>
    <row r="658" ht="14.25" customHeight="1" s="37">
      <c r="A658" s="9" t="n"/>
      <c r="B658" s="9" t="n"/>
      <c r="C658" s="9" t="n"/>
      <c r="D658" s="9" t="n"/>
      <c r="E658" s="9" t="n"/>
      <c r="F658" s="9" t="n"/>
      <c r="G658" s="9">
        <f>IF(OR(E658="",F658=""),"",DATEDIF(E658,F658,"Y"))</f>
        <v/>
      </c>
      <c r="H658" s="9" t="n"/>
    </row>
    <row r="659" ht="14.25" customHeight="1" s="37">
      <c r="A659" s="9" t="n"/>
      <c r="B659" s="9" t="n"/>
      <c r="C659" s="9" t="n"/>
      <c r="D659" s="9" t="n"/>
      <c r="E659" s="9" t="n"/>
      <c r="F659" s="9" t="n"/>
      <c r="G659" s="9">
        <f>IF(OR(E659="",F659=""),"",DATEDIF(E659,F659,"Y"))</f>
        <v/>
      </c>
      <c r="H659" s="9" t="n"/>
    </row>
    <row r="660" ht="14.25" customHeight="1" s="37">
      <c r="A660" s="9" t="n"/>
      <c r="B660" s="9" t="n"/>
      <c r="C660" s="9" t="n"/>
      <c r="D660" s="9" t="n"/>
      <c r="E660" s="9" t="n"/>
      <c r="F660" s="9" t="n"/>
      <c r="G660" s="9">
        <f>IF(OR(E660="",F660=""),"",DATEDIF(E660,F660,"Y"))</f>
        <v/>
      </c>
      <c r="H660" s="9" t="n"/>
    </row>
    <row r="661" ht="14.25" customHeight="1" s="37">
      <c r="A661" s="9" t="n"/>
      <c r="B661" s="9" t="n"/>
      <c r="C661" s="9" t="n"/>
      <c r="D661" s="9" t="n"/>
      <c r="E661" s="9" t="n"/>
      <c r="F661" s="9" t="n"/>
      <c r="G661" s="9">
        <f>IF(OR(E661="",F661=""),"",DATEDIF(E661,F661,"Y"))</f>
        <v/>
      </c>
      <c r="H661" s="9" t="n"/>
    </row>
    <row r="662" ht="14.25" customHeight="1" s="37">
      <c r="A662" s="9" t="n"/>
      <c r="B662" s="9" t="n"/>
      <c r="C662" s="9" t="n"/>
      <c r="D662" s="9" t="n"/>
      <c r="E662" s="9" t="n"/>
      <c r="F662" s="9" t="n"/>
      <c r="G662" s="9">
        <f>IF(OR(E662="",F662=""),"",DATEDIF(E662,F662,"Y"))</f>
        <v/>
      </c>
      <c r="H662" s="9" t="n"/>
    </row>
    <row r="663" ht="14.25" customHeight="1" s="37">
      <c r="A663" s="9" t="n"/>
      <c r="B663" s="9" t="n"/>
      <c r="C663" s="9" t="n"/>
      <c r="D663" s="9" t="n"/>
      <c r="E663" s="9" t="n"/>
      <c r="F663" s="9" t="n"/>
      <c r="G663" s="9">
        <f>IF(OR(E663="",F663=""),"",DATEDIF(E663,F663,"Y"))</f>
        <v/>
      </c>
      <c r="H663" s="9" t="n"/>
    </row>
    <row r="664" ht="14.25" customHeight="1" s="37">
      <c r="A664" s="9" t="n"/>
      <c r="B664" s="9" t="n"/>
      <c r="C664" s="9" t="n"/>
      <c r="D664" s="9" t="n"/>
      <c r="E664" s="9" t="n"/>
      <c r="F664" s="9" t="n"/>
      <c r="G664" s="9">
        <f>IF(OR(E664="",F664=""),"",DATEDIF(E664,F664,"Y"))</f>
        <v/>
      </c>
      <c r="H664" s="9" t="n"/>
    </row>
    <row r="665" ht="14.25" customHeight="1" s="37">
      <c r="A665" s="9" t="n"/>
      <c r="B665" s="9" t="n"/>
      <c r="C665" s="9" t="n"/>
      <c r="D665" s="9" t="n"/>
      <c r="E665" s="9" t="n"/>
      <c r="F665" s="9" t="n"/>
      <c r="G665" s="9">
        <f>IF(OR(E665="",F665=""),"",DATEDIF(E665,F665,"Y"))</f>
        <v/>
      </c>
      <c r="H665" s="9" t="n"/>
    </row>
    <row r="666" ht="14.25" customHeight="1" s="37">
      <c r="A666" s="9" t="n"/>
      <c r="B666" s="9" t="n"/>
      <c r="C666" s="9" t="n"/>
      <c r="D666" s="9" t="n"/>
      <c r="E666" s="9" t="n"/>
      <c r="F666" s="9" t="n"/>
      <c r="G666" s="9">
        <f>IF(OR(E666="",F666=""),"",DATEDIF(E666,F666,"Y"))</f>
        <v/>
      </c>
      <c r="H666" s="9" t="n"/>
    </row>
    <row r="667" ht="14.25" customHeight="1" s="37">
      <c r="A667" s="9" t="n"/>
      <c r="B667" s="9" t="n"/>
      <c r="C667" s="9" t="n"/>
      <c r="D667" s="9" t="n"/>
      <c r="E667" s="9" t="n"/>
      <c r="F667" s="9" t="n"/>
      <c r="G667" s="9">
        <f>IF(OR(E667="",F667=""),"",DATEDIF(E667,F667,"Y"))</f>
        <v/>
      </c>
      <c r="H667" s="9" t="n"/>
    </row>
    <row r="668" ht="14.25" customHeight="1" s="37">
      <c r="A668" s="9" t="n"/>
      <c r="B668" s="9" t="n"/>
      <c r="C668" s="9" t="n"/>
      <c r="D668" s="9" t="n"/>
      <c r="E668" s="9" t="n"/>
      <c r="F668" s="9" t="n"/>
      <c r="G668" s="9">
        <f>IF(OR(E668="",F668=""),"",DATEDIF(E668,F668,"Y"))</f>
        <v/>
      </c>
      <c r="H668" s="9" t="n"/>
    </row>
    <row r="669" ht="14.25" customHeight="1" s="37">
      <c r="A669" s="9" t="n"/>
      <c r="B669" s="9" t="n"/>
      <c r="C669" s="9" t="n"/>
      <c r="D669" s="9" t="n"/>
      <c r="E669" s="9" t="n"/>
      <c r="F669" s="9" t="n"/>
      <c r="G669" s="9">
        <f>IF(OR(E669="",F669=""),"",DATEDIF(E669,F669,"Y"))</f>
        <v/>
      </c>
      <c r="H669" s="9" t="n"/>
    </row>
    <row r="670" ht="14.25" customHeight="1" s="37">
      <c r="A670" s="9" t="n"/>
      <c r="B670" s="9" t="n"/>
      <c r="C670" s="9" t="n"/>
      <c r="D670" s="9" t="n"/>
      <c r="E670" s="9" t="n"/>
      <c r="F670" s="9" t="n"/>
      <c r="G670" s="9">
        <f>IF(OR(E670="",F670=""),"",DATEDIF(E670,F670,"Y"))</f>
        <v/>
      </c>
      <c r="H670" s="9" t="n"/>
    </row>
    <row r="671" ht="14.25" customHeight="1" s="37">
      <c r="A671" s="9" t="n"/>
      <c r="B671" s="9" t="n"/>
      <c r="C671" s="9" t="n"/>
      <c r="D671" s="9" t="n"/>
      <c r="E671" s="9" t="n"/>
      <c r="F671" s="9" t="n"/>
      <c r="G671" s="9">
        <f>IF(OR(E671="",F671=""),"",DATEDIF(E671,F671,"Y"))</f>
        <v/>
      </c>
      <c r="H671" s="9" t="n"/>
    </row>
    <row r="672" ht="14.25" customHeight="1" s="37">
      <c r="A672" s="9" t="n"/>
      <c r="B672" s="9" t="n"/>
      <c r="C672" s="9" t="n"/>
      <c r="D672" s="9" t="n"/>
      <c r="E672" s="9" t="n"/>
      <c r="F672" s="9" t="n"/>
      <c r="G672" s="9">
        <f>IF(OR(E672="",F672=""),"",DATEDIF(E672,F672,"Y"))</f>
        <v/>
      </c>
      <c r="H672" s="9" t="n"/>
    </row>
    <row r="673" ht="14.25" customHeight="1" s="37">
      <c r="A673" s="9" t="n"/>
      <c r="B673" s="9" t="n"/>
      <c r="C673" s="9" t="n"/>
      <c r="D673" s="9" t="n"/>
      <c r="E673" s="9" t="n"/>
      <c r="F673" s="9" t="n"/>
      <c r="G673" s="9">
        <f>IF(OR(E673="",F673=""),"",DATEDIF(E673,F673,"Y"))</f>
        <v/>
      </c>
      <c r="H673" s="9" t="n"/>
    </row>
    <row r="674" ht="14.25" customHeight="1" s="37">
      <c r="A674" s="9" t="n"/>
      <c r="B674" s="9" t="n"/>
      <c r="C674" s="9" t="n"/>
      <c r="D674" s="9" t="n"/>
      <c r="E674" s="9" t="n"/>
      <c r="F674" s="9" t="n"/>
      <c r="G674" s="9">
        <f>IF(OR(E674="",F674=""),"",DATEDIF(E674,F674,"Y"))</f>
        <v/>
      </c>
      <c r="H674" s="9" t="n"/>
    </row>
    <row r="675" ht="14.25" customHeight="1" s="37">
      <c r="A675" s="9" t="n"/>
      <c r="B675" s="9" t="n"/>
      <c r="C675" s="9" t="n"/>
      <c r="D675" s="9" t="n"/>
      <c r="E675" s="9" t="n"/>
      <c r="F675" s="9" t="n"/>
      <c r="G675" s="9">
        <f>IF(OR(E675="",F675=""),"",DATEDIF(E675,F675,"Y"))</f>
        <v/>
      </c>
      <c r="H675" s="9" t="n"/>
    </row>
    <row r="676" ht="14.25" customHeight="1" s="37">
      <c r="A676" s="9" t="n"/>
      <c r="B676" s="9" t="n"/>
      <c r="C676" s="9" t="n"/>
      <c r="D676" s="9" t="n"/>
      <c r="E676" s="9" t="n"/>
      <c r="F676" s="9" t="n"/>
      <c r="G676" s="9">
        <f>IF(OR(E676="",F676=""),"",DATEDIF(E676,F676,"Y"))</f>
        <v/>
      </c>
      <c r="H676" s="9" t="n"/>
    </row>
    <row r="677" ht="14.25" customHeight="1" s="37">
      <c r="A677" s="9" t="n"/>
      <c r="B677" s="9" t="n"/>
      <c r="C677" s="9" t="n"/>
      <c r="D677" s="9" t="n"/>
      <c r="E677" s="9" t="n"/>
      <c r="F677" s="9" t="n"/>
      <c r="G677" s="9">
        <f>IF(OR(E677="",F677=""),"",DATEDIF(E677,F677,"Y"))</f>
        <v/>
      </c>
      <c r="H677" s="9" t="n"/>
    </row>
    <row r="678" ht="14.25" customHeight="1" s="37">
      <c r="A678" s="9" t="n"/>
      <c r="B678" s="9" t="n"/>
      <c r="C678" s="9" t="n"/>
      <c r="D678" s="9" t="n"/>
      <c r="E678" s="9" t="n"/>
      <c r="F678" s="9" t="n"/>
      <c r="G678" s="9">
        <f>IF(OR(E678="",F678=""),"",DATEDIF(E678,F678,"Y"))</f>
        <v/>
      </c>
      <c r="H678" s="9" t="n"/>
    </row>
    <row r="679" ht="14.25" customHeight="1" s="37">
      <c r="A679" s="9" t="n"/>
      <c r="B679" s="9" t="n"/>
      <c r="C679" s="9" t="n"/>
      <c r="D679" s="9" t="n"/>
      <c r="E679" s="9" t="n"/>
      <c r="F679" s="9" t="n"/>
      <c r="G679" s="9">
        <f>IF(OR(E679="",F679=""),"",DATEDIF(E679,F679,"Y"))</f>
        <v/>
      </c>
      <c r="H679" s="9" t="n"/>
    </row>
    <row r="680" ht="14.25" customHeight="1" s="37">
      <c r="A680" s="9" t="n"/>
      <c r="B680" s="9" t="n"/>
      <c r="C680" s="9" t="n"/>
      <c r="D680" s="9" t="n"/>
      <c r="E680" s="9" t="n"/>
      <c r="F680" s="9" t="n"/>
      <c r="G680" s="9">
        <f>IF(OR(E680="",F680=""),"",DATEDIF(E680,F680,"Y"))</f>
        <v/>
      </c>
      <c r="H680" s="9" t="n"/>
    </row>
    <row r="681" ht="14.25" customHeight="1" s="37">
      <c r="A681" s="9" t="n"/>
      <c r="B681" s="9" t="n"/>
      <c r="C681" s="9" t="n"/>
      <c r="D681" s="9" t="n"/>
      <c r="E681" s="9" t="n"/>
      <c r="F681" s="9" t="n"/>
      <c r="G681" s="9">
        <f>IF(OR(E681="",F681=""),"",DATEDIF(E681,F681,"Y"))</f>
        <v/>
      </c>
      <c r="H681" s="9" t="n"/>
    </row>
    <row r="682" ht="14.25" customHeight="1" s="37">
      <c r="A682" s="9" t="n"/>
      <c r="B682" s="9" t="n"/>
      <c r="C682" s="9" t="n"/>
      <c r="D682" s="9" t="n"/>
      <c r="E682" s="9" t="n"/>
      <c r="F682" s="9" t="n"/>
      <c r="G682" s="9">
        <f>IF(OR(E682="",F682=""),"",DATEDIF(E682,F682,"Y"))</f>
        <v/>
      </c>
      <c r="H682" s="9" t="n"/>
    </row>
    <row r="683" ht="14.25" customHeight="1" s="37">
      <c r="A683" s="9" t="n"/>
      <c r="B683" s="9" t="n"/>
      <c r="C683" s="9" t="n"/>
      <c r="D683" s="9" t="n"/>
      <c r="E683" s="9" t="n"/>
      <c r="F683" s="9" t="n"/>
      <c r="G683" s="9">
        <f>IF(OR(E683="",F683=""),"",DATEDIF(E683,F683,"Y"))</f>
        <v/>
      </c>
      <c r="H683" s="9" t="n"/>
    </row>
    <row r="684" ht="14.25" customHeight="1" s="37">
      <c r="A684" s="9" t="n"/>
      <c r="B684" s="9" t="n"/>
      <c r="C684" s="9" t="n"/>
      <c r="D684" s="9" t="n"/>
      <c r="E684" s="9" t="n"/>
      <c r="F684" s="9" t="n"/>
      <c r="G684" s="9">
        <f>IF(OR(E684="",F684=""),"",DATEDIF(E684,F684,"Y"))</f>
        <v/>
      </c>
      <c r="H684" s="9" t="n"/>
    </row>
    <row r="685" ht="14.25" customHeight="1" s="37">
      <c r="A685" s="9" t="n"/>
      <c r="B685" s="9" t="n"/>
      <c r="C685" s="9" t="n"/>
      <c r="D685" s="9" t="n"/>
      <c r="E685" s="9" t="n"/>
      <c r="F685" s="9" t="n"/>
      <c r="G685" s="9">
        <f>IF(OR(E685="",F685=""),"",DATEDIF(E685,F685,"Y"))</f>
        <v/>
      </c>
      <c r="H685" s="9" t="n"/>
    </row>
    <row r="686" ht="14.25" customHeight="1" s="37">
      <c r="A686" s="9" t="n"/>
      <c r="B686" s="9" t="n"/>
      <c r="C686" s="9" t="n"/>
      <c r="D686" s="9" t="n"/>
      <c r="E686" s="9" t="n"/>
      <c r="F686" s="9" t="n"/>
      <c r="G686" s="9">
        <f>IF(OR(E686="",F686=""),"",DATEDIF(E686,F686,"Y"))</f>
        <v/>
      </c>
      <c r="H686" s="9" t="n"/>
    </row>
    <row r="687" ht="14.25" customHeight="1" s="37">
      <c r="A687" s="9" t="n"/>
      <c r="B687" s="9" t="n"/>
      <c r="C687" s="9" t="n"/>
      <c r="D687" s="9" t="n"/>
      <c r="E687" s="9" t="n"/>
      <c r="F687" s="9" t="n"/>
      <c r="G687" s="9">
        <f>IF(OR(E687="",F687=""),"",DATEDIF(E687,F687,"Y"))</f>
        <v/>
      </c>
      <c r="H687" s="9" t="n"/>
    </row>
    <row r="688" ht="14.25" customHeight="1" s="37">
      <c r="A688" s="9" t="n"/>
      <c r="B688" s="9" t="n"/>
      <c r="C688" s="9" t="n"/>
      <c r="D688" s="9" t="n"/>
      <c r="E688" s="9" t="n"/>
      <c r="F688" s="9" t="n"/>
      <c r="G688" s="9">
        <f>IF(OR(E688="",F688=""),"",DATEDIF(E688,F688,"Y"))</f>
        <v/>
      </c>
      <c r="H688" s="9" t="n"/>
    </row>
    <row r="689" ht="14.25" customHeight="1" s="37">
      <c r="A689" s="9" t="n"/>
      <c r="B689" s="9" t="n"/>
      <c r="C689" s="9" t="n"/>
      <c r="D689" s="9" t="n"/>
      <c r="E689" s="9" t="n"/>
      <c r="F689" s="9" t="n"/>
      <c r="G689" s="9">
        <f>IF(OR(E689="",F689=""),"",DATEDIF(E689,F689,"Y"))</f>
        <v/>
      </c>
      <c r="H689" s="9" t="n"/>
    </row>
    <row r="690" ht="14.25" customHeight="1" s="37">
      <c r="A690" s="9" t="n"/>
      <c r="B690" s="9" t="n"/>
      <c r="C690" s="9" t="n"/>
      <c r="D690" s="9" t="n"/>
      <c r="E690" s="9" t="n"/>
      <c r="F690" s="9" t="n"/>
      <c r="G690" s="9">
        <f>IF(OR(E690="",F690=""),"",DATEDIF(E690,F690,"Y"))</f>
        <v/>
      </c>
      <c r="H690" s="9" t="n"/>
    </row>
    <row r="691" ht="14.25" customHeight="1" s="37">
      <c r="A691" s="9" t="n"/>
      <c r="B691" s="9" t="n"/>
      <c r="C691" s="9" t="n"/>
      <c r="D691" s="9" t="n"/>
      <c r="E691" s="9" t="n"/>
      <c r="F691" s="9" t="n"/>
      <c r="G691" s="9">
        <f>IF(OR(E691="",F691=""),"",DATEDIF(E691,F691,"Y"))</f>
        <v/>
      </c>
      <c r="H691" s="9" t="n"/>
    </row>
    <row r="692" ht="14.25" customHeight="1" s="37">
      <c r="A692" s="9" t="n"/>
      <c r="B692" s="9" t="n"/>
      <c r="C692" s="9" t="n"/>
      <c r="D692" s="9" t="n"/>
      <c r="E692" s="9" t="n"/>
      <c r="F692" s="9" t="n"/>
      <c r="G692" s="9">
        <f>IF(OR(E692="",F692=""),"",DATEDIF(E692,F692,"Y"))</f>
        <v/>
      </c>
      <c r="H692" s="9" t="n"/>
    </row>
    <row r="693" ht="14.25" customHeight="1" s="37">
      <c r="A693" s="9" t="n"/>
      <c r="B693" s="9" t="n"/>
      <c r="C693" s="9" t="n"/>
      <c r="D693" s="9" t="n"/>
      <c r="E693" s="9" t="n"/>
      <c r="F693" s="9" t="n"/>
      <c r="G693" s="9">
        <f>IF(OR(E693="",F693=""),"",DATEDIF(E693,F693,"Y"))</f>
        <v/>
      </c>
      <c r="H693" s="9" t="n"/>
    </row>
    <row r="694" ht="14.25" customHeight="1" s="37">
      <c r="A694" s="9" t="n"/>
      <c r="B694" s="9" t="n"/>
      <c r="C694" s="9" t="n"/>
      <c r="D694" s="9" t="n"/>
      <c r="E694" s="9" t="n"/>
      <c r="F694" s="9" t="n"/>
      <c r="G694" s="9">
        <f>IF(OR(E694="",F694=""),"",DATEDIF(E694,F694,"Y"))</f>
        <v/>
      </c>
      <c r="H694" s="9" t="n"/>
    </row>
    <row r="695" ht="14.25" customHeight="1" s="37">
      <c r="A695" s="9" t="n"/>
      <c r="B695" s="9" t="n"/>
      <c r="C695" s="9" t="n"/>
      <c r="D695" s="9" t="n"/>
      <c r="E695" s="9" t="n"/>
      <c r="F695" s="9" t="n"/>
      <c r="G695" s="9">
        <f>IF(OR(E695="",F695=""),"",DATEDIF(E695,F695,"Y"))</f>
        <v/>
      </c>
      <c r="H695" s="9" t="n"/>
    </row>
    <row r="696" ht="14.25" customHeight="1" s="37">
      <c r="A696" s="9" t="n"/>
      <c r="B696" s="9" t="n"/>
      <c r="C696" s="9" t="n"/>
      <c r="D696" s="9" t="n"/>
      <c r="E696" s="9" t="n"/>
      <c r="F696" s="9" t="n"/>
      <c r="G696" s="9">
        <f>IF(OR(E696="",F696=""),"",DATEDIF(E696,F696,"Y"))</f>
        <v/>
      </c>
      <c r="H696" s="9" t="n"/>
    </row>
    <row r="697" ht="14.25" customHeight="1" s="37">
      <c r="A697" s="9" t="n"/>
      <c r="B697" s="9" t="n"/>
      <c r="C697" s="9" t="n"/>
      <c r="D697" s="9" t="n"/>
      <c r="E697" s="9" t="n"/>
      <c r="F697" s="9" t="n"/>
      <c r="G697" s="9">
        <f>IF(OR(E697="",F697=""),"",DATEDIF(E697,F697,"Y"))</f>
        <v/>
      </c>
      <c r="H697" s="9" t="n"/>
    </row>
    <row r="698" ht="14.25" customHeight="1" s="37">
      <c r="A698" s="9" t="n"/>
      <c r="B698" s="9" t="n"/>
      <c r="C698" s="9" t="n"/>
      <c r="D698" s="9" t="n"/>
      <c r="E698" s="9" t="n"/>
      <c r="F698" s="9" t="n"/>
      <c r="G698" s="9">
        <f>IF(OR(E698="",F698=""),"",DATEDIF(E698,F698,"Y"))</f>
        <v/>
      </c>
      <c r="H698" s="9" t="n"/>
    </row>
    <row r="699" ht="14.25" customHeight="1" s="37">
      <c r="A699" s="9" t="n"/>
      <c r="B699" s="9" t="n"/>
      <c r="C699" s="9" t="n"/>
      <c r="D699" s="9" t="n"/>
      <c r="E699" s="9" t="n"/>
      <c r="F699" s="9" t="n"/>
      <c r="G699" s="9">
        <f>IF(OR(E699="",F699=""),"",DATEDIF(E699,F699,"Y"))</f>
        <v/>
      </c>
      <c r="H699" s="9" t="n"/>
    </row>
    <row r="700" ht="14.25" customHeight="1" s="37">
      <c r="A700" s="9" t="n"/>
      <c r="B700" s="9" t="n"/>
      <c r="C700" s="9" t="n"/>
      <c r="D700" s="9" t="n"/>
      <c r="E700" s="9" t="n"/>
      <c r="F700" s="9" t="n"/>
      <c r="G700" s="9">
        <f>IF(OR(E700="",F700=""),"",DATEDIF(E700,F700,"Y"))</f>
        <v/>
      </c>
      <c r="H700" s="9" t="n"/>
    </row>
    <row r="701" ht="14.25" customHeight="1" s="37">
      <c r="A701" s="9" t="n"/>
      <c r="B701" s="9" t="n"/>
      <c r="C701" s="9" t="n"/>
      <c r="D701" s="9" t="n"/>
      <c r="E701" s="9" t="n"/>
      <c r="F701" s="9" t="n"/>
      <c r="G701" s="9">
        <f>IF(OR(E701="",F701=""),"",DATEDIF(E701,F701,"Y"))</f>
        <v/>
      </c>
      <c r="H701" s="9" t="n"/>
    </row>
    <row r="702" ht="14.25" customHeight="1" s="37">
      <c r="A702" s="9" t="n"/>
      <c r="B702" s="9" t="n"/>
      <c r="C702" s="9" t="n"/>
      <c r="D702" s="9" t="n"/>
      <c r="E702" s="9" t="n"/>
      <c r="F702" s="9" t="n"/>
      <c r="G702" s="9">
        <f>IF(OR(E702="",F702=""),"",DATEDIF(E702,F702,"Y"))</f>
        <v/>
      </c>
      <c r="H702" s="9" t="n"/>
    </row>
    <row r="703" ht="14.25" customHeight="1" s="37">
      <c r="A703" s="9" t="n"/>
      <c r="B703" s="9" t="n"/>
      <c r="C703" s="9" t="n"/>
      <c r="D703" s="9" t="n"/>
      <c r="E703" s="9" t="n"/>
      <c r="F703" s="9" t="n"/>
      <c r="G703" s="9">
        <f>IF(OR(E703="",F703=""),"",DATEDIF(E703,F703,"Y"))</f>
        <v/>
      </c>
      <c r="H703" s="9" t="n"/>
    </row>
    <row r="704" ht="14.25" customHeight="1" s="37">
      <c r="A704" s="9" t="n"/>
      <c r="B704" s="9" t="n"/>
      <c r="C704" s="9" t="n"/>
      <c r="D704" s="9" t="n"/>
      <c r="E704" s="9" t="n"/>
      <c r="F704" s="9" t="n"/>
      <c r="G704" s="9">
        <f>IF(OR(E704="",F704=""),"",DATEDIF(E704,F704,"Y"))</f>
        <v/>
      </c>
      <c r="H704" s="9" t="n"/>
    </row>
    <row r="705" ht="14.25" customHeight="1" s="37">
      <c r="A705" s="9" t="n"/>
      <c r="B705" s="9" t="n"/>
      <c r="C705" s="9" t="n"/>
      <c r="D705" s="9" t="n"/>
      <c r="E705" s="9" t="n"/>
      <c r="F705" s="9" t="n"/>
      <c r="G705" s="9">
        <f>IF(OR(E705="",F705=""),"",DATEDIF(E705,F705,"Y"))</f>
        <v/>
      </c>
      <c r="H705" s="9" t="n"/>
    </row>
    <row r="706" ht="14.25" customHeight="1" s="37">
      <c r="A706" s="9" t="n"/>
      <c r="B706" s="9" t="n"/>
      <c r="C706" s="9" t="n"/>
      <c r="D706" s="9" t="n"/>
      <c r="E706" s="9" t="n"/>
      <c r="F706" s="9" t="n"/>
      <c r="G706" s="9">
        <f>IF(OR(E706="",F706=""),"",DATEDIF(E706,F706,"Y"))</f>
        <v/>
      </c>
      <c r="H706" s="9" t="n"/>
    </row>
    <row r="707" ht="14.25" customHeight="1" s="37">
      <c r="A707" s="9" t="n"/>
      <c r="B707" s="9" t="n"/>
      <c r="C707" s="9" t="n"/>
      <c r="D707" s="9" t="n"/>
      <c r="E707" s="9" t="n"/>
      <c r="F707" s="9" t="n"/>
      <c r="G707" s="9">
        <f>IF(OR(E707="",F707=""),"",DATEDIF(E707,F707,"Y"))</f>
        <v/>
      </c>
      <c r="H707" s="9" t="n"/>
    </row>
    <row r="708" ht="14.25" customHeight="1" s="37">
      <c r="A708" s="9" t="n"/>
      <c r="B708" s="9" t="n"/>
      <c r="C708" s="9" t="n"/>
      <c r="D708" s="9" t="n"/>
      <c r="E708" s="9" t="n"/>
      <c r="F708" s="9" t="n"/>
      <c r="G708" s="9">
        <f>IF(OR(E708="",F708=""),"",DATEDIF(E708,F708,"Y"))</f>
        <v/>
      </c>
      <c r="H708" s="9" t="n"/>
    </row>
    <row r="709" ht="14.25" customHeight="1" s="37">
      <c r="A709" s="9" t="n"/>
      <c r="B709" s="9" t="n"/>
      <c r="C709" s="9" t="n"/>
      <c r="D709" s="9" t="n"/>
      <c r="E709" s="9" t="n"/>
      <c r="F709" s="9" t="n"/>
      <c r="G709" s="9">
        <f>IF(OR(E709="",F709=""),"",DATEDIF(E709,F709,"Y"))</f>
        <v/>
      </c>
      <c r="H709" s="9" t="n"/>
    </row>
    <row r="710" ht="14.25" customHeight="1" s="37">
      <c r="A710" s="9" t="n"/>
      <c r="B710" s="9" t="n"/>
      <c r="C710" s="9" t="n"/>
      <c r="D710" s="9" t="n"/>
      <c r="E710" s="9" t="n"/>
      <c r="F710" s="9" t="n"/>
      <c r="G710" s="9">
        <f>IF(OR(E710="",F710=""),"",DATEDIF(E710,F710,"Y"))</f>
        <v/>
      </c>
      <c r="H710" s="9" t="n"/>
    </row>
    <row r="711" ht="14.25" customHeight="1" s="37">
      <c r="A711" s="9" t="n"/>
      <c r="B711" s="9" t="n"/>
      <c r="C711" s="9" t="n"/>
      <c r="D711" s="9" t="n"/>
      <c r="E711" s="9" t="n"/>
      <c r="F711" s="9" t="n"/>
      <c r="G711" s="9">
        <f>IF(OR(E711="",F711=""),"",DATEDIF(E711,F711,"Y"))</f>
        <v/>
      </c>
      <c r="H711" s="9" t="n"/>
    </row>
    <row r="712" ht="14.25" customHeight="1" s="37">
      <c r="A712" s="9" t="n"/>
      <c r="B712" s="9" t="n"/>
      <c r="C712" s="9" t="n"/>
      <c r="D712" s="9" t="n"/>
      <c r="E712" s="9" t="n"/>
      <c r="F712" s="9" t="n"/>
      <c r="G712" s="9">
        <f>IF(OR(E712="",F712=""),"",DATEDIF(E712,F712,"Y"))</f>
        <v/>
      </c>
      <c r="H712" s="9" t="n"/>
    </row>
    <row r="713" ht="14.25" customHeight="1" s="37">
      <c r="A713" s="9" t="n"/>
      <c r="B713" s="9" t="n"/>
      <c r="C713" s="9" t="n"/>
      <c r="D713" s="9" t="n"/>
      <c r="E713" s="9" t="n"/>
      <c r="F713" s="9" t="n"/>
      <c r="G713" s="9">
        <f>IF(OR(E713="",F713=""),"",DATEDIF(E713,F713,"Y"))</f>
        <v/>
      </c>
      <c r="H713" s="9" t="n"/>
    </row>
    <row r="714" ht="14.25" customHeight="1" s="37">
      <c r="A714" s="9" t="n"/>
      <c r="B714" s="9" t="n"/>
      <c r="C714" s="9" t="n"/>
      <c r="D714" s="9" t="n"/>
      <c r="E714" s="9" t="n"/>
      <c r="F714" s="9" t="n"/>
      <c r="G714" s="9">
        <f>IF(OR(E714="",F714=""),"",DATEDIF(E714,F714,"Y"))</f>
        <v/>
      </c>
      <c r="H714" s="9" t="n"/>
    </row>
    <row r="715" ht="14.25" customHeight="1" s="37">
      <c r="A715" s="9" t="n"/>
      <c r="B715" s="9" t="n"/>
      <c r="C715" s="9" t="n"/>
      <c r="D715" s="9" t="n"/>
      <c r="E715" s="9" t="n"/>
      <c r="F715" s="9" t="n"/>
      <c r="G715" s="9">
        <f>IF(OR(E715="",F715=""),"",DATEDIF(E715,F715,"Y"))</f>
        <v/>
      </c>
      <c r="H715" s="9" t="n"/>
    </row>
    <row r="716" ht="14.25" customHeight="1" s="37">
      <c r="A716" s="9" t="n"/>
      <c r="B716" s="9" t="n"/>
      <c r="C716" s="9" t="n"/>
      <c r="D716" s="9" t="n"/>
      <c r="E716" s="9" t="n"/>
      <c r="F716" s="9" t="n"/>
      <c r="G716" s="9">
        <f>IF(OR(E716="",F716=""),"",DATEDIF(E716,F716,"Y"))</f>
        <v/>
      </c>
      <c r="H716" s="9" t="n"/>
    </row>
    <row r="717" ht="14.25" customHeight="1" s="37">
      <c r="A717" s="9" t="n"/>
      <c r="B717" s="9" t="n"/>
      <c r="C717" s="9" t="n"/>
      <c r="D717" s="9" t="n"/>
      <c r="E717" s="9" t="n"/>
      <c r="F717" s="9" t="n"/>
      <c r="G717" s="9">
        <f>IF(OR(E717="",F717=""),"",DATEDIF(E717,F717,"Y"))</f>
        <v/>
      </c>
      <c r="H717" s="9" t="n"/>
    </row>
    <row r="718" ht="14.25" customHeight="1" s="37">
      <c r="A718" s="9" t="n"/>
      <c r="B718" s="9" t="n"/>
      <c r="C718" s="9" t="n"/>
      <c r="D718" s="9" t="n"/>
      <c r="E718" s="9" t="n"/>
      <c r="F718" s="9" t="n"/>
      <c r="G718" s="9">
        <f>IF(OR(E718="",F718=""),"",DATEDIF(E718,F718,"Y"))</f>
        <v/>
      </c>
      <c r="H718" s="9" t="n"/>
    </row>
    <row r="719" ht="14.25" customHeight="1" s="37">
      <c r="A719" s="9" t="n"/>
      <c r="B719" s="9" t="n"/>
      <c r="C719" s="9" t="n"/>
      <c r="D719" s="9" t="n"/>
      <c r="E719" s="9" t="n"/>
      <c r="F719" s="9" t="n"/>
      <c r="G719" s="9">
        <f>IF(OR(E719="",F719=""),"",DATEDIF(E719,F719,"Y"))</f>
        <v/>
      </c>
      <c r="H719" s="9" t="n"/>
    </row>
    <row r="720" ht="14.25" customHeight="1" s="37">
      <c r="A720" s="9" t="n"/>
      <c r="B720" s="9" t="n"/>
      <c r="C720" s="9" t="n"/>
      <c r="D720" s="9" t="n"/>
      <c r="E720" s="9" t="n"/>
      <c r="F720" s="9" t="n"/>
      <c r="G720" s="9">
        <f>IF(OR(E720="",F720=""),"",DATEDIF(E720,F720,"Y"))</f>
        <v/>
      </c>
      <c r="H720" s="9" t="n"/>
    </row>
    <row r="721" ht="14.25" customHeight="1" s="37">
      <c r="A721" s="9" t="n"/>
      <c r="B721" s="9" t="n"/>
      <c r="C721" s="9" t="n"/>
      <c r="D721" s="9" t="n"/>
      <c r="E721" s="9" t="n"/>
      <c r="F721" s="9" t="n"/>
      <c r="G721" s="9">
        <f>IF(OR(E721="",F721=""),"",DATEDIF(E721,F721,"Y"))</f>
        <v/>
      </c>
      <c r="H721" s="9" t="n"/>
    </row>
    <row r="722" ht="14.25" customHeight="1" s="37">
      <c r="A722" s="9" t="n"/>
      <c r="B722" s="9" t="n"/>
      <c r="C722" s="9" t="n"/>
      <c r="D722" s="9" t="n"/>
      <c r="E722" s="9" t="n"/>
      <c r="F722" s="9" t="n"/>
      <c r="G722" s="9">
        <f>IF(OR(E722="",F722=""),"",DATEDIF(E722,F722,"Y"))</f>
        <v/>
      </c>
      <c r="H722" s="9" t="n"/>
    </row>
    <row r="723" ht="14.25" customHeight="1" s="37">
      <c r="A723" s="9" t="n"/>
      <c r="B723" s="9" t="n"/>
      <c r="C723" s="9" t="n"/>
      <c r="D723" s="9" t="n"/>
      <c r="E723" s="9" t="n"/>
      <c r="F723" s="9" t="n"/>
      <c r="G723" s="9">
        <f>IF(OR(E723="",F723=""),"",DATEDIF(E723,F723,"Y"))</f>
        <v/>
      </c>
      <c r="H723" s="9" t="n"/>
    </row>
    <row r="724" ht="14.25" customHeight="1" s="37">
      <c r="A724" s="9" t="n"/>
      <c r="B724" s="9" t="n"/>
      <c r="C724" s="9" t="n"/>
      <c r="D724" s="9" t="n"/>
      <c r="E724" s="9" t="n"/>
      <c r="F724" s="9" t="n"/>
      <c r="G724" s="9">
        <f>IF(OR(E724="",F724=""),"",DATEDIF(E724,F724,"Y"))</f>
        <v/>
      </c>
      <c r="H724" s="9" t="n"/>
    </row>
    <row r="725" ht="14.25" customHeight="1" s="37">
      <c r="A725" s="9" t="n"/>
      <c r="B725" s="9" t="n"/>
      <c r="C725" s="9" t="n"/>
      <c r="D725" s="9" t="n"/>
      <c r="E725" s="9" t="n"/>
      <c r="F725" s="9" t="n"/>
      <c r="G725" s="9">
        <f>IF(OR(E725="",F725=""),"",DATEDIF(E725,F725,"Y"))</f>
        <v/>
      </c>
      <c r="H725" s="9" t="n"/>
    </row>
    <row r="726" ht="14.25" customHeight="1" s="37">
      <c r="A726" s="9" t="n"/>
      <c r="B726" s="9" t="n"/>
      <c r="C726" s="9" t="n"/>
      <c r="D726" s="9" t="n"/>
      <c r="E726" s="9" t="n"/>
      <c r="F726" s="9" t="n"/>
      <c r="G726" s="9">
        <f>IF(OR(E726="",F726=""),"",DATEDIF(E726,F726,"Y"))</f>
        <v/>
      </c>
      <c r="H726" s="9" t="n"/>
    </row>
    <row r="727" ht="14.25" customHeight="1" s="37">
      <c r="A727" s="9" t="n"/>
      <c r="B727" s="9" t="n"/>
      <c r="C727" s="9" t="n"/>
      <c r="D727" s="9" t="n"/>
      <c r="E727" s="9" t="n"/>
      <c r="F727" s="9" t="n"/>
      <c r="G727" s="9">
        <f>IF(OR(E727="",F727=""),"",DATEDIF(E727,F727,"Y"))</f>
        <v/>
      </c>
      <c r="H727" s="9" t="n"/>
    </row>
    <row r="728" ht="14.25" customHeight="1" s="37">
      <c r="A728" s="9" t="n"/>
      <c r="B728" s="9" t="n"/>
      <c r="C728" s="9" t="n"/>
      <c r="D728" s="9" t="n"/>
      <c r="E728" s="9" t="n"/>
      <c r="F728" s="9" t="n"/>
      <c r="G728" s="9">
        <f>IF(OR(E728="",F728=""),"",DATEDIF(E728,F728,"Y"))</f>
        <v/>
      </c>
      <c r="H728" s="9" t="n"/>
    </row>
    <row r="729" ht="14.25" customHeight="1" s="37">
      <c r="A729" s="9" t="n"/>
      <c r="B729" s="9" t="n"/>
      <c r="C729" s="9" t="n"/>
      <c r="D729" s="9" t="n"/>
      <c r="E729" s="9" t="n"/>
      <c r="F729" s="9" t="n"/>
      <c r="G729" s="9">
        <f>IF(OR(E729="",F729=""),"",DATEDIF(E729,F729,"Y"))</f>
        <v/>
      </c>
      <c r="H729" s="9" t="n"/>
    </row>
    <row r="730" ht="14.25" customHeight="1" s="37">
      <c r="A730" s="9" t="n"/>
      <c r="B730" s="9" t="n"/>
      <c r="C730" s="9" t="n"/>
      <c r="D730" s="9" t="n"/>
      <c r="E730" s="9" t="n"/>
      <c r="F730" s="9" t="n"/>
      <c r="G730" s="9">
        <f>IF(OR(E730="",F730=""),"",DATEDIF(E730,F730,"Y"))</f>
        <v/>
      </c>
      <c r="H730" s="9" t="n"/>
    </row>
    <row r="731" ht="14.25" customHeight="1" s="37">
      <c r="A731" s="9" t="n"/>
      <c r="B731" s="9" t="n"/>
      <c r="C731" s="9" t="n"/>
      <c r="D731" s="9" t="n"/>
      <c r="E731" s="9" t="n"/>
      <c r="F731" s="9" t="n"/>
      <c r="G731" s="9">
        <f>IF(OR(E731="",F731=""),"",DATEDIF(E731,F731,"Y"))</f>
        <v/>
      </c>
      <c r="H731" s="9" t="n"/>
    </row>
    <row r="732" ht="14.25" customHeight="1" s="37">
      <c r="A732" s="9" t="n"/>
      <c r="B732" s="9" t="n"/>
      <c r="C732" s="9" t="n"/>
      <c r="D732" s="9" t="n"/>
      <c r="E732" s="9" t="n"/>
      <c r="F732" s="9" t="n"/>
      <c r="G732" s="9">
        <f>IF(OR(E732="",F732=""),"",DATEDIF(E732,F732,"Y"))</f>
        <v/>
      </c>
      <c r="H732" s="9" t="n"/>
    </row>
    <row r="733" ht="14.25" customHeight="1" s="37">
      <c r="A733" s="9" t="n"/>
      <c r="B733" s="9" t="n"/>
      <c r="C733" s="9" t="n"/>
      <c r="D733" s="9" t="n"/>
      <c r="E733" s="9" t="n"/>
      <c r="F733" s="9" t="n"/>
      <c r="G733" s="9">
        <f>IF(OR(E733="",F733=""),"",DATEDIF(E733,F733,"Y"))</f>
        <v/>
      </c>
      <c r="H733" s="9" t="n"/>
    </row>
    <row r="734" ht="14.25" customHeight="1" s="37">
      <c r="A734" s="9" t="n"/>
      <c r="B734" s="9" t="n"/>
      <c r="C734" s="9" t="n"/>
      <c r="D734" s="9" t="n"/>
      <c r="E734" s="9" t="n"/>
      <c r="F734" s="9" t="n"/>
      <c r="G734" s="9">
        <f>IF(OR(E734="",F734=""),"",DATEDIF(E734,F734,"Y"))</f>
        <v/>
      </c>
      <c r="H734" s="9" t="n"/>
    </row>
    <row r="735" ht="14.25" customHeight="1" s="37">
      <c r="A735" s="9" t="n"/>
      <c r="B735" s="9" t="n"/>
      <c r="C735" s="9" t="n"/>
      <c r="D735" s="9" t="n"/>
      <c r="E735" s="9" t="n"/>
      <c r="F735" s="9" t="n"/>
      <c r="G735" s="9">
        <f>IF(OR(E735="",F735=""),"",DATEDIF(E735,F735,"Y"))</f>
        <v/>
      </c>
      <c r="H735" s="9" t="n"/>
    </row>
    <row r="736" ht="14.25" customHeight="1" s="37">
      <c r="A736" s="9" t="n"/>
      <c r="B736" s="9" t="n"/>
      <c r="C736" s="9" t="n"/>
      <c r="D736" s="9" t="n"/>
      <c r="E736" s="9" t="n"/>
      <c r="F736" s="9" t="n"/>
      <c r="G736" s="9">
        <f>IF(OR(E736="",F736=""),"",DATEDIF(E736,F736,"Y"))</f>
        <v/>
      </c>
      <c r="H736" s="9" t="n"/>
    </row>
    <row r="737" ht="14.25" customHeight="1" s="37">
      <c r="A737" s="9" t="n"/>
      <c r="B737" s="9" t="n"/>
      <c r="C737" s="9" t="n"/>
      <c r="D737" s="9" t="n"/>
      <c r="E737" s="9" t="n"/>
      <c r="F737" s="9" t="n"/>
      <c r="G737" s="9">
        <f>IF(OR(E737="",F737=""),"",DATEDIF(E737,F737,"Y"))</f>
        <v/>
      </c>
      <c r="H737" s="9" t="n"/>
    </row>
    <row r="738" ht="14.25" customHeight="1" s="37">
      <c r="A738" s="9" t="n"/>
      <c r="B738" s="9" t="n"/>
      <c r="C738" s="9" t="n"/>
      <c r="D738" s="9" t="n"/>
      <c r="E738" s="9" t="n"/>
      <c r="F738" s="9" t="n"/>
      <c r="G738" s="9">
        <f>IF(OR(E738="",F738=""),"",DATEDIF(E738,F738,"Y"))</f>
        <v/>
      </c>
      <c r="H738" s="9" t="n"/>
    </row>
    <row r="739" ht="14.25" customHeight="1" s="37">
      <c r="A739" s="9" t="n"/>
      <c r="B739" s="9" t="n"/>
      <c r="C739" s="9" t="n"/>
      <c r="D739" s="9" t="n"/>
      <c r="E739" s="9" t="n"/>
      <c r="F739" s="9" t="n"/>
      <c r="G739" s="9">
        <f>IF(OR(E739="",F739=""),"",DATEDIF(E739,F739,"Y"))</f>
        <v/>
      </c>
      <c r="H739" s="9" t="n"/>
    </row>
    <row r="740" ht="14.25" customHeight="1" s="37">
      <c r="A740" s="9" t="n"/>
      <c r="B740" s="9" t="n"/>
      <c r="C740" s="9" t="n"/>
      <c r="D740" s="9" t="n"/>
      <c r="E740" s="9" t="n"/>
      <c r="F740" s="9" t="n"/>
      <c r="G740" s="9">
        <f>IF(OR(E740="",F740=""),"",DATEDIF(E740,F740,"Y"))</f>
        <v/>
      </c>
      <c r="H740" s="9" t="n"/>
    </row>
    <row r="741" ht="14.25" customHeight="1" s="37">
      <c r="A741" s="9" t="n"/>
      <c r="B741" s="9" t="n"/>
      <c r="C741" s="9" t="n"/>
      <c r="D741" s="9" t="n"/>
      <c r="E741" s="9" t="n"/>
      <c r="F741" s="9" t="n"/>
      <c r="G741" s="9">
        <f>IF(OR(E741="",F741=""),"",DATEDIF(E741,F741,"Y"))</f>
        <v/>
      </c>
      <c r="H741" s="9" t="n"/>
    </row>
    <row r="742" ht="14.25" customHeight="1" s="37">
      <c r="A742" s="9" t="n"/>
      <c r="B742" s="9" t="n"/>
      <c r="C742" s="9" t="n"/>
      <c r="D742" s="9" t="n"/>
      <c r="E742" s="9" t="n"/>
      <c r="F742" s="9" t="n"/>
      <c r="G742" s="9">
        <f>IF(OR(E742="",F742=""),"",DATEDIF(E742,F742,"Y"))</f>
        <v/>
      </c>
      <c r="H742" s="9" t="n"/>
    </row>
    <row r="743" ht="14.25" customHeight="1" s="37">
      <c r="A743" s="9" t="n"/>
      <c r="B743" s="9" t="n"/>
      <c r="C743" s="9" t="n"/>
      <c r="D743" s="9" t="n"/>
      <c r="E743" s="9" t="n"/>
      <c r="F743" s="9" t="n"/>
      <c r="G743" s="9">
        <f>IF(OR(E743="",F743=""),"",DATEDIF(E743,F743,"Y"))</f>
        <v/>
      </c>
      <c r="H743" s="9" t="n"/>
    </row>
    <row r="744" ht="14.25" customHeight="1" s="37">
      <c r="A744" s="9" t="n"/>
      <c r="B744" s="9" t="n"/>
      <c r="C744" s="9" t="n"/>
      <c r="D744" s="9" t="n"/>
      <c r="E744" s="9" t="n"/>
      <c r="F744" s="9" t="n"/>
      <c r="G744" s="9">
        <f>IF(OR(E744="",F744=""),"",DATEDIF(E744,F744,"Y"))</f>
        <v/>
      </c>
      <c r="H744" s="9" t="n"/>
    </row>
    <row r="745" ht="14.25" customHeight="1" s="37">
      <c r="A745" s="9" t="n"/>
      <c r="B745" s="9" t="n"/>
      <c r="C745" s="9" t="n"/>
      <c r="D745" s="9" t="n"/>
      <c r="E745" s="9" t="n"/>
      <c r="F745" s="9" t="n"/>
      <c r="G745" s="9">
        <f>IF(OR(E745="",F745=""),"",DATEDIF(E745,F745,"Y"))</f>
        <v/>
      </c>
      <c r="H745" s="9" t="n"/>
    </row>
    <row r="746" ht="14.25" customHeight="1" s="37">
      <c r="A746" s="9" t="n"/>
      <c r="B746" s="9" t="n"/>
      <c r="C746" s="9" t="n"/>
      <c r="D746" s="9" t="n"/>
      <c r="E746" s="9" t="n"/>
      <c r="F746" s="9" t="n"/>
      <c r="G746" s="9">
        <f>IF(OR(E746="",F746=""),"",DATEDIF(E746,F746,"Y"))</f>
        <v/>
      </c>
      <c r="H746" s="9" t="n"/>
    </row>
    <row r="747" ht="14.25" customHeight="1" s="37">
      <c r="A747" s="9" t="n"/>
      <c r="B747" s="9" t="n"/>
      <c r="C747" s="9" t="n"/>
      <c r="D747" s="9" t="n"/>
      <c r="E747" s="9" t="n"/>
      <c r="F747" s="9" t="n"/>
      <c r="G747" s="9">
        <f>IF(OR(E747="",F747=""),"",DATEDIF(E747,F747,"Y"))</f>
        <v/>
      </c>
      <c r="H747" s="9" t="n"/>
    </row>
    <row r="748" ht="14.25" customHeight="1" s="37">
      <c r="A748" s="9" t="n"/>
      <c r="B748" s="9" t="n"/>
      <c r="C748" s="9" t="n"/>
      <c r="D748" s="9" t="n"/>
      <c r="E748" s="9" t="n"/>
      <c r="F748" s="9" t="n"/>
      <c r="G748" s="9">
        <f>IF(OR(E748="",F748=""),"",DATEDIF(E748,F748,"Y"))</f>
        <v/>
      </c>
      <c r="H748" s="9" t="n"/>
    </row>
    <row r="749" ht="14.25" customHeight="1" s="37">
      <c r="A749" s="9" t="n"/>
      <c r="B749" s="9" t="n"/>
      <c r="C749" s="9" t="n"/>
      <c r="D749" s="9" t="n"/>
      <c r="E749" s="9" t="n"/>
      <c r="F749" s="9" t="n"/>
      <c r="G749" s="9">
        <f>IF(OR(E749="",F749=""),"",DATEDIF(E749,F749,"Y"))</f>
        <v/>
      </c>
      <c r="H749" s="9" t="n"/>
    </row>
    <row r="750" ht="14.25" customHeight="1" s="37">
      <c r="A750" s="9" t="n"/>
      <c r="B750" s="9" t="n"/>
      <c r="C750" s="9" t="n"/>
      <c r="D750" s="9" t="n"/>
      <c r="E750" s="9" t="n"/>
      <c r="F750" s="9" t="n"/>
      <c r="G750" s="9">
        <f>IF(OR(E750="",F750=""),"",DATEDIF(E750,F750,"Y"))</f>
        <v/>
      </c>
      <c r="H750" s="9" t="n"/>
    </row>
    <row r="751" ht="14.25" customHeight="1" s="37">
      <c r="A751" s="9" t="n"/>
      <c r="B751" s="9" t="n"/>
      <c r="C751" s="9" t="n"/>
      <c r="D751" s="9" t="n"/>
      <c r="E751" s="9" t="n"/>
      <c r="F751" s="9" t="n"/>
      <c r="G751" s="9">
        <f>IF(OR(E751="",F751=""),"",DATEDIF(E751,F751,"Y"))</f>
        <v/>
      </c>
      <c r="H751" s="9" t="n"/>
    </row>
    <row r="752" ht="14.25" customHeight="1" s="37">
      <c r="A752" s="9" t="n"/>
      <c r="B752" s="9" t="n"/>
      <c r="C752" s="9" t="n"/>
      <c r="D752" s="9" t="n"/>
      <c r="E752" s="9" t="n"/>
      <c r="F752" s="9" t="n"/>
      <c r="G752" s="9">
        <f>IF(OR(E752="",F752=""),"",DATEDIF(E752,F752,"Y"))</f>
        <v/>
      </c>
      <c r="H752" s="9" t="n"/>
    </row>
    <row r="753" ht="14.25" customHeight="1" s="37">
      <c r="A753" s="9" t="n"/>
      <c r="B753" s="9" t="n"/>
      <c r="C753" s="9" t="n"/>
      <c r="D753" s="9" t="n"/>
      <c r="E753" s="9" t="n"/>
      <c r="F753" s="9" t="n"/>
      <c r="G753" s="9">
        <f>IF(OR(E753="",F753=""),"",DATEDIF(E753,F753,"Y"))</f>
        <v/>
      </c>
      <c r="H753" s="9" t="n"/>
    </row>
    <row r="754" ht="14.25" customHeight="1" s="37">
      <c r="A754" s="9" t="n"/>
      <c r="B754" s="9" t="n"/>
      <c r="C754" s="9" t="n"/>
      <c r="D754" s="9" t="n"/>
      <c r="E754" s="9" t="n"/>
      <c r="F754" s="9" t="n"/>
      <c r="G754" s="9">
        <f>IF(OR(E754="",F754=""),"",DATEDIF(E754,F754,"Y"))</f>
        <v/>
      </c>
      <c r="H754" s="9" t="n"/>
    </row>
    <row r="755" ht="14.25" customHeight="1" s="37">
      <c r="A755" s="9" t="n"/>
      <c r="B755" s="9" t="n"/>
      <c r="C755" s="9" t="n"/>
      <c r="D755" s="9" t="n"/>
      <c r="E755" s="9" t="n"/>
      <c r="F755" s="9" t="n"/>
      <c r="G755" s="9">
        <f>IF(OR(E755="",F755=""),"",DATEDIF(E755,F755,"Y"))</f>
        <v/>
      </c>
      <c r="H755" s="9" t="n"/>
    </row>
    <row r="756" ht="14.25" customHeight="1" s="37">
      <c r="A756" s="9" t="n"/>
      <c r="B756" s="9" t="n"/>
      <c r="C756" s="9" t="n"/>
      <c r="D756" s="9" t="n"/>
      <c r="E756" s="9" t="n"/>
      <c r="F756" s="9" t="n"/>
      <c r="G756" s="9">
        <f>IF(OR(E756="",F756=""),"",DATEDIF(E756,F756,"Y"))</f>
        <v/>
      </c>
      <c r="H756" s="9" t="n"/>
    </row>
    <row r="757" ht="14.25" customHeight="1" s="37">
      <c r="A757" s="9" t="n"/>
      <c r="B757" s="9" t="n"/>
      <c r="C757" s="9" t="n"/>
      <c r="D757" s="9" t="n"/>
      <c r="E757" s="9" t="n"/>
      <c r="F757" s="9" t="n"/>
      <c r="G757" s="9">
        <f>IF(OR(E757="",F757=""),"",DATEDIF(E757,F757,"Y"))</f>
        <v/>
      </c>
      <c r="H757" s="9" t="n"/>
    </row>
    <row r="758" ht="14.25" customHeight="1" s="37">
      <c r="A758" s="9" t="n"/>
      <c r="B758" s="9" t="n"/>
      <c r="C758" s="9" t="n"/>
      <c r="D758" s="9" t="n"/>
      <c r="E758" s="9" t="n"/>
      <c r="F758" s="9" t="n"/>
      <c r="G758" s="9">
        <f>IF(OR(E758="",F758=""),"",DATEDIF(E758,F758,"Y"))</f>
        <v/>
      </c>
      <c r="H758" s="9" t="n"/>
    </row>
    <row r="759" ht="14.25" customHeight="1" s="37">
      <c r="A759" s="9" t="n"/>
      <c r="B759" s="9" t="n"/>
      <c r="C759" s="9" t="n"/>
      <c r="D759" s="9" t="n"/>
      <c r="E759" s="9" t="n"/>
      <c r="F759" s="9" t="n"/>
      <c r="G759" s="9">
        <f>IF(OR(E759="",F759=""),"",DATEDIF(E759,F759,"Y"))</f>
        <v/>
      </c>
      <c r="H759" s="9" t="n"/>
    </row>
    <row r="760" ht="14.25" customHeight="1" s="37">
      <c r="A760" s="9" t="n"/>
      <c r="B760" s="9" t="n"/>
      <c r="C760" s="9" t="n"/>
      <c r="D760" s="9" t="n"/>
      <c r="E760" s="9" t="n"/>
      <c r="F760" s="9" t="n"/>
      <c r="G760" s="9">
        <f>IF(OR(E760="",F760=""),"",DATEDIF(E760,F760,"Y"))</f>
        <v/>
      </c>
      <c r="H760" s="9" t="n"/>
    </row>
    <row r="761" ht="14.25" customHeight="1" s="37">
      <c r="A761" s="9" t="n"/>
      <c r="B761" s="9" t="n"/>
      <c r="C761" s="9" t="n"/>
      <c r="D761" s="9" t="n"/>
      <c r="E761" s="9" t="n"/>
      <c r="F761" s="9" t="n"/>
      <c r="G761" s="9">
        <f>IF(OR(E761="",F761=""),"",DATEDIF(E761,F761,"Y"))</f>
        <v/>
      </c>
      <c r="H761" s="9" t="n"/>
    </row>
    <row r="762" ht="14.25" customHeight="1" s="37">
      <c r="A762" s="9" t="n"/>
      <c r="B762" s="9" t="n"/>
      <c r="C762" s="9" t="n"/>
      <c r="D762" s="9" t="n"/>
      <c r="E762" s="9" t="n"/>
      <c r="F762" s="9" t="n"/>
      <c r="G762" s="9">
        <f>IF(OR(E762="",F762=""),"",DATEDIF(E762,F762,"Y"))</f>
        <v/>
      </c>
      <c r="H762" s="9" t="n"/>
    </row>
    <row r="763" ht="14.25" customHeight="1" s="37">
      <c r="A763" s="9" t="n"/>
      <c r="B763" s="9" t="n"/>
      <c r="C763" s="9" t="n"/>
      <c r="D763" s="9" t="n"/>
      <c r="E763" s="9" t="n"/>
      <c r="F763" s="9" t="n"/>
      <c r="G763" s="9">
        <f>IF(OR(E763="",F763=""),"",DATEDIF(E763,F763,"Y"))</f>
        <v/>
      </c>
      <c r="H763" s="9" t="n"/>
    </row>
    <row r="764" ht="14.25" customHeight="1" s="37">
      <c r="A764" s="9" t="n"/>
      <c r="B764" s="9" t="n"/>
      <c r="C764" s="9" t="n"/>
      <c r="D764" s="9" t="n"/>
      <c r="E764" s="9" t="n"/>
      <c r="F764" s="9" t="n"/>
      <c r="G764" s="9">
        <f>IF(OR(E764="",F764=""),"",DATEDIF(E764,F764,"Y"))</f>
        <v/>
      </c>
      <c r="H764" s="9" t="n"/>
    </row>
    <row r="765" ht="14.25" customHeight="1" s="37">
      <c r="A765" s="9" t="n"/>
      <c r="B765" s="9" t="n"/>
      <c r="C765" s="9" t="n"/>
      <c r="D765" s="9" t="n"/>
      <c r="E765" s="9" t="n"/>
      <c r="F765" s="9" t="n"/>
      <c r="G765" s="9">
        <f>IF(OR(E765="",F765=""),"",DATEDIF(E765,F765,"Y"))</f>
        <v/>
      </c>
      <c r="H765" s="9" t="n"/>
    </row>
    <row r="766" ht="14.25" customHeight="1" s="37">
      <c r="A766" s="9" t="n"/>
      <c r="B766" s="9" t="n"/>
      <c r="C766" s="9" t="n"/>
      <c r="D766" s="9" t="n"/>
      <c r="E766" s="9" t="n"/>
      <c r="F766" s="9" t="n"/>
      <c r="G766" s="9">
        <f>IF(OR(E766="",F766=""),"",DATEDIF(E766,F766,"Y"))</f>
        <v/>
      </c>
      <c r="H766" s="9" t="n"/>
    </row>
    <row r="767" ht="14.25" customHeight="1" s="37">
      <c r="A767" s="9" t="n"/>
      <c r="B767" s="9" t="n"/>
      <c r="C767" s="9" t="n"/>
      <c r="D767" s="9" t="n"/>
      <c r="E767" s="9" t="n"/>
      <c r="F767" s="9" t="n"/>
      <c r="G767" s="9">
        <f>IF(OR(E767="",F767=""),"",DATEDIF(E767,F767,"Y"))</f>
        <v/>
      </c>
      <c r="H767" s="9" t="n"/>
    </row>
    <row r="768" ht="14.25" customHeight="1" s="37">
      <c r="A768" s="9" t="n"/>
      <c r="B768" s="9" t="n"/>
      <c r="C768" s="9" t="n"/>
      <c r="D768" s="9" t="n"/>
      <c r="E768" s="9" t="n"/>
      <c r="F768" s="9" t="n"/>
      <c r="G768" s="9">
        <f>IF(OR(E768="",F768=""),"",DATEDIF(E768,F768,"Y"))</f>
        <v/>
      </c>
      <c r="H768" s="9" t="n"/>
    </row>
    <row r="769" ht="14.25" customHeight="1" s="37">
      <c r="A769" s="9" t="n"/>
      <c r="B769" s="9" t="n"/>
      <c r="C769" s="9" t="n"/>
      <c r="D769" s="9" t="n"/>
      <c r="E769" s="9" t="n"/>
      <c r="F769" s="9" t="n"/>
      <c r="G769" s="9">
        <f>IF(OR(E769="",F769=""),"",DATEDIF(E769,F769,"Y"))</f>
        <v/>
      </c>
      <c r="H769" s="9" t="n"/>
    </row>
    <row r="770" ht="14.25" customHeight="1" s="37">
      <c r="A770" s="9" t="n"/>
      <c r="B770" s="9" t="n"/>
      <c r="C770" s="9" t="n"/>
      <c r="D770" s="9" t="n"/>
      <c r="E770" s="9" t="n"/>
      <c r="F770" s="9" t="n"/>
      <c r="G770" s="9">
        <f>IF(OR(E770="",F770=""),"",DATEDIF(E770,F770,"Y"))</f>
        <v/>
      </c>
      <c r="H770" s="9" t="n"/>
    </row>
    <row r="771" ht="14.25" customHeight="1" s="37">
      <c r="A771" s="9" t="n"/>
      <c r="B771" s="9" t="n"/>
      <c r="C771" s="9" t="n"/>
      <c r="D771" s="9" t="n"/>
      <c r="E771" s="9" t="n"/>
      <c r="F771" s="9" t="n"/>
      <c r="G771" s="9">
        <f>IF(OR(E771="",F771=""),"",DATEDIF(E771,F771,"Y"))</f>
        <v/>
      </c>
      <c r="H771" s="9" t="n"/>
    </row>
    <row r="772" ht="14.25" customHeight="1" s="37">
      <c r="A772" s="9" t="n"/>
      <c r="B772" s="9" t="n"/>
      <c r="C772" s="9" t="n"/>
      <c r="D772" s="9" t="n"/>
      <c r="E772" s="9" t="n"/>
      <c r="F772" s="9" t="n"/>
      <c r="G772" s="9">
        <f>IF(OR(E772="",F772=""),"",DATEDIF(E772,F772,"Y"))</f>
        <v/>
      </c>
      <c r="H772" s="9" t="n"/>
    </row>
    <row r="773" ht="14.25" customHeight="1" s="37">
      <c r="A773" s="9" t="n"/>
      <c r="B773" s="9" t="n"/>
      <c r="C773" s="9" t="n"/>
      <c r="D773" s="9" t="n"/>
      <c r="E773" s="9" t="n"/>
      <c r="F773" s="9" t="n"/>
      <c r="G773" s="9">
        <f>IF(OR(E773="",F773=""),"",DATEDIF(E773,F773,"Y"))</f>
        <v/>
      </c>
      <c r="H773" s="9" t="n"/>
    </row>
    <row r="774" ht="14.25" customHeight="1" s="37">
      <c r="A774" s="9" t="n"/>
      <c r="B774" s="9" t="n"/>
      <c r="C774" s="9" t="n"/>
      <c r="D774" s="9" t="n"/>
      <c r="E774" s="9" t="n"/>
      <c r="F774" s="9" t="n"/>
      <c r="G774" s="9">
        <f>IF(OR(E774="",F774=""),"",DATEDIF(E774,F774,"Y"))</f>
        <v/>
      </c>
      <c r="H774" s="9" t="n"/>
    </row>
    <row r="775" ht="14.25" customHeight="1" s="37">
      <c r="A775" s="9" t="n"/>
      <c r="B775" s="9" t="n"/>
      <c r="C775" s="9" t="n"/>
      <c r="D775" s="9" t="n"/>
      <c r="E775" s="9" t="n"/>
      <c r="F775" s="9" t="n"/>
      <c r="G775" s="9">
        <f>IF(OR(E775="",F775=""),"",DATEDIF(E775,F775,"Y"))</f>
        <v/>
      </c>
      <c r="H775" s="9" t="n"/>
    </row>
    <row r="776" ht="14.25" customHeight="1" s="37">
      <c r="A776" s="9" t="n"/>
      <c r="B776" s="9" t="n"/>
      <c r="C776" s="9" t="n"/>
      <c r="D776" s="9" t="n"/>
      <c r="E776" s="9" t="n"/>
      <c r="F776" s="9" t="n"/>
      <c r="G776" s="9">
        <f>IF(OR(E776="",F776=""),"",DATEDIF(E776,F776,"Y"))</f>
        <v/>
      </c>
      <c r="H776" s="9" t="n"/>
    </row>
    <row r="777" ht="14.25" customHeight="1" s="37">
      <c r="A777" s="9" t="n"/>
      <c r="B777" s="9" t="n"/>
      <c r="C777" s="9" t="n"/>
      <c r="D777" s="9" t="n"/>
      <c r="E777" s="9" t="n"/>
      <c r="F777" s="9" t="n"/>
      <c r="G777" s="9">
        <f>IF(OR(E777="",F777=""),"",DATEDIF(E777,F777,"Y"))</f>
        <v/>
      </c>
      <c r="H777" s="9" t="n"/>
    </row>
    <row r="778" ht="14.25" customHeight="1" s="37">
      <c r="A778" s="9" t="n"/>
      <c r="B778" s="9" t="n"/>
      <c r="C778" s="9" t="n"/>
      <c r="D778" s="9" t="n"/>
      <c r="E778" s="9" t="n"/>
      <c r="F778" s="9" t="n"/>
      <c r="G778" s="9">
        <f>IF(OR(E778="",F778=""),"",DATEDIF(E778,F778,"Y"))</f>
        <v/>
      </c>
      <c r="H778" s="9" t="n"/>
    </row>
    <row r="779" ht="14.25" customHeight="1" s="37">
      <c r="A779" s="9" t="n"/>
      <c r="B779" s="9" t="n"/>
      <c r="C779" s="9" t="n"/>
      <c r="D779" s="9" t="n"/>
      <c r="E779" s="9" t="n"/>
      <c r="F779" s="9" t="n"/>
      <c r="G779" s="9">
        <f>IF(OR(E779="",F779=""),"",DATEDIF(E779,F779,"Y"))</f>
        <v/>
      </c>
      <c r="H779" s="9" t="n"/>
    </row>
    <row r="780" ht="14.25" customHeight="1" s="37">
      <c r="A780" s="9" t="n"/>
      <c r="B780" s="9" t="n"/>
      <c r="C780" s="9" t="n"/>
      <c r="D780" s="9" t="n"/>
      <c r="E780" s="9" t="n"/>
      <c r="F780" s="9" t="n"/>
      <c r="G780" s="9">
        <f>IF(OR(E780="",F780=""),"",DATEDIF(E780,F780,"Y"))</f>
        <v/>
      </c>
      <c r="H780" s="9" t="n"/>
    </row>
    <row r="781" ht="14.25" customHeight="1" s="37">
      <c r="A781" s="9" t="n"/>
      <c r="B781" s="9" t="n"/>
      <c r="C781" s="9" t="n"/>
      <c r="D781" s="9" t="n"/>
      <c r="E781" s="9" t="n"/>
      <c r="F781" s="9" t="n"/>
      <c r="G781" s="9">
        <f>IF(OR(E781="",F781=""),"",DATEDIF(E781,F781,"Y"))</f>
        <v/>
      </c>
      <c r="H781" s="9" t="n"/>
    </row>
    <row r="782" ht="14.25" customHeight="1" s="37">
      <c r="A782" s="9" t="n"/>
      <c r="B782" s="9" t="n"/>
      <c r="C782" s="9" t="n"/>
      <c r="D782" s="9" t="n"/>
      <c r="E782" s="9" t="n"/>
      <c r="F782" s="9" t="n"/>
      <c r="G782" s="9">
        <f>IF(OR(E782="",F782=""),"",DATEDIF(E782,F782,"Y"))</f>
        <v/>
      </c>
      <c r="H782" s="9" t="n"/>
    </row>
    <row r="783" ht="14.25" customHeight="1" s="37">
      <c r="A783" s="9" t="n"/>
      <c r="B783" s="9" t="n"/>
      <c r="C783" s="9" t="n"/>
      <c r="D783" s="9" t="n"/>
      <c r="E783" s="9" t="n"/>
      <c r="F783" s="9" t="n"/>
      <c r="G783" s="9">
        <f>IF(OR(E783="",F783=""),"",DATEDIF(E783,F783,"Y"))</f>
        <v/>
      </c>
      <c r="H783" s="9" t="n"/>
    </row>
    <row r="784" ht="14.25" customHeight="1" s="37">
      <c r="A784" s="9" t="n"/>
      <c r="B784" s="9" t="n"/>
      <c r="C784" s="9" t="n"/>
      <c r="D784" s="9" t="n"/>
      <c r="E784" s="9" t="n"/>
      <c r="F784" s="9" t="n"/>
      <c r="G784" s="9">
        <f>IF(OR(E784="",F784=""),"",DATEDIF(E784,F784,"Y"))</f>
        <v/>
      </c>
      <c r="H784" s="9" t="n"/>
    </row>
    <row r="785" ht="14.25" customHeight="1" s="37">
      <c r="A785" s="9" t="n"/>
      <c r="B785" s="9" t="n"/>
      <c r="C785" s="9" t="n"/>
      <c r="D785" s="9" t="n"/>
      <c r="E785" s="9" t="n"/>
      <c r="F785" s="9" t="n"/>
      <c r="G785" s="9">
        <f>IF(OR(E785="",F785=""),"",DATEDIF(E785,F785,"Y"))</f>
        <v/>
      </c>
      <c r="H785" s="9" t="n"/>
    </row>
    <row r="786" ht="14.25" customHeight="1" s="37">
      <c r="A786" s="9" t="n"/>
      <c r="B786" s="9" t="n"/>
      <c r="C786" s="9" t="n"/>
      <c r="D786" s="9" t="n"/>
      <c r="E786" s="9" t="n"/>
      <c r="F786" s="9" t="n"/>
      <c r="G786" s="9">
        <f>IF(OR(E786="",F786=""),"",DATEDIF(E786,F786,"Y"))</f>
        <v/>
      </c>
      <c r="H786" s="9" t="n"/>
    </row>
    <row r="787" ht="14.25" customHeight="1" s="37">
      <c r="A787" s="9" t="n"/>
      <c r="B787" s="9" t="n"/>
      <c r="C787" s="9" t="n"/>
      <c r="D787" s="9" t="n"/>
      <c r="E787" s="9" t="n"/>
      <c r="F787" s="9" t="n"/>
      <c r="G787" s="9">
        <f>IF(OR(E787="",F787=""),"",DATEDIF(E787,F787,"Y"))</f>
        <v/>
      </c>
      <c r="H787" s="9" t="n"/>
    </row>
    <row r="788" ht="14.25" customHeight="1" s="37">
      <c r="A788" s="9" t="n"/>
      <c r="B788" s="9" t="n"/>
      <c r="C788" s="9" t="n"/>
      <c r="D788" s="9" t="n"/>
      <c r="E788" s="9" t="n"/>
      <c r="F788" s="9" t="n"/>
      <c r="G788" s="9">
        <f>IF(OR(E788="",F788=""),"",DATEDIF(E788,F788,"Y"))</f>
        <v/>
      </c>
      <c r="H788" s="9" t="n"/>
    </row>
    <row r="789" ht="14.25" customHeight="1" s="37">
      <c r="A789" s="9" t="n"/>
      <c r="B789" s="9" t="n"/>
      <c r="C789" s="9" t="n"/>
      <c r="D789" s="9" t="n"/>
      <c r="E789" s="9" t="n"/>
      <c r="F789" s="9" t="n"/>
      <c r="G789" s="9">
        <f>IF(OR(E789="",F789=""),"",DATEDIF(E789,F789,"Y"))</f>
        <v/>
      </c>
      <c r="H789" s="9" t="n"/>
    </row>
    <row r="790" ht="14.25" customHeight="1" s="37">
      <c r="A790" s="9" t="n"/>
      <c r="B790" s="9" t="n"/>
      <c r="C790" s="9" t="n"/>
      <c r="D790" s="9" t="n"/>
      <c r="E790" s="9" t="n"/>
      <c r="F790" s="9" t="n"/>
      <c r="G790" s="9">
        <f>IF(OR(E790="",F790=""),"",DATEDIF(E790,F790,"Y"))</f>
        <v/>
      </c>
      <c r="H790" s="9" t="n"/>
    </row>
    <row r="791" ht="14.25" customHeight="1" s="37">
      <c r="A791" s="9" t="n"/>
      <c r="B791" s="9" t="n"/>
      <c r="C791" s="9" t="n"/>
      <c r="D791" s="9" t="n"/>
      <c r="E791" s="9" t="n"/>
      <c r="F791" s="9" t="n"/>
      <c r="G791" s="9">
        <f>IF(OR(E791="",F791=""),"",DATEDIF(E791,F791,"Y"))</f>
        <v/>
      </c>
      <c r="H791" s="9" t="n"/>
    </row>
    <row r="792" ht="14.25" customHeight="1" s="37">
      <c r="A792" s="9" t="n"/>
      <c r="B792" s="9" t="n"/>
      <c r="C792" s="9" t="n"/>
      <c r="D792" s="9" t="n"/>
      <c r="E792" s="9" t="n"/>
      <c r="F792" s="9" t="n"/>
      <c r="G792" s="9">
        <f>IF(OR(E792="",F792=""),"",DATEDIF(E792,F792,"Y"))</f>
        <v/>
      </c>
      <c r="H792" s="9" t="n"/>
    </row>
    <row r="793" ht="14.25" customHeight="1" s="37">
      <c r="A793" s="9" t="n"/>
      <c r="B793" s="9" t="n"/>
      <c r="C793" s="9" t="n"/>
      <c r="D793" s="9" t="n"/>
      <c r="E793" s="9" t="n"/>
      <c r="F793" s="9" t="n"/>
      <c r="G793" s="9">
        <f>IF(OR(E793="",F793=""),"",DATEDIF(E793,F793,"Y"))</f>
        <v/>
      </c>
      <c r="H793" s="9" t="n"/>
    </row>
    <row r="794" ht="14.25" customHeight="1" s="37">
      <c r="A794" s="9" t="n"/>
      <c r="B794" s="9" t="n"/>
      <c r="C794" s="9" t="n"/>
      <c r="D794" s="9" t="n"/>
      <c r="E794" s="9" t="n"/>
      <c r="F794" s="9" t="n"/>
      <c r="G794" s="9">
        <f>IF(OR(E794="",F794=""),"",DATEDIF(E794,F794,"Y"))</f>
        <v/>
      </c>
      <c r="H794" s="9" t="n"/>
    </row>
    <row r="795" ht="14.25" customHeight="1" s="37">
      <c r="A795" s="9" t="n"/>
      <c r="B795" s="9" t="n"/>
      <c r="C795" s="9" t="n"/>
      <c r="D795" s="9" t="n"/>
      <c r="E795" s="9" t="n"/>
      <c r="F795" s="9" t="n"/>
      <c r="G795" s="9">
        <f>IF(OR(E795="",F795=""),"",DATEDIF(E795,F795,"Y"))</f>
        <v/>
      </c>
      <c r="H795" s="9" t="n"/>
    </row>
    <row r="796" ht="14.25" customHeight="1" s="37">
      <c r="A796" s="9" t="n"/>
      <c r="B796" s="9" t="n"/>
      <c r="C796" s="9" t="n"/>
      <c r="D796" s="9" t="n"/>
      <c r="E796" s="9" t="n"/>
      <c r="F796" s="9" t="n"/>
      <c r="G796" s="9">
        <f>IF(OR(E796="",F796=""),"",DATEDIF(E796,F796,"Y"))</f>
        <v/>
      </c>
      <c r="H796" s="9" t="n"/>
    </row>
    <row r="797" ht="14.25" customHeight="1" s="37">
      <c r="A797" s="9" t="n"/>
      <c r="B797" s="9" t="n"/>
      <c r="C797" s="9" t="n"/>
      <c r="D797" s="9" t="n"/>
      <c r="E797" s="9" t="n"/>
      <c r="F797" s="9" t="n"/>
      <c r="G797" s="9">
        <f>IF(OR(E797="",F797=""),"",DATEDIF(E797,F797,"Y"))</f>
        <v/>
      </c>
      <c r="H797" s="9" t="n"/>
    </row>
    <row r="798" ht="14.25" customHeight="1" s="37">
      <c r="A798" s="9" t="n"/>
      <c r="B798" s="9" t="n"/>
      <c r="C798" s="9" t="n"/>
      <c r="D798" s="9" t="n"/>
      <c r="E798" s="9" t="n"/>
      <c r="F798" s="9" t="n"/>
      <c r="G798" s="9">
        <f>IF(OR(E798="",F798=""),"",DATEDIF(E798,F798,"Y"))</f>
        <v/>
      </c>
      <c r="H798" s="9" t="n"/>
    </row>
    <row r="799" ht="14.25" customHeight="1" s="37">
      <c r="A799" s="9" t="n"/>
      <c r="B799" s="9" t="n"/>
      <c r="C799" s="9" t="n"/>
      <c r="D799" s="9" t="n"/>
      <c r="E799" s="9" t="n"/>
      <c r="F799" s="9" t="n"/>
      <c r="G799" s="9">
        <f>IF(OR(E799="",F799=""),"",DATEDIF(E799,F799,"Y"))</f>
        <v/>
      </c>
      <c r="H799" s="9" t="n"/>
    </row>
    <row r="800" ht="14.25" customHeight="1" s="37">
      <c r="A800" s="9" t="n"/>
      <c r="B800" s="9" t="n"/>
      <c r="C800" s="9" t="n"/>
      <c r="D800" s="9" t="n"/>
      <c r="E800" s="9" t="n"/>
      <c r="F800" s="9" t="n"/>
      <c r="G800" s="9">
        <f>IF(OR(E800="",F800=""),"",DATEDIF(E800,F800,"Y"))</f>
        <v/>
      </c>
      <c r="H800" s="9" t="n"/>
    </row>
    <row r="801" ht="14.25" customHeight="1" s="37">
      <c r="A801" s="9" t="n"/>
      <c r="B801" s="9" t="n"/>
      <c r="C801" s="9" t="n"/>
      <c r="D801" s="9" t="n"/>
      <c r="E801" s="9" t="n"/>
      <c r="F801" s="9" t="n"/>
      <c r="G801" s="9">
        <f>IF(OR(E801="",F801=""),"",DATEDIF(E801,F801,"Y"))</f>
        <v/>
      </c>
      <c r="H801" s="9" t="n"/>
    </row>
    <row r="802" ht="14.25" customHeight="1" s="37">
      <c r="A802" s="9" t="n"/>
      <c r="B802" s="9" t="n"/>
      <c r="C802" s="9" t="n"/>
      <c r="D802" s="9" t="n"/>
      <c r="E802" s="9" t="n"/>
      <c r="F802" s="9" t="n"/>
      <c r="G802" s="9">
        <f>IF(OR(E802="",F802=""),"",DATEDIF(E802,F802,"Y"))</f>
        <v/>
      </c>
      <c r="H802" s="9" t="n"/>
    </row>
    <row r="803" ht="14.25" customHeight="1" s="37">
      <c r="A803" s="9" t="n"/>
      <c r="B803" s="9" t="n"/>
      <c r="C803" s="9" t="n"/>
      <c r="D803" s="9" t="n"/>
      <c r="E803" s="9" t="n"/>
      <c r="F803" s="9" t="n"/>
      <c r="G803" s="9">
        <f>IF(OR(E803="",F803=""),"",DATEDIF(E803,F803,"Y"))</f>
        <v/>
      </c>
      <c r="H803" s="9" t="n"/>
    </row>
    <row r="804" ht="14.25" customHeight="1" s="37">
      <c r="A804" s="9" t="n"/>
      <c r="B804" s="9" t="n"/>
      <c r="C804" s="9" t="n"/>
      <c r="D804" s="9" t="n"/>
      <c r="E804" s="9" t="n"/>
      <c r="F804" s="9" t="n"/>
      <c r="G804" s="9">
        <f>IF(OR(E804="",F804=""),"",DATEDIF(E804,F804,"Y"))</f>
        <v/>
      </c>
      <c r="H804" s="9" t="n"/>
    </row>
    <row r="805" ht="14.25" customHeight="1" s="37">
      <c r="A805" s="9" t="n"/>
      <c r="B805" s="9" t="n"/>
      <c r="C805" s="9" t="n"/>
      <c r="D805" s="9" t="n"/>
      <c r="E805" s="9" t="n"/>
      <c r="F805" s="9" t="n"/>
      <c r="G805" s="9">
        <f>IF(OR(E805="",F805=""),"",DATEDIF(E805,F805,"Y"))</f>
        <v/>
      </c>
      <c r="H805" s="9" t="n"/>
    </row>
    <row r="806" ht="14.25" customHeight="1" s="37">
      <c r="A806" s="9" t="n"/>
      <c r="B806" s="9" t="n"/>
      <c r="C806" s="9" t="n"/>
      <c r="D806" s="9" t="n"/>
      <c r="E806" s="9" t="n"/>
      <c r="F806" s="9" t="n"/>
      <c r="G806" s="9">
        <f>IF(OR(E806="",F806=""),"",DATEDIF(E806,F806,"Y"))</f>
        <v/>
      </c>
      <c r="H806" s="9" t="n"/>
    </row>
    <row r="807" ht="14.25" customHeight="1" s="37">
      <c r="A807" s="9" t="n"/>
      <c r="B807" s="9" t="n"/>
      <c r="C807" s="9" t="n"/>
      <c r="D807" s="9" t="n"/>
      <c r="E807" s="9" t="n"/>
      <c r="F807" s="9" t="n"/>
      <c r="G807" s="9">
        <f>IF(OR(E807="",F807=""),"",DATEDIF(E807,F807,"Y"))</f>
        <v/>
      </c>
      <c r="H807" s="9" t="n"/>
    </row>
    <row r="808" ht="14.25" customHeight="1" s="37">
      <c r="A808" s="9" t="n"/>
      <c r="B808" s="9" t="n"/>
      <c r="C808" s="9" t="n"/>
      <c r="D808" s="9" t="n"/>
      <c r="E808" s="9" t="n"/>
      <c r="F808" s="9" t="n"/>
      <c r="G808" s="9">
        <f>IF(OR(E808="",F808=""),"",DATEDIF(E808,F808,"Y"))</f>
        <v/>
      </c>
      <c r="H808" s="9" t="n"/>
    </row>
    <row r="809" ht="14.25" customHeight="1" s="37">
      <c r="A809" s="9" t="n"/>
      <c r="B809" s="9" t="n"/>
      <c r="C809" s="9" t="n"/>
      <c r="D809" s="9" t="n"/>
      <c r="E809" s="9" t="n"/>
      <c r="F809" s="9" t="n"/>
      <c r="G809" s="9">
        <f>IF(OR(E809="",F809=""),"",DATEDIF(E809,F809,"Y"))</f>
        <v/>
      </c>
      <c r="H809" s="9" t="n"/>
    </row>
    <row r="810" ht="14.25" customHeight="1" s="37">
      <c r="A810" s="9" t="n"/>
      <c r="B810" s="9" t="n"/>
      <c r="C810" s="9" t="n"/>
      <c r="D810" s="9" t="n"/>
      <c r="E810" s="9" t="n"/>
      <c r="F810" s="9" t="n"/>
      <c r="G810" s="9">
        <f>IF(OR(E810="",F810=""),"",DATEDIF(E810,F810,"Y"))</f>
        <v/>
      </c>
      <c r="H810" s="9" t="n"/>
    </row>
    <row r="811" ht="14.25" customHeight="1" s="37">
      <c r="A811" s="9" t="n"/>
      <c r="B811" s="9" t="n"/>
      <c r="C811" s="9" t="n"/>
      <c r="D811" s="9" t="n"/>
      <c r="E811" s="9" t="n"/>
      <c r="F811" s="9" t="n"/>
      <c r="G811" s="9">
        <f>IF(OR(E811="",F811=""),"",DATEDIF(E811,F811,"Y"))</f>
        <v/>
      </c>
      <c r="H811" s="9" t="n"/>
    </row>
    <row r="812" ht="14.25" customHeight="1" s="37">
      <c r="A812" s="9" t="n"/>
      <c r="B812" s="9" t="n"/>
      <c r="C812" s="9" t="n"/>
      <c r="D812" s="9" t="n"/>
      <c r="E812" s="9" t="n"/>
      <c r="F812" s="9" t="n"/>
      <c r="G812" s="9">
        <f>IF(OR(E812="",F812=""),"",DATEDIF(E812,F812,"Y"))</f>
        <v/>
      </c>
      <c r="H812" s="9" t="n"/>
    </row>
    <row r="813" ht="14.25" customHeight="1" s="37">
      <c r="A813" s="9" t="n"/>
      <c r="B813" s="9" t="n"/>
      <c r="C813" s="9" t="n"/>
      <c r="D813" s="9" t="n"/>
      <c r="E813" s="9" t="n"/>
      <c r="F813" s="9" t="n"/>
      <c r="G813" s="9">
        <f>IF(OR(E813="",F813=""),"",DATEDIF(E813,F813,"Y"))</f>
        <v/>
      </c>
      <c r="H813" s="9" t="n"/>
    </row>
    <row r="814" ht="14.25" customHeight="1" s="37">
      <c r="A814" s="9" t="n"/>
      <c r="B814" s="9" t="n"/>
      <c r="C814" s="9" t="n"/>
      <c r="D814" s="9" t="n"/>
      <c r="E814" s="9" t="n"/>
      <c r="F814" s="9" t="n"/>
      <c r="G814" s="9">
        <f>IF(OR(E814="",F814=""),"",DATEDIF(E814,F814,"Y"))</f>
        <v/>
      </c>
      <c r="H814" s="9" t="n"/>
    </row>
    <row r="815" ht="14.25" customHeight="1" s="37">
      <c r="A815" s="9" t="n"/>
      <c r="B815" s="9" t="n"/>
      <c r="C815" s="9" t="n"/>
      <c r="D815" s="9" t="n"/>
      <c r="E815" s="9" t="n"/>
      <c r="F815" s="9" t="n"/>
      <c r="G815" s="9">
        <f>IF(OR(E815="",F815=""),"",DATEDIF(E815,F815,"Y"))</f>
        <v/>
      </c>
      <c r="H815" s="9" t="n"/>
    </row>
    <row r="816" ht="14.25" customHeight="1" s="37">
      <c r="A816" s="9" t="n"/>
      <c r="B816" s="9" t="n"/>
      <c r="C816" s="9" t="n"/>
      <c r="D816" s="9" t="n"/>
      <c r="E816" s="9" t="n"/>
      <c r="F816" s="9" t="n"/>
      <c r="G816" s="9">
        <f>IF(OR(E816="",F816=""),"",DATEDIF(E816,F816,"Y"))</f>
        <v/>
      </c>
      <c r="H816" s="9" t="n"/>
    </row>
    <row r="817" ht="14.25" customHeight="1" s="37">
      <c r="A817" s="9" t="n"/>
      <c r="B817" s="9" t="n"/>
      <c r="C817" s="9" t="n"/>
      <c r="D817" s="9" t="n"/>
      <c r="E817" s="9" t="n"/>
      <c r="F817" s="9" t="n"/>
      <c r="G817" s="9">
        <f>IF(OR(E817="",F817=""),"",DATEDIF(E817,F817,"Y"))</f>
        <v/>
      </c>
      <c r="H817" s="9" t="n"/>
    </row>
    <row r="818" ht="14.25" customHeight="1" s="37">
      <c r="A818" s="9" t="n"/>
      <c r="B818" s="9" t="n"/>
      <c r="C818" s="9" t="n"/>
      <c r="D818" s="9" t="n"/>
      <c r="E818" s="9" t="n"/>
      <c r="F818" s="9" t="n"/>
      <c r="G818" s="9">
        <f>IF(OR(E818="",F818=""),"",DATEDIF(E818,F818,"Y"))</f>
        <v/>
      </c>
      <c r="H818" s="9" t="n"/>
    </row>
    <row r="819" ht="14.25" customHeight="1" s="37">
      <c r="A819" s="9" t="n"/>
      <c r="B819" s="9" t="n"/>
      <c r="C819" s="9" t="n"/>
      <c r="D819" s="9" t="n"/>
      <c r="E819" s="9" t="n"/>
      <c r="F819" s="9" t="n"/>
      <c r="G819" s="9">
        <f>IF(OR(E819="",F819=""),"",DATEDIF(E819,F819,"Y"))</f>
        <v/>
      </c>
      <c r="H819" s="9" t="n"/>
    </row>
    <row r="820" ht="14.25" customHeight="1" s="37">
      <c r="A820" s="9" t="n"/>
      <c r="B820" s="9" t="n"/>
      <c r="C820" s="9" t="n"/>
      <c r="D820" s="9" t="n"/>
      <c r="E820" s="9" t="n"/>
      <c r="F820" s="9" t="n"/>
      <c r="G820" s="9">
        <f>IF(OR(E820="",F820=""),"",DATEDIF(E820,F820,"Y"))</f>
        <v/>
      </c>
      <c r="H820" s="9" t="n"/>
    </row>
    <row r="821" ht="14.25" customHeight="1" s="37">
      <c r="A821" s="9" t="n"/>
      <c r="B821" s="9" t="n"/>
      <c r="C821" s="9" t="n"/>
      <c r="D821" s="9" t="n"/>
      <c r="E821" s="9" t="n"/>
      <c r="F821" s="9" t="n"/>
      <c r="G821" s="9">
        <f>IF(OR(E821="",F821=""),"",DATEDIF(E821,F821,"Y"))</f>
        <v/>
      </c>
      <c r="H821" s="9" t="n"/>
    </row>
    <row r="822" ht="14.25" customHeight="1" s="37">
      <c r="A822" s="9" t="n"/>
      <c r="B822" s="9" t="n"/>
      <c r="C822" s="9" t="n"/>
      <c r="D822" s="9" t="n"/>
      <c r="E822" s="9" t="n"/>
      <c r="F822" s="9" t="n"/>
      <c r="G822" s="9">
        <f>IF(OR(E822="",F822=""),"",DATEDIF(E822,F822,"Y"))</f>
        <v/>
      </c>
      <c r="H822" s="9" t="n"/>
    </row>
    <row r="823" ht="14.25" customHeight="1" s="37">
      <c r="A823" s="9" t="n"/>
      <c r="B823" s="9" t="n"/>
      <c r="C823" s="9" t="n"/>
      <c r="D823" s="9" t="n"/>
      <c r="E823" s="9" t="n"/>
      <c r="F823" s="9" t="n"/>
      <c r="G823" s="9">
        <f>IF(OR(E823="",F823=""),"",DATEDIF(E823,F823,"Y"))</f>
        <v/>
      </c>
      <c r="H823" s="9" t="n"/>
    </row>
    <row r="824" ht="14.25" customHeight="1" s="37">
      <c r="A824" s="9" t="n"/>
      <c r="B824" s="9" t="n"/>
      <c r="C824" s="9" t="n"/>
      <c r="D824" s="9" t="n"/>
      <c r="E824" s="9" t="n"/>
      <c r="F824" s="9" t="n"/>
      <c r="G824" s="9">
        <f>IF(OR(E824="",F824=""),"",DATEDIF(E824,F824,"Y"))</f>
        <v/>
      </c>
      <c r="H824" s="9" t="n"/>
    </row>
    <row r="825" ht="14.25" customHeight="1" s="37">
      <c r="A825" s="9" t="n"/>
      <c r="B825" s="9" t="n"/>
      <c r="C825" s="9" t="n"/>
      <c r="D825" s="9" t="n"/>
      <c r="E825" s="9" t="n"/>
      <c r="F825" s="9" t="n"/>
      <c r="G825" s="9">
        <f>IF(OR(E825="",F825=""),"",DATEDIF(E825,F825,"Y"))</f>
        <v/>
      </c>
      <c r="H825" s="9" t="n"/>
    </row>
    <row r="826" ht="14.25" customHeight="1" s="37">
      <c r="A826" s="9" t="n"/>
      <c r="B826" s="9" t="n"/>
      <c r="C826" s="9" t="n"/>
      <c r="D826" s="9" t="n"/>
      <c r="E826" s="9" t="n"/>
      <c r="F826" s="9" t="n"/>
      <c r="G826" s="9">
        <f>IF(OR(E826="",F826=""),"",DATEDIF(E826,F826,"Y"))</f>
        <v/>
      </c>
      <c r="H826" s="9" t="n"/>
    </row>
    <row r="827" ht="14.25" customHeight="1" s="37">
      <c r="A827" s="9" t="n"/>
      <c r="B827" s="9" t="n"/>
      <c r="C827" s="9" t="n"/>
      <c r="D827" s="9" t="n"/>
      <c r="E827" s="9" t="n"/>
      <c r="F827" s="9" t="n"/>
      <c r="G827" s="9">
        <f>IF(OR(E827="",F827=""),"",DATEDIF(E827,F827,"Y"))</f>
        <v/>
      </c>
      <c r="H827" s="9" t="n"/>
    </row>
    <row r="828" ht="14.25" customHeight="1" s="37">
      <c r="A828" s="9" t="n"/>
      <c r="B828" s="9" t="n"/>
      <c r="C828" s="9" t="n"/>
      <c r="D828" s="9" t="n"/>
      <c r="E828" s="9" t="n"/>
      <c r="F828" s="9" t="n"/>
      <c r="G828" s="9">
        <f>IF(OR(E828="",F828=""),"",DATEDIF(E828,F828,"Y"))</f>
        <v/>
      </c>
      <c r="H828" s="9" t="n"/>
    </row>
    <row r="829" ht="14.25" customHeight="1" s="37">
      <c r="A829" s="9" t="n"/>
      <c r="B829" s="9" t="n"/>
      <c r="C829" s="9" t="n"/>
      <c r="D829" s="9" t="n"/>
      <c r="E829" s="9" t="n"/>
      <c r="F829" s="9" t="n"/>
      <c r="G829" s="9">
        <f>IF(OR(E829="",F829=""),"",DATEDIF(E829,F829,"Y"))</f>
        <v/>
      </c>
      <c r="H829" s="9" t="n"/>
    </row>
    <row r="830" ht="14.25" customHeight="1" s="37">
      <c r="A830" s="9" t="n"/>
      <c r="B830" s="9" t="n"/>
      <c r="C830" s="9" t="n"/>
      <c r="D830" s="9" t="n"/>
      <c r="E830" s="9" t="n"/>
      <c r="F830" s="9" t="n"/>
      <c r="G830" s="9">
        <f>IF(OR(E830="",F830=""),"",DATEDIF(E830,F830,"Y"))</f>
        <v/>
      </c>
      <c r="H830" s="9" t="n"/>
    </row>
    <row r="831" ht="14.25" customHeight="1" s="37">
      <c r="A831" s="9" t="n"/>
      <c r="B831" s="9" t="n"/>
      <c r="C831" s="9" t="n"/>
      <c r="D831" s="9" t="n"/>
      <c r="E831" s="9" t="n"/>
      <c r="F831" s="9" t="n"/>
      <c r="G831" s="9">
        <f>IF(OR(E831="",F831=""),"",DATEDIF(E831,F831,"Y"))</f>
        <v/>
      </c>
      <c r="H831" s="9" t="n"/>
    </row>
    <row r="832" ht="14.25" customHeight="1" s="37">
      <c r="A832" s="9" t="n"/>
      <c r="B832" s="9" t="n"/>
      <c r="C832" s="9" t="n"/>
      <c r="D832" s="9" t="n"/>
      <c r="E832" s="9" t="n"/>
      <c r="F832" s="9" t="n"/>
      <c r="G832" s="9">
        <f>IF(OR(E832="",F832=""),"",DATEDIF(E832,F832,"Y"))</f>
        <v/>
      </c>
      <c r="H832" s="9" t="n"/>
    </row>
    <row r="833" ht="14.25" customHeight="1" s="37">
      <c r="A833" s="9" t="n"/>
      <c r="B833" s="9" t="n"/>
      <c r="C833" s="9" t="n"/>
      <c r="D833" s="9" t="n"/>
      <c r="E833" s="9" t="n"/>
      <c r="F833" s="9" t="n"/>
      <c r="G833" s="9">
        <f>IF(OR(E833="",F833=""),"",DATEDIF(E833,F833,"Y"))</f>
        <v/>
      </c>
      <c r="H833" s="9" t="n"/>
    </row>
    <row r="834" ht="14.25" customHeight="1" s="37">
      <c r="A834" s="9" t="n"/>
      <c r="B834" s="9" t="n"/>
      <c r="C834" s="9" t="n"/>
      <c r="D834" s="9" t="n"/>
      <c r="E834" s="9" t="n"/>
      <c r="F834" s="9" t="n"/>
      <c r="G834" s="9">
        <f>IF(OR(E834="",F834=""),"",DATEDIF(E834,F834,"Y"))</f>
        <v/>
      </c>
      <c r="H834" s="9" t="n"/>
    </row>
    <row r="835" ht="14.25" customHeight="1" s="37">
      <c r="A835" s="9" t="n"/>
      <c r="B835" s="9" t="n"/>
      <c r="C835" s="9" t="n"/>
      <c r="D835" s="9" t="n"/>
      <c r="E835" s="9" t="n"/>
      <c r="F835" s="9" t="n"/>
      <c r="G835" s="9">
        <f>IF(OR(E835="",F835=""),"",DATEDIF(E835,F835,"Y"))</f>
        <v/>
      </c>
      <c r="H835" s="9" t="n"/>
    </row>
    <row r="836" ht="14.25" customHeight="1" s="37">
      <c r="A836" s="9" t="n"/>
      <c r="B836" s="9" t="n"/>
      <c r="C836" s="9" t="n"/>
      <c r="D836" s="9" t="n"/>
      <c r="E836" s="9" t="n"/>
      <c r="F836" s="9" t="n"/>
      <c r="G836" s="9">
        <f>IF(OR(E836="",F836=""),"",DATEDIF(E836,F836,"Y"))</f>
        <v/>
      </c>
      <c r="H836" s="9" t="n"/>
    </row>
    <row r="837" ht="14.25" customHeight="1" s="37">
      <c r="A837" s="9" t="n"/>
      <c r="B837" s="9" t="n"/>
      <c r="C837" s="9" t="n"/>
      <c r="D837" s="9" t="n"/>
      <c r="E837" s="9" t="n"/>
      <c r="F837" s="9" t="n"/>
      <c r="G837" s="9">
        <f>IF(OR(E837="",F837=""),"",DATEDIF(E837,F837,"Y"))</f>
        <v/>
      </c>
      <c r="H837" s="9" t="n"/>
    </row>
    <row r="838" ht="14.25" customHeight="1" s="37">
      <c r="A838" s="9" t="n"/>
      <c r="B838" s="9" t="n"/>
      <c r="C838" s="9" t="n"/>
      <c r="D838" s="9" t="n"/>
      <c r="E838" s="9" t="n"/>
      <c r="F838" s="9" t="n"/>
      <c r="G838" s="9">
        <f>IF(OR(E838="",F838=""),"",DATEDIF(E838,F838,"Y"))</f>
        <v/>
      </c>
      <c r="H838" s="9" t="n"/>
    </row>
    <row r="839" ht="14.25" customHeight="1" s="37">
      <c r="A839" s="9" t="n"/>
      <c r="B839" s="9" t="n"/>
      <c r="C839" s="9" t="n"/>
      <c r="D839" s="9" t="n"/>
      <c r="E839" s="9" t="n"/>
      <c r="F839" s="9" t="n"/>
      <c r="G839" s="9">
        <f>IF(OR(E839="",F839=""),"",DATEDIF(E839,F839,"Y"))</f>
        <v/>
      </c>
      <c r="H839" s="9" t="n"/>
    </row>
    <row r="840" ht="14.25" customHeight="1" s="37">
      <c r="A840" s="9" t="n"/>
      <c r="B840" s="9" t="n"/>
      <c r="C840" s="9" t="n"/>
      <c r="D840" s="9" t="n"/>
      <c r="E840" s="9" t="n"/>
      <c r="F840" s="9" t="n"/>
      <c r="G840" s="9">
        <f>IF(OR(E840="",F840=""),"",DATEDIF(E840,F840,"Y"))</f>
        <v/>
      </c>
      <c r="H840" s="9" t="n"/>
    </row>
    <row r="841" ht="14.25" customHeight="1" s="37">
      <c r="A841" s="9" t="n"/>
      <c r="B841" s="9" t="n"/>
      <c r="C841" s="9" t="n"/>
      <c r="D841" s="9" t="n"/>
      <c r="E841" s="9" t="n"/>
      <c r="F841" s="9" t="n"/>
      <c r="G841" s="9">
        <f>IF(OR(E841="",F841=""),"",DATEDIF(E841,F841,"Y"))</f>
        <v/>
      </c>
      <c r="H841" s="9" t="n"/>
    </row>
    <row r="842" ht="14.25" customHeight="1" s="37">
      <c r="A842" s="9" t="n"/>
      <c r="B842" s="9" t="n"/>
      <c r="C842" s="9" t="n"/>
      <c r="D842" s="9" t="n"/>
      <c r="E842" s="9" t="n"/>
      <c r="F842" s="9" t="n"/>
      <c r="G842" s="9">
        <f>IF(OR(E842="",F842=""),"",DATEDIF(E842,F842,"Y"))</f>
        <v/>
      </c>
      <c r="H842" s="9" t="n"/>
    </row>
    <row r="843" ht="14.25" customHeight="1" s="37">
      <c r="A843" s="9" t="n"/>
      <c r="B843" s="9" t="n"/>
      <c r="C843" s="9" t="n"/>
      <c r="D843" s="9" t="n"/>
      <c r="E843" s="9" t="n"/>
      <c r="F843" s="9" t="n"/>
      <c r="G843" s="9">
        <f>IF(OR(E843="",F843=""),"",DATEDIF(E843,F843,"Y"))</f>
        <v/>
      </c>
      <c r="H843" s="9" t="n"/>
    </row>
    <row r="844" ht="14.25" customHeight="1" s="37">
      <c r="A844" s="9" t="n"/>
      <c r="B844" s="9" t="n"/>
      <c r="C844" s="9" t="n"/>
      <c r="D844" s="9" t="n"/>
      <c r="E844" s="9" t="n"/>
      <c r="F844" s="9" t="n"/>
      <c r="G844" s="9">
        <f>IF(OR(E844="",F844=""),"",DATEDIF(E844,F844,"Y"))</f>
        <v/>
      </c>
      <c r="H844" s="9" t="n"/>
    </row>
    <row r="845" ht="14.25" customHeight="1" s="37">
      <c r="A845" s="9" t="n"/>
      <c r="B845" s="9" t="n"/>
      <c r="C845" s="9" t="n"/>
      <c r="D845" s="9" t="n"/>
      <c r="E845" s="9" t="n"/>
      <c r="F845" s="9" t="n"/>
      <c r="G845" s="9">
        <f>IF(OR(E845="",F845=""),"",DATEDIF(E845,F845,"Y"))</f>
        <v/>
      </c>
      <c r="H845" s="9" t="n"/>
    </row>
    <row r="846" ht="14.25" customHeight="1" s="37">
      <c r="A846" s="9" t="n"/>
      <c r="B846" s="9" t="n"/>
      <c r="C846" s="9" t="n"/>
      <c r="D846" s="9" t="n"/>
      <c r="E846" s="9" t="n"/>
      <c r="F846" s="9" t="n"/>
      <c r="G846" s="9">
        <f>IF(OR(E846="",F846=""),"",DATEDIF(E846,F846,"Y"))</f>
        <v/>
      </c>
      <c r="H846" s="9" t="n"/>
    </row>
    <row r="847" ht="14.25" customHeight="1" s="37">
      <c r="A847" s="9" t="n"/>
      <c r="B847" s="9" t="n"/>
      <c r="C847" s="9" t="n"/>
      <c r="D847" s="9" t="n"/>
      <c r="E847" s="9" t="n"/>
      <c r="F847" s="9" t="n"/>
      <c r="G847" s="9">
        <f>IF(OR(E847="",F847=""),"",DATEDIF(E847,F847,"Y"))</f>
        <v/>
      </c>
      <c r="H847" s="9" t="n"/>
    </row>
    <row r="848" ht="14.25" customHeight="1" s="37">
      <c r="A848" s="9" t="n"/>
      <c r="B848" s="9" t="n"/>
      <c r="C848" s="9" t="n"/>
      <c r="D848" s="9" t="n"/>
      <c r="E848" s="9" t="n"/>
      <c r="F848" s="9" t="n"/>
      <c r="G848" s="9">
        <f>IF(OR(E848="",F848=""),"",DATEDIF(E848,F848,"Y"))</f>
        <v/>
      </c>
      <c r="H848" s="9" t="n"/>
    </row>
    <row r="849" ht="14.25" customHeight="1" s="37">
      <c r="A849" s="9" t="n"/>
      <c r="B849" s="9" t="n"/>
      <c r="C849" s="9" t="n"/>
      <c r="D849" s="9" t="n"/>
      <c r="E849" s="9" t="n"/>
      <c r="F849" s="9" t="n"/>
      <c r="G849" s="9">
        <f>IF(OR(E849="",F849=""),"",DATEDIF(E849,F849,"Y"))</f>
        <v/>
      </c>
      <c r="H849" s="9" t="n"/>
    </row>
    <row r="850" ht="14.25" customHeight="1" s="37">
      <c r="A850" s="9" t="n"/>
      <c r="B850" s="9" t="n"/>
      <c r="C850" s="9" t="n"/>
      <c r="D850" s="9" t="n"/>
      <c r="E850" s="9" t="n"/>
      <c r="F850" s="9" t="n"/>
      <c r="G850" s="9">
        <f>IF(OR(E850="",F850=""),"",DATEDIF(E850,F850,"Y"))</f>
        <v/>
      </c>
      <c r="H850" s="9" t="n"/>
    </row>
    <row r="851" ht="14.25" customHeight="1" s="37">
      <c r="A851" s="9" t="n"/>
      <c r="B851" s="9" t="n"/>
      <c r="C851" s="9" t="n"/>
      <c r="D851" s="9" t="n"/>
      <c r="E851" s="9" t="n"/>
      <c r="F851" s="9" t="n"/>
      <c r="G851" s="9">
        <f>IF(OR(E851="",F851=""),"",DATEDIF(E851,F851,"Y"))</f>
        <v/>
      </c>
      <c r="H851" s="9" t="n"/>
    </row>
    <row r="852" ht="14.25" customHeight="1" s="37">
      <c r="A852" s="9" t="n"/>
      <c r="B852" s="9" t="n"/>
      <c r="C852" s="9" t="n"/>
      <c r="D852" s="9" t="n"/>
      <c r="E852" s="9" t="n"/>
      <c r="F852" s="9" t="n"/>
      <c r="G852" s="9">
        <f>IF(OR(E852="",F852=""),"",DATEDIF(E852,F852,"Y"))</f>
        <v/>
      </c>
      <c r="H852" s="9" t="n"/>
    </row>
    <row r="853" ht="14.25" customHeight="1" s="37">
      <c r="A853" s="9" t="n"/>
      <c r="B853" s="9" t="n"/>
      <c r="C853" s="9" t="n"/>
      <c r="D853" s="9" t="n"/>
      <c r="E853" s="9" t="n"/>
      <c r="F853" s="9" t="n"/>
      <c r="G853" s="9">
        <f>IF(OR(E853="",F853=""),"",DATEDIF(E853,F853,"Y"))</f>
        <v/>
      </c>
      <c r="H853" s="9" t="n"/>
    </row>
    <row r="854" ht="14.25" customHeight="1" s="37">
      <c r="A854" s="9" t="n"/>
      <c r="B854" s="9" t="n"/>
      <c r="C854" s="9" t="n"/>
      <c r="D854" s="9" t="n"/>
      <c r="E854" s="9" t="n"/>
      <c r="F854" s="9" t="n"/>
      <c r="G854" s="9">
        <f>IF(OR(E854="",F854=""),"",DATEDIF(E854,F854,"Y"))</f>
        <v/>
      </c>
      <c r="H854" s="9" t="n"/>
    </row>
    <row r="855" ht="14.25" customHeight="1" s="37">
      <c r="A855" s="9" t="n"/>
      <c r="B855" s="9" t="n"/>
      <c r="C855" s="9" t="n"/>
      <c r="D855" s="9" t="n"/>
      <c r="E855" s="9" t="n"/>
      <c r="F855" s="9" t="n"/>
      <c r="G855" s="9">
        <f>IF(OR(E855="",F855=""),"",DATEDIF(E855,F855,"Y"))</f>
        <v/>
      </c>
      <c r="H855" s="9" t="n"/>
    </row>
    <row r="856" ht="14.25" customHeight="1" s="37">
      <c r="A856" s="9" t="n"/>
      <c r="B856" s="9" t="n"/>
      <c r="C856" s="9" t="n"/>
      <c r="D856" s="9" t="n"/>
      <c r="E856" s="9" t="n"/>
      <c r="F856" s="9" t="n"/>
      <c r="G856" s="9">
        <f>IF(OR(E856="",F856=""),"",DATEDIF(E856,F856,"Y"))</f>
        <v/>
      </c>
      <c r="H856" s="9" t="n"/>
    </row>
    <row r="857" ht="14.25" customHeight="1" s="37">
      <c r="A857" s="9" t="n"/>
      <c r="B857" s="9" t="n"/>
      <c r="C857" s="9" t="n"/>
      <c r="D857" s="9" t="n"/>
      <c r="E857" s="9" t="n"/>
      <c r="F857" s="9" t="n"/>
      <c r="G857" s="9">
        <f>IF(OR(E857="",F857=""),"",DATEDIF(E857,F857,"Y"))</f>
        <v/>
      </c>
      <c r="H857" s="9" t="n"/>
    </row>
    <row r="858" ht="14.25" customHeight="1" s="37">
      <c r="A858" s="9" t="n"/>
      <c r="B858" s="9" t="n"/>
      <c r="C858" s="9" t="n"/>
      <c r="D858" s="9" t="n"/>
      <c r="E858" s="9" t="n"/>
      <c r="F858" s="9" t="n"/>
      <c r="G858" s="9">
        <f>IF(OR(E858="",F858=""),"",DATEDIF(E858,F858,"Y"))</f>
        <v/>
      </c>
      <c r="H858" s="9" t="n"/>
    </row>
    <row r="859" ht="14.25" customHeight="1" s="37">
      <c r="A859" s="9" t="n"/>
      <c r="B859" s="9" t="n"/>
      <c r="C859" s="9" t="n"/>
      <c r="D859" s="9" t="n"/>
      <c r="E859" s="9" t="n"/>
      <c r="F859" s="9" t="n"/>
      <c r="G859" s="9">
        <f>IF(OR(E859="",F859=""),"",DATEDIF(E859,F859,"Y"))</f>
        <v/>
      </c>
      <c r="H859" s="9" t="n"/>
    </row>
    <row r="860" ht="14.25" customHeight="1" s="37">
      <c r="A860" s="9" t="n"/>
      <c r="B860" s="9" t="n"/>
      <c r="C860" s="9" t="n"/>
      <c r="D860" s="9" t="n"/>
      <c r="E860" s="9" t="n"/>
      <c r="F860" s="9" t="n"/>
      <c r="G860" s="9">
        <f>IF(OR(E860="",F860=""),"",DATEDIF(E860,F860,"Y"))</f>
        <v/>
      </c>
      <c r="H860" s="9" t="n"/>
    </row>
    <row r="861" ht="14.25" customHeight="1" s="37">
      <c r="A861" s="9" t="n"/>
      <c r="B861" s="9" t="n"/>
      <c r="C861" s="9" t="n"/>
      <c r="D861" s="9" t="n"/>
      <c r="E861" s="9" t="n"/>
      <c r="F861" s="9" t="n"/>
      <c r="G861" s="9">
        <f>IF(OR(E861="",F861=""),"",DATEDIF(E861,F861,"Y"))</f>
        <v/>
      </c>
      <c r="H861" s="9" t="n"/>
    </row>
    <row r="862" ht="14.25" customHeight="1" s="37">
      <c r="A862" s="9" t="n"/>
      <c r="B862" s="9" t="n"/>
      <c r="C862" s="9" t="n"/>
      <c r="D862" s="9" t="n"/>
      <c r="E862" s="9" t="n"/>
      <c r="F862" s="9" t="n"/>
      <c r="G862" s="9">
        <f>IF(OR(E862="",F862=""),"",DATEDIF(E862,F862,"Y"))</f>
        <v/>
      </c>
      <c r="H862" s="9" t="n"/>
    </row>
    <row r="863" ht="14.25" customHeight="1" s="37">
      <c r="A863" s="9" t="n"/>
      <c r="B863" s="9" t="n"/>
      <c r="C863" s="9" t="n"/>
      <c r="D863" s="9" t="n"/>
      <c r="E863" s="9" t="n"/>
      <c r="F863" s="9" t="n"/>
      <c r="G863" s="9">
        <f>IF(OR(E863="",F863=""),"",DATEDIF(E863,F863,"Y"))</f>
        <v/>
      </c>
      <c r="H863" s="9" t="n"/>
    </row>
    <row r="864" ht="14.25" customHeight="1" s="37">
      <c r="A864" s="9" t="n"/>
      <c r="B864" s="9" t="n"/>
      <c r="C864" s="9" t="n"/>
      <c r="D864" s="9" t="n"/>
      <c r="E864" s="9" t="n"/>
      <c r="F864" s="9" t="n"/>
      <c r="G864" s="9">
        <f>IF(OR(E864="",F864=""),"",DATEDIF(E864,F864,"Y"))</f>
        <v/>
      </c>
      <c r="H864" s="9" t="n"/>
    </row>
    <row r="865" ht="14.25" customHeight="1" s="37">
      <c r="A865" s="9" t="n"/>
      <c r="B865" s="9" t="n"/>
      <c r="C865" s="9" t="n"/>
      <c r="D865" s="9" t="n"/>
      <c r="E865" s="9" t="n"/>
      <c r="F865" s="9" t="n"/>
      <c r="G865" s="9">
        <f>IF(OR(E865="",F865=""),"",DATEDIF(E865,F865,"Y"))</f>
        <v/>
      </c>
      <c r="H865" s="9" t="n"/>
    </row>
    <row r="866" ht="14.25" customHeight="1" s="37">
      <c r="A866" s="9" t="n"/>
      <c r="B866" s="9" t="n"/>
      <c r="C866" s="9" t="n"/>
      <c r="D866" s="9" t="n"/>
      <c r="E866" s="9" t="n"/>
      <c r="F866" s="9" t="n"/>
      <c r="G866" s="9">
        <f>IF(OR(E866="",F866=""),"",DATEDIF(E866,F866,"Y"))</f>
        <v/>
      </c>
      <c r="H866" s="9" t="n"/>
    </row>
    <row r="867" ht="14.25" customHeight="1" s="37">
      <c r="A867" s="9" t="n"/>
      <c r="B867" s="9" t="n"/>
      <c r="C867" s="9" t="n"/>
      <c r="D867" s="9" t="n"/>
      <c r="E867" s="9" t="n"/>
      <c r="F867" s="9" t="n"/>
      <c r="G867" s="9">
        <f>IF(OR(E867="",F867=""),"",DATEDIF(E867,F867,"Y"))</f>
        <v/>
      </c>
      <c r="H867" s="9" t="n"/>
    </row>
    <row r="868" ht="14.25" customHeight="1" s="37">
      <c r="A868" s="9" t="n"/>
      <c r="B868" s="9" t="n"/>
      <c r="C868" s="9" t="n"/>
      <c r="D868" s="9" t="n"/>
      <c r="E868" s="9" t="n"/>
      <c r="F868" s="9" t="n"/>
      <c r="G868" s="9">
        <f>IF(OR(E868="",F868=""),"",DATEDIF(E868,F868,"Y"))</f>
        <v/>
      </c>
      <c r="H868" s="9" t="n"/>
    </row>
    <row r="869" ht="14.25" customHeight="1" s="37">
      <c r="A869" s="9" t="n"/>
      <c r="B869" s="9" t="n"/>
      <c r="C869" s="9" t="n"/>
      <c r="D869" s="9" t="n"/>
      <c r="E869" s="9" t="n"/>
      <c r="F869" s="9" t="n"/>
      <c r="G869" s="9">
        <f>IF(OR(E869="",F869=""),"",DATEDIF(E869,F869,"Y"))</f>
        <v/>
      </c>
      <c r="H869" s="9" t="n"/>
    </row>
    <row r="870" ht="14.25" customHeight="1" s="37">
      <c r="A870" s="9" t="n"/>
      <c r="B870" s="9" t="n"/>
      <c r="C870" s="9" t="n"/>
      <c r="D870" s="9" t="n"/>
      <c r="E870" s="9" t="n"/>
      <c r="F870" s="9" t="n"/>
      <c r="G870" s="9">
        <f>IF(OR(E870="",F870=""),"",DATEDIF(E870,F870,"Y"))</f>
        <v/>
      </c>
      <c r="H870" s="9" t="n"/>
    </row>
    <row r="871" ht="14.25" customHeight="1" s="37">
      <c r="A871" s="9" t="n"/>
      <c r="B871" s="9" t="n"/>
      <c r="C871" s="9" t="n"/>
      <c r="D871" s="9" t="n"/>
      <c r="E871" s="9" t="n"/>
      <c r="F871" s="9" t="n"/>
      <c r="G871" s="9">
        <f>IF(OR(E871="",F871=""),"",DATEDIF(E871,F871,"Y"))</f>
        <v/>
      </c>
      <c r="H871" s="9" t="n"/>
    </row>
    <row r="872" ht="14.25" customHeight="1" s="37">
      <c r="A872" s="9" t="n"/>
      <c r="B872" s="9" t="n"/>
      <c r="C872" s="9" t="n"/>
      <c r="D872" s="9" t="n"/>
      <c r="E872" s="9" t="n"/>
      <c r="F872" s="9" t="n"/>
      <c r="G872" s="9">
        <f>IF(OR(E872="",F872=""),"",DATEDIF(E872,F872,"Y"))</f>
        <v/>
      </c>
      <c r="H872" s="9" t="n"/>
    </row>
    <row r="873" ht="14.25" customHeight="1" s="37">
      <c r="A873" s="9" t="n"/>
      <c r="B873" s="9" t="n"/>
      <c r="C873" s="9" t="n"/>
      <c r="D873" s="9" t="n"/>
      <c r="E873" s="9" t="n"/>
      <c r="F873" s="9" t="n"/>
      <c r="G873" s="9">
        <f>IF(OR(E873="",F873=""),"",DATEDIF(E873,F873,"Y"))</f>
        <v/>
      </c>
      <c r="H873" s="9" t="n"/>
    </row>
    <row r="874" ht="14.25" customHeight="1" s="37">
      <c r="A874" s="9" t="n"/>
      <c r="B874" s="9" t="n"/>
      <c r="C874" s="9" t="n"/>
      <c r="D874" s="9" t="n"/>
      <c r="E874" s="9" t="n"/>
      <c r="F874" s="9" t="n"/>
      <c r="G874" s="9">
        <f>IF(OR(E874="",F874=""),"",DATEDIF(E874,F874,"Y"))</f>
        <v/>
      </c>
      <c r="H874" s="9" t="n"/>
    </row>
    <row r="875" ht="14.25" customHeight="1" s="37">
      <c r="A875" s="9" t="n"/>
      <c r="B875" s="9" t="n"/>
      <c r="C875" s="9" t="n"/>
      <c r="D875" s="9" t="n"/>
      <c r="E875" s="9" t="n"/>
      <c r="F875" s="9" t="n"/>
      <c r="G875" s="9">
        <f>IF(OR(E875="",F875=""),"",DATEDIF(E875,F875,"Y"))</f>
        <v/>
      </c>
      <c r="H875" s="9" t="n"/>
    </row>
    <row r="876" ht="14.25" customHeight="1" s="37">
      <c r="A876" s="9" t="n"/>
      <c r="B876" s="9" t="n"/>
      <c r="C876" s="9" t="n"/>
      <c r="D876" s="9" t="n"/>
      <c r="E876" s="9" t="n"/>
      <c r="F876" s="9" t="n"/>
      <c r="G876" s="9">
        <f>IF(OR(E876="",F876=""),"",DATEDIF(E876,F876,"Y"))</f>
        <v/>
      </c>
      <c r="H876" s="9" t="n"/>
    </row>
    <row r="877" ht="14.25" customHeight="1" s="37">
      <c r="A877" s="9" t="n"/>
      <c r="B877" s="9" t="n"/>
      <c r="C877" s="9" t="n"/>
      <c r="D877" s="9" t="n"/>
      <c r="E877" s="9" t="n"/>
      <c r="F877" s="9" t="n"/>
      <c r="G877" s="9">
        <f>IF(OR(E877="",F877=""),"",DATEDIF(E877,F877,"Y"))</f>
        <v/>
      </c>
      <c r="H877" s="9" t="n"/>
    </row>
    <row r="878" ht="14.25" customHeight="1" s="37">
      <c r="A878" s="9" t="n"/>
      <c r="B878" s="9" t="n"/>
      <c r="C878" s="9" t="n"/>
      <c r="D878" s="9" t="n"/>
      <c r="E878" s="9" t="n"/>
      <c r="F878" s="9" t="n"/>
      <c r="G878" s="9">
        <f>IF(OR(E878="",F878=""),"",DATEDIF(E878,F878,"Y"))</f>
        <v/>
      </c>
      <c r="H878" s="9" t="n"/>
    </row>
    <row r="879" ht="14.25" customHeight="1" s="37">
      <c r="A879" s="9" t="n"/>
      <c r="B879" s="9" t="n"/>
      <c r="C879" s="9" t="n"/>
      <c r="D879" s="9" t="n"/>
      <c r="E879" s="9" t="n"/>
      <c r="F879" s="9" t="n"/>
      <c r="G879" s="9">
        <f>IF(OR(E879="",F879=""),"",DATEDIF(E879,F879,"Y"))</f>
        <v/>
      </c>
      <c r="H879" s="9" t="n"/>
    </row>
    <row r="880" ht="14.25" customHeight="1" s="37">
      <c r="A880" s="9" t="n"/>
      <c r="B880" s="9" t="n"/>
      <c r="C880" s="9" t="n"/>
      <c r="D880" s="9" t="n"/>
      <c r="E880" s="9" t="n"/>
      <c r="F880" s="9" t="n"/>
      <c r="G880" s="9">
        <f>IF(OR(E880="",F880=""),"",DATEDIF(E880,F880,"Y"))</f>
        <v/>
      </c>
      <c r="H880" s="9" t="n"/>
    </row>
    <row r="881" ht="14.25" customHeight="1" s="37">
      <c r="A881" s="9" t="n"/>
      <c r="B881" s="9" t="n"/>
      <c r="C881" s="9" t="n"/>
      <c r="D881" s="9" t="n"/>
      <c r="E881" s="9" t="n"/>
      <c r="F881" s="9" t="n"/>
      <c r="G881" s="9">
        <f>IF(OR(E881="",F881=""),"",DATEDIF(E881,F881,"Y"))</f>
        <v/>
      </c>
      <c r="H881" s="9" t="n"/>
    </row>
    <row r="882" ht="14.25" customHeight="1" s="37">
      <c r="A882" s="9" t="n"/>
      <c r="B882" s="9" t="n"/>
      <c r="C882" s="9" t="n"/>
      <c r="D882" s="9" t="n"/>
      <c r="E882" s="9" t="n"/>
      <c r="F882" s="9" t="n"/>
      <c r="G882" s="9">
        <f>IF(OR(E882="",F882=""),"",DATEDIF(E882,F882,"Y"))</f>
        <v/>
      </c>
      <c r="H882" s="9" t="n"/>
    </row>
    <row r="883" ht="14.25" customHeight="1" s="37">
      <c r="A883" s="9" t="n"/>
      <c r="B883" s="9" t="n"/>
      <c r="C883" s="9" t="n"/>
      <c r="D883" s="9" t="n"/>
      <c r="E883" s="9" t="n"/>
      <c r="F883" s="9" t="n"/>
      <c r="G883" s="9">
        <f>IF(OR(E883="",F883=""),"",DATEDIF(E883,F883,"Y"))</f>
        <v/>
      </c>
      <c r="H883" s="9" t="n"/>
    </row>
    <row r="884" ht="14.25" customHeight="1" s="37">
      <c r="A884" s="9" t="n"/>
      <c r="B884" s="9" t="n"/>
      <c r="C884" s="9" t="n"/>
      <c r="D884" s="9" t="n"/>
      <c r="E884" s="9" t="n"/>
      <c r="F884" s="9" t="n"/>
      <c r="G884" s="9">
        <f>IF(OR(E884="",F884=""),"",DATEDIF(E884,F884,"Y"))</f>
        <v/>
      </c>
      <c r="H884" s="9" t="n"/>
    </row>
    <row r="885" ht="14.25" customHeight="1" s="37">
      <c r="A885" s="9" t="n"/>
      <c r="B885" s="9" t="n"/>
      <c r="C885" s="9" t="n"/>
      <c r="D885" s="9" t="n"/>
      <c r="E885" s="9" t="n"/>
      <c r="F885" s="9" t="n"/>
      <c r="G885" s="9">
        <f>IF(OR(E885="",F885=""),"",DATEDIF(E885,F885,"Y"))</f>
        <v/>
      </c>
      <c r="H885" s="9" t="n"/>
    </row>
    <row r="886" ht="14.25" customHeight="1" s="37">
      <c r="A886" s="9" t="n"/>
      <c r="B886" s="9" t="n"/>
      <c r="C886" s="9" t="n"/>
      <c r="D886" s="9" t="n"/>
      <c r="E886" s="9" t="n"/>
      <c r="F886" s="9" t="n"/>
      <c r="G886" s="9">
        <f>IF(OR(E886="",F886=""),"",DATEDIF(E886,F886,"Y"))</f>
        <v/>
      </c>
      <c r="H886" s="9" t="n"/>
    </row>
    <row r="887" ht="14.25" customHeight="1" s="37">
      <c r="A887" s="9" t="n"/>
      <c r="B887" s="9" t="n"/>
      <c r="C887" s="9" t="n"/>
      <c r="D887" s="9" t="n"/>
      <c r="E887" s="9" t="n"/>
      <c r="F887" s="9" t="n"/>
      <c r="G887" s="9">
        <f>IF(OR(E887="",F887=""),"",DATEDIF(E887,F887,"Y"))</f>
        <v/>
      </c>
      <c r="H887" s="9" t="n"/>
    </row>
    <row r="888" ht="14.25" customHeight="1" s="37">
      <c r="A888" s="9" t="n"/>
      <c r="B888" s="9" t="n"/>
      <c r="C888" s="9" t="n"/>
      <c r="D888" s="9" t="n"/>
      <c r="E888" s="9" t="n"/>
      <c r="F888" s="9" t="n"/>
      <c r="G888" s="9">
        <f>IF(OR(E888="",F888=""),"",DATEDIF(E888,F888,"Y"))</f>
        <v/>
      </c>
      <c r="H888" s="9" t="n"/>
    </row>
    <row r="889" ht="14.25" customHeight="1" s="37">
      <c r="A889" s="9" t="n"/>
      <c r="B889" s="9" t="n"/>
      <c r="C889" s="9" t="n"/>
      <c r="D889" s="9" t="n"/>
      <c r="E889" s="9" t="n"/>
      <c r="F889" s="9" t="n"/>
      <c r="G889" s="9">
        <f>IF(OR(E889="",F889=""),"",DATEDIF(E889,F889,"Y"))</f>
        <v/>
      </c>
      <c r="H889" s="9" t="n"/>
    </row>
    <row r="890" ht="14.25" customHeight="1" s="37">
      <c r="A890" s="9" t="n"/>
      <c r="B890" s="9" t="n"/>
      <c r="C890" s="9" t="n"/>
      <c r="D890" s="9" t="n"/>
      <c r="E890" s="9" t="n"/>
      <c r="F890" s="9" t="n"/>
      <c r="G890" s="9">
        <f>IF(OR(E890="",F890=""),"",DATEDIF(E890,F890,"Y"))</f>
        <v/>
      </c>
      <c r="H890" s="9" t="n"/>
    </row>
    <row r="891" ht="14.25" customHeight="1" s="37">
      <c r="A891" s="9" t="n"/>
      <c r="B891" s="9" t="n"/>
      <c r="C891" s="9" t="n"/>
      <c r="D891" s="9" t="n"/>
      <c r="E891" s="9" t="n"/>
      <c r="F891" s="9" t="n"/>
      <c r="G891" s="9">
        <f>IF(OR(E891="",F891=""),"",DATEDIF(E891,F891,"Y"))</f>
        <v/>
      </c>
      <c r="H891" s="9" t="n"/>
    </row>
    <row r="892" ht="14.25" customHeight="1" s="37">
      <c r="A892" s="9" t="n"/>
      <c r="B892" s="9" t="n"/>
      <c r="C892" s="9" t="n"/>
      <c r="D892" s="9" t="n"/>
      <c r="E892" s="9" t="n"/>
      <c r="F892" s="9" t="n"/>
      <c r="G892" s="9">
        <f>IF(OR(E892="",F892=""),"",DATEDIF(E892,F892,"Y"))</f>
        <v/>
      </c>
      <c r="H892" s="9" t="n"/>
    </row>
    <row r="893" ht="14.25" customHeight="1" s="37">
      <c r="A893" s="9" t="n"/>
      <c r="B893" s="9" t="n"/>
      <c r="C893" s="9" t="n"/>
      <c r="D893" s="9" t="n"/>
      <c r="E893" s="9" t="n"/>
      <c r="F893" s="9" t="n"/>
      <c r="G893" s="9">
        <f>IF(OR(E893="",F893=""),"",DATEDIF(E893,F893,"Y"))</f>
        <v/>
      </c>
      <c r="H893" s="9" t="n"/>
    </row>
    <row r="894" ht="14.25" customHeight="1" s="37">
      <c r="A894" s="9" t="n"/>
      <c r="B894" s="9" t="n"/>
      <c r="C894" s="9" t="n"/>
      <c r="D894" s="9" t="n"/>
      <c r="E894" s="9" t="n"/>
      <c r="F894" s="9" t="n"/>
      <c r="G894" s="9">
        <f>IF(OR(E894="",F894=""),"",DATEDIF(E894,F894,"Y"))</f>
        <v/>
      </c>
      <c r="H894" s="9" t="n"/>
    </row>
    <row r="895" ht="14.25" customHeight="1" s="37">
      <c r="A895" s="9" t="n"/>
      <c r="B895" s="9" t="n"/>
      <c r="C895" s="9" t="n"/>
      <c r="D895" s="9" t="n"/>
      <c r="E895" s="9" t="n"/>
      <c r="F895" s="9" t="n"/>
      <c r="G895" s="9">
        <f>IF(OR(E895="",F895=""),"",DATEDIF(E895,F895,"Y"))</f>
        <v/>
      </c>
      <c r="H895" s="9" t="n"/>
    </row>
    <row r="896" ht="14.25" customHeight="1" s="37">
      <c r="A896" s="9" t="n"/>
      <c r="B896" s="9" t="n"/>
      <c r="C896" s="9" t="n"/>
      <c r="D896" s="9" t="n"/>
      <c r="E896" s="9" t="n"/>
      <c r="F896" s="9" t="n"/>
      <c r="G896" s="9">
        <f>IF(OR(E896="",F896=""),"",DATEDIF(E896,F896,"Y"))</f>
        <v/>
      </c>
      <c r="H896" s="9" t="n"/>
    </row>
    <row r="897" ht="14.25" customHeight="1" s="37">
      <c r="A897" s="9" t="n"/>
      <c r="B897" s="9" t="n"/>
      <c r="C897" s="9" t="n"/>
      <c r="D897" s="9" t="n"/>
      <c r="E897" s="9" t="n"/>
      <c r="F897" s="9" t="n"/>
      <c r="G897" s="9">
        <f>IF(OR(E897="",F897=""),"",DATEDIF(E897,F897,"Y"))</f>
        <v/>
      </c>
      <c r="H897" s="9" t="n"/>
    </row>
    <row r="898" ht="14.25" customHeight="1" s="37">
      <c r="A898" s="9" t="n"/>
      <c r="B898" s="9" t="n"/>
      <c r="C898" s="9" t="n"/>
      <c r="D898" s="9" t="n"/>
      <c r="E898" s="9" t="n"/>
      <c r="F898" s="9" t="n"/>
      <c r="G898" s="9">
        <f>IF(OR(E898="",F898=""),"",DATEDIF(E898,F898,"Y"))</f>
        <v/>
      </c>
      <c r="H898" s="9" t="n"/>
    </row>
    <row r="899" ht="14.25" customHeight="1" s="37">
      <c r="A899" s="9" t="n"/>
      <c r="B899" s="9" t="n"/>
      <c r="C899" s="9" t="n"/>
      <c r="D899" s="9" t="n"/>
      <c r="E899" s="9" t="n"/>
      <c r="F899" s="9" t="n"/>
      <c r="G899" s="9">
        <f>IF(OR(E899="",F899=""),"",DATEDIF(E899,F899,"Y"))</f>
        <v/>
      </c>
      <c r="H899" s="9" t="n"/>
    </row>
    <row r="900" ht="14.25" customHeight="1" s="37">
      <c r="A900" s="9" t="n"/>
      <c r="B900" s="9" t="n"/>
      <c r="C900" s="9" t="n"/>
      <c r="D900" s="9" t="n"/>
      <c r="E900" s="9" t="n"/>
      <c r="F900" s="9" t="n"/>
      <c r="G900" s="9">
        <f>IF(OR(E900="",F900=""),"",DATEDIF(E900,F900,"Y"))</f>
        <v/>
      </c>
      <c r="H900" s="9" t="n"/>
    </row>
    <row r="901" ht="14.25" customHeight="1" s="37">
      <c r="A901" s="9" t="n"/>
      <c r="B901" s="9" t="n"/>
      <c r="C901" s="9" t="n"/>
      <c r="D901" s="9" t="n"/>
      <c r="E901" s="9" t="n"/>
      <c r="F901" s="9" t="n"/>
      <c r="G901" s="9">
        <f>IF(OR(E901="",F901=""),"",DATEDIF(E901,F901,"Y"))</f>
        <v/>
      </c>
      <c r="H901" s="9" t="n"/>
    </row>
    <row r="902" ht="14.25" customHeight="1" s="37">
      <c r="A902" s="9" t="n"/>
      <c r="B902" s="9" t="n"/>
      <c r="C902" s="9" t="n"/>
      <c r="D902" s="9" t="n"/>
      <c r="E902" s="9" t="n"/>
      <c r="F902" s="9" t="n"/>
      <c r="G902" s="9">
        <f>IF(OR(E902="",F902=""),"",DATEDIF(E902,F902,"Y"))</f>
        <v/>
      </c>
      <c r="H902" s="9" t="n"/>
    </row>
    <row r="903" ht="14.25" customHeight="1" s="37">
      <c r="A903" s="9" t="n"/>
      <c r="B903" s="9" t="n"/>
      <c r="C903" s="9" t="n"/>
      <c r="D903" s="9" t="n"/>
      <c r="E903" s="9" t="n"/>
      <c r="F903" s="9" t="n"/>
      <c r="G903" s="9">
        <f>IF(OR(E903="",F903=""),"",DATEDIF(E903,F903,"Y"))</f>
        <v/>
      </c>
      <c r="H903" s="9" t="n"/>
    </row>
    <row r="904" ht="14.25" customHeight="1" s="37">
      <c r="A904" s="9" t="n"/>
      <c r="B904" s="9" t="n"/>
      <c r="C904" s="9" t="n"/>
      <c r="D904" s="9" t="n"/>
      <c r="E904" s="9" t="n"/>
      <c r="F904" s="9" t="n"/>
      <c r="G904" s="9">
        <f>IF(OR(E904="",F904=""),"",DATEDIF(E904,F904,"Y"))</f>
        <v/>
      </c>
      <c r="H904" s="9" t="n"/>
    </row>
    <row r="905" ht="14.25" customHeight="1" s="37">
      <c r="A905" s="9" t="n"/>
      <c r="B905" s="9" t="n"/>
      <c r="C905" s="9" t="n"/>
      <c r="D905" s="9" t="n"/>
      <c r="E905" s="9" t="n"/>
      <c r="F905" s="9" t="n"/>
      <c r="G905" s="9">
        <f>IF(OR(E905="",F905=""),"",DATEDIF(E905,F905,"Y"))</f>
        <v/>
      </c>
      <c r="H905" s="9" t="n"/>
    </row>
    <row r="906" ht="14.25" customHeight="1" s="37">
      <c r="A906" s="9" t="n"/>
      <c r="B906" s="9" t="n"/>
      <c r="C906" s="9" t="n"/>
      <c r="D906" s="9" t="n"/>
      <c r="E906" s="9" t="n"/>
      <c r="F906" s="9" t="n"/>
      <c r="G906" s="9">
        <f>IF(OR(E906="",F906=""),"",DATEDIF(E906,F906,"Y"))</f>
        <v/>
      </c>
      <c r="H906" s="9" t="n"/>
    </row>
    <row r="907" ht="14.25" customHeight="1" s="37">
      <c r="A907" s="9" t="n"/>
      <c r="B907" s="9" t="n"/>
      <c r="C907" s="9" t="n"/>
      <c r="D907" s="9" t="n"/>
      <c r="E907" s="9" t="n"/>
      <c r="F907" s="9" t="n"/>
      <c r="G907" s="9">
        <f>IF(OR(E907="",F907=""),"",DATEDIF(E907,F907,"Y"))</f>
        <v/>
      </c>
      <c r="H907" s="9" t="n"/>
    </row>
    <row r="908" ht="14.25" customHeight="1" s="37">
      <c r="A908" s="9" t="n"/>
      <c r="B908" s="9" t="n"/>
      <c r="C908" s="9" t="n"/>
      <c r="D908" s="9" t="n"/>
      <c r="E908" s="9" t="n"/>
      <c r="F908" s="9" t="n"/>
      <c r="G908" s="9">
        <f>IF(OR(E908="",F908=""),"",DATEDIF(E908,F908,"Y"))</f>
        <v/>
      </c>
      <c r="H908" s="9" t="n"/>
    </row>
    <row r="909" ht="14.25" customHeight="1" s="37">
      <c r="A909" s="9" t="n"/>
      <c r="B909" s="9" t="n"/>
      <c r="C909" s="9" t="n"/>
      <c r="D909" s="9" t="n"/>
      <c r="E909" s="9" t="n"/>
      <c r="F909" s="9" t="n"/>
      <c r="G909" s="9">
        <f>IF(OR(E909="",F909=""),"",DATEDIF(E909,F909,"Y"))</f>
        <v/>
      </c>
      <c r="H909" s="9" t="n"/>
    </row>
    <row r="910" ht="14.25" customHeight="1" s="37">
      <c r="A910" s="9" t="n"/>
      <c r="B910" s="9" t="n"/>
      <c r="C910" s="9" t="n"/>
      <c r="D910" s="9" t="n"/>
      <c r="E910" s="9" t="n"/>
      <c r="F910" s="9" t="n"/>
      <c r="G910" s="9">
        <f>IF(OR(E910="",F910=""),"",DATEDIF(E910,F910,"Y"))</f>
        <v/>
      </c>
      <c r="H910" s="9" t="n"/>
    </row>
    <row r="911" ht="14.25" customHeight="1" s="37">
      <c r="A911" s="9" t="n"/>
      <c r="B911" s="9" t="n"/>
      <c r="C911" s="9" t="n"/>
      <c r="D911" s="9" t="n"/>
      <c r="E911" s="9" t="n"/>
      <c r="F911" s="9" t="n"/>
      <c r="G911" s="9">
        <f>IF(OR(E911="",F911=""),"",DATEDIF(E911,F911,"Y"))</f>
        <v/>
      </c>
      <c r="H911" s="9" t="n"/>
    </row>
    <row r="912" ht="14.25" customHeight="1" s="37">
      <c r="A912" s="9" t="n"/>
      <c r="B912" s="9" t="n"/>
      <c r="C912" s="9" t="n"/>
      <c r="D912" s="9" t="n"/>
      <c r="E912" s="9" t="n"/>
      <c r="F912" s="9" t="n"/>
      <c r="G912" s="9">
        <f>IF(OR(E912="",F912=""),"",DATEDIF(E912,F912,"Y"))</f>
        <v/>
      </c>
      <c r="H912" s="9" t="n"/>
    </row>
    <row r="913" ht="14.25" customHeight="1" s="37">
      <c r="A913" s="9" t="n"/>
      <c r="B913" s="9" t="n"/>
      <c r="C913" s="9" t="n"/>
      <c r="D913" s="9" t="n"/>
      <c r="E913" s="9" t="n"/>
      <c r="F913" s="9" t="n"/>
      <c r="G913" s="9">
        <f>IF(OR(E913="",F913=""),"",DATEDIF(E913,F913,"Y"))</f>
        <v/>
      </c>
      <c r="H913" s="9" t="n"/>
    </row>
    <row r="914" ht="14.25" customHeight="1" s="37">
      <c r="A914" s="9" t="n"/>
      <c r="B914" s="9" t="n"/>
      <c r="C914" s="9" t="n"/>
      <c r="D914" s="9" t="n"/>
      <c r="E914" s="9" t="n"/>
      <c r="F914" s="9" t="n"/>
      <c r="G914" s="9">
        <f>IF(OR(E914="",F914=""),"",DATEDIF(E914,F914,"Y"))</f>
        <v/>
      </c>
      <c r="H914" s="9" t="n"/>
    </row>
    <row r="915" ht="14.25" customHeight="1" s="37">
      <c r="A915" s="9" t="n"/>
      <c r="B915" s="9" t="n"/>
      <c r="C915" s="9" t="n"/>
      <c r="D915" s="9" t="n"/>
      <c r="E915" s="9" t="n"/>
      <c r="F915" s="9" t="n"/>
      <c r="G915" s="9">
        <f>IF(OR(E915="",F915=""),"",DATEDIF(E915,F915,"Y"))</f>
        <v/>
      </c>
      <c r="H915" s="9" t="n"/>
    </row>
    <row r="916" ht="14.25" customHeight="1" s="37">
      <c r="A916" s="9" t="n"/>
      <c r="B916" s="9" t="n"/>
      <c r="C916" s="9" t="n"/>
      <c r="D916" s="9" t="n"/>
      <c r="E916" s="9" t="n"/>
      <c r="F916" s="9" t="n"/>
      <c r="G916" s="9">
        <f>IF(OR(E916="",F916=""),"",DATEDIF(E916,F916,"Y"))</f>
        <v/>
      </c>
      <c r="H916" s="9" t="n"/>
    </row>
    <row r="917" ht="14.25" customHeight="1" s="37">
      <c r="A917" s="9" t="n"/>
      <c r="B917" s="9" t="n"/>
      <c r="C917" s="9" t="n"/>
      <c r="D917" s="9" t="n"/>
      <c r="E917" s="9" t="n"/>
      <c r="F917" s="9" t="n"/>
      <c r="G917" s="9">
        <f>IF(OR(E917="",F917=""),"",DATEDIF(E917,F917,"Y"))</f>
        <v/>
      </c>
      <c r="H917" s="9" t="n"/>
    </row>
    <row r="918" ht="14.25" customHeight="1" s="37">
      <c r="A918" s="9" t="n"/>
      <c r="B918" s="9" t="n"/>
      <c r="C918" s="9" t="n"/>
      <c r="D918" s="9" t="n"/>
      <c r="E918" s="9" t="n"/>
      <c r="F918" s="9" t="n"/>
      <c r="G918" s="9">
        <f>IF(OR(E918="",F918=""),"",DATEDIF(E918,F918,"Y"))</f>
        <v/>
      </c>
      <c r="H918" s="9" t="n"/>
    </row>
    <row r="919" ht="14.25" customHeight="1" s="37">
      <c r="A919" s="9" t="n"/>
      <c r="B919" s="9" t="n"/>
      <c r="C919" s="9" t="n"/>
      <c r="D919" s="9" t="n"/>
      <c r="E919" s="9" t="n"/>
      <c r="F919" s="9" t="n"/>
      <c r="G919" s="9">
        <f>IF(OR(E919="",F919=""),"",DATEDIF(E919,F919,"Y"))</f>
        <v/>
      </c>
      <c r="H919" s="9" t="n"/>
    </row>
    <row r="920" ht="14.25" customHeight="1" s="37">
      <c r="A920" s="9" t="n"/>
      <c r="B920" s="9" t="n"/>
      <c r="C920" s="9" t="n"/>
      <c r="D920" s="9" t="n"/>
      <c r="E920" s="9" t="n"/>
      <c r="F920" s="9" t="n"/>
      <c r="G920" s="9">
        <f>IF(OR(E920="",F920=""),"",DATEDIF(E920,F920,"Y"))</f>
        <v/>
      </c>
      <c r="H920" s="9" t="n"/>
    </row>
    <row r="921" ht="14.25" customHeight="1" s="37">
      <c r="A921" s="9" t="n"/>
      <c r="B921" s="9" t="n"/>
      <c r="C921" s="9" t="n"/>
      <c r="D921" s="9" t="n"/>
      <c r="E921" s="9" t="n"/>
      <c r="F921" s="9" t="n"/>
      <c r="G921" s="9">
        <f>IF(OR(E921="",F921=""),"",DATEDIF(E921,F921,"Y"))</f>
        <v/>
      </c>
      <c r="H921" s="9" t="n"/>
    </row>
    <row r="922" ht="14.25" customHeight="1" s="37">
      <c r="A922" s="9" t="n"/>
      <c r="B922" s="9" t="n"/>
      <c r="C922" s="9" t="n"/>
      <c r="D922" s="9" t="n"/>
      <c r="E922" s="9" t="n"/>
      <c r="F922" s="9" t="n"/>
      <c r="G922" s="9">
        <f>IF(OR(E922="",F922=""),"",DATEDIF(E922,F922,"Y"))</f>
        <v/>
      </c>
      <c r="H922" s="9" t="n"/>
    </row>
    <row r="923" ht="14.25" customHeight="1" s="37">
      <c r="A923" s="9" t="n"/>
      <c r="B923" s="9" t="n"/>
      <c r="C923" s="9" t="n"/>
      <c r="D923" s="9" t="n"/>
      <c r="E923" s="9" t="n"/>
      <c r="F923" s="9" t="n"/>
      <c r="G923" s="9">
        <f>IF(OR(E923="",F923=""),"",DATEDIF(E923,F923,"Y"))</f>
        <v/>
      </c>
      <c r="H923" s="9" t="n"/>
    </row>
    <row r="924" ht="14.25" customHeight="1" s="37">
      <c r="A924" s="9" t="n"/>
      <c r="B924" s="9" t="n"/>
      <c r="C924" s="9" t="n"/>
      <c r="D924" s="9" t="n"/>
      <c r="E924" s="9" t="n"/>
      <c r="F924" s="9" t="n"/>
      <c r="G924" s="9">
        <f>IF(OR(E924="",F924=""),"",DATEDIF(E924,F924,"Y"))</f>
        <v/>
      </c>
      <c r="H924" s="9" t="n"/>
    </row>
    <row r="925" ht="14.25" customHeight="1" s="37">
      <c r="A925" s="9" t="n"/>
      <c r="B925" s="9" t="n"/>
      <c r="C925" s="9" t="n"/>
      <c r="D925" s="9" t="n"/>
      <c r="E925" s="9" t="n"/>
      <c r="F925" s="9" t="n"/>
      <c r="G925" s="9">
        <f>IF(OR(E925="",F925=""),"",DATEDIF(E925,F925,"Y"))</f>
        <v/>
      </c>
      <c r="H925" s="9" t="n"/>
    </row>
    <row r="926" ht="14.25" customHeight="1" s="37">
      <c r="A926" s="9" t="n"/>
      <c r="B926" s="9" t="n"/>
      <c r="C926" s="9" t="n"/>
      <c r="D926" s="9" t="n"/>
      <c r="E926" s="9" t="n"/>
      <c r="F926" s="9" t="n"/>
      <c r="G926" s="9">
        <f>IF(OR(E926="",F926=""),"",DATEDIF(E926,F926,"Y"))</f>
        <v/>
      </c>
      <c r="H926" s="9" t="n"/>
    </row>
    <row r="927" ht="14.25" customHeight="1" s="37">
      <c r="A927" s="9" t="n"/>
      <c r="B927" s="9" t="n"/>
      <c r="C927" s="9" t="n"/>
      <c r="D927" s="9" t="n"/>
      <c r="E927" s="9" t="n"/>
      <c r="F927" s="9" t="n"/>
      <c r="G927" s="9">
        <f>IF(OR(E927="",F927=""),"",DATEDIF(E927,F927,"Y"))</f>
        <v/>
      </c>
      <c r="H927" s="9" t="n"/>
    </row>
    <row r="928" ht="14.25" customHeight="1" s="37">
      <c r="A928" s="9" t="n"/>
      <c r="B928" s="9" t="n"/>
      <c r="C928" s="9" t="n"/>
      <c r="D928" s="9" t="n"/>
      <c r="E928" s="9" t="n"/>
      <c r="F928" s="9" t="n"/>
      <c r="G928" s="9">
        <f>IF(OR(E928="",F928=""),"",DATEDIF(E928,F928,"Y"))</f>
        <v/>
      </c>
      <c r="H928" s="9" t="n"/>
    </row>
    <row r="929" ht="14.25" customHeight="1" s="37">
      <c r="A929" s="9" t="n"/>
      <c r="B929" s="9" t="n"/>
      <c r="C929" s="9" t="n"/>
      <c r="D929" s="9" t="n"/>
      <c r="E929" s="9" t="n"/>
      <c r="F929" s="9" t="n"/>
      <c r="G929" s="9">
        <f>IF(OR(E929="",F929=""),"",DATEDIF(E929,F929,"Y"))</f>
        <v/>
      </c>
      <c r="H929" s="9" t="n"/>
    </row>
    <row r="930" ht="14.25" customHeight="1" s="37">
      <c r="A930" s="9" t="n"/>
      <c r="B930" s="9" t="n"/>
      <c r="C930" s="9" t="n"/>
      <c r="D930" s="9" t="n"/>
      <c r="E930" s="9" t="n"/>
      <c r="F930" s="9" t="n"/>
      <c r="G930" s="9">
        <f>IF(OR(E930="",F930=""),"",DATEDIF(E930,F930,"Y"))</f>
        <v/>
      </c>
      <c r="H930" s="9" t="n"/>
    </row>
    <row r="931" ht="14.25" customHeight="1" s="37">
      <c r="A931" s="9" t="n"/>
      <c r="B931" s="9" t="n"/>
      <c r="C931" s="9" t="n"/>
      <c r="D931" s="9" t="n"/>
      <c r="E931" s="9" t="n"/>
      <c r="F931" s="9" t="n"/>
      <c r="G931" s="9">
        <f>IF(OR(E931="",F931=""),"",DATEDIF(E931,F931,"Y"))</f>
        <v/>
      </c>
      <c r="H931" s="9" t="n"/>
    </row>
    <row r="932" ht="14.25" customHeight="1" s="37">
      <c r="A932" s="9" t="n"/>
      <c r="B932" s="9" t="n"/>
      <c r="C932" s="9" t="n"/>
      <c r="D932" s="9" t="n"/>
      <c r="E932" s="9" t="n"/>
      <c r="F932" s="9" t="n"/>
      <c r="G932" s="9">
        <f>IF(OR(E932="",F932=""),"",DATEDIF(E932,F932,"Y"))</f>
        <v/>
      </c>
      <c r="H932" s="9" t="n"/>
    </row>
    <row r="933" ht="14.25" customHeight="1" s="37">
      <c r="A933" s="9" t="n"/>
      <c r="B933" s="9" t="n"/>
      <c r="C933" s="9" t="n"/>
      <c r="D933" s="9" t="n"/>
      <c r="E933" s="9" t="n"/>
      <c r="F933" s="9" t="n"/>
      <c r="G933" s="9">
        <f>IF(OR(E933="",F933=""),"",DATEDIF(E933,F933,"Y"))</f>
        <v/>
      </c>
      <c r="H933" s="9" t="n"/>
    </row>
    <row r="934" ht="14.25" customHeight="1" s="37">
      <c r="A934" s="9" t="n"/>
      <c r="B934" s="9" t="n"/>
      <c r="C934" s="9" t="n"/>
      <c r="D934" s="9" t="n"/>
      <c r="E934" s="9" t="n"/>
      <c r="F934" s="9" t="n"/>
      <c r="G934" s="9">
        <f>IF(OR(E934="",F934=""),"",DATEDIF(E934,F934,"Y"))</f>
        <v/>
      </c>
      <c r="H934" s="9" t="n"/>
    </row>
    <row r="935" ht="14.25" customHeight="1" s="37">
      <c r="A935" s="9" t="n"/>
      <c r="B935" s="9" t="n"/>
      <c r="C935" s="9" t="n"/>
      <c r="D935" s="9" t="n"/>
      <c r="E935" s="9" t="n"/>
      <c r="F935" s="9" t="n"/>
      <c r="G935" s="9">
        <f>IF(OR(E935="",F935=""),"",DATEDIF(E935,F935,"Y"))</f>
        <v/>
      </c>
      <c r="H935" s="9" t="n"/>
    </row>
    <row r="936" ht="14.25" customHeight="1" s="37">
      <c r="A936" s="9" t="n"/>
      <c r="B936" s="9" t="n"/>
      <c r="C936" s="9" t="n"/>
      <c r="D936" s="9" t="n"/>
      <c r="E936" s="9" t="n"/>
      <c r="F936" s="9" t="n"/>
      <c r="G936" s="9">
        <f>IF(OR(E936="",F936=""),"",DATEDIF(E936,F936,"Y"))</f>
        <v/>
      </c>
      <c r="H936" s="9" t="n"/>
    </row>
    <row r="937" ht="14.25" customHeight="1" s="37">
      <c r="A937" s="9" t="n"/>
      <c r="B937" s="9" t="n"/>
      <c r="C937" s="9" t="n"/>
      <c r="D937" s="9" t="n"/>
      <c r="E937" s="9" t="n"/>
      <c r="F937" s="9" t="n"/>
      <c r="G937" s="9">
        <f>IF(OR(E937="",F937=""),"",DATEDIF(E937,F937,"Y"))</f>
        <v/>
      </c>
      <c r="H937" s="9" t="n"/>
    </row>
    <row r="938" ht="14.25" customHeight="1" s="37">
      <c r="A938" s="9" t="n"/>
      <c r="B938" s="9" t="n"/>
      <c r="C938" s="9" t="n"/>
      <c r="D938" s="9" t="n"/>
      <c r="E938" s="9" t="n"/>
      <c r="F938" s="9" t="n"/>
      <c r="G938" s="9">
        <f>IF(OR(E938="",F938=""),"",DATEDIF(E938,F938,"Y"))</f>
        <v/>
      </c>
      <c r="H938" s="9" t="n"/>
    </row>
    <row r="939" ht="14.25" customHeight="1" s="37">
      <c r="A939" s="9" t="n"/>
      <c r="B939" s="9" t="n"/>
      <c r="C939" s="9" t="n"/>
      <c r="D939" s="9" t="n"/>
      <c r="E939" s="9" t="n"/>
      <c r="F939" s="9" t="n"/>
      <c r="G939" s="9">
        <f>IF(OR(E939="",F939=""),"",DATEDIF(E939,F939,"Y"))</f>
        <v/>
      </c>
      <c r="H939" s="9" t="n"/>
    </row>
    <row r="940" ht="14.25" customHeight="1" s="37">
      <c r="A940" s="9" t="n"/>
      <c r="B940" s="9" t="n"/>
      <c r="C940" s="9" t="n"/>
      <c r="D940" s="9" t="n"/>
      <c r="E940" s="9" t="n"/>
      <c r="F940" s="9" t="n"/>
      <c r="G940" s="9">
        <f>IF(OR(E940="",F940=""),"",DATEDIF(E940,F940,"Y"))</f>
        <v/>
      </c>
      <c r="H940" s="9" t="n"/>
    </row>
    <row r="941" ht="14.25" customHeight="1" s="37">
      <c r="A941" s="9" t="n"/>
      <c r="B941" s="9" t="n"/>
      <c r="C941" s="9" t="n"/>
      <c r="D941" s="9" t="n"/>
      <c r="E941" s="9" t="n"/>
      <c r="F941" s="9" t="n"/>
      <c r="G941" s="9">
        <f>IF(OR(E941="",F941=""),"",DATEDIF(E941,F941,"Y"))</f>
        <v/>
      </c>
      <c r="H941" s="9" t="n"/>
    </row>
    <row r="942" ht="14.25" customHeight="1" s="37">
      <c r="A942" s="9" t="n"/>
      <c r="B942" s="9" t="n"/>
      <c r="C942" s="9" t="n"/>
      <c r="D942" s="9" t="n"/>
      <c r="E942" s="9" t="n"/>
      <c r="F942" s="9" t="n"/>
      <c r="G942" s="9">
        <f>IF(OR(E942="",F942=""),"",DATEDIF(E942,F942,"Y"))</f>
        <v/>
      </c>
      <c r="H942" s="9" t="n"/>
    </row>
    <row r="943" ht="14.25" customHeight="1" s="37">
      <c r="A943" s="9" t="n"/>
      <c r="B943" s="9" t="n"/>
      <c r="C943" s="9" t="n"/>
      <c r="D943" s="9" t="n"/>
      <c r="E943" s="9" t="n"/>
      <c r="F943" s="9" t="n"/>
      <c r="G943" s="9">
        <f>IF(OR(E943="",F943=""),"",DATEDIF(E943,F943,"Y"))</f>
        <v/>
      </c>
      <c r="H943" s="9" t="n"/>
    </row>
    <row r="944" ht="14.25" customHeight="1" s="37">
      <c r="A944" s="9" t="n"/>
      <c r="B944" s="9" t="n"/>
      <c r="C944" s="9" t="n"/>
      <c r="D944" s="9" t="n"/>
      <c r="E944" s="9" t="n"/>
      <c r="F944" s="9" t="n"/>
      <c r="G944" s="9">
        <f>IF(OR(E944="",F944=""),"",DATEDIF(E944,F944,"Y"))</f>
        <v/>
      </c>
      <c r="H944" s="9" t="n"/>
    </row>
    <row r="945" ht="14.25" customHeight="1" s="37">
      <c r="A945" s="9" t="n"/>
      <c r="B945" s="9" t="n"/>
      <c r="C945" s="9" t="n"/>
      <c r="D945" s="9" t="n"/>
      <c r="E945" s="9" t="n"/>
      <c r="F945" s="9" t="n"/>
      <c r="G945" s="9">
        <f>IF(OR(E945="",F945=""),"",DATEDIF(E945,F945,"Y"))</f>
        <v/>
      </c>
      <c r="H945" s="9" t="n"/>
    </row>
    <row r="946" ht="14.25" customHeight="1" s="37">
      <c r="A946" s="9" t="n"/>
      <c r="B946" s="9" t="n"/>
      <c r="C946" s="9" t="n"/>
      <c r="D946" s="9" t="n"/>
      <c r="E946" s="9" t="n"/>
      <c r="F946" s="9" t="n"/>
      <c r="G946" s="9">
        <f>IF(OR(E946="",F946=""),"",DATEDIF(E946,F946,"Y"))</f>
        <v/>
      </c>
      <c r="H946" s="9" t="n"/>
    </row>
    <row r="947" ht="14.25" customHeight="1" s="37">
      <c r="A947" s="9" t="n"/>
      <c r="B947" s="9" t="n"/>
      <c r="C947" s="9" t="n"/>
      <c r="D947" s="9" t="n"/>
      <c r="E947" s="9" t="n"/>
      <c r="F947" s="9" t="n"/>
      <c r="G947" s="9">
        <f>IF(OR(E947="",F947=""),"",DATEDIF(E947,F947,"Y"))</f>
        <v/>
      </c>
      <c r="H947" s="9" t="n"/>
    </row>
    <row r="948" ht="14.25" customHeight="1" s="37">
      <c r="A948" s="9" t="n"/>
      <c r="B948" s="9" t="n"/>
      <c r="C948" s="9" t="n"/>
      <c r="D948" s="9" t="n"/>
      <c r="E948" s="9" t="n"/>
      <c r="F948" s="9" t="n"/>
      <c r="G948" s="9">
        <f>IF(OR(E948="",F948=""),"",DATEDIF(E948,F948,"Y"))</f>
        <v/>
      </c>
      <c r="H948" s="9" t="n"/>
    </row>
    <row r="949" ht="14.25" customHeight="1" s="37">
      <c r="A949" s="9" t="n"/>
      <c r="B949" s="9" t="n"/>
      <c r="C949" s="9" t="n"/>
      <c r="D949" s="9" t="n"/>
      <c r="E949" s="9" t="n"/>
      <c r="F949" s="9" t="n"/>
      <c r="G949" s="9">
        <f>IF(OR(E949="",F949=""),"",DATEDIF(E949,F949,"Y"))</f>
        <v/>
      </c>
      <c r="H949" s="9" t="n"/>
    </row>
    <row r="950" ht="14.25" customHeight="1" s="37">
      <c r="A950" s="9" t="n"/>
      <c r="B950" s="9" t="n"/>
      <c r="C950" s="9" t="n"/>
      <c r="D950" s="9" t="n"/>
      <c r="E950" s="9" t="n"/>
      <c r="F950" s="9" t="n"/>
      <c r="G950" s="9">
        <f>IF(OR(E950="",F950=""),"",DATEDIF(E950,F950,"Y"))</f>
        <v/>
      </c>
      <c r="H950" s="9" t="n"/>
    </row>
    <row r="951" ht="14.25" customHeight="1" s="37">
      <c r="A951" s="9" t="n"/>
      <c r="B951" s="9" t="n"/>
      <c r="C951" s="9" t="n"/>
      <c r="D951" s="9" t="n"/>
      <c r="E951" s="9" t="n"/>
      <c r="F951" s="9" t="n"/>
      <c r="G951" s="9">
        <f>IF(OR(E951="",F951=""),"",DATEDIF(E951,F951,"Y"))</f>
        <v/>
      </c>
      <c r="H951" s="9" t="n"/>
    </row>
    <row r="952" ht="14.25" customHeight="1" s="37">
      <c r="A952" s="9" t="n"/>
      <c r="B952" s="9" t="n"/>
      <c r="C952" s="9" t="n"/>
      <c r="D952" s="9" t="n"/>
      <c r="E952" s="9" t="n"/>
      <c r="F952" s="9" t="n"/>
      <c r="G952" s="9">
        <f>IF(OR(E952="",F952=""),"",DATEDIF(E952,F952,"Y"))</f>
        <v/>
      </c>
      <c r="H952" s="9" t="n"/>
    </row>
    <row r="953" ht="14.25" customHeight="1" s="37">
      <c r="A953" s="9" t="n"/>
      <c r="B953" s="9" t="n"/>
      <c r="C953" s="9" t="n"/>
      <c r="D953" s="9" t="n"/>
      <c r="E953" s="9" t="n"/>
      <c r="F953" s="9" t="n"/>
      <c r="G953" s="9">
        <f>IF(OR(E953="",F953=""),"",DATEDIF(E953,F953,"Y"))</f>
        <v/>
      </c>
      <c r="H953" s="9" t="n"/>
    </row>
    <row r="954" ht="14.25" customHeight="1" s="37">
      <c r="A954" s="9" t="n"/>
      <c r="B954" s="9" t="n"/>
      <c r="C954" s="9" t="n"/>
      <c r="D954" s="9" t="n"/>
      <c r="E954" s="9" t="n"/>
      <c r="F954" s="9" t="n"/>
      <c r="G954" s="9">
        <f>IF(OR(E954="",F954=""),"",DATEDIF(E954,F954,"Y"))</f>
        <v/>
      </c>
      <c r="H954" s="9" t="n"/>
    </row>
    <row r="955" ht="14.25" customHeight="1" s="37">
      <c r="A955" s="9" t="n"/>
      <c r="B955" s="9" t="n"/>
      <c r="C955" s="9" t="n"/>
      <c r="D955" s="9" t="n"/>
      <c r="E955" s="9" t="n"/>
      <c r="F955" s="9" t="n"/>
      <c r="G955" s="9">
        <f>IF(OR(E955="",F955=""),"",DATEDIF(E955,F955,"Y"))</f>
        <v/>
      </c>
      <c r="H955" s="9" t="n"/>
    </row>
    <row r="956" ht="14.25" customHeight="1" s="37">
      <c r="A956" s="9" t="n"/>
      <c r="B956" s="9" t="n"/>
      <c r="C956" s="9" t="n"/>
      <c r="D956" s="9" t="n"/>
      <c r="E956" s="9" t="n"/>
      <c r="F956" s="9" t="n"/>
      <c r="G956" s="9">
        <f>IF(OR(E956="",F956=""),"",DATEDIF(E956,F956,"Y"))</f>
        <v/>
      </c>
      <c r="H956" s="9" t="n"/>
    </row>
    <row r="957" ht="14.25" customHeight="1" s="37">
      <c r="A957" s="9" t="n"/>
      <c r="B957" s="9" t="n"/>
      <c r="C957" s="9" t="n"/>
      <c r="D957" s="9" t="n"/>
      <c r="E957" s="9" t="n"/>
      <c r="F957" s="9" t="n"/>
      <c r="G957" s="9">
        <f>IF(OR(E957="",F957=""),"",DATEDIF(E957,F957,"Y"))</f>
        <v/>
      </c>
      <c r="H957" s="9" t="n"/>
    </row>
    <row r="958" ht="14.25" customHeight="1" s="37">
      <c r="A958" s="9" t="n"/>
      <c r="B958" s="9" t="n"/>
      <c r="C958" s="9" t="n"/>
      <c r="D958" s="9" t="n"/>
      <c r="E958" s="9" t="n"/>
      <c r="F958" s="9" t="n"/>
      <c r="G958" s="9">
        <f>IF(OR(E958="",F958=""),"",DATEDIF(E958,F958,"Y"))</f>
        <v/>
      </c>
      <c r="H958" s="9" t="n"/>
    </row>
    <row r="959" ht="14.25" customHeight="1" s="37">
      <c r="A959" s="9" t="n"/>
      <c r="B959" s="9" t="n"/>
      <c r="C959" s="9" t="n"/>
      <c r="D959" s="9" t="n"/>
      <c r="E959" s="9" t="n"/>
      <c r="F959" s="9" t="n"/>
      <c r="G959" s="9">
        <f>IF(OR(E959="",F959=""),"",DATEDIF(E959,F959,"Y"))</f>
        <v/>
      </c>
      <c r="H959" s="9" t="n"/>
    </row>
    <row r="960" ht="14.25" customHeight="1" s="37">
      <c r="A960" s="9" t="n"/>
      <c r="B960" s="9" t="n"/>
      <c r="C960" s="9" t="n"/>
      <c r="D960" s="9" t="n"/>
      <c r="E960" s="9" t="n"/>
      <c r="F960" s="9" t="n"/>
      <c r="G960" s="9">
        <f>IF(OR(E960="",F960=""),"",DATEDIF(E960,F960,"Y"))</f>
        <v/>
      </c>
      <c r="H960" s="9" t="n"/>
    </row>
    <row r="961" ht="14.25" customHeight="1" s="37">
      <c r="A961" s="9" t="n"/>
      <c r="B961" s="9" t="n"/>
      <c r="C961" s="9" t="n"/>
      <c r="D961" s="9" t="n"/>
      <c r="E961" s="9" t="n"/>
      <c r="F961" s="9" t="n"/>
      <c r="G961" s="9">
        <f>IF(OR(E961="",F961=""),"",DATEDIF(E961,F961,"Y"))</f>
        <v/>
      </c>
      <c r="H961" s="9" t="n"/>
    </row>
    <row r="962" ht="14.25" customHeight="1" s="37">
      <c r="A962" s="9" t="n"/>
      <c r="B962" s="9" t="n"/>
      <c r="C962" s="9" t="n"/>
      <c r="D962" s="9" t="n"/>
      <c r="E962" s="9" t="n"/>
      <c r="F962" s="9" t="n"/>
      <c r="G962" s="9">
        <f>IF(OR(E962="",F962=""),"",DATEDIF(E962,F962,"Y"))</f>
        <v/>
      </c>
      <c r="H962" s="9" t="n"/>
    </row>
    <row r="963" ht="14.25" customHeight="1" s="37">
      <c r="A963" s="9" t="n"/>
      <c r="B963" s="9" t="n"/>
      <c r="C963" s="9" t="n"/>
      <c r="D963" s="9" t="n"/>
      <c r="E963" s="9" t="n"/>
      <c r="F963" s="9" t="n"/>
      <c r="G963" s="9">
        <f>IF(OR(E963="",F963=""),"",DATEDIF(E963,F963,"Y"))</f>
        <v/>
      </c>
      <c r="H963" s="9" t="n"/>
    </row>
    <row r="964" ht="14.25" customHeight="1" s="37">
      <c r="A964" s="9" t="n"/>
      <c r="B964" s="9" t="n"/>
      <c r="C964" s="9" t="n"/>
      <c r="D964" s="9" t="n"/>
      <c r="E964" s="9" t="n"/>
      <c r="F964" s="9" t="n"/>
      <c r="G964" s="9">
        <f>IF(OR(E964="",F964=""),"",DATEDIF(E964,F964,"Y"))</f>
        <v/>
      </c>
      <c r="H964" s="9" t="n"/>
    </row>
    <row r="965" ht="14.25" customHeight="1" s="37">
      <c r="A965" s="9" t="n"/>
      <c r="B965" s="9" t="n"/>
      <c r="C965" s="9" t="n"/>
      <c r="D965" s="9" t="n"/>
      <c r="E965" s="9" t="n"/>
      <c r="F965" s="9" t="n"/>
      <c r="G965" s="9">
        <f>IF(OR(E965="",F965=""),"",DATEDIF(E965,F965,"Y"))</f>
        <v/>
      </c>
      <c r="H965" s="9" t="n"/>
    </row>
    <row r="966" ht="14.25" customHeight="1" s="37">
      <c r="A966" s="9" t="n"/>
      <c r="B966" s="9" t="n"/>
      <c r="C966" s="9" t="n"/>
      <c r="D966" s="9" t="n"/>
      <c r="E966" s="9" t="n"/>
      <c r="F966" s="9" t="n"/>
      <c r="G966" s="9">
        <f>IF(OR(E966="",F966=""),"",DATEDIF(E966,F966,"Y"))</f>
        <v/>
      </c>
      <c r="H966" s="9" t="n"/>
    </row>
    <row r="967" ht="14.25" customHeight="1" s="37">
      <c r="A967" s="9" t="n"/>
      <c r="B967" s="9" t="n"/>
      <c r="C967" s="9" t="n"/>
      <c r="D967" s="9" t="n"/>
      <c r="E967" s="9" t="n"/>
      <c r="F967" s="9" t="n"/>
      <c r="G967" s="9">
        <f>IF(OR(E967="",F967=""),"",DATEDIF(E967,F967,"Y"))</f>
        <v/>
      </c>
      <c r="H967" s="9" t="n"/>
    </row>
    <row r="968" ht="14.25" customHeight="1" s="37">
      <c r="A968" s="9" t="n"/>
      <c r="B968" s="9" t="n"/>
      <c r="C968" s="9" t="n"/>
      <c r="D968" s="9" t="n"/>
      <c r="E968" s="9" t="n"/>
      <c r="F968" s="9" t="n"/>
      <c r="G968" s="9">
        <f>IF(OR(E968="",F968=""),"",DATEDIF(E968,F968,"Y"))</f>
        <v/>
      </c>
      <c r="H968" s="9" t="n"/>
    </row>
    <row r="969" ht="14.25" customHeight="1" s="37">
      <c r="A969" s="9" t="n"/>
      <c r="B969" s="9" t="n"/>
      <c r="C969" s="9" t="n"/>
      <c r="D969" s="9" t="n"/>
      <c r="E969" s="9" t="n"/>
      <c r="F969" s="9" t="n"/>
      <c r="G969" s="9">
        <f>IF(OR(E969="",F969=""),"",DATEDIF(E969,F969,"Y"))</f>
        <v/>
      </c>
      <c r="H969" s="9" t="n"/>
    </row>
    <row r="970" ht="14.25" customHeight="1" s="37">
      <c r="A970" s="9" t="n"/>
      <c r="B970" s="9" t="n"/>
      <c r="C970" s="9" t="n"/>
      <c r="D970" s="9" t="n"/>
      <c r="E970" s="9" t="n"/>
      <c r="F970" s="9" t="n"/>
      <c r="G970" s="9">
        <f>IF(OR(E970="",F970=""),"",DATEDIF(E970,F970,"Y"))</f>
        <v/>
      </c>
      <c r="H970" s="9" t="n"/>
    </row>
    <row r="971" ht="14.25" customHeight="1" s="37">
      <c r="A971" s="9" t="n"/>
      <c r="B971" s="9" t="n"/>
      <c r="C971" s="9" t="n"/>
      <c r="D971" s="9" t="n"/>
      <c r="E971" s="9" t="n"/>
      <c r="F971" s="9" t="n"/>
      <c r="G971" s="9">
        <f>IF(OR(E971="",F971=""),"",DATEDIF(E971,F971,"Y"))</f>
        <v/>
      </c>
      <c r="H971" s="9" t="n"/>
    </row>
    <row r="972" ht="14.25" customHeight="1" s="37">
      <c r="A972" s="9" t="n"/>
      <c r="B972" s="9" t="n"/>
      <c r="C972" s="9" t="n"/>
      <c r="D972" s="9" t="n"/>
      <c r="E972" s="9" t="n"/>
      <c r="F972" s="9" t="n"/>
      <c r="G972" s="9">
        <f>IF(OR(E972="",F972=""),"",DATEDIF(E972,F972,"Y"))</f>
        <v/>
      </c>
      <c r="H972" s="9" t="n"/>
    </row>
    <row r="973" ht="14.25" customHeight="1" s="37">
      <c r="A973" s="9" t="n"/>
      <c r="B973" s="9" t="n"/>
      <c r="C973" s="9" t="n"/>
      <c r="D973" s="9" t="n"/>
      <c r="E973" s="9" t="n"/>
      <c r="F973" s="9" t="n"/>
      <c r="G973" s="9">
        <f>IF(OR(E973="",F973=""),"",DATEDIF(E973,F973,"Y"))</f>
        <v/>
      </c>
      <c r="H973" s="9" t="n"/>
    </row>
    <row r="974" ht="14.25" customHeight="1" s="37">
      <c r="A974" s="9" t="n"/>
      <c r="B974" s="9" t="n"/>
      <c r="C974" s="9" t="n"/>
      <c r="D974" s="9" t="n"/>
      <c r="E974" s="9" t="n"/>
      <c r="F974" s="9" t="n"/>
      <c r="G974" s="9">
        <f>IF(OR(E974="",F974=""),"",DATEDIF(E974,F974,"Y"))</f>
        <v/>
      </c>
      <c r="H974" s="9" t="n"/>
    </row>
    <row r="975" ht="14.25" customHeight="1" s="37">
      <c r="A975" s="9" t="n"/>
      <c r="B975" s="9" t="n"/>
      <c r="C975" s="9" t="n"/>
      <c r="D975" s="9" t="n"/>
      <c r="E975" s="9" t="n"/>
      <c r="F975" s="9" t="n"/>
      <c r="G975" s="9">
        <f>IF(OR(E975="",F975=""),"",DATEDIF(E975,F975,"Y"))</f>
        <v/>
      </c>
      <c r="H975" s="9" t="n"/>
    </row>
    <row r="976" ht="14.25" customHeight="1" s="37">
      <c r="A976" s="9" t="n"/>
      <c r="B976" s="9" t="n"/>
      <c r="C976" s="9" t="n"/>
      <c r="D976" s="9" t="n"/>
      <c r="E976" s="9" t="n"/>
      <c r="F976" s="9" t="n"/>
      <c r="G976" s="9">
        <f>IF(OR(E976="",F976=""),"",DATEDIF(E976,F976,"Y"))</f>
        <v/>
      </c>
      <c r="H976" s="9" t="n"/>
    </row>
    <row r="977" ht="14.25" customHeight="1" s="37">
      <c r="A977" s="9" t="n"/>
      <c r="B977" s="9" t="n"/>
      <c r="C977" s="9" t="n"/>
      <c r="D977" s="9" t="n"/>
      <c r="E977" s="9" t="n"/>
      <c r="F977" s="9" t="n"/>
      <c r="G977" s="9">
        <f>IF(OR(E977="",F977=""),"",DATEDIF(E977,F977,"Y"))</f>
        <v/>
      </c>
      <c r="H977" s="9" t="n"/>
    </row>
    <row r="978" ht="14.25" customHeight="1" s="37">
      <c r="A978" s="9" t="n"/>
      <c r="B978" s="9" t="n"/>
      <c r="C978" s="9" t="n"/>
      <c r="D978" s="9" t="n"/>
      <c r="E978" s="9" t="n"/>
      <c r="F978" s="9" t="n"/>
      <c r="G978" s="9">
        <f>IF(OR(E978="",F978=""),"",DATEDIF(E978,F978,"Y"))</f>
        <v/>
      </c>
      <c r="H978" s="9" t="n"/>
    </row>
    <row r="979" ht="14.25" customHeight="1" s="37">
      <c r="A979" s="9" t="n"/>
      <c r="B979" s="9" t="n"/>
      <c r="C979" s="9" t="n"/>
      <c r="D979" s="9" t="n"/>
      <c r="E979" s="9" t="n"/>
      <c r="F979" s="9" t="n"/>
      <c r="G979" s="9">
        <f>IF(OR(E979="",F979=""),"",DATEDIF(E979,F979,"Y"))</f>
        <v/>
      </c>
      <c r="H979" s="9" t="n"/>
    </row>
    <row r="980" ht="14.25" customHeight="1" s="37">
      <c r="A980" s="9" t="n"/>
      <c r="B980" s="9" t="n"/>
      <c r="C980" s="9" t="n"/>
      <c r="D980" s="9" t="n"/>
      <c r="E980" s="9" t="n"/>
      <c r="F980" s="9" t="n"/>
      <c r="G980" s="9">
        <f>IF(OR(E980="",F980=""),"",DATEDIF(E980,F980,"Y"))</f>
        <v/>
      </c>
      <c r="H980" s="9" t="n"/>
    </row>
    <row r="981" ht="14.25" customHeight="1" s="37">
      <c r="A981" s="9" t="n"/>
      <c r="B981" s="9" t="n"/>
      <c r="C981" s="9" t="n"/>
      <c r="D981" s="9" t="n"/>
      <c r="E981" s="9" t="n"/>
      <c r="F981" s="9" t="n"/>
      <c r="G981" s="9">
        <f>IF(OR(E981="",F981=""),"",DATEDIF(E981,F981,"Y"))</f>
        <v/>
      </c>
      <c r="H981" s="9" t="n"/>
    </row>
    <row r="982" ht="14.25" customHeight="1" s="37">
      <c r="A982" s="9" t="n"/>
      <c r="B982" s="9" t="n"/>
      <c r="C982" s="9" t="n"/>
      <c r="D982" s="9" t="n"/>
      <c r="E982" s="9" t="n"/>
      <c r="F982" s="9" t="n"/>
      <c r="G982" s="9">
        <f>IF(OR(E982="",F982=""),"",DATEDIF(E982,F982,"Y"))</f>
        <v/>
      </c>
      <c r="H982" s="9" t="n"/>
    </row>
    <row r="983" ht="14.25" customHeight="1" s="37">
      <c r="A983" s="9" t="n"/>
      <c r="B983" s="9" t="n"/>
      <c r="C983" s="9" t="n"/>
      <c r="D983" s="9" t="n"/>
      <c r="E983" s="9" t="n"/>
      <c r="F983" s="9" t="n"/>
      <c r="G983" s="9">
        <f>IF(OR(E983="",F983=""),"",DATEDIF(E983,F983,"Y"))</f>
        <v/>
      </c>
      <c r="H983" s="9" t="n"/>
    </row>
    <row r="984" ht="14.25" customHeight="1" s="37">
      <c r="A984" s="9" t="n"/>
      <c r="B984" s="9" t="n"/>
      <c r="C984" s="9" t="n"/>
      <c r="D984" s="9" t="n"/>
      <c r="E984" s="9" t="n"/>
      <c r="F984" s="9" t="n"/>
      <c r="G984" s="9">
        <f>IF(OR(E984="",F984=""),"",DATEDIF(E984,F984,"Y"))</f>
        <v/>
      </c>
      <c r="H984" s="9" t="n"/>
    </row>
    <row r="985" ht="14.25" customHeight="1" s="37">
      <c r="A985" s="9" t="n"/>
      <c r="B985" s="9" t="n"/>
      <c r="C985" s="9" t="n"/>
      <c r="D985" s="9" t="n"/>
      <c r="E985" s="9" t="n"/>
      <c r="F985" s="9" t="n"/>
      <c r="G985" s="9">
        <f>IF(OR(E985="",F985=""),"",DATEDIF(E985,F985,"Y"))</f>
        <v/>
      </c>
      <c r="H985" s="9" t="n"/>
    </row>
    <row r="986" ht="14.25" customHeight="1" s="37">
      <c r="A986" s="9" t="n"/>
      <c r="B986" s="9" t="n"/>
      <c r="C986" s="9" t="n"/>
      <c r="D986" s="9" t="n"/>
      <c r="E986" s="9" t="n"/>
      <c r="F986" s="9" t="n"/>
      <c r="G986" s="9">
        <f>IF(OR(E986="",F986=""),"",DATEDIF(E986,F986,"Y"))</f>
        <v/>
      </c>
      <c r="H986" s="9" t="n"/>
    </row>
    <row r="987" ht="14.25" customHeight="1" s="37">
      <c r="A987" s="9" t="n"/>
      <c r="B987" s="9" t="n"/>
      <c r="C987" s="9" t="n"/>
      <c r="D987" s="9" t="n"/>
      <c r="E987" s="9" t="n"/>
      <c r="F987" s="9" t="n"/>
      <c r="G987" s="9">
        <f>IF(OR(E987="",F987=""),"",DATEDIF(E987,F987,"Y"))</f>
        <v/>
      </c>
      <c r="H987" s="9" t="n"/>
    </row>
    <row r="988" ht="14.25" customHeight="1" s="37">
      <c r="A988" s="9" t="n"/>
      <c r="B988" s="9" t="n"/>
      <c r="C988" s="9" t="n"/>
      <c r="D988" s="9" t="n"/>
      <c r="E988" s="9" t="n"/>
      <c r="F988" s="9" t="n"/>
      <c r="G988" s="9">
        <f>IF(OR(E988="",F988=""),"",DATEDIF(E988,F988,"Y"))</f>
        <v/>
      </c>
      <c r="H988" s="9" t="n"/>
    </row>
    <row r="989" ht="14.25" customHeight="1" s="37">
      <c r="A989" s="9" t="n"/>
      <c r="B989" s="9" t="n"/>
      <c r="C989" s="9" t="n"/>
      <c r="D989" s="9" t="n"/>
      <c r="E989" s="9" t="n"/>
      <c r="F989" s="9" t="n"/>
      <c r="G989" s="9">
        <f>IF(OR(E989="",F989=""),"",DATEDIF(E989,F989,"Y"))</f>
        <v/>
      </c>
      <c r="H989" s="9" t="n"/>
    </row>
    <row r="990" ht="14.25" customHeight="1" s="37">
      <c r="A990" s="9" t="n"/>
      <c r="B990" s="9" t="n"/>
      <c r="C990" s="9" t="n"/>
      <c r="D990" s="9" t="n"/>
      <c r="E990" s="9" t="n"/>
      <c r="F990" s="9" t="n"/>
      <c r="G990" s="9">
        <f>IF(OR(E990="",F990=""),"",DATEDIF(E990,F990,"Y"))</f>
        <v/>
      </c>
      <c r="H990" s="9" t="n"/>
    </row>
    <row r="991" ht="14.25" customHeight="1" s="37">
      <c r="A991" s="9" t="n"/>
      <c r="B991" s="9" t="n"/>
      <c r="C991" s="9" t="n"/>
      <c r="D991" s="9" t="n"/>
      <c r="E991" s="9" t="n"/>
      <c r="F991" s="9" t="n"/>
      <c r="G991" s="9">
        <f>IF(OR(E991="",F991=""),"",DATEDIF(E991,F991,"Y"))</f>
        <v/>
      </c>
      <c r="H991" s="9" t="n"/>
    </row>
    <row r="992" ht="14.25" customHeight="1" s="37">
      <c r="A992" s="9" t="n"/>
      <c r="B992" s="9" t="n"/>
      <c r="C992" s="9" t="n"/>
      <c r="D992" s="9" t="n"/>
      <c r="E992" s="9" t="n"/>
      <c r="F992" s="9" t="n"/>
      <c r="G992" s="9">
        <f>IF(OR(E992="",F992=""),"",DATEDIF(E992,F992,"Y"))</f>
        <v/>
      </c>
      <c r="H992" s="9" t="n"/>
    </row>
    <row r="993" ht="14.25" customHeight="1" s="37">
      <c r="A993" s="9" t="n"/>
      <c r="B993" s="9" t="n"/>
      <c r="C993" s="9" t="n"/>
      <c r="D993" s="9" t="n"/>
      <c r="E993" s="9" t="n"/>
      <c r="F993" s="9" t="n"/>
      <c r="G993" s="9">
        <f>IF(OR(E993="",F993=""),"",DATEDIF(E993,F993,"Y"))</f>
        <v/>
      </c>
      <c r="H993" s="9" t="n"/>
    </row>
    <row r="994" ht="14.25" customHeight="1" s="37">
      <c r="A994" s="9" t="n"/>
      <c r="B994" s="9" t="n"/>
      <c r="C994" s="9" t="n"/>
      <c r="D994" s="9" t="n"/>
      <c r="E994" s="9" t="n"/>
      <c r="F994" s="9" t="n"/>
      <c r="G994" s="9">
        <f>IF(OR(E994="",F994=""),"",DATEDIF(E994,F994,"Y"))</f>
        <v/>
      </c>
      <c r="H994" s="9" t="n"/>
    </row>
    <row r="995" ht="14.25" customHeight="1" s="37">
      <c r="A995" s="9" t="n"/>
      <c r="B995" s="9" t="n"/>
      <c r="C995" s="9" t="n"/>
      <c r="D995" s="9" t="n"/>
      <c r="E995" s="9" t="n"/>
      <c r="F995" s="9" t="n"/>
      <c r="G995" s="9">
        <f>IF(OR(E995="",F995=""),"",DATEDIF(E995,F995,"Y"))</f>
        <v/>
      </c>
      <c r="H995" s="9" t="n"/>
    </row>
    <row r="996" ht="14.25" customHeight="1" s="37">
      <c r="A996" s="9" t="n"/>
      <c r="B996" s="9" t="n"/>
      <c r="C996" s="9" t="n"/>
      <c r="D996" s="9" t="n"/>
      <c r="E996" s="9" t="n"/>
      <c r="F996" s="9" t="n"/>
      <c r="G996" s="9">
        <f>IF(OR(E996="",F996=""),"",DATEDIF(E996,F996,"Y"))</f>
        <v/>
      </c>
      <c r="H996" s="9" t="n"/>
    </row>
    <row r="997" ht="14.25" customHeight="1" s="37">
      <c r="A997" s="9" t="n"/>
      <c r="B997" s="9" t="n"/>
      <c r="C997" s="9" t="n"/>
      <c r="D997" s="9" t="n"/>
      <c r="E997" s="9" t="n"/>
      <c r="F997" s="9" t="n"/>
      <c r="G997" s="9">
        <f>IF(OR(E997="",F997=""),"",DATEDIF(E997,F997,"Y"))</f>
        <v/>
      </c>
      <c r="H997" s="9" t="n"/>
    </row>
    <row r="998" ht="14.25" customHeight="1" s="37">
      <c r="A998" s="9" t="n"/>
      <c r="B998" s="9" t="n"/>
      <c r="C998" s="9" t="n"/>
      <c r="D998" s="9" t="n"/>
      <c r="E998" s="9" t="n"/>
      <c r="F998" s="9" t="n"/>
      <c r="G998" s="9">
        <f>IF(OR(E998="",F998=""),"",DATEDIF(E998,F998,"Y"))</f>
        <v/>
      </c>
      <c r="H998" s="9" t="n"/>
    </row>
    <row r="999" ht="14.25" customHeight="1" s="37">
      <c r="A999" s="9" t="n"/>
      <c r="B999" s="9" t="n"/>
      <c r="C999" s="9" t="n"/>
      <c r="D999" s="9" t="n"/>
      <c r="E999" s="9" t="n"/>
      <c r="F999" s="9" t="n"/>
      <c r="G999" s="9">
        <f>IF(OR(E999="",F999=""),"",DATEDIF(E999,F999,"Y"))</f>
        <v/>
      </c>
      <c r="H999" s="9" t="n"/>
    </row>
    <row r="1000" ht="14.25" customHeight="1" s="37">
      <c r="A1000" s="9" t="n"/>
      <c r="B1000" s="9" t="n"/>
      <c r="C1000" s="9" t="n"/>
      <c r="D1000" s="9" t="n"/>
      <c r="E1000" s="9" t="n"/>
      <c r="F1000" s="9" t="n"/>
      <c r="G1000" s="9">
        <f>IF(OR(E1000="",F1000=""),"",DATEDIF(E1000,F1000,"Y"))</f>
        <v/>
      </c>
      <c r="H1000" s="9" t="n"/>
    </row>
    <row r="1001" ht="14.25" customHeight="1" s="37">
      <c r="A1001" s="9" t="n"/>
      <c r="B1001" s="9" t="n"/>
      <c r="C1001" s="9" t="n"/>
      <c r="D1001" s="9" t="n"/>
      <c r="E1001" s="9" t="n"/>
      <c r="F1001" s="9" t="n"/>
      <c r="G1001" s="9">
        <f>IF(OR(E1001="",F1001=""),"",DATEDIF(E1001,F1001,"Y"))</f>
        <v/>
      </c>
      <c r="H1001" s="9" t="n"/>
    </row>
  </sheetData>
  <autoFilter ref="$A$1:$H$1001"/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00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37" min="1" max="1"/>
    <col width="28" customWidth="1" style="37" min="2" max="2"/>
    <col width="22" customWidth="1" style="37" min="3" max="3"/>
    <col width="18" customWidth="1" style="37" min="4" max="4"/>
    <col width="28" customWidth="1" style="37" min="5" max="5"/>
    <col width="22" customWidth="1" style="37" min="6" max="6"/>
    <col width="20" customWidth="1" style="37" min="7" max="7"/>
    <col width="30" customWidth="1" style="37" min="8" max="8"/>
    <col width="9" customWidth="1" style="37" min="9" max="26"/>
  </cols>
  <sheetData>
    <row r="1" ht="14.25" customHeight="1" s="37">
      <c r="A1" s="7" t="inlineStr">
        <is>
          <t>ID Umat</t>
        </is>
      </c>
      <c r="B1" s="7" t="inlineStr">
        <is>
          <t>Nama</t>
        </is>
      </c>
      <c r="C1" s="7" t="inlineStr">
        <is>
          <t>Lingkungan</t>
        </is>
      </c>
      <c r="D1" s="7" t="inlineStr">
        <is>
          <t>Jenis Kelamin</t>
        </is>
      </c>
      <c r="E1" s="7" t="inlineStr">
        <is>
          <t>Jalur Seminari/Biara</t>
        </is>
      </c>
      <c r="F1" s="7" t="inlineStr">
        <is>
          <t>Status</t>
        </is>
      </c>
      <c r="G1" s="7" t="inlineStr">
        <is>
          <t>Tanggal Mulai/Status</t>
        </is>
      </c>
      <c r="H1" s="7" t="inlineStr">
        <is>
          <t>Keterangan</t>
        </is>
      </c>
    </row>
    <row r="2" ht="14.25" customHeight="1" s="37">
      <c r="A2" s="38" t="inlineStr">
        <is>
          <t>UM00185</t>
        </is>
      </c>
      <c r="B2" s="9" t="inlineStr">
        <is>
          <t>ADRIANI TODINGAN</t>
        </is>
      </c>
      <c r="C2" s="9" t="inlineStr">
        <is>
          <t>St. Maria Immacula</t>
        </is>
      </c>
      <c r="D2" s="9" t="inlineStr">
        <is>
          <t>Wanita/Perempuan</t>
        </is>
      </c>
      <c r="E2" s="9" t="n"/>
      <c r="F2" s="9" t="n"/>
      <c r="G2" s="9" t="n"/>
      <c r="H2" s="9" t="n"/>
    </row>
    <row r="3" ht="14.25" customHeight="1" s="37">
      <c r="A3" s="38" t="inlineStr">
        <is>
          <t>UM00186</t>
        </is>
      </c>
      <c r="B3" s="9" t="inlineStr">
        <is>
          <t>AUSTRIN ELISABETH MOOSBRUGGER</t>
        </is>
      </c>
      <c r="C3" s="9" t="inlineStr">
        <is>
          <t>St. Maria Immacula</t>
        </is>
      </c>
      <c r="D3" s="9" t="inlineStr">
        <is>
          <t>Wanita/Perempuan</t>
        </is>
      </c>
      <c r="E3" s="9" t="n"/>
      <c r="F3" s="9" t="n"/>
      <c r="G3" s="9" t="n"/>
      <c r="H3" s="9" t="n"/>
    </row>
    <row r="4" ht="14.25" customHeight="1" s="37">
      <c r="A4" s="38" t="inlineStr">
        <is>
          <t>UM00187</t>
        </is>
      </c>
      <c r="B4" s="9" t="inlineStr">
        <is>
          <t>AGUSTINUS WASA</t>
        </is>
      </c>
      <c r="C4" s="9" t="inlineStr">
        <is>
          <t>St. Maria Immacula</t>
        </is>
      </c>
      <c r="D4" s="9" t="inlineStr">
        <is>
          <t>Pria/Laki-laki</t>
        </is>
      </c>
      <c r="E4" s="9" t="n"/>
      <c r="F4" s="9" t="n"/>
      <c r="G4" s="9" t="n"/>
      <c r="H4" s="9" t="n"/>
    </row>
    <row r="5" ht="14.25" customHeight="1" s="37">
      <c r="A5" s="38" t="inlineStr">
        <is>
          <t>UM00188</t>
        </is>
      </c>
      <c r="B5" s="9" t="inlineStr">
        <is>
          <t>ASTRALIS KAY TULANG</t>
        </is>
      </c>
      <c r="C5" s="9" t="inlineStr">
        <is>
          <t>St. Maria Immacula</t>
        </is>
      </c>
      <c r="D5" s="9" t="inlineStr">
        <is>
          <t>Wanita/Perempuan</t>
        </is>
      </c>
      <c r="E5" s="9" t="n"/>
      <c r="F5" s="9" t="n"/>
      <c r="G5" s="9" t="n"/>
      <c r="H5" s="9" t="n"/>
    </row>
    <row r="6" ht="14.25" customHeight="1" s="37">
      <c r="A6" s="38" t="inlineStr">
        <is>
          <t>UM00189</t>
        </is>
      </c>
      <c r="B6" s="9" t="inlineStr">
        <is>
          <t>VALERIANUS KELVIN ALVIANO NULUS SERA</t>
        </is>
      </c>
      <c r="C6" s="9" t="inlineStr">
        <is>
          <t>St. Maria Immacula</t>
        </is>
      </c>
      <c r="D6" s="9" t="inlineStr">
        <is>
          <t>Pria/Laki-laki</t>
        </is>
      </c>
      <c r="E6" s="9" t="n"/>
      <c r="F6" s="9" t="n"/>
      <c r="G6" s="9" t="n"/>
      <c r="H6" s="9" t="n"/>
    </row>
    <row r="7" ht="14.25" customHeight="1" s="37">
      <c r="A7" s="38" t="inlineStr">
        <is>
          <t>UM00190</t>
        </is>
      </c>
      <c r="B7" s="9" t="inlineStr">
        <is>
          <t>ANA. E. YAYUK SUPRAPTININGSIH</t>
        </is>
      </c>
      <c r="C7" s="9" t="inlineStr">
        <is>
          <t>St. Maria Immacula</t>
        </is>
      </c>
      <c r="D7" s="9" t="inlineStr">
        <is>
          <t>Wanita/Perempuan</t>
        </is>
      </c>
      <c r="E7" s="9" t="n"/>
      <c r="F7" s="9" t="n"/>
      <c r="G7" s="9" t="n"/>
      <c r="H7" s="9" t="n"/>
    </row>
    <row r="8" ht="14.25" customHeight="1" s="37">
      <c r="A8" s="38" t="inlineStr">
        <is>
          <t>UM00191</t>
        </is>
      </c>
      <c r="B8" s="9" t="inlineStr">
        <is>
          <t>MUHTAR</t>
        </is>
      </c>
      <c r="C8" s="9" t="inlineStr">
        <is>
          <t>St. Maria Immacula</t>
        </is>
      </c>
      <c r="D8" s="9" t="inlineStr">
        <is>
          <t>Pria/Laki-laki</t>
        </is>
      </c>
      <c r="E8" s="9" t="n"/>
      <c r="F8" s="9" t="n"/>
      <c r="G8" s="9" t="n"/>
      <c r="H8" s="9" t="n"/>
    </row>
    <row r="9" ht="14.25" customHeight="1" s="37">
      <c r="A9" s="38" t="inlineStr">
        <is>
          <t>UM00192</t>
        </is>
      </c>
      <c r="B9" s="9" t="inlineStr">
        <is>
          <t>IMRAH</t>
        </is>
      </c>
      <c r="C9" s="9" t="inlineStr">
        <is>
          <t>St. Maria Immacula</t>
        </is>
      </c>
      <c r="D9" s="9" t="inlineStr">
        <is>
          <t>Wanita/Perempuan</t>
        </is>
      </c>
      <c r="E9" s="9" t="n"/>
      <c r="F9" s="9" t="n"/>
      <c r="G9" s="9" t="n"/>
      <c r="H9" s="9" t="n"/>
    </row>
    <row r="10" ht="14.25" customHeight="1" s="37">
      <c r="A10" s="38" t="inlineStr">
        <is>
          <t>UM00193</t>
        </is>
      </c>
      <c r="B10" s="9" t="inlineStr">
        <is>
          <t>VALENTINA YUHAJNORA ROSARI</t>
        </is>
      </c>
      <c r="C10" s="9" t="inlineStr">
        <is>
          <t>St. Maria Immacula</t>
        </is>
      </c>
      <c r="D10" s="9" t="inlineStr">
        <is>
          <t>Wanita/Perempuan</t>
        </is>
      </c>
      <c r="E10" s="9" t="n"/>
      <c r="F10" s="9" t="n"/>
      <c r="G10" s="9" t="n"/>
      <c r="H10" s="9" t="n"/>
    </row>
    <row r="11" ht="14.25" customHeight="1" s="37">
      <c r="A11" s="38" t="inlineStr">
        <is>
          <t>UM00194</t>
        </is>
      </c>
      <c r="B11" s="9" t="inlineStr">
        <is>
          <t>VALENTINUS HENDY DEROSARI</t>
        </is>
      </c>
      <c r="C11" s="9" t="inlineStr">
        <is>
          <t>St. Maria Immacula</t>
        </is>
      </c>
      <c r="D11" s="9" t="inlineStr">
        <is>
          <t>Pria/Laki-laki</t>
        </is>
      </c>
      <c r="E11" s="9" t="n"/>
      <c r="F11" s="9" t="n"/>
      <c r="G11" s="9" t="n"/>
      <c r="H11" s="9" t="n"/>
    </row>
    <row r="12" ht="14.25" customHeight="1" s="37">
      <c r="A12" s="38" t="inlineStr">
        <is>
          <t>UM00195</t>
        </is>
      </c>
      <c r="B12" s="9" t="inlineStr">
        <is>
          <t>HENDRIKUS RUSDIANTO</t>
        </is>
      </c>
      <c r="C12" s="9" t="inlineStr">
        <is>
          <t>St. Maria Immacula</t>
        </is>
      </c>
      <c r="D12" s="9" t="inlineStr">
        <is>
          <t>Pria/Laki-laki</t>
        </is>
      </c>
      <c r="E12" s="9" t="n"/>
      <c r="F12" s="9" t="n"/>
      <c r="G12" s="9" t="n"/>
      <c r="H12" s="9" t="n"/>
    </row>
    <row r="13" ht="14.25" customHeight="1" s="37">
      <c r="A13" s="38" t="inlineStr">
        <is>
          <t>UM00196</t>
        </is>
      </c>
      <c r="B13" s="9" t="inlineStr">
        <is>
          <t>BENHUR MALAU</t>
        </is>
      </c>
      <c r="C13" s="9" t="inlineStr">
        <is>
          <t>St. Maria Immacula</t>
        </is>
      </c>
      <c r="D13" s="9" t="inlineStr">
        <is>
          <t>Pria/Laki-laki</t>
        </is>
      </c>
      <c r="E13" s="9" t="n"/>
      <c r="F13" s="9" t="n"/>
      <c r="G13" s="9" t="n"/>
      <c r="H13" s="9" t="n"/>
    </row>
    <row r="14" ht="14.25" customHeight="1" s="37">
      <c r="A14" s="38" t="inlineStr">
        <is>
          <t>UM00197</t>
        </is>
      </c>
      <c r="B14" s="9" t="inlineStr">
        <is>
          <t>NETTY NAPITUPULU</t>
        </is>
      </c>
      <c r="C14" s="9" t="inlineStr">
        <is>
          <t>St. Maria Immacula</t>
        </is>
      </c>
      <c r="D14" s="9" t="inlineStr">
        <is>
          <t>Wanita/Perempuan</t>
        </is>
      </c>
      <c r="E14" s="9" t="n"/>
      <c r="F14" s="9" t="n"/>
      <c r="G14" s="9" t="n"/>
      <c r="H14" s="9" t="n"/>
    </row>
    <row r="15" ht="14.25" customHeight="1" s="37">
      <c r="A15" s="38" t="inlineStr">
        <is>
          <t>UM00198</t>
        </is>
      </c>
      <c r="B15" s="9" t="inlineStr">
        <is>
          <t>AGNES MONICA PUTRI MALAU</t>
        </is>
      </c>
      <c r="C15" s="9" t="inlineStr">
        <is>
          <t>St. Maria Immacula</t>
        </is>
      </c>
      <c r="D15" s="9" t="inlineStr">
        <is>
          <t>Wanita/Perempuan</t>
        </is>
      </c>
      <c r="E15" s="9" t="n"/>
      <c r="F15" s="9" t="n"/>
      <c r="G15" s="9" t="n"/>
      <c r="H15" s="9" t="n"/>
    </row>
    <row r="16" ht="14.25" customHeight="1" s="37">
      <c r="A16" s="38" t="inlineStr">
        <is>
          <t>UM00199</t>
        </is>
      </c>
      <c r="B16" s="9" t="inlineStr">
        <is>
          <t>STEFANIE SOLUNA MALAU</t>
        </is>
      </c>
      <c r="C16" s="9" t="inlineStr">
        <is>
          <t>St. Maria Immacula</t>
        </is>
      </c>
      <c r="D16" s="9" t="inlineStr">
        <is>
          <t>Wanita/Perempuan</t>
        </is>
      </c>
      <c r="E16" s="9" t="n"/>
      <c r="F16" s="9" t="n"/>
      <c r="G16" s="9" t="n"/>
      <c r="H16" s="9" t="n"/>
    </row>
    <row r="17" ht="14.25" customHeight="1" s="37">
      <c r="A17" s="38" t="inlineStr">
        <is>
          <t>UM00200</t>
        </is>
      </c>
      <c r="B17" s="9" t="inlineStr">
        <is>
          <t>DARIANUS EGAR</t>
        </is>
      </c>
      <c r="C17" s="9" t="inlineStr">
        <is>
          <t>St. Maria Immacula</t>
        </is>
      </c>
      <c r="D17" s="9" t="n"/>
      <c r="E17" s="9" t="n"/>
      <c r="F17" s="9" t="n"/>
      <c r="G17" s="9" t="n"/>
      <c r="H17" s="9" t="n"/>
    </row>
    <row r="18" ht="14.25" customHeight="1" s="37">
      <c r="A18" s="38" t="inlineStr">
        <is>
          <t>UM00201</t>
        </is>
      </c>
      <c r="B18" s="9" t="inlineStr">
        <is>
          <t>MARTINA NITA</t>
        </is>
      </c>
      <c r="C18" s="9" t="inlineStr">
        <is>
          <t>St. Maria Immacula</t>
        </is>
      </c>
      <c r="D18" s="9" t="inlineStr">
        <is>
          <t>Wanita/Perempuan</t>
        </is>
      </c>
      <c r="E18" s="9" t="n"/>
      <c r="F18" s="9" t="n"/>
      <c r="G18" s="9" t="n"/>
      <c r="H18" s="9" t="n"/>
    </row>
    <row r="19" ht="14.25" customHeight="1" s="37">
      <c r="A19" s="38" t="inlineStr">
        <is>
          <t>UM00202</t>
        </is>
      </c>
      <c r="B19" s="9" t="inlineStr">
        <is>
          <t>MANGAPUL MANIK</t>
        </is>
      </c>
      <c r="C19" s="9" t="inlineStr">
        <is>
          <t>St. Maria Immacula</t>
        </is>
      </c>
      <c r="D19" s="9" t="inlineStr">
        <is>
          <t>Pria/Laki-laki</t>
        </is>
      </c>
      <c r="E19" s="9" t="n"/>
      <c r="F19" s="9" t="n"/>
      <c r="G19" s="9" t="n"/>
      <c r="H19" s="9" t="n"/>
    </row>
    <row r="20" ht="14.25" customHeight="1" s="37">
      <c r="A20" s="38" t="inlineStr">
        <is>
          <t>UM00203</t>
        </is>
      </c>
      <c r="B20" s="9" t="inlineStr">
        <is>
          <t>RESTAULINA NAIBAHO</t>
        </is>
      </c>
      <c r="C20" s="9" t="inlineStr">
        <is>
          <t>St. Maria Immacula</t>
        </is>
      </c>
      <c r="D20" s="9" t="inlineStr">
        <is>
          <t>Wanita/Perempuan</t>
        </is>
      </c>
      <c r="E20" s="9" t="n"/>
      <c r="F20" s="9" t="n"/>
      <c r="G20" s="9" t="n"/>
      <c r="H20" s="9" t="n"/>
    </row>
    <row r="21" ht="14.25" customHeight="1" s="37">
      <c r="A21" s="38" t="inlineStr">
        <is>
          <t>UM00204</t>
        </is>
      </c>
      <c r="B21" s="9" t="inlineStr">
        <is>
          <t>SOFIAN MANIK</t>
        </is>
      </c>
      <c r="C21" s="9" t="inlineStr">
        <is>
          <t>St. Maria Immacula</t>
        </is>
      </c>
      <c r="D21" s="9" t="inlineStr">
        <is>
          <t>Pria/Laki-laki</t>
        </is>
      </c>
      <c r="E21" s="9" t="n"/>
      <c r="F21" s="9" t="n"/>
      <c r="G21" s="9" t="n"/>
      <c r="H21" s="9" t="n"/>
    </row>
    <row r="22" ht="14.25" customHeight="1" s="37">
      <c r="A22" s="38" t="inlineStr">
        <is>
          <t>UM00205</t>
        </is>
      </c>
      <c r="B22" s="9" t="inlineStr">
        <is>
          <t>P.SUYATI</t>
        </is>
      </c>
      <c r="C22" s="9" t="inlineStr">
        <is>
          <t>St. Maria Immacula</t>
        </is>
      </c>
      <c r="D22" s="9" t="inlineStr">
        <is>
          <t>Wanita/Perempuan</t>
        </is>
      </c>
      <c r="E22" s="9" t="n"/>
      <c r="F22" s="9" t="n"/>
      <c r="G22" s="9" t="n"/>
      <c r="H22" s="9" t="n"/>
    </row>
    <row r="23" ht="14.25" customHeight="1" s="37">
      <c r="A23" s="38" t="inlineStr">
        <is>
          <t>UM00206</t>
        </is>
      </c>
      <c r="B23" s="9" t="inlineStr">
        <is>
          <t>APRINI DWI CHRISTANTY</t>
        </is>
      </c>
      <c r="C23" s="9" t="inlineStr">
        <is>
          <t>St. Maria Immacula</t>
        </is>
      </c>
      <c r="D23" s="9" t="inlineStr">
        <is>
          <t>Wanita/Perempuan</t>
        </is>
      </c>
      <c r="E23" s="9" t="n"/>
      <c r="F23" s="9" t="n"/>
      <c r="G23" s="9" t="n"/>
      <c r="H23" s="9" t="n"/>
    </row>
    <row r="24" ht="14.25" customHeight="1" s="37">
      <c r="A24" s="38" t="inlineStr">
        <is>
          <t>UM00207</t>
        </is>
      </c>
      <c r="B24" s="9" t="inlineStr">
        <is>
          <t>PETRA KANISIA. D</t>
        </is>
      </c>
      <c r="C24" s="9" t="inlineStr">
        <is>
          <t>St. Maria Immacula</t>
        </is>
      </c>
      <c r="D24" s="9" t="inlineStr">
        <is>
          <t>Wanita/Perempuan</t>
        </is>
      </c>
      <c r="E24" s="9" t="n"/>
      <c r="F24" s="9" t="n"/>
      <c r="G24" s="9" t="n"/>
      <c r="H24" s="9" t="n"/>
    </row>
    <row r="25" ht="14.25" customHeight="1" s="37">
      <c r="A25" s="38" t="inlineStr">
        <is>
          <t>UM00208</t>
        </is>
      </c>
      <c r="B25" s="9" t="inlineStr">
        <is>
          <t>MARIA KRISTINA TITIN</t>
        </is>
      </c>
      <c r="C25" s="9" t="inlineStr">
        <is>
          <t>St. Maria Immacula</t>
        </is>
      </c>
      <c r="D25" s="9" t="inlineStr">
        <is>
          <t>Wanita/Perempuan</t>
        </is>
      </c>
      <c r="E25" s="9" t="n"/>
      <c r="F25" s="9" t="n"/>
      <c r="G25" s="9" t="n"/>
      <c r="H25" s="9" t="n"/>
    </row>
    <row r="26" ht="14.25" customHeight="1" s="37">
      <c r="A26" s="38" t="inlineStr">
        <is>
          <t>UM00209</t>
        </is>
      </c>
      <c r="B26" s="9" t="inlineStr">
        <is>
          <t>AGUSTINUS HELDER CEMARA</t>
        </is>
      </c>
      <c r="C26" s="9" t="inlineStr">
        <is>
          <t>St. Maria Immacula</t>
        </is>
      </c>
      <c r="D26" s="9" t="inlineStr">
        <is>
          <t>Pria/Laki-laki</t>
        </is>
      </c>
      <c r="E26" s="9" t="n"/>
      <c r="F26" s="9" t="n"/>
      <c r="G26" s="9" t="n"/>
      <c r="H26" s="9" t="n"/>
    </row>
    <row r="27" ht="14.25" customHeight="1" s="37">
      <c r="A27" s="38" t="inlineStr">
        <is>
          <t>UM00210</t>
        </is>
      </c>
      <c r="B27" s="9" t="inlineStr">
        <is>
          <t>PIOTR MACIEJ OLSZEWSKI</t>
        </is>
      </c>
      <c r="C27" s="9" t="inlineStr">
        <is>
          <t>St. Maria Immacula</t>
        </is>
      </c>
      <c r="D27" s="9" t="inlineStr">
        <is>
          <t>Pria/Laki-laki</t>
        </is>
      </c>
      <c r="E27" s="9" t="n"/>
      <c r="F27" s="9" t="n"/>
      <c r="G27" s="9" t="n"/>
      <c r="H27" s="9" t="n"/>
    </row>
    <row r="28" ht="14.25" customHeight="1" s="37">
      <c r="A28" s="38" t="inlineStr">
        <is>
          <t>UM00211</t>
        </is>
      </c>
      <c r="B28" s="9" t="inlineStr">
        <is>
          <t>LUSIANA LIA</t>
        </is>
      </c>
      <c r="C28" s="9" t="inlineStr">
        <is>
          <t>St. Maria Immacula</t>
        </is>
      </c>
      <c r="D28" s="9" t="inlineStr">
        <is>
          <t>Wanita/Perempuan</t>
        </is>
      </c>
      <c r="E28" s="9" t="n"/>
      <c r="F28" s="9" t="n"/>
      <c r="G28" s="9" t="n"/>
      <c r="H28" s="9" t="n"/>
    </row>
    <row r="29" ht="14.25" customHeight="1" s="37">
      <c r="A29" s="38" t="inlineStr">
        <is>
          <t>UM00212</t>
        </is>
      </c>
      <c r="B29" s="9" t="inlineStr">
        <is>
          <t>MARYSIA BARBARA NUR OLSZEWSKA</t>
        </is>
      </c>
      <c r="C29" s="9" t="inlineStr">
        <is>
          <t>St. Maria Immacula</t>
        </is>
      </c>
      <c r="D29" s="9" t="inlineStr">
        <is>
          <t>Wanita/Perempuan</t>
        </is>
      </c>
      <c r="E29" s="9" t="n"/>
      <c r="F29" s="9" t="n"/>
      <c r="G29" s="9" t="n"/>
      <c r="H29" s="9" t="n"/>
    </row>
    <row r="30" ht="14.25" customHeight="1" s="37">
      <c r="A30" s="38" t="inlineStr">
        <is>
          <t>UM00213</t>
        </is>
      </c>
      <c r="B30" s="9" t="inlineStr">
        <is>
          <t>MALGOSIA NUR OLSZEWSKA</t>
        </is>
      </c>
      <c r="C30" s="9" t="inlineStr">
        <is>
          <t>St. Maria Immacula</t>
        </is>
      </c>
      <c r="D30" s="9" t="inlineStr">
        <is>
          <t>Wanita/Perempuan</t>
        </is>
      </c>
      <c r="E30" s="9" t="n"/>
      <c r="F30" s="9" t="n"/>
      <c r="G30" s="9" t="n"/>
      <c r="H30" s="9" t="n"/>
    </row>
    <row r="31" ht="14.25" customHeight="1" s="37">
      <c r="A31" s="38" t="inlineStr">
        <is>
          <t>UM00214</t>
        </is>
      </c>
      <c r="B31" s="9" t="inlineStr">
        <is>
          <t>MAREK PIOTR OLSZEWSKI</t>
        </is>
      </c>
      <c r="C31" s="9" t="inlineStr">
        <is>
          <t>St. Maria Immacula</t>
        </is>
      </c>
      <c r="D31" s="9" t="inlineStr">
        <is>
          <t>Pria/Laki-laki</t>
        </is>
      </c>
      <c r="E31" s="9" t="n"/>
      <c r="F31" s="9" t="n"/>
      <c r="G31" s="9" t="n"/>
      <c r="H31" s="9" t="n"/>
    </row>
    <row r="32" ht="14.25" customHeight="1" s="37">
      <c r="A32" s="38" t="inlineStr">
        <is>
          <t>UM00215</t>
        </is>
      </c>
      <c r="B32" s="9" t="inlineStr">
        <is>
          <t>ANTHONIUS SALEM</t>
        </is>
      </c>
      <c r="C32" s="9" t="inlineStr">
        <is>
          <t>St. Maria Immacula</t>
        </is>
      </c>
      <c r="D32" s="9" t="n"/>
      <c r="E32" s="9" t="n"/>
      <c r="F32" s="9" t="n"/>
      <c r="G32" s="9" t="n"/>
      <c r="H32" s="9" t="n"/>
    </row>
    <row r="33" ht="14.25" customHeight="1" s="37">
      <c r="A33" s="38" t="inlineStr">
        <is>
          <t>UM00216</t>
        </is>
      </c>
      <c r="B33" s="9" t="inlineStr">
        <is>
          <t>ANTONIUS ARY PRASETYO</t>
        </is>
      </c>
      <c r="C33" s="9" t="inlineStr">
        <is>
          <t>St. Maria Immacula</t>
        </is>
      </c>
      <c r="D33" s="9" t="n"/>
      <c r="E33" s="9" t="n"/>
      <c r="F33" s="9" t="n"/>
      <c r="G33" s="9" t="n"/>
      <c r="H33" s="9" t="n"/>
    </row>
    <row r="34" ht="14.25" customHeight="1" s="37">
      <c r="A34" s="38" t="inlineStr">
        <is>
          <t>UM00217</t>
        </is>
      </c>
      <c r="B34" s="9" t="inlineStr">
        <is>
          <t>ARSINUS PURBA</t>
        </is>
      </c>
      <c r="C34" s="9" t="inlineStr">
        <is>
          <t>St. Maria Immacula</t>
        </is>
      </c>
      <c r="D34" s="9" t="n"/>
      <c r="E34" s="9" t="n"/>
      <c r="F34" s="9" t="n"/>
      <c r="G34" s="9" t="n"/>
      <c r="H34" s="9" t="n"/>
    </row>
    <row r="35" ht="14.25" customHeight="1" s="37">
      <c r="A35" s="38" t="inlineStr">
        <is>
          <t>UM00218</t>
        </is>
      </c>
      <c r="B35" s="9" t="inlineStr">
        <is>
          <t>ELISABET JETIA</t>
        </is>
      </c>
      <c r="C35" s="9" t="inlineStr">
        <is>
          <t>St. Maria Immacula</t>
        </is>
      </c>
      <c r="D35" s="9" t="inlineStr">
        <is>
          <t>Wanita/Perempuan</t>
        </is>
      </c>
      <c r="E35" s="9" t="n"/>
      <c r="F35" s="9" t="n"/>
      <c r="G35" s="9" t="n"/>
      <c r="H35" s="9" t="n"/>
    </row>
    <row r="36" ht="14.25" customHeight="1" s="37">
      <c r="A36" s="38" t="inlineStr">
        <is>
          <t>UM00219</t>
        </is>
      </c>
      <c r="B36" s="9" t="inlineStr">
        <is>
          <t>BONEFASIUS SAGUR</t>
        </is>
      </c>
      <c r="C36" s="9" t="inlineStr">
        <is>
          <t>St. Maria Immacula</t>
        </is>
      </c>
      <c r="D36" s="9" t="n"/>
      <c r="E36" s="9" t="n"/>
      <c r="F36" s="9" t="n"/>
      <c r="G36" s="9" t="n"/>
      <c r="H36" s="9" t="n"/>
    </row>
    <row r="37" ht="14.25" customHeight="1" s="37">
      <c r="A37" s="38" t="inlineStr">
        <is>
          <t>UM00220</t>
        </is>
      </c>
      <c r="B37" s="9" t="inlineStr">
        <is>
          <t>C.PURWONGGO SATOTO</t>
        </is>
      </c>
      <c r="C37" s="9" t="inlineStr">
        <is>
          <t>St. Maria Immacula</t>
        </is>
      </c>
      <c r="D37" s="9" t="n"/>
      <c r="E37" s="9" t="n"/>
      <c r="F37" s="9" t="n"/>
      <c r="G37" s="9" t="n"/>
      <c r="H37" s="9" t="n"/>
    </row>
    <row r="38" ht="14.25" customHeight="1" s="37">
      <c r="A38" s="38" t="inlineStr">
        <is>
          <t>UM00221</t>
        </is>
      </c>
      <c r="B38" s="9" t="inlineStr">
        <is>
          <t>CHRISTIAN HADIYANTO,SE</t>
        </is>
      </c>
      <c r="C38" s="9" t="inlineStr">
        <is>
          <t>St. Maria Immacula</t>
        </is>
      </c>
      <c r="D38" s="9" t="n"/>
      <c r="E38" s="9" t="n"/>
      <c r="F38" s="9" t="n"/>
      <c r="G38" s="9" t="n"/>
      <c r="H38" s="9" t="n"/>
    </row>
    <row r="39" ht="14.25" customHeight="1" s="37">
      <c r="A39" s="38" t="inlineStr">
        <is>
          <t>UM00222</t>
        </is>
      </c>
      <c r="B39" s="9" t="inlineStr">
        <is>
          <t>CHRISTINA SELFANI RUNTU-KTP p1 d1 - PROVINSI KALIMANTAN TIMUR</t>
        </is>
      </c>
      <c r="C39" s="9" t="inlineStr">
        <is>
          <t>St. Maria Immacula</t>
        </is>
      </c>
      <c r="D39" s="9" t="n"/>
      <c r="E39" s="9" t="n"/>
      <c r="F39" s="9" t="n"/>
      <c r="G39" s="9" t="n"/>
      <c r="H39" s="9" t="n"/>
    </row>
    <row r="40" ht="14.25" customHeight="1" s="37">
      <c r="A40" s="38" t="inlineStr">
        <is>
          <t>UM00223</t>
        </is>
      </c>
      <c r="B40" s="9" t="inlineStr">
        <is>
          <t>HENDRIX AGUNG APRIWINARTO</t>
        </is>
      </c>
      <c r="C40" s="9" t="inlineStr">
        <is>
          <t>St. Maria Immacula</t>
        </is>
      </c>
      <c r="D40" s="9" t="n"/>
      <c r="E40" s="9" t="n"/>
      <c r="F40" s="9" t="n"/>
      <c r="G40" s="9" t="n"/>
      <c r="H40" s="9" t="n"/>
    </row>
    <row r="41" ht="14.25" customHeight="1" s="37">
      <c r="A41" s="38" t="inlineStr">
        <is>
          <t>UM00224</t>
        </is>
      </c>
      <c r="B41" s="9" t="inlineStr">
        <is>
          <t>KARBINTANUS PEDO WAJA</t>
        </is>
      </c>
      <c r="C41" s="9" t="inlineStr">
        <is>
          <t>St. Maria Immacula</t>
        </is>
      </c>
      <c r="D41" s="9" t="n"/>
      <c r="E41" s="9" t="n"/>
      <c r="F41" s="9" t="n"/>
      <c r="G41" s="9" t="n"/>
      <c r="H41" s="9" t="n"/>
    </row>
    <row r="42" ht="14.25" customHeight="1" s="37">
      <c r="A42" s="38" t="inlineStr">
        <is>
          <t>UM00225</t>
        </is>
      </c>
      <c r="B42" s="9" t="inlineStr">
        <is>
          <t>LAHANG ANYIE</t>
        </is>
      </c>
      <c r="C42" s="9" t="inlineStr">
        <is>
          <t>St. Maria Immacula</t>
        </is>
      </c>
      <c r="D42" s="9" t="n"/>
      <c r="E42" s="9" t="n"/>
      <c r="F42" s="9" t="n"/>
      <c r="G42" s="9" t="n"/>
      <c r="H42" s="9" t="n"/>
    </row>
    <row r="43" ht="14.25" customHeight="1" s="37">
      <c r="A43" s="38" t="inlineStr">
        <is>
          <t>UM00226</t>
        </is>
      </c>
      <c r="B43" s="9" t="inlineStr">
        <is>
          <t>LAMBRITA TADIUS</t>
        </is>
      </c>
      <c r="C43" s="9" t="inlineStr">
        <is>
          <t>St. Maria Immacula</t>
        </is>
      </c>
      <c r="D43" s="9" t="n"/>
      <c r="E43" s="9" t="n"/>
      <c r="F43" s="9" t="n"/>
      <c r="G43" s="9" t="n"/>
      <c r="H43" s="9" t="n"/>
    </row>
    <row r="44" ht="14.25" customHeight="1" s="37">
      <c r="A44" s="38" t="inlineStr">
        <is>
          <t>UM00227</t>
        </is>
      </c>
      <c r="B44" s="9" t="inlineStr">
        <is>
          <t>LUSIA LERO- KTP p1 d1 - KOTA BALIKPAPAN</t>
        </is>
      </c>
      <c r="C44" s="9" t="inlineStr">
        <is>
          <t>St. Maria Immacula</t>
        </is>
      </c>
      <c r="D44" s="9" t="n"/>
      <c r="E44" s="9" t="n"/>
      <c r="F44" s="9" t="n"/>
      <c r="G44" s="9" t="n"/>
      <c r="H44" s="9" t="n"/>
    </row>
    <row r="45" ht="14.25" customHeight="1" s="37">
      <c r="A45" s="38" t="inlineStr">
        <is>
          <t>UM00228</t>
        </is>
      </c>
      <c r="B45" s="9" t="inlineStr">
        <is>
          <t>ADEODATUS JOE ADNA SAVIO</t>
        </is>
      </c>
      <c r="C45" s="9" t="inlineStr">
        <is>
          <t>St. Maria Immacula</t>
        </is>
      </c>
      <c r="D45" s="9" t="inlineStr">
        <is>
          <t>Pria/Laki-laki</t>
        </is>
      </c>
      <c r="E45" s="9" t="n"/>
      <c r="F45" s="9" t="n"/>
      <c r="G45" s="9" t="n"/>
      <c r="H45" s="9" t="n"/>
    </row>
    <row r="46" ht="14.25" customHeight="1" s="37">
      <c r="A46" s="38" t="inlineStr">
        <is>
          <t>UM00229</t>
        </is>
      </c>
      <c r="B46" s="9" t="inlineStr">
        <is>
          <t>MAGDALENA</t>
        </is>
      </c>
      <c r="C46" s="9" t="inlineStr">
        <is>
          <t>St. Maria Immacula</t>
        </is>
      </c>
      <c r="D46" s="9" t="inlineStr">
        <is>
          <t>Wanita/Perempuan</t>
        </is>
      </c>
      <c r="E46" s="9" t="n"/>
      <c r="F46" s="9" t="n"/>
      <c r="G46" s="9" t="n"/>
      <c r="H46" s="9" t="n"/>
    </row>
    <row r="47" ht="14.25" customHeight="1" s="37">
      <c r="A47" s="38" t="inlineStr">
        <is>
          <t>UM00230</t>
        </is>
      </c>
      <c r="B47" s="9" t="inlineStr">
        <is>
          <t>MARSELINUS PAMBO</t>
        </is>
      </c>
      <c r="C47" s="9" t="inlineStr">
        <is>
          <t>St. Maria Immacula</t>
        </is>
      </c>
      <c r="D47" s="9" t="n"/>
      <c r="E47" s="9" t="n"/>
      <c r="F47" s="9" t="n"/>
      <c r="G47" s="9" t="n"/>
      <c r="H47" s="9" t="n"/>
    </row>
    <row r="48" ht="14.25" customHeight="1" s="37">
      <c r="A48" s="38" t="inlineStr">
        <is>
          <t>UM00231</t>
        </is>
      </c>
      <c r="B48" s="9" t="inlineStr">
        <is>
          <t>MARTINUS APRIADI PUTRA-KTP p1 d1 - KOTA BALIKPAPAN</t>
        </is>
      </c>
      <c r="C48" s="9" t="inlineStr">
        <is>
          <t>St. Maria Immacula</t>
        </is>
      </c>
      <c r="D48" s="9" t="n"/>
      <c r="E48" s="9" t="n"/>
      <c r="F48" s="9" t="n"/>
      <c r="G48" s="9" t="n"/>
      <c r="H48" s="9" t="n"/>
    </row>
    <row r="49" ht="14.25" customHeight="1" s="37">
      <c r="A49" s="38" t="inlineStr">
        <is>
          <t>UM00232</t>
        </is>
      </c>
      <c r="B49" s="9" t="inlineStr">
        <is>
          <t>MARTINUS PRASETYO ADINUGROHO-KTP p1 d1 - PROVINS! KALIMANTAN TIMUR</t>
        </is>
      </c>
      <c r="C49" s="9" t="inlineStr">
        <is>
          <t>St. Maria Immacula</t>
        </is>
      </c>
      <c r="D49" s="9" t="n"/>
      <c r="E49" s="9" t="n"/>
      <c r="F49" s="9" t="n"/>
      <c r="G49" s="9" t="n"/>
      <c r="H49" s="9" t="n"/>
    </row>
    <row r="50" ht="14.25" customHeight="1" s="37">
      <c r="A50" s="38" t="inlineStr">
        <is>
          <t>UM00233</t>
        </is>
      </c>
      <c r="B50" s="9" t="inlineStr">
        <is>
          <t>MASENO SUGAYOGA</t>
        </is>
      </c>
      <c r="C50" s="9" t="inlineStr">
        <is>
          <t>St. Maria Immacula</t>
        </is>
      </c>
      <c r="D50" s="9" t="n"/>
      <c r="E50" s="9" t="n"/>
      <c r="F50" s="9" t="n"/>
      <c r="G50" s="9" t="n"/>
      <c r="H50" s="9" t="n"/>
    </row>
    <row r="51" ht="14.25" customHeight="1" s="37">
      <c r="A51" s="38" t="inlineStr">
        <is>
          <t>UM00234</t>
        </is>
      </c>
      <c r="B51" s="9" t="inlineStr">
        <is>
          <t>MEIVINASARI-KTP p1 d1 - PROVINSI KALIMANTAN TIMUR</t>
        </is>
      </c>
      <c r="C51" s="9" t="inlineStr">
        <is>
          <t>St. Maria Immacula</t>
        </is>
      </c>
      <c r="D51" s="9" t="n"/>
      <c r="E51" s="9" t="n"/>
      <c r="F51" s="9" t="n"/>
      <c r="G51" s="9" t="n"/>
      <c r="H51" s="9" t="n"/>
    </row>
    <row r="52" ht="14.25" customHeight="1" s="37">
      <c r="A52" s="38" t="inlineStr">
        <is>
          <t>UM00235</t>
        </is>
      </c>
      <c r="B52" s="9" t="inlineStr">
        <is>
          <t>MURTIYONO</t>
        </is>
      </c>
      <c r="C52" s="9" t="inlineStr">
        <is>
          <t>St. Maria Immacula</t>
        </is>
      </c>
      <c r="D52" s="9" t="n"/>
      <c r="E52" s="9" t="n"/>
      <c r="F52" s="9" t="n"/>
      <c r="G52" s="9" t="n"/>
      <c r="H52" s="9" t="n"/>
    </row>
    <row r="53" ht="14.25" customHeight="1" s="37">
      <c r="A53" s="38" t="inlineStr">
        <is>
          <t>UM00236</t>
        </is>
      </c>
      <c r="B53" s="9" t="inlineStr">
        <is>
          <t>RIBKA RATTANG</t>
        </is>
      </c>
      <c r="C53" s="9" t="inlineStr">
        <is>
          <t>St. Maria Immacula</t>
        </is>
      </c>
      <c r="D53" s="9" t="n"/>
      <c r="E53" s="9" t="n"/>
      <c r="F53" s="9" t="n"/>
      <c r="G53" s="9" t="n"/>
      <c r="H53" s="9" t="n"/>
    </row>
    <row r="54" ht="14.25" customHeight="1" s="37">
      <c r="A54" s="38" t="inlineStr">
        <is>
          <t>UM00237</t>
        </is>
      </c>
      <c r="B54" s="9" t="inlineStr">
        <is>
          <t>RINALDY VIATOR TARIGAN- KTP p1 d1 - Agama KRISTEN ee</t>
        </is>
      </c>
      <c r="C54" s="9" t="inlineStr">
        <is>
          <t>St. Maria Immacula</t>
        </is>
      </c>
      <c r="D54" s="9" t="n"/>
      <c r="E54" s="9" t="n"/>
      <c r="F54" s="9" t="n"/>
      <c r="G54" s="9" t="n"/>
      <c r="H54" s="9" t="n"/>
    </row>
    <row r="55" ht="14.25" customHeight="1" s="37">
      <c r="A55" s="38" t="inlineStr">
        <is>
          <t>UM00238</t>
        </is>
      </c>
      <c r="B55" s="9" t="inlineStr">
        <is>
          <t>SIANTA IKWANTO</t>
        </is>
      </c>
      <c r="C55" s="9" t="inlineStr">
        <is>
          <t>St. Maria Immacula</t>
        </is>
      </c>
      <c r="D55" s="9" t="n"/>
      <c r="E55" s="9" t="n"/>
      <c r="F55" s="9" t="n"/>
      <c r="G55" s="9" t="n"/>
      <c r="H55" s="9" t="n"/>
    </row>
    <row r="56" ht="14.25" customHeight="1" s="37">
      <c r="A56" s="38" t="inlineStr">
        <is>
          <t>UM00239</t>
        </is>
      </c>
      <c r="B56" s="9" t="inlineStr">
        <is>
          <t>SUKARMAN</t>
        </is>
      </c>
      <c r="C56" s="9" t="inlineStr">
        <is>
          <t>St. Maria Immacula</t>
        </is>
      </c>
      <c r="D56" s="9" t="n"/>
      <c r="E56" s="9" t="n"/>
      <c r="F56" s="9" t="n"/>
      <c r="G56" s="9" t="n"/>
      <c r="H56" s="9" t="n"/>
    </row>
    <row r="57" ht="14.25" customHeight="1" s="37">
      <c r="A57" s="38" t="inlineStr">
        <is>
          <t>UM00240</t>
        </is>
      </c>
      <c r="B57" s="9" t="inlineStr">
        <is>
          <t>TEDY WIBOWO-KTP p1 d1 - KOTABAD RE Gt</t>
        </is>
      </c>
      <c r="C57" s="9" t="inlineStr">
        <is>
          <t>St. Maria Immacula</t>
        </is>
      </c>
      <c r="D57" s="9" t="n"/>
      <c r="E57" s="9" t="n"/>
      <c r="F57" s="9" t="n"/>
      <c r="G57" s="9" t="n"/>
      <c r="H57" s="9" t="n"/>
    </row>
    <row r="58" ht="14.25" customHeight="1" s="37">
      <c r="A58" s="38" t="inlineStr">
        <is>
          <t>UM00241</t>
        </is>
      </c>
      <c r="B58" s="9" t="inlineStr">
        <is>
          <t>TEGUH WARDOYO-KTP p1 d1</t>
        </is>
      </c>
      <c r="C58" s="9" t="inlineStr">
        <is>
          <t>St. Maria Immacula</t>
        </is>
      </c>
      <c r="D58" s="9" t="n"/>
      <c r="E58" s="9" t="n"/>
      <c r="F58" s="9" t="n"/>
      <c r="G58" s="9" t="n"/>
      <c r="H58" s="9" t="n"/>
    </row>
    <row r="59" ht="14.25" customHeight="1" s="37">
      <c r="A59" s="38" t="inlineStr">
        <is>
          <t>UM00242</t>
        </is>
      </c>
      <c r="B59" s="9" t="inlineStr">
        <is>
          <t>THERESIA SUKARSI</t>
        </is>
      </c>
      <c r="C59" s="9" t="inlineStr">
        <is>
          <t>St. Maria Immacula</t>
        </is>
      </c>
      <c r="D59" s="9" t="n"/>
      <c r="E59" s="9" t="n"/>
      <c r="F59" s="9" t="n"/>
      <c r="G59" s="9" t="n"/>
      <c r="H59" s="9" t="n"/>
    </row>
    <row r="60" ht="14.25" customHeight="1" s="37">
      <c r="A60" s="38" t="inlineStr">
        <is>
          <t>UM00243</t>
        </is>
      </c>
      <c r="B60" s="9" t="inlineStr">
        <is>
          <t>ULFAH-KTP p1 d1 - PROVINSI KALIMANTAN TIMUR</t>
        </is>
      </c>
      <c r="C60" s="9" t="inlineStr">
        <is>
          <t>St. Maria Immacula</t>
        </is>
      </c>
      <c r="D60" s="9" t="n"/>
      <c r="E60" s="9" t="n"/>
      <c r="F60" s="9" t="n"/>
      <c r="G60" s="9" t="n"/>
      <c r="H60" s="9" t="n"/>
    </row>
    <row r="61" ht="14.25" customHeight="1" s="37">
      <c r="A61" s="38" t="inlineStr">
        <is>
          <t>UM00244</t>
        </is>
      </c>
      <c r="B61" s="9" t="inlineStr">
        <is>
          <t>WILFRIDUS SOI</t>
        </is>
      </c>
      <c r="C61" s="9" t="inlineStr">
        <is>
          <t>St. Maria Immacula</t>
        </is>
      </c>
      <c r="D61" s="9" t="n"/>
      <c r="E61" s="9" t="n"/>
      <c r="F61" s="9" t="n"/>
      <c r="G61" s="9" t="n"/>
      <c r="H61" s="9" t="n"/>
    </row>
    <row r="62" ht="14.25" customHeight="1" s="37">
      <c r="A62" s="38" t="inlineStr">
        <is>
          <t>UM00245</t>
        </is>
      </c>
      <c r="B62" s="9" t="inlineStr">
        <is>
          <t>WILI BRODUS RAYMON AUGUSTINO</t>
        </is>
      </c>
      <c r="C62" s="9" t="inlineStr">
        <is>
          <t>St. Maria Immacula</t>
        </is>
      </c>
      <c r="D62" s="9" t="n"/>
      <c r="E62" s="9" t="n"/>
      <c r="F62" s="9" t="n"/>
      <c r="G62" s="9" t="n"/>
      <c r="H62" s="9" t="n"/>
    </row>
    <row r="63" ht="14.25" customHeight="1" s="37">
      <c r="A63" s="38" t="inlineStr">
        <is>
          <t>UM00246</t>
        </is>
      </c>
      <c r="B63" s="9" t="inlineStr">
        <is>
          <t>WILIAM PRIHANDOKO</t>
        </is>
      </c>
      <c r="C63" s="9" t="inlineStr">
        <is>
          <t>St. Maria Immacula</t>
        </is>
      </c>
      <c r="D63" s="9" t="n"/>
      <c r="E63" s="9" t="n"/>
      <c r="F63" s="9" t="n"/>
      <c r="G63" s="9" t="n"/>
      <c r="H63" s="9" t="n"/>
    </row>
    <row r="64" ht="14.25" customHeight="1" s="37">
      <c r="A64" s="38" t="inlineStr">
        <is>
          <t>UM00247</t>
        </is>
      </c>
      <c r="B64" s="9" t="inlineStr">
        <is>
          <t>YOHAN KURNIAWAN BUYUNG</t>
        </is>
      </c>
      <c r="C64" s="9" t="inlineStr">
        <is>
          <t>St. Maria Immacula</t>
        </is>
      </c>
      <c r="D64" s="9" t="n"/>
      <c r="E64" s="9" t="n"/>
      <c r="F64" s="9" t="n"/>
      <c r="G64" s="9" t="n"/>
      <c r="H64" s="9" t="n"/>
    </row>
    <row r="65" ht="14.25" customHeight="1" s="37">
      <c r="A65" s="38" t="inlineStr">
        <is>
          <t>UM00248</t>
        </is>
      </c>
      <c r="B65" s="9" t="inlineStr">
        <is>
          <t>YONAS SORRO</t>
        </is>
      </c>
      <c r="C65" s="9" t="inlineStr">
        <is>
          <t>St. Maria Immacula</t>
        </is>
      </c>
      <c r="D65" s="9" t="n"/>
      <c r="E65" s="9" t="n"/>
      <c r="F65" s="9" t="n"/>
      <c r="G65" s="9" t="n"/>
      <c r="H65" s="9" t="n"/>
    </row>
    <row r="66" ht="14.25" customHeight="1" s="37">
      <c r="A66" s="38" t="inlineStr">
        <is>
          <t>UM00249</t>
        </is>
      </c>
      <c r="B66" s="9" t="inlineStr">
        <is>
          <t>YUPENSIUS MURDIYONO</t>
        </is>
      </c>
      <c r="C66" s="9" t="inlineStr">
        <is>
          <t>St. Maria Immacula</t>
        </is>
      </c>
      <c r="D66" s="9" t="n"/>
      <c r="E66" s="9" t="n"/>
      <c r="F66" s="9" t="n"/>
      <c r="G66" s="9" t="n"/>
      <c r="H66" s="9" t="n"/>
    </row>
    <row r="67" ht="14.25" customHeight="1" s="37">
      <c r="A67" s="38" t="inlineStr">
        <is>
          <t>UM00250</t>
        </is>
      </c>
      <c r="B67" s="9" t="inlineStr">
        <is>
          <t>YUSUF</t>
        </is>
      </c>
      <c r="C67" s="9" t="inlineStr">
        <is>
          <t>St. Maria Immacula</t>
        </is>
      </c>
      <c r="D67" s="9" t="n"/>
      <c r="E67" s="9" t="n"/>
      <c r="F67" s="9" t="n"/>
      <c r="G67" s="9" t="n"/>
      <c r="H67" s="9" t="n"/>
    </row>
    <row r="68" ht="14.25" customHeight="1" s="37">
      <c r="A68" s="38" t="inlineStr">
        <is>
          <t>UM00251</t>
        </is>
      </c>
      <c r="B68" s="9" t="inlineStr">
        <is>
          <t>Anna Endang Jajuk Supratiningsih</t>
        </is>
      </c>
      <c r="C68" s="9" t="inlineStr">
        <is>
          <t>St. Maria Immacula</t>
        </is>
      </c>
      <c r="D68" s="9" t="n"/>
      <c r="E68" s="9" t="n"/>
      <c r="F68" s="9" t="n"/>
      <c r="G68" s="9" t="n"/>
      <c r="H68" s="9" t="n"/>
    </row>
    <row r="69" ht="14.25" customHeight="1" s="37">
      <c r="A69" s="38" t="inlineStr">
        <is>
          <t>UM00252</t>
        </is>
      </c>
      <c r="B69" s="9" t="inlineStr">
        <is>
          <t>LEONNY AURELIA JOAN SALEM</t>
        </is>
      </c>
      <c r="C69" s="9" t="inlineStr">
        <is>
          <t>St. Maria Immacula</t>
        </is>
      </c>
      <c r="D69" s="9" t="n"/>
      <c r="E69" s="9" t="n"/>
      <c r="F69" s="9" t="n"/>
      <c r="G69" s="9" t="n"/>
      <c r="H69" s="9" t="n"/>
    </row>
    <row r="70" ht="14.25" customHeight="1" s="37">
      <c r="A70" s="38" t="inlineStr">
        <is>
          <t>UM00253</t>
        </is>
      </c>
      <c r="B70" s="9" t="inlineStr">
        <is>
          <t>BARNABAS MIKITAR</t>
        </is>
      </c>
      <c r="C70" s="9" t="inlineStr">
        <is>
          <t>St. Maria Immacula</t>
        </is>
      </c>
      <c r="D70" s="9" t="n"/>
      <c r="E70" s="9" t="n"/>
      <c r="F70" s="9" t="n"/>
      <c r="G70" s="9" t="n"/>
      <c r="H70" s="9" t="n"/>
    </row>
    <row r="71" ht="14.25" customHeight="1" s="37">
      <c r="A71" s="38" t="inlineStr">
        <is>
          <t>UM00254</t>
        </is>
      </c>
      <c r="B71" s="9" t="inlineStr">
        <is>
          <t>ELISABETH BEAULY PRAHASTUTY</t>
        </is>
      </c>
      <c r="C71" s="9" t="inlineStr">
        <is>
          <t>St. Maria Immacula</t>
        </is>
      </c>
      <c r="D71" s="9" t="n"/>
      <c r="E71" s="9" t="n"/>
      <c r="F71" s="9" t="n"/>
      <c r="G71" s="9" t="n"/>
      <c r="H71" s="9" t="n"/>
    </row>
    <row r="72" ht="14.25" customHeight="1" s="37">
      <c r="A72" s="38" t="inlineStr">
        <is>
          <t>UM00255</t>
        </is>
      </c>
      <c r="B72" s="9" t="inlineStr">
        <is>
          <t>ELLYZABETH SHINTA. AW</t>
        </is>
      </c>
      <c r="C72" s="9" t="inlineStr">
        <is>
          <t>St. Maria Immacula</t>
        </is>
      </c>
      <c r="D72" s="9" t="n"/>
      <c r="E72" s="9" t="n"/>
      <c r="F72" s="9" t="n"/>
      <c r="G72" s="9" t="n"/>
      <c r="H72" s="9" t="n"/>
    </row>
    <row r="73" ht="14.25" customHeight="1" s="37">
      <c r="A73" s="38" t="inlineStr">
        <is>
          <t>UM00256</t>
        </is>
      </c>
      <c r="B73" s="9" t="inlineStr">
        <is>
          <t>Ellyzabeth Shinta Ayu Widianingtyas</t>
        </is>
      </c>
      <c r="C73" s="9" t="inlineStr">
        <is>
          <t>St. Maria Immacula</t>
        </is>
      </c>
      <c r="D73" s="9" t="n"/>
      <c r="E73" s="9" t="n"/>
      <c r="F73" s="9" t="n"/>
      <c r="G73" s="9" t="n"/>
      <c r="H73" s="9" t="n"/>
    </row>
    <row r="74" ht="14.25" customHeight="1" s="37">
      <c r="A74" s="38" t="inlineStr">
        <is>
          <t>UM00257</t>
        </is>
      </c>
      <c r="B74" s="9" t="inlineStr">
        <is>
          <t>Fransiska Ignatia Woro Vidya A.</t>
        </is>
      </c>
      <c r="C74" s="9" t="inlineStr">
        <is>
          <t>St. Maria Immacula</t>
        </is>
      </c>
      <c r="D74" s="9" t="n"/>
      <c r="E74" s="9" t="n"/>
      <c r="F74" s="9" t="n"/>
      <c r="G74" s="9" t="n"/>
      <c r="H74" s="9" t="n"/>
    </row>
    <row r="75" ht="14.25" customHeight="1" s="37">
      <c r="A75" s="38" t="inlineStr">
        <is>
          <t>UM00258</t>
        </is>
      </c>
      <c r="B75" s="9" t="inlineStr">
        <is>
          <t>IGNATIUS BUDY ARIYANTO</t>
        </is>
      </c>
      <c r="C75" s="9" t="inlineStr">
        <is>
          <t>St. Maria Immacula</t>
        </is>
      </c>
      <c r="D75" s="9" t="n"/>
      <c r="E75" s="9" t="n"/>
      <c r="F75" s="9" t="n"/>
      <c r="G75" s="9" t="n"/>
      <c r="H75" s="9" t="n"/>
    </row>
    <row r="76" ht="14.25" customHeight="1" s="37">
      <c r="A76" s="38" t="inlineStr">
        <is>
          <t>UM00259</t>
        </is>
      </c>
      <c r="B76" s="9" t="inlineStr">
        <is>
          <t>LAURENSIUS FILIPI ADRY YOTA</t>
        </is>
      </c>
      <c r="C76" s="9" t="inlineStr">
        <is>
          <t>St. Maria Immacula</t>
        </is>
      </c>
      <c r="D76" s="9" t="n"/>
      <c r="E76" s="9" t="n"/>
      <c r="F76" s="9" t="n"/>
      <c r="G76" s="9" t="n"/>
      <c r="H76" s="9" t="n"/>
    </row>
    <row r="77" ht="14.25" customHeight="1" s="37">
      <c r="A77" s="38" t="inlineStr">
        <is>
          <t>UM00260</t>
        </is>
      </c>
      <c r="B77" s="9" t="inlineStr">
        <is>
          <t>Theresia Jenta Bernadetha</t>
        </is>
      </c>
      <c r="C77" s="9" t="inlineStr">
        <is>
          <t>St. Maria Immacula</t>
        </is>
      </c>
      <c r="D77" s="9" t="n"/>
      <c r="E77" s="9" t="n"/>
      <c r="F77" s="9" t="n"/>
      <c r="G77" s="9" t="n"/>
      <c r="H77" s="9" t="n"/>
    </row>
    <row r="78" ht="14.25" customHeight="1" s="37">
      <c r="A78" s="38" t="inlineStr">
        <is>
          <t>UM00261</t>
        </is>
      </c>
      <c r="B78" s="9" t="inlineStr">
        <is>
          <t>Catherina Suyaki</t>
        </is>
      </c>
      <c r="C78" s="9" t="inlineStr">
        <is>
          <t>St. Maria Immacula</t>
        </is>
      </c>
      <c r="D78" s="9" t="n"/>
      <c r="E78" s="9" t="n"/>
      <c r="F78" s="9" t="n"/>
      <c r="G78" s="9" t="n"/>
      <c r="H78" s="9" t="n"/>
    </row>
    <row r="79" ht="14.25" customHeight="1" s="37">
      <c r="A79" s="38" t="inlineStr">
        <is>
          <t>UM00262</t>
        </is>
      </c>
      <c r="B79" s="9" t="inlineStr">
        <is>
          <t>TATA RINA RATTANG</t>
        </is>
      </c>
      <c r="C79" s="9" t="inlineStr">
        <is>
          <t>St. Maria Immacula</t>
        </is>
      </c>
      <c r="D79" s="9" t="n"/>
      <c r="E79" s="9" t="n"/>
      <c r="F79" s="9" t="n"/>
      <c r="G79" s="9" t="n"/>
      <c r="H79" s="9" t="n"/>
    </row>
    <row r="80" ht="14.25" customHeight="1" s="37">
      <c r="A80" s="38" t="inlineStr">
        <is>
          <t>UM00263</t>
        </is>
      </c>
      <c r="B80" s="9" t="inlineStr">
        <is>
          <t>MARIA SAIDA RAHAYU NINGSIH</t>
        </is>
      </c>
      <c r="C80" s="9" t="inlineStr">
        <is>
          <t>St. Maria Immacula</t>
        </is>
      </c>
      <c r="D80" s="9" t="n"/>
      <c r="E80" s="9" t="n"/>
      <c r="F80" s="9" t="n"/>
      <c r="G80" s="9" t="n"/>
      <c r="H80" s="9" t="n"/>
    </row>
    <row r="81" ht="14.25" customHeight="1" s="37">
      <c r="A81" s="38" t="inlineStr">
        <is>
          <t>UM00264</t>
        </is>
      </c>
      <c r="B81" s="9" t="inlineStr">
        <is>
          <t>YOSEFA JANETT MAHARANI MANURUNG</t>
        </is>
      </c>
      <c r="C81" s="9" t="inlineStr">
        <is>
          <t>St. Maria Immacula</t>
        </is>
      </c>
      <c r="D81" s="9" t="n"/>
      <c r="E81" s="9" t="n"/>
      <c r="F81" s="9" t="n"/>
      <c r="G81" s="9" t="n"/>
      <c r="H81" s="9" t="n"/>
    </row>
    <row r="82" ht="14.25" customHeight="1" s="37">
      <c r="A82" s="38" t="inlineStr">
        <is>
          <t>UM00265</t>
        </is>
      </c>
      <c r="B82" s="9" t="inlineStr">
        <is>
          <t>NATALIA KAREN MANURUNG</t>
        </is>
      </c>
      <c r="C82" s="9" t="inlineStr">
        <is>
          <t>St. Maria Immacula</t>
        </is>
      </c>
      <c r="D82" s="9" t="n"/>
      <c r="E82" s="9" t="n"/>
      <c r="F82" s="9" t="n"/>
      <c r="G82" s="9" t="n"/>
      <c r="H82" s="9" t="n"/>
    </row>
    <row r="83" ht="14.25" customHeight="1" s="37">
      <c r="A83" s="38" t="inlineStr">
        <is>
          <t>UM00266</t>
        </is>
      </c>
      <c r="B83" s="9" t="inlineStr">
        <is>
          <t>LINTONG AMALSYAH MANURUNG</t>
        </is>
      </c>
      <c r="C83" s="9" t="inlineStr">
        <is>
          <t>St. Maria Immacula</t>
        </is>
      </c>
      <c r="D83" s="9" t="n"/>
      <c r="E83" s="9" t="n"/>
      <c r="F83" s="9" t="n"/>
      <c r="G83" s="9" t="n"/>
      <c r="H83" s="9" t="n"/>
    </row>
    <row r="84" ht="14.25" customHeight="1" s="37">
      <c r="A84" s="9" t="n"/>
      <c r="B84" s="9" t="n"/>
      <c r="C84" s="9" t="n"/>
      <c r="D84" s="9" t="n"/>
      <c r="E84" s="9" t="n"/>
      <c r="F84" s="9" t="n"/>
      <c r="G84" s="9" t="n"/>
      <c r="H84" s="9" t="n"/>
    </row>
    <row r="85" ht="14.25" customHeight="1" s="37">
      <c r="A85" s="9" t="n"/>
      <c r="B85" s="9" t="n"/>
      <c r="C85" s="9" t="n"/>
      <c r="D85" s="9" t="n"/>
      <c r="E85" s="9" t="n"/>
      <c r="F85" s="9" t="n"/>
      <c r="G85" s="9" t="n"/>
      <c r="H85" s="9" t="n"/>
    </row>
    <row r="86" ht="14.25" customHeight="1" s="37">
      <c r="A86" s="9" t="n"/>
      <c r="B86" s="9" t="n"/>
      <c r="C86" s="9" t="n"/>
      <c r="D86" s="9" t="n"/>
      <c r="E86" s="9" t="n"/>
      <c r="F86" s="9" t="n"/>
      <c r="G86" s="9" t="n"/>
      <c r="H86" s="9" t="n"/>
    </row>
    <row r="87" ht="14.25" customHeight="1" s="37">
      <c r="A87" s="9" t="n"/>
      <c r="B87" s="9" t="n"/>
      <c r="C87" s="9" t="n"/>
      <c r="D87" s="9" t="n"/>
      <c r="E87" s="9" t="n"/>
      <c r="F87" s="9" t="n"/>
      <c r="G87" s="9" t="n"/>
      <c r="H87" s="9" t="n"/>
    </row>
    <row r="88" ht="14.25" customHeight="1" s="37">
      <c r="A88" s="9" t="n"/>
      <c r="B88" s="9" t="n"/>
      <c r="C88" s="9" t="n"/>
      <c r="D88" s="9" t="n"/>
      <c r="E88" s="9" t="n"/>
      <c r="F88" s="9" t="n"/>
      <c r="G88" s="9" t="n"/>
      <c r="H88" s="9" t="n"/>
    </row>
    <row r="89" ht="14.25" customHeight="1" s="37">
      <c r="A89" s="9" t="n"/>
      <c r="B89" s="9" t="n"/>
      <c r="C89" s="9" t="n"/>
      <c r="D89" s="9" t="n"/>
      <c r="E89" s="9" t="n"/>
      <c r="F89" s="9" t="n"/>
      <c r="G89" s="9" t="n"/>
      <c r="H89" s="9" t="n"/>
    </row>
    <row r="90" ht="14.25" customHeight="1" s="37">
      <c r="A90" s="9" t="n"/>
      <c r="B90" s="9" t="n"/>
      <c r="C90" s="9" t="n"/>
      <c r="D90" s="9" t="n"/>
      <c r="E90" s="9" t="n"/>
      <c r="F90" s="9" t="n"/>
      <c r="G90" s="9" t="n"/>
      <c r="H90" s="9" t="n"/>
    </row>
    <row r="91" ht="14.25" customHeight="1" s="37">
      <c r="A91" s="9" t="n"/>
      <c r="B91" s="9" t="n"/>
      <c r="C91" s="9" t="n"/>
      <c r="D91" s="9" t="n"/>
      <c r="E91" s="9" t="n"/>
      <c r="F91" s="9" t="n"/>
      <c r="G91" s="9" t="n"/>
      <c r="H91" s="9" t="n"/>
    </row>
    <row r="92" ht="14.25" customHeight="1" s="37">
      <c r="A92" s="9" t="n"/>
      <c r="B92" s="9" t="n"/>
      <c r="C92" s="9" t="n"/>
      <c r="D92" s="9" t="n"/>
      <c r="E92" s="9" t="n"/>
      <c r="F92" s="9" t="n"/>
      <c r="G92" s="9" t="n"/>
      <c r="H92" s="9" t="n"/>
    </row>
    <row r="93" ht="14.25" customHeight="1" s="37">
      <c r="A93" s="9" t="n"/>
      <c r="B93" s="9" t="n"/>
      <c r="C93" s="9" t="n"/>
      <c r="D93" s="9" t="n"/>
      <c r="E93" s="9" t="n"/>
      <c r="F93" s="9" t="n"/>
      <c r="G93" s="9" t="n"/>
      <c r="H93" s="9" t="n"/>
    </row>
    <row r="94" ht="14.25" customHeight="1" s="37">
      <c r="A94" s="9" t="n"/>
      <c r="B94" s="9" t="n"/>
      <c r="C94" s="9" t="n"/>
      <c r="D94" s="9" t="n"/>
      <c r="E94" s="9" t="n"/>
      <c r="F94" s="9" t="n"/>
      <c r="G94" s="9" t="n"/>
      <c r="H94" s="9" t="n"/>
    </row>
    <row r="95" ht="14.25" customHeight="1" s="37">
      <c r="A95" s="9" t="n"/>
      <c r="B95" s="9" t="n"/>
      <c r="C95" s="9" t="n"/>
      <c r="D95" s="9" t="n"/>
      <c r="E95" s="9" t="n"/>
      <c r="F95" s="9" t="n"/>
      <c r="G95" s="9" t="n"/>
      <c r="H95" s="9" t="n"/>
    </row>
    <row r="96" ht="14.25" customHeight="1" s="37">
      <c r="A96" s="9" t="n"/>
      <c r="B96" s="9" t="n"/>
      <c r="C96" s="9" t="n"/>
      <c r="D96" s="9" t="n"/>
      <c r="E96" s="9" t="n"/>
      <c r="F96" s="9" t="n"/>
      <c r="G96" s="9" t="n"/>
      <c r="H96" s="9" t="n"/>
    </row>
    <row r="97" ht="14.25" customHeight="1" s="37">
      <c r="A97" s="9" t="n"/>
      <c r="B97" s="9" t="n"/>
      <c r="C97" s="9" t="n"/>
      <c r="D97" s="9" t="n"/>
      <c r="E97" s="9" t="n"/>
      <c r="F97" s="9" t="n"/>
      <c r="G97" s="9" t="n"/>
      <c r="H97" s="9" t="n"/>
    </row>
    <row r="98" ht="14.25" customHeight="1" s="37">
      <c r="A98" s="9" t="n"/>
      <c r="B98" s="9" t="n"/>
      <c r="C98" s="9" t="n"/>
      <c r="D98" s="9" t="n"/>
      <c r="E98" s="9" t="n"/>
      <c r="F98" s="9" t="n"/>
      <c r="G98" s="9" t="n"/>
      <c r="H98" s="9" t="n"/>
    </row>
    <row r="99" ht="14.25" customHeight="1" s="37">
      <c r="A99" s="9" t="n"/>
      <c r="B99" s="9" t="n"/>
      <c r="C99" s="9" t="n"/>
      <c r="D99" s="9" t="n"/>
      <c r="E99" s="9" t="n"/>
      <c r="F99" s="9" t="n"/>
      <c r="G99" s="9" t="n"/>
      <c r="H99" s="9" t="n"/>
    </row>
    <row r="100" ht="14.25" customHeight="1" s="37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 ht="14.25" customHeight="1" s="37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 ht="14.25" customHeight="1" s="37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 ht="14.25" customHeight="1" s="37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 ht="14.25" customHeight="1" s="37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 ht="14.25" customHeight="1" s="37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 ht="14.25" customHeight="1" s="37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 ht="14.25" customHeight="1" s="37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 ht="14.25" customHeight="1" s="37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 ht="14.25" customHeight="1" s="37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 ht="14.25" customHeight="1" s="37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 ht="14.25" customHeight="1" s="37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 ht="14.25" customHeight="1" s="37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 ht="14.25" customHeight="1" s="37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 ht="14.25" customHeight="1" s="37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 ht="14.25" customHeight="1" s="37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 ht="14.25" customHeight="1" s="37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 ht="14.25" customHeight="1" s="37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 ht="14.25" customHeight="1" s="37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 ht="14.25" customHeight="1" s="37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 ht="14.25" customHeight="1" s="37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 ht="14.25" customHeight="1" s="37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 ht="14.25" customHeight="1" s="37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 ht="14.25" customHeight="1" s="37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 ht="14.25" customHeight="1" s="37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 ht="14.25" customHeight="1" s="37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 ht="14.25" customHeight="1" s="37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 ht="14.25" customHeight="1" s="37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 ht="14.25" customHeight="1" s="37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 ht="14.25" customHeight="1" s="37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 ht="14.25" customHeight="1" s="37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 ht="14.25" customHeight="1" s="37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 ht="14.25" customHeight="1" s="37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 ht="14.25" customHeight="1" s="37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 ht="14.25" customHeight="1" s="37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 ht="14.25" customHeight="1" s="37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 ht="14.25" customHeight="1" s="37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 ht="14.25" customHeight="1" s="37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 ht="14.25" customHeight="1" s="37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 ht="14.25" customHeight="1" s="37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 ht="14.25" customHeight="1" s="37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 ht="14.25" customHeight="1" s="37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 ht="14.25" customHeight="1" s="37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 ht="14.25" customHeight="1" s="37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 ht="14.25" customHeight="1" s="37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 ht="14.25" customHeight="1" s="37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 ht="14.25" customHeight="1" s="37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 ht="14.25" customHeight="1" s="37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 ht="14.25" customHeight="1" s="37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 ht="14.25" customHeight="1" s="37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 ht="14.25" customHeight="1" s="37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 ht="14.25" customHeight="1" s="37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 ht="14.25" customHeight="1" s="37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 ht="14.25" customHeight="1" s="37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 ht="14.25" customHeight="1" s="37">
      <c r="A154" s="9" t="n"/>
      <c r="B154" s="9" t="n"/>
      <c r="C154" s="9" t="n"/>
      <c r="D154" s="9" t="n"/>
      <c r="E154" s="9" t="n"/>
      <c r="F154" s="9" t="n"/>
      <c r="G154" s="9" t="n"/>
      <c r="H154" s="9" t="n"/>
    </row>
    <row r="155" ht="14.25" customHeight="1" s="37">
      <c r="A155" s="9" t="n"/>
      <c r="B155" s="9" t="n"/>
      <c r="C155" s="9" t="n"/>
      <c r="D155" s="9" t="n"/>
      <c r="E155" s="9" t="n"/>
      <c r="F155" s="9" t="n"/>
      <c r="G155" s="9" t="n"/>
      <c r="H155" s="9" t="n"/>
    </row>
    <row r="156" ht="14.25" customHeight="1" s="37">
      <c r="A156" s="9" t="n"/>
      <c r="B156" s="9" t="n"/>
      <c r="C156" s="9" t="n"/>
      <c r="D156" s="9" t="n"/>
      <c r="E156" s="9" t="n"/>
      <c r="F156" s="9" t="n"/>
      <c r="G156" s="9" t="n"/>
      <c r="H156" s="9" t="n"/>
    </row>
    <row r="157" ht="14.25" customHeight="1" s="37">
      <c r="A157" s="9" t="n"/>
      <c r="B157" s="9" t="n"/>
      <c r="C157" s="9" t="n"/>
      <c r="D157" s="9" t="n"/>
      <c r="E157" s="9" t="n"/>
      <c r="F157" s="9" t="n"/>
      <c r="G157" s="9" t="n"/>
      <c r="H157" s="9" t="n"/>
    </row>
    <row r="158" ht="14.25" customHeight="1" s="37">
      <c r="A158" s="9" t="n"/>
      <c r="B158" s="9" t="n"/>
      <c r="C158" s="9" t="n"/>
      <c r="D158" s="9" t="n"/>
      <c r="E158" s="9" t="n"/>
      <c r="F158" s="9" t="n"/>
      <c r="G158" s="9" t="n"/>
      <c r="H158" s="9" t="n"/>
    </row>
    <row r="159" ht="14.25" customHeight="1" s="37">
      <c r="A159" s="9" t="n"/>
      <c r="B159" s="9" t="n"/>
      <c r="C159" s="9" t="n"/>
      <c r="D159" s="9" t="n"/>
      <c r="E159" s="9" t="n"/>
      <c r="F159" s="9" t="n"/>
      <c r="G159" s="9" t="n"/>
      <c r="H159" s="9" t="n"/>
    </row>
    <row r="160" ht="14.25" customHeight="1" s="37">
      <c r="A160" s="9" t="n"/>
      <c r="B160" s="9" t="n"/>
      <c r="C160" s="9" t="n"/>
      <c r="D160" s="9" t="n"/>
      <c r="E160" s="9" t="n"/>
      <c r="F160" s="9" t="n"/>
      <c r="G160" s="9" t="n"/>
      <c r="H160" s="9" t="n"/>
    </row>
    <row r="161" ht="14.25" customHeight="1" s="37">
      <c r="A161" s="9" t="n"/>
      <c r="B161" s="9" t="n"/>
      <c r="C161" s="9" t="n"/>
      <c r="D161" s="9" t="n"/>
      <c r="E161" s="9" t="n"/>
      <c r="F161" s="9" t="n"/>
      <c r="G161" s="9" t="n"/>
      <c r="H161" s="9" t="n"/>
    </row>
    <row r="162" ht="14.25" customHeight="1" s="37">
      <c r="A162" s="9" t="n"/>
      <c r="B162" s="9" t="n"/>
      <c r="C162" s="9" t="n"/>
      <c r="D162" s="9" t="n"/>
      <c r="E162" s="9" t="n"/>
      <c r="F162" s="9" t="n"/>
      <c r="G162" s="9" t="n"/>
      <c r="H162" s="9" t="n"/>
    </row>
    <row r="163" ht="14.25" customHeight="1" s="37">
      <c r="A163" s="9" t="n"/>
      <c r="B163" s="9" t="n"/>
      <c r="C163" s="9" t="n"/>
      <c r="D163" s="9" t="n"/>
      <c r="E163" s="9" t="n"/>
      <c r="F163" s="9" t="n"/>
      <c r="G163" s="9" t="n"/>
      <c r="H163" s="9" t="n"/>
    </row>
    <row r="164" ht="14.25" customHeight="1" s="37">
      <c r="A164" s="9" t="n"/>
      <c r="B164" s="9" t="n"/>
      <c r="C164" s="9" t="n"/>
      <c r="D164" s="9" t="n"/>
      <c r="E164" s="9" t="n"/>
      <c r="F164" s="9" t="n"/>
      <c r="G164" s="9" t="n"/>
      <c r="H164" s="9" t="n"/>
    </row>
    <row r="165" ht="14.25" customHeight="1" s="37">
      <c r="A165" s="9" t="n"/>
      <c r="B165" s="9" t="n"/>
      <c r="C165" s="9" t="n"/>
      <c r="D165" s="9" t="n"/>
      <c r="E165" s="9" t="n"/>
      <c r="F165" s="9" t="n"/>
      <c r="G165" s="9" t="n"/>
      <c r="H165" s="9" t="n"/>
    </row>
    <row r="166" ht="14.25" customHeight="1" s="37">
      <c r="A166" s="9" t="n"/>
      <c r="B166" s="9" t="n"/>
      <c r="C166" s="9" t="n"/>
      <c r="D166" s="9" t="n"/>
      <c r="E166" s="9" t="n"/>
      <c r="F166" s="9" t="n"/>
      <c r="G166" s="9" t="n"/>
      <c r="H166" s="9" t="n"/>
    </row>
    <row r="167" ht="14.25" customHeight="1" s="37">
      <c r="A167" s="9" t="n"/>
      <c r="B167" s="9" t="n"/>
      <c r="C167" s="9" t="n"/>
      <c r="D167" s="9" t="n"/>
      <c r="E167" s="9" t="n"/>
      <c r="F167" s="9" t="n"/>
      <c r="G167" s="9" t="n"/>
      <c r="H167" s="9" t="n"/>
    </row>
    <row r="168" ht="14.25" customHeight="1" s="37">
      <c r="A168" s="9" t="n"/>
      <c r="B168" s="9" t="n"/>
      <c r="C168" s="9" t="n"/>
      <c r="D168" s="9" t="n"/>
      <c r="E168" s="9" t="n"/>
      <c r="F168" s="9" t="n"/>
      <c r="G168" s="9" t="n"/>
      <c r="H168" s="9" t="n"/>
    </row>
    <row r="169" ht="14.25" customHeight="1" s="37">
      <c r="A169" s="9" t="n"/>
      <c r="B169" s="9" t="n"/>
      <c r="C169" s="9" t="n"/>
      <c r="D169" s="9" t="n"/>
      <c r="E169" s="9" t="n"/>
      <c r="F169" s="9" t="n"/>
      <c r="G169" s="9" t="n"/>
      <c r="H169" s="9" t="n"/>
    </row>
    <row r="170" ht="14.25" customHeight="1" s="37">
      <c r="A170" s="9" t="n"/>
      <c r="B170" s="9" t="n"/>
      <c r="C170" s="9" t="n"/>
      <c r="D170" s="9" t="n"/>
      <c r="E170" s="9" t="n"/>
      <c r="F170" s="9" t="n"/>
      <c r="G170" s="9" t="n"/>
      <c r="H170" s="9" t="n"/>
    </row>
    <row r="171" ht="14.25" customHeight="1" s="37">
      <c r="A171" s="9" t="n"/>
      <c r="B171" s="9" t="n"/>
      <c r="C171" s="9" t="n"/>
      <c r="D171" s="9" t="n"/>
      <c r="E171" s="9" t="n"/>
      <c r="F171" s="9" t="n"/>
      <c r="G171" s="9" t="n"/>
      <c r="H171" s="9" t="n"/>
    </row>
    <row r="172" ht="14.25" customHeight="1" s="37">
      <c r="A172" s="9" t="n"/>
      <c r="B172" s="9" t="n"/>
      <c r="C172" s="9" t="n"/>
      <c r="D172" s="9" t="n"/>
      <c r="E172" s="9" t="n"/>
      <c r="F172" s="9" t="n"/>
      <c r="G172" s="9" t="n"/>
      <c r="H172" s="9" t="n"/>
    </row>
    <row r="173" ht="14.25" customHeight="1" s="37">
      <c r="A173" s="9" t="n"/>
      <c r="B173" s="9" t="n"/>
      <c r="C173" s="9" t="n"/>
      <c r="D173" s="9" t="n"/>
      <c r="E173" s="9" t="n"/>
      <c r="F173" s="9" t="n"/>
      <c r="G173" s="9" t="n"/>
      <c r="H173" s="9" t="n"/>
    </row>
    <row r="174" ht="14.25" customHeight="1" s="37">
      <c r="A174" s="9" t="n"/>
      <c r="B174" s="9" t="n"/>
      <c r="C174" s="9" t="n"/>
      <c r="D174" s="9" t="n"/>
      <c r="E174" s="9" t="n"/>
      <c r="F174" s="9" t="n"/>
      <c r="G174" s="9" t="n"/>
      <c r="H174" s="9" t="n"/>
    </row>
    <row r="175" ht="14.25" customHeight="1" s="37">
      <c r="A175" s="9" t="n"/>
      <c r="B175" s="9" t="n"/>
      <c r="C175" s="9" t="n"/>
      <c r="D175" s="9" t="n"/>
      <c r="E175" s="9" t="n"/>
      <c r="F175" s="9" t="n"/>
      <c r="G175" s="9" t="n"/>
      <c r="H175" s="9" t="n"/>
    </row>
    <row r="176" ht="14.25" customHeight="1" s="37">
      <c r="A176" s="9" t="n"/>
      <c r="B176" s="9" t="n"/>
      <c r="C176" s="9" t="n"/>
      <c r="D176" s="9" t="n"/>
      <c r="E176" s="9" t="n"/>
      <c r="F176" s="9" t="n"/>
      <c r="G176" s="9" t="n"/>
      <c r="H176" s="9" t="n"/>
    </row>
    <row r="177" ht="14.25" customHeight="1" s="37">
      <c r="A177" s="9" t="n"/>
      <c r="B177" s="9" t="n"/>
      <c r="C177" s="9" t="n"/>
      <c r="D177" s="9" t="n"/>
      <c r="E177" s="9" t="n"/>
      <c r="F177" s="9" t="n"/>
      <c r="G177" s="9" t="n"/>
      <c r="H177" s="9" t="n"/>
    </row>
    <row r="178" ht="14.25" customHeight="1" s="37">
      <c r="A178" s="9" t="n"/>
      <c r="B178" s="9" t="n"/>
      <c r="C178" s="9" t="n"/>
      <c r="D178" s="9" t="n"/>
      <c r="E178" s="9" t="n"/>
      <c r="F178" s="9" t="n"/>
      <c r="G178" s="9" t="n"/>
      <c r="H178" s="9" t="n"/>
    </row>
    <row r="179" ht="14.25" customHeight="1" s="37">
      <c r="A179" s="9" t="n"/>
      <c r="B179" s="9" t="n"/>
      <c r="C179" s="9" t="n"/>
      <c r="D179" s="9" t="n"/>
      <c r="E179" s="9" t="n"/>
      <c r="F179" s="9" t="n"/>
      <c r="G179" s="9" t="n"/>
      <c r="H179" s="9" t="n"/>
    </row>
    <row r="180" ht="14.25" customHeight="1" s="37">
      <c r="A180" s="9" t="n"/>
      <c r="B180" s="9" t="n"/>
      <c r="C180" s="9" t="n"/>
      <c r="D180" s="9" t="n"/>
      <c r="E180" s="9" t="n"/>
      <c r="F180" s="9" t="n"/>
      <c r="G180" s="9" t="n"/>
      <c r="H180" s="9" t="n"/>
    </row>
    <row r="181" ht="14.25" customHeight="1" s="37">
      <c r="A181" s="9" t="n"/>
      <c r="B181" s="9" t="n"/>
      <c r="C181" s="9" t="n"/>
      <c r="D181" s="9" t="n"/>
      <c r="E181" s="9" t="n"/>
      <c r="F181" s="9" t="n"/>
      <c r="G181" s="9" t="n"/>
      <c r="H181" s="9" t="n"/>
    </row>
    <row r="182" ht="14.25" customHeight="1" s="37">
      <c r="A182" s="9" t="n"/>
      <c r="B182" s="9" t="n"/>
      <c r="C182" s="9" t="n"/>
      <c r="D182" s="9" t="n"/>
      <c r="E182" s="9" t="n"/>
      <c r="F182" s="9" t="n"/>
      <c r="G182" s="9" t="n"/>
      <c r="H182" s="9" t="n"/>
    </row>
    <row r="183" ht="14.25" customHeight="1" s="37">
      <c r="A183" s="9" t="n"/>
      <c r="B183" s="9" t="n"/>
      <c r="C183" s="9" t="n"/>
      <c r="D183" s="9" t="n"/>
      <c r="E183" s="9" t="n"/>
      <c r="F183" s="9" t="n"/>
      <c r="G183" s="9" t="n"/>
      <c r="H183" s="9" t="n"/>
    </row>
    <row r="184" ht="14.25" customHeight="1" s="37">
      <c r="A184" s="9" t="n"/>
      <c r="B184" s="9" t="n"/>
      <c r="C184" s="9" t="n"/>
      <c r="D184" s="9" t="n"/>
      <c r="E184" s="9" t="n"/>
      <c r="F184" s="9" t="n"/>
      <c r="G184" s="9" t="n"/>
      <c r="H184" s="9" t="n"/>
    </row>
    <row r="185" ht="14.25" customHeight="1" s="37">
      <c r="A185" s="9" t="n"/>
      <c r="B185" s="9" t="n"/>
      <c r="C185" s="9" t="n"/>
      <c r="D185" s="9" t="n"/>
      <c r="E185" s="9" t="n"/>
      <c r="F185" s="9" t="n"/>
      <c r="G185" s="9" t="n"/>
      <c r="H185" s="9" t="n"/>
    </row>
    <row r="186" ht="14.25" customHeight="1" s="37">
      <c r="A186" s="9" t="n"/>
      <c r="B186" s="9" t="n"/>
      <c r="C186" s="9" t="n"/>
      <c r="D186" s="9" t="n"/>
      <c r="E186" s="9" t="n"/>
      <c r="F186" s="9" t="n"/>
      <c r="G186" s="9" t="n"/>
      <c r="H186" s="9" t="n"/>
    </row>
    <row r="187" ht="14.25" customHeight="1" s="37">
      <c r="A187" s="9" t="n"/>
      <c r="B187" s="9" t="n"/>
      <c r="C187" s="9" t="n"/>
      <c r="D187" s="9" t="n"/>
      <c r="E187" s="9" t="n"/>
      <c r="F187" s="9" t="n"/>
      <c r="G187" s="9" t="n"/>
      <c r="H187" s="9" t="n"/>
    </row>
    <row r="188" ht="14.25" customHeight="1" s="37">
      <c r="A188" s="9" t="n"/>
      <c r="B188" s="9" t="n"/>
      <c r="C188" s="9" t="n"/>
      <c r="D188" s="9" t="n"/>
      <c r="E188" s="9" t="n"/>
      <c r="F188" s="9" t="n"/>
      <c r="G188" s="9" t="n"/>
      <c r="H188" s="9" t="n"/>
    </row>
    <row r="189" ht="14.25" customHeight="1" s="37">
      <c r="A189" s="9" t="n"/>
      <c r="B189" s="9" t="n"/>
      <c r="C189" s="9" t="n"/>
      <c r="D189" s="9" t="n"/>
      <c r="E189" s="9" t="n"/>
      <c r="F189" s="9" t="n"/>
      <c r="G189" s="9" t="n"/>
      <c r="H189" s="9" t="n"/>
    </row>
    <row r="190" ht="14.25" customHeight="1" s="37">
      <c r="A190" s="9" t="n"/>
      <c r="B190" s="9" t="n"/>
      <c r="C190" s="9" t="n"/>
      <c r="D190" s="9" t="n"/>
      <c r="E190" s="9" t="n"/>
      <c r="F190" s="9" t="n"/>
      <c r="G190" s="9" t="n"/>
      <c r="H190" s="9" t="n"/>
    </row>
    <row r="191" ht="14.25" customHeight="1" s="37">
      <c r="A191" s="9" t="n"/>
      <c r="B191" s="9" t="n"/>
      <c r="C191" s="9" t="n"/>
      <c r="D191" s="9" t="n"/>
      <c r="E191" s="9" t="n"/>
      <c r="F191" s="9" t="n"/>
      <c r="G191" s="9" t="n"/>
      <c r="H191" s="9" t="n"/>
    </row>
    <row r="192" ht="14.25" customHeight="1" s="37">
      <c r="A192" s="9" t="n"/>
      <c r="B192" s="9" t="n"/>
      <c r="C192" s="9" t="n"/>
      <c r="D192" s="9" t="n"/>
      <c r="E192" s="9" t="n"/>
      <c r="F192" s="9" t="n"/>
      <c r="G192" s="9" t="n"/>
      <c r="H192" s="9" t="n"/>
    </row>
    <row r="193" ht="14.25" customHeight="1" s="37">
      <c r="A193" s="9" t="n"/>
      <c r="B193" s="9" t="n"/>
      <c r="C193" s="9" t="n"/>
      <c r="D193" s="9" t="n"/>
      <c r="E193" s="9" t="n"/>
      <c r="F193" s="9" t="n"/>
      <c r="G193" s="9" t="n"/>
      <c r="H193" s="9" t="n"/>
    </row>
    <row r="194" ht="14.25" customHeight="1" s="37">
      <c r="A194" s="9" t="n"/>
      <c r="B194" s="9" t="n"/>
      <c r="C194" s="9" t="n"/>
      <c r="D194" s="9" t="n"/>
      <c r="E194" s="9" t="n"/>
      <c r="F194" s="9" t="n"/>
      <c r="G194" s="9" t="n"/>
      <c r="H194" s="9" t="n"/>
    </row>
    <row r="195" ht="14.25" customHeight="1" s="37">
      <c r="A195" s="9" t="n"/>
      <c r="B195" s="9" t="n"/>
      <c r="C195" s="9" t="n"/>
      <c r="D195" s="9" t="n"/>
      <c r="E195" s="9" t="n"/>
      <c r="F195" s="9" t="n"/>
      <c r="G195" s="9" t="n"/>
      <c r="H195" s="9" t="n"/>
    </row>
    <row r="196" ht="14.25" customHeight="1" s="37">
      <c r="A196" s="9" t="n"/>
      <c r="B196" s="9" t="n"/>
      <c r="C196" s="9" t="n"/>
      <c r="D196" s="9" t="n"/>
      <c r="E196" s="9" t="n"/>
      <c r="F196" s="9" t="n"/>
      <c r="G196" s="9" t="n"/>
      <c r="H196" s="9" t="n"/>
    </row>
    <row r="197" ht="14.25" customHeight="1" s="37">
      <c r="A197" s="9" t="n"/>
      <c r="B197" s="9" t="n"/>
      <c r="C197" s="9" t="n"/>
      <c r="D197" s="9" t="n"/>
      <c r="E197" s="9" t="n"/>
      <c r="F197" s="9" t="n"/>
      <c r="G197" s="9" t="n"/>
      <c r="H197" s="9" t="n"/>
    </row>
    <row r="198" ht="14.25" customHeight="1" s="37">
      <c r="A198" s="9" t="n"/>
      <c r="B198" s="9" t="n"/>
      <c r="C198" s="9" t="n"/>
      <c r="D198" s="9" t="n"/>
      <c r="E198" s="9" t="n"/>
      <c r="F198" s="9" t="n"/>
      <c r="G198" s="9" t="n"/>
      <c r="H198" s="9" t="n"/>
    </row>
    <row r="199" ht="14.25" customHeight="1" s="37">
      <c r="A199" s="9" t="n"/>
      <c r="B199" s="9" t="n"/>
      <c r="C199" s="9" t="n"/>
      <c r="D199" s="9" t="n"/>
      <c r="E199" s="9" t="n"/>
      <c r="F199" s="9" t="n"/>
      <c r="G199" s="9" t="n"/>
      <c r="H199" s="9" t="n"/>
    </row>
    <row r="200" ht="14.25" customHeight="1" s="37">
      <c r="A200" s="9" t="n"/>
      <c r="B200" s="9" t="n"/>
      <c r="C200" s="9" t="n"/>
      <c r="D200" s="9" t="n"/>
      <c r="E200" s="9" t="n"/>
      <c r="F200" s="9" t="n"/>
      <c r="G200" s="9" t="n"/>
      <c r="H200" s="9" t="n"/>
    </row>
    <row r="201" ht="14.25" customHeight="1" s="37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 ht="14.25" customHeight="1" s="37">
      <c r="A202" s="9" t="n"/>
      <c r="B202" s="9" t="n"/>
      <c r="C202" s="9" t="n"/>
      <c r="D202" s="9" t="n"/>
      <c r="E202" s="9" t="n"/>
      <c r="F202" s="9" t="n"/>
      <c r="G202" s="9" t="n"/>
      <c r="H202" s="9" t="n"/>
    </row>
    <row r="203" ht="14.25" customHeight="1" s="37">
      <c r="A203" s="9" t="n"/>
      <c r="B203" s="9" t="n"/>
      <c r="C203" s="9" t="n"/>
      <c r="D203" s="9" t="n"/>
      <c r="E203" s="9" t="n"/>
      <c r="F203" s="9" t="n"/>
      <c r="G203" s="9" t="n"/>
      <c r="H203" s="9" t="n"/>
    </row>
    <row r="204" ht="14.25" customHeight="1" s="37">
      <c r="A204" s="9" t="n"/>
      <c r="B204" s="9" t="n"/>
      <c r="C204" s="9" t="n"/>
      <c r="D204" s="9" t="n"/>
      <c r="E204" s="9" t="n"/>
      <c r="F204" s="9" t="n"/>
      <c r="G204" s="9" t="n"/>
      <c r="H204" s="9" t="n"/>
    </row>
    <row r="205" ht="14.25" customHeight="1" s="37">
      <c r="A205" s="9" t="n"/>
      <c r="B205" s="9" t="n"/>
      <c r="C205" s="9" t="n"/>
      <c r="D205" s="9" t="n"/>
      <c r="E205" s="9" t="n"/>
      <c r="F205" s="9" t="n"/>
      <c r="G205" s="9" t="n"/>
      <c r="H205" s="9" t="n"/>
    </row>
    <row r="206" ht="14.25" customHeight="1" s="37">
      <c r="A206" s="9" t="n"/>
      <c r="B206" s="9" t="n"/>
      <c r="C206" s="9" t="n"/>
      <c r="D206" s="9" t="n"/>
      <c r="E206" s="9" t="n"/>
      <c r="F206" s="9" t="n"/>
      <c r="G206" s="9" t="n"/>
      <c r="H206" s="9" t="n"/>
    </row>
    <row r="207" ht="14.25" customHeight="1" s="37">
      <c r="A207" s="9" t="n"/>
      <c r="B207" s="9" t="n"/>
      <c r="C207" s="9" t="n"/>
      <c r="D207" s="9" t="n"/>
      <c r="E207" s="9" t="n"/>
      <c r="F207" s="9" t="n"/>
      <c r="G207" s="9" t="n"/>
      <c r="H207" s="9" t="n"/>
    </row>
    <row r="208" ht="14.25" customHeight="1" s="37">
      <c r="A208" s="9" t="n"/>
      <c r="B208" s="9" t="n"/>
      <c r="C208" s="9" t="n"/>
      <c r="D208" s="9" t="n"/>
      <c r="E208" s="9" t="n"/>
      <c r="F208" s="9" t="n"/>
      <c r="G208" s="9" t="n"/>
      <c r="H208" s="9" t="n"/>
    </row>
    <row r="209" ht="14.25" customHeight="1" s="37">
      <c r="A209" s="9" t="n"/>
      <c r="B209" s="9" t="n"/>
      <c r="C209" s="9" t="n"/>
      <c r="D209" s="9" t="n"/>
      <c r="E209" s="9" t="n"/>
      <c r="F209" s="9" t="n"/>
      <c r="G209" s="9" t="n"/>
      <c r="H209" s="9" t="n"/>
    </row>
    <row r="210" ht="14.25" customHeight="1" s="37">
      <c r="A210" s="9" t="n"/>
      <c r="B210" s="9" t="n"/>
      <c r="C210" s="9" t="n"/>
      <c r="D210" s="9" t="n"/>
      <c r="E210" s="9" t="n"/>
      <c r="F210" s="9" t="n"/>
      <c r="G210" s="9" t="n"/>
      <c r="H210" s="9" t="n"/>
    </row>
    <row r="211" ht="14.25" customHeight="1" s="37">
      <c r="A211" s="9" t="n"/>
      <c r="B211" s="9" t="n"/>
      <c r="C211" s="9" t="n"/>
      <c r="D211" s="9" t="n"/>
      <c r="E211" s="9" t="n"/>
      <c r="F211" s="9" t="n"/>
      <c r="G211" s="9" t="n"/>
      <c r="H211" s="9" t="n"/>
    </row>
    <row r="212" ht="14.25" customHeight="1" s="37">
      <c r="A212" s="9" t="n"/>
      <c r="B212" s="9" t="n"/>
      <c r="C212" s="9" t="n"/>
      <c r="D212" s="9" t="n"/>
      <c r="E212" s="9" t="n"/>
      <c r="F212" s="9" t="n"/>
      <c r="G212" s="9" t="n"/>
      <c r="H212" s="9" t="n"/>
    </row>
    <row r="213" ht="14.25" customHeight="1" s="37">
      <c r="A213" s="9" t="n"/>
      <c r="B213" s="9" t="n"/>
      <c r="C213" s="9" t="n"/>
      <c r="D213" s="9" t="n"/>
      <c r="E213" s="9" t="n"/>
      <c r="F213" s="9" t="n"/>
      <c r="G213" s="9" t="n"/>
      <c r="H213" s="9" t="n"/>
    </row>
    <row r="214" ht="14.25" customHeight="1" s="37">
      <c r="A214" s="9" t="n"/>
      <c r="B214" s="9" t="n"/>
      <c r="C214" s="9" t="n"/>
      <c r="D214" s="9" t="n"/>
      <c r="E214" s="9" t="n"/>
      <c r="F214" s="9" t="n"/>
      <c r="G214" s="9" t="n"/>
      <c r="H214" s="9" t="n"/>
    </row>
    <row r="215" ht="14.25" customHeight="1" s="37">
      <c r="A215" s="9" t="n"/>
      <c r="B215" s="9" t="n"/>
      <c r="C215" s="9" t="n"/>
      <c r="D215" s="9" t="n"/>
      <c r="E215" s="9" t="n"/>
      <c r="F215" s="9" t="n"/>
      <c r="G215" s="9" t="n"/>
      <c r="H215" s="9" t="n"/>
    </row>
    <row r="216" ht="14.25" customHeight="1" s="37">
      <c r="A216" s="9" t="n"/>
      <c r="B216" s="9" t="n"/>
      <c r="C216" s="9" t="n"/>
      <c r="D216" s="9" t="n"/>
      <c r="E216" s="9" t="n"/>
      <c r="F216" s="9" t="n"/>
      <c r="G216" s="9" t="n"/>
      <c r="H216" s="9" t="n"/>
    </row>
    <row r="217" ht="14.25" customHeight="1" s="37">
      <c r="A217" s="9" t="n"/>
      <c r="B217" s="9" t="n"/>
      <c r="C217" s="9" t="n"/>
      <c r="D217" s="9" t="n"/>
      <c r="E217" s="9" t="n"/>
      <c r="F217" s="9" t="n"/>
      <c r="G217" s="9" t="n"/>
      <c r="H217" s="9" t="n"/>
    </row>
    <row r="218" ht="14.25" customHeight="1" s="37">
      <c r="A218" s="9" t="n"/>
      <c r="B218" s="9" t="n"/>
      <c r="C218" s="9" t="n"/>
      <c r="D218" s="9" t="n"/>
      <c r="E218" s="9" t="n"/>
      <c r="F218" s="9" t="n"/>
      <c r="G218" s="9" t="n"/>
      <c r="H218" s="9" t="n"/>
    </row>
    <row r="219" ht="14.25" customHeight="1" s="37">
      <c r="A219" s="9" t="n"/>
      <c r="B219" s="9" t="n"/>
      <c r="C219" s="9" t="n"/>
      <c r="D219" s="9" t="n"/>
      <c r="E219" s="9" t="n"/>
      <c r="F219" s="9" t="n"/>
      <c r="G219" s="9" t="n"/>
      <c r="H219" s="9" t="n"/>
    </row>
    <row r="220" ht="14.25" customHeight="1" s="37">
      <c r="A220" s="9" t="n"/>
      <c r="B220" s="9" t="n"/>
      <c r="C220" s="9" t="n"/>
      <c r="D220" s="9" t="n"/>
      <c r="E220" s="9" t="n"/>
      <c r="F220" s="9" t="n"/>
      <c r="G220" s="9" t="n"/>
      <c r="H220" s="9" t="n"/>
    </row>
    <row r="221" ht="14.25" customHeight="1" s="37">
      <c r="E221" s="11" t="n"/>
      <c r="F221" s="11" t="n"/>
    </row>
    <row r="222" ht="14.25" customHeight="1" s="37">
      <c r="E222" s="11" t="n"/>
      <c r="F222" s="11" t="n"/>
    </row>
    <row r="223" ht="14.25" customHeight="1" s="37">
      <c r="E223" s="11" t="n"/>
      <c r="F223" s="11" t="n"/>
    </row>
    <row r="224" ht="14.25" customHeight="1" s="37">
      <c r="E224" s="11" t="n"/>
      <c r="F224" s="11" t="n"/>
    </row>
    <row r="225" ht="14.25" customHeight="1" s="37">
      <c r="E225" s="11" t="n"/>
      <c r="F225" s="11" t="n"/>
    </row>
    <row r="226" ht="14.25" customHeight="1" s="37">
      <c r="E226" s="11" t="n"/>
      <c r="F226" s="11" t="n"/>
    </row>
    <row r="227" ht="14.25" customHeight="1" s="37">
      <c r="E227" s="11" t="n"/>
      <c r="F227" s="11" t="n"/>
    </row>
    <row r="228" ht="14.25" customHeight="1" s="37">
      <c r="E228" s="11" t="n"/>
      <c r="F228" s="11" t="n"/>
    </row>
    <row r="229" ht="14.25" customHeight="1" s="37">
      <c r="E229" s="11" t="n"/>
      <c r="F229" s="11" t="n"/>
    </row>
    <row r="230" ht="14.25" customHeight="1" s="37">
      <c r="E230" s="11" t="n"/>
      <c r="F230" s="11" t="n"/>
    </row>
    <row r="231" ht="14.25" customHeight="1" s="37">
      <c r="E231" s="11" t="n"/>
      <c r="F231" s="11" t="n"/>
    </row>
    <row r="232" ht="14.25" customHeight="1" s="37">
      <c r="E232" s="11" t="n"/>
      <c r="F232" s="11" t="n"/>
    </row>
    <row r="233" ht="14.25" customHeight="1" s="37">
      <c r="E233" s="11" t="n"/>
      <c r="F233" s="11" t="n"/>
    </row>
    <row r="234" ht="14.25" customHeight="1" s="37">
      <c r="E234" s="11" t="n"/>
      <c r="F234" s="11" t="n"/>
    </row>
    <row r="235" ht="14.25" customHeight="1" s="37">
      <c r="E235" s="11" t="n"/>
      <c r="F235" s="11" t="n"/>
    </row>
    <row r="236" ht="14.25" customHeight="1" s="37">
      <c r="E236" s="11" t="n"/>
      <c r="F236" s="11" t="n"/>
    </row>
    <row r="237" ht="14.25" customHeight="1" s="37">
      <c r="E237" s="11" t="n"/>
      <c r="F237" s="11" t="n"/>
    </row>
    <row r="238" ht="14.25" customHeight="1" s="37">
      <c r="E238" s="11" t="n"/>
      <c r="F238" s="11" t="n"/>
    </row>
    <row r="239" ht="14.25" customHeight="1" s="37">
      <c r="E239" s="11" t="n"/>
      <c r="F239" s="11" t="n"/>
    </row>
    <row r="240" ht="14.25" customHeight="1" s="37">
      <c r="E240" s="11" t="n"/>
      <c r="F240" s="11" t="n"/>
    </row>
    <row r="241" ht="14.25" customHeight="1" s="37">
      <c r="E241" s="11" t="n"/>
      <c r="F241" s="11" t="n"/>
    </row>
    <row r="242" ht="14.25" customHeight="1" s="37">
      <c r="E242" s="11" t="n"/>
      <c r="F242" s="11" t="n"/>
    </row>
    <row r="243" ht="14.25" customHeight="1" s="37">
      <c r="E243" s="11" t="n"/>
      <c r="F243" s="11" t="n"/>
    </row>
    <row r="244" ht="14.25" customHeight="1" s="37">
      <c r="E244" s="11" t="n"/>
      <c r="F244" s="11" t="n"/>
    </row>
    <row r="245" ht="14.25" customHeight="1" s="37">
      <c r="E245" s="11" t="n"/>
      <c r="F245" s="11" t="n"/>
    </row>
    <row r="246" ht="14.25" customHeight="1" s="37">
      <c r="E246" s="11" t="n"/>
      <c r="F246" s="11" t="n"/>
    </row>
    <row r="247" ht="14.25" customHeight="1" s="37">
      <c r="E247" s="11" t="n"/>
      <c r="F247" s="11" t="n"/>
    </row>
    <row r="248" ht="14.25" customHeight="1" s="37">
      <c r="E248" s="11" t="n"/>
      <c r="F248" s="11" t="n"/>
    </row>
    <row r="249" ht="14.25" customHeight="1" s="37">
      <c r="E249" s="11" t="n"/>
      <c r="F249" s="11" t="n"/>
    </row>
    <row r="250" ht="14.25" customHeight="1" s="37">
      <c r="E250" s="11" t="n"/>
      <c r="F250" s="11" t="n"/>
    </row>
    <row r="251" ht="14.25" customHeight="1" s="37">
      <c r="E251" s="11" t="n"/>
      <c r="F251" s="11" t="n"/>
    </row>
    <row r="252" ht="14.25" customHeight="1" s="37">
      <c r="E252" s="11" t="n"/>
      <c r="F252" s="11" t="n"/>
    </row>
    <row r="253" ht="14.25" customHeight="1" s="37">
      <c r="E253" s="11" t="n"/>
      <c r="F253" s="11" t="n"/>
    </row>
    <row r="254" ht="14.25" customHeight="1" s="37">
      <c r="E254" s="11" t="n"/>
      <c r="F254" s="11" t="n"/>
    </row>
    <row r="255" ht="14.25" customHeight="1" s="37">
      <c r="E255" s="11" t="n"/>
      <c r="F255" s="11" t="n"/>
    </row>
    <row r="256" ht="14.25" customHeight="1" s="37">
      <c r="E256" s="11" t="n"/>
      <c r="F256" s="11" t="n"/>
    </row>
    <row r="257" ht="14.25" customHeight="1" s="37">
      <c r="E257" s="11" t="n"/>
      <c r="F257" s="11" t="n"/>
    </row>
    <row r="258" ht="14.25" customHeight="1" s="37">
      <c r="E258" s="11" t="n"/>
      <c r="F258" s="11" t="n"/>
    </row>
    <row r="259" ht="14.25" customHeight="1" s="37">
      <c r="E259" s="11" t="n"/>
      <c r="F259" s="11" t="n"/>
    </row>
    <row r="260" ht="14.25" customHeight="1" s="37">
      <c r="E260" s="11" t="n"/>
      <c r="F260" s="11" t="n"/>
    </row>
    <row r="261" ht="14.25" customHeight="1" s="37">
      <c r="E261" s="11" t="n"/>
      <c r="F261" s="11" t="n"/>
    </row>
    <row r="262" ht="14.25" customHeight="1" s="37">
      <c r="E262" s="11" t="n"/>
      <c r="F262" s="11" t="n"/>
    </row>
    <row r="263" ht="14.25" customHeight="1" s="37">
      <c r="E263" s="11" t="n"/>
      <c r="F263" s="11" t="n"/>
    </row>
    <row r="264" ht="14.25" customHeight="1" s="37">
      <c r="E264" s="11" t="n"/>
      <c r="F264" s="11" t="n"/>
    </row>
    <row r="265" ht="14.25" customHeight="1" s="37">
      <c r="E265" s="11" t="n"/>
      <c r="F265" s="11" t="n"/>
    </row>
    <row r="266" ht="14.25" customHeight="1" s="37">
      <c r="E266" s="11" t="n"/>
      <c r="F266" s="11" t="n"/>
    </row>
    <row r="267" ht="14.25" customHeight="1" s="37">
      <c r="E267" s="11" t="n"/>
      <c r="F267" s="11" t="n"/>
    </row>
    <row r="268" ht="14.25" customHeight="1" s="37">
      <c r="E268" s="11" t="n"/>
      <c r="F268" s="11" t="n"/>
    </row>
    <row r="269" ht="14.25" customHeight="1" s="37">
      <c r="E269" s="11" t="n"/>
      <c r="F269" s="11" t="n"/>
    </row>
    <row r="270" ht="14.25" customHeight="1" s="37">
      <c r="E270" s="11" t="n"/>
      <c r="F270" s="11" t="n"/>
    </row>
    <row r="271" ht="14.25" customHeight="1" s="37">
      <c r="E271" s="11" t="n"/>
      <c r="F271" s="11" t="n"/>
    </row>
    <row r="272" ht="14.25" customHeight="1" s="37">
      <c r="E272" s="11" t="n"/>
      <c r="F272" s="11" t="n"/>
    </row>
    <row r="273" ht="14.25" customHeight="1" s="37">
      <c r="E273" s="11" t="n"/>
      <c r="F273" s="11" t="n"/>
    </row>
    <row r="274" ht="14.25" customHeight="1" s="37">
      <c r="E274" s="11" t="n"/>
      <c r="F274" s="11" t="n"/>
    </row>
    <row r="275" ht="14.25" customHeight="1" s="37">
      <c r="E275" s="11" t="n"/>
      <c r="F275" s="11" t="n"/>
    </row>
    <row r="276" ht="14.25" customHeight="1" s="37">
      <c r="E276" s="11" t="n"/>
      <c r="F276" s="11" t="n"/>
    </row>
    <row r="277" ht="14.25" customHeight="1" s="37">
      <c r="E277" s="11" t="n"/>
      <c r="F277" s="11" t="n"/>
    </row>
    <row r="278" ht="14.25" customHeight="1" s="37">
      <c r="E278" s="11" t="n"/>
      <c r="F278" s="11" t="n"/>
    </row>
    <row r="279" ht="14.25" customHeight="1" s="37">
      <c r="E279" s="11" t="n"/>
      <c r="F279" s="11" t="n"/>
    </row>
    <row r="280" ht="14.25" customHeight="1" s="37">
      <c r="E280" s="11" t="n"/>
      <c r="F280" s="11" t="n"/>
    </row>
    <row r="281" ht="14.25" customHeight="1" s="37">
      <c r="E281" s="11" t="n"/>
      <c r="F281" s="11" t="n"/>
    </row>
    <row r="282" ht="14.25" customHeight="1" s="37">
      <c r="E282" s="11" t="n"/>
      <c r="F282" s="11" t="n"/>
    </row>
    <row r="283" ht="14.25" customHeight="1" s="37">
      <c r="E283" s="11" t="n"/>
      <c r="F283" s="11" t="n"/>
    </row>
    <row r="284" ht="14.25" customHeight="1" s="37">
      <c r="E284" s="11" t="n"/>
      <c r="F284" s="11" t="n"/>
    </row>
    <row r="285" ht="14.25" customHeight="1" s="37">
      <c r="E285" s="11" t="n"/>
      <c r="F285" s="11" t="n"/>
    </row>
    <row r="286" ht="14.25" customHeight="1" s="37">
      <c r="E286" s="11" t="n"/>
      <c r="F286" s="11" t="n"/>
    </row>
    <row r="287" ht="14.25" customHeight="1" s="37">
      <c r="E287" s="11" t="n"/>
      <c r="F287" s="11" t="n"/>
    </row>
    <row r="288" ht="14.25" customHeight="1" s="37">
      <c r="E288" s="11" t="n"/>
      <c r="F288" s="11" t="n"/>
    </row>
    <row r="289" ht="14.25" customHeight="1" s="37">
      <c r="E289" s="11" t="n"/>
      <c r="F289" s="11" t="n"/>
    </row>
    <row r="290" ht="14.25" customHeight="1" s="37">
      <c r="E290" s="11" t="n"/>
      <c r="F290" s="11" t="n"/>
    </row>
    <row r="291" ht="14.25" customHeight="1" s="37">
      <c r="E291" s="11" t="n"/>
      <c r="F291" s="11" t="n"/>
    </row>
    <row r="292" ht="14.25" customHeight="1" s="37">
      <c r="E292" s="11" t="n"/>
      <c r="F292" s="11" t="n"/>
    </row>
    <row r="293" ht="14.25" customHeight="1" s="37">
      <c r="E293" s="11" t="n"/>
      <c r="F293" s="11" t="n"/>
    </row>
    <row r="294" ht="14.25" customHeight="1" s="37">
      <c r="E294" s="11" t="n"/>
      <c r="F294" s="11" t="n"/>
    </row>
    <row r="295" ht="14.25" customHeight="1" s="37">
      <c r="E295" s="11" t="n"/>
      <c r="F295" s="11" t="n"/>
    </row>
    <row r="296" ht="14.25" customHeight="1" s="37">
      <c r="E296" s="11" t="n"/>
      <c r="F296" s="11" t="n"/>
    </row>
    <row r="297" ht="14.25" customHeight="1" s="37">
      <c r="E297" s="11" t="n"/>
      <c r="F297" s="11" t="n"/>
    </row>
    <row r="298" ht="14.25" customHeight="1" s="37">
      <c r="E298" s="11" t="n"/>
      <c r="F298" s="11" t="n"/>
    </row>
    <row r="299" ht="14.25" customHeight="1" s="37">
      <c r="E299" s="11" t="n"/>
      <c r="F299" s="11" t="n"/>
    </row>
    <row r="300" ht="14.25" customHeight="1" s="37">
      <c r="E300" s="11" t="n"/>
      <c r="F300" s="11" t="n"/>
    </row>
    <row r="301" ht="14.25" customHeight="1" s="37">
      <c r="E301" s="11" t="n"/>
      <c r="F301" s="11" t="n"/>
    </row>
    <row r="302" ht="14.25" customHeight="1" s="37">
      <c r="E302" s="11" t="n"/>
      <c r="F302" s="11" t="n"/>
    </row>
    <row r="303" ht="14.25" customHeight="1" s="37">
      <c r="E303" s="11" t="n"/>
      <c r="F303" s="11" t="n"/>
    </row>
    <row r="304" ht="14.25" customHeight="1" s="37">
      <c r="E304" s="11" t="n"/>
      <c r="F304" s="11" t="n"/>
    </row>
    <row r="305" ht="14.25" customHeight="1" s="37">
      <c r="E305" s="11" t="n"/>
      <c r="F305" s="11" t="n"/>
    </row>
    <row r="306" ht="14.25" customHeight="1" s="37">
      <c r="E306" s="11" t="n"/>
      <c r="F306" s="11" t="n"/>
    </row>
    <row r="307" ht="14.25" customHeight="1" s="37">
      <c r="E307" s="11" t="n"/>
      <c r="F307" s="11" t="n"/>
    </row>
    <row r="308" ht="14.25" customHeight="1" s="37">
      <c r="E308" s="11" t="n"/>
      <c r="F308" s="11" t="n"/>
    </row>
    <row r="309" ht="14.25" customHeight="1" s="37">
      <c r="E309" s="11" t="n"/>
      <c r="F309" s="11" t="n"/>
    </row>
    <row r="310" ht="14.25" customHeight="1" s="37">
      <c r="E310" s="11" t="n"/>
      <c r="F310" s="11" t="n"/>
    </row>
    <row r="311" ht="14.25" customHeight="1" s="37">
      <c r="E311" s="11" t="n"/>
      <c r="F311" s="11" t="n"/>
    </row>
    <row r="312" ht="14.25" customHeight="1" s="37">
      <c r="E312" s="11" t="n"/>
      <c r="F312" s="11" t="n"/>
    </row>
    <row r="313" ht="14.25" customHeight="1" s="37">
      <c r="E313" s="11" t="n"/>
      <c r="F313" s="11" t="n"/>
    </row>
    <row r="314" ht="14.25" customHeight="1" s="37">
      <c r="E314" s="11" t="n"/>
      <c r="F314" s="11" t="n"/>
    </row>
    <row r="315" ht="14.25" customHeight="1" s="37">
      <c r="E315" s="11" t="n"/>
      <c r="F315" s="11" t="n"/>
    </row>
    <row r="316" ht="14.25" customHeight="1" s="37">
      <c r="E316" s="11" t="n"/>
      <c r="F316" s="11" t="n"/>
    </row>
    <row r="317" ht="14.25" customHeight="1" s="37">
      <c r="E317" s="11" t="n"/>
      <c r="F317" s="11" t="n"/>
    </row>
    <row r="318" ht="14.25" customHeight="1" s="37">
      <c r="E318" s="11" t="n"/>
      <c r="F318" s="11" t="n"/>
    </row>
    <row r="319" ht="14.25" customHeight="1" s="37">
      <c r="E319" s="11" t="n"/>
      <c r="F319" s="11" t="n"/>
    </row>
    <row r="320" ht="14.25" customHeight="1" s="37">
      <c r="E320" s="11" t="n"/>
      <c r="F320" s="11" t="n"/>
    </row>
    <row r="321" ht="14.25" customHeight="1" s="37">
      <c r="E321" s="11" t="n"/>
      <c r="F321" s="11" t="n"/>
    </row>
    <row r="322" ht="14.25" customHeight="1" s="37">
      <c r="E322" s="11" t="n"/>
      <c r="F322" s="11" t="n"/>
    </row>
    <row r="323" ht="14.25" customHeight="1" s="37">
      <c r="E323" s="11" t="n"/>
      <c r="F323" s="11" t="n"/>
    </row>
    <row r="324" ht="14.25" customHeight="1" s="37">
      <c r="E324" s="11" t="n"/>
      <c r="F324" s="11" t="n"/>
    </row>
    <row r="325" ht="14.25" customHeight="1" s="37">
      <c r="E325" s="11" t="n"/>
      <c r="F325" s="11" t="n"/>
    </row>
    <row r="326" ht="14.25" customHeight="1" s="37">
      <c r="E326" s="11" t="n"/>
      <c r="F326" s="11" t="n"/>
    </row>
    <row r="327" ht="14.25" customHeight="1" s="37">
      <c r="E327" s="11" t="n"/>
      <c r="F327" s="11" t="n"/>
    </row>
    <row r="328" ht="14.25" customHeight="1" s="37">
      <c r="E328" s="11" t="n"/>
      <c r="F328" s="11" t="n"/>
    </row>
    <row r="329" ht="14.25" customHeight="1" s="37">
      <c r="E329" s="11" t="n"/>
      <c r="F329" s="11" t="n"/>
    </row>
    <row r="330" ht="14.25" customHeight="1" s="37">
      <c r="E330" s="11" t="n"/>
      <c r="F330" s="11" t="n"/>
    </row>
    <row r="331" ht="14.25" customHeight="1" s="37">
      <c r="E331" s="11" t="n"/>
      <c r="F331" s="11" t="n"/>
    </row>
    <row r="332" ht="14.25" customHeight="1" s="37">
      <c r="E332" s="11" t="n"/>
      <c r="F332" s="11" t="n"/>
    </row>
    <row r="333" ht="14.25" customHeight="1" s="37">
      <c r="E333" s="11" t="n"/>
      <c r="F333" s="11" t="n"/>
    </row>
    <row r="334" ht="14.25" customHeight="1" s="37">
      <c r="E334" s="11" t="n"/>
      <c r="F334" s="11" t="n"/>
    </row>
    <row r="335" ht="14.25" customHeight="1" s="37">
      <c r="E335" s="11" t="n"/>
      <c r="F335" s="11" t="n"/>
    </row>
    <row r="336" ht="14.25" customHeight="1" s="37">
      <c r="E336" s="11" t="n"/>
      <c r="F336" s="11" t="n"/>
    </row>
    <row r="337" ht="14.25" customHeight="1" s="37">
      <c r="E337" s="11" t="n"/>
      <c r="F337" s="11" t="n"/>
    </row>
    <row r="338" ht="14.25" customHeight="1" s="37">
      <c r="E338" s="11" t="n"/>
      <c r="F338" s="11" t="n"/>
    </row>
    <row r="339" ht="14.25" customHeight="1" s="37">
      <c r="E339" s="11" t="n"/>
      <c r="F339" s="11" t="n"/>
    </row>
    <row r="340" ht="14.25" customHeight="1" s="37">
      <c r="E340" s="11" t="n"/>
      <c r="F340" s="11" t="n"/>
    </row>
    <row r="341" ht="14.25" customHeight="1" s="37">
      <c r="E341" s="11" t="n"/>
      <c r="F341" s="11" t="n"/>
    </row>
    <row r="342" ht="14.25" customHeight="1" s="37">
      <c r="E342" s="11" t="n"/>
      <c r="F342" s="11" t="n"/>
    </row>
    <row r="343" ht="14.25" customHeight="1" s="37">
      <c r="E343" s="11" t="n"/>
      <c r="F343" s="11" t="n"/>
    </row>
    <row r="344" ht="14.25" customHeight="1" s="37">
      <c r="E344" s="11" t="n"/>
      <c r="F344" s="11" t="n"/>
    </row>
    <row r="345" ht="14.25" customHeight="1" s="37">
      <c r="E345" s="11" t="n"/>
      <c r="F345" s="11" t="n"/>
    </row>
    <row r="346" ht="14.25" customHeight="1" s="37">
      <c r="E346" s="11" t="n"/>
      <c r="F346" s="11" t="n"/>
    </row>
    <row r="347" ht="14.25" customHeight="1" s="37">
      <c r="E347" s="11" t="n"/>
      <c r="F347" s="11" t="n"/>
    </row>
    <row r="348" ht="14.25" customHeight="1" s="37">
      <c r="E348" s="11" t="n"/>
      <c r="F348" s="11" t="n"/>
    </row>
    <row r="349" ht="14.25" customHeight="1" s="37">
      <c r="E349" s="11" t="n"/>
      <c r="F349" s="11" t="n"/>
    </row>
    <row r="350" ht="14.25" customHeight="1" s="37">
      <c r="E350" s="11" t="n"/>
      <c r="F350" s="11" t="n"/>
    </row>
    <row r="351" ht="14.25" customHeight="1" s="37">
      <c r="E351" s="11" t="n"/>
      <c r="F351" s="11" t="n"/>
    </row>
    <row r="352" ht="14.25" customHeight="1" s="37">
      <c r="E352" s="11" t="n"/>
      <c r="F352" s="11" t="n"/>
    </row>
    <row r="353" ht="14.25" customHeight="1" s="37">
      <c r="E353" s="11" t="n"/>
      <c r="F353" s="11" t="n"/>
    </row>
    <row r="354" ht="14.25" customHeight="1" s="37">
      <c r="E354" s="11" t="n"/>
      <c r="F354" s="11" t="n"/>
    </row>
    <row r="355" ht="14.25" customHeight="1" s="37">
      <c r="E355" s="11" t="n"/>
      <c r="F355" s="11" t="n"/>
    </row>
    <row r="356" ht="14.25" customHeight="1" s="37">
      <c r="E356" s="11" t="n"/>
      <c r="F356" s="11" t="n"/>
    </row>
    <row r="357" ht="14.25" customHeight="1" s="37">
      <c r="E357" s="11" t="n"/>
      <c r="F357" s="11" t="n"/>
    </row>
    <row r="358" ht="14.25" customHeight="1" s="37">
      <c r="E358" s="11" t="n"/>
      <c r="F358" s="11" t="n"/>
    </row>
    <row r="359" ht="14.25" customHeight="1" s="37">
      <c r="E359" s="11" t="n"/>
      <c r="F359" s="11" t="n"/>
    </row>
    <row r="360" ht="14.25" customHeight="1" s="37">
      <c r="E360" s="11" t="n"/>
      <c r="F360" s="11" t="n"/>
    </row>
    <row r="361" ht="14.25" customHeight="1" s="37">
      <c r="E361" s="11" t="n"/>
      <c r="F361" s="11" t="n"/>
    </row>
    <row r="362" ht="14.25" customHeight="1" s="37">
      <c r="E362" s="11" t="n"/>
      <c r="F362" s="11" t="n"/>
    </row>
    <row r="363" ht="14.25" customHeight="1" s="37">
      <c r="E363" s="11" t="n"/>
      <c r="F363" s="11" t="n"/>
    </row>
    <row r="364" ht="14.25" customHeight="1" s="37">
      <c r="E364" s="11" t="n"/>
      <c r="F364" s="11" t="n"/>
    </row>
    <row r="365" ht="14.25" customHeight="1" s="37">
      <c r="E365" s="11" t="n"/>
      <c r="F365" s="11" t="n"/>
    </row>
    <row r="366" ht="14.25" customHeight="1" s="37">
      <c r="E366" s="11" t="n"/>
      <c r="F366" s="11" t="n"/>
    </row>
    <row r="367" ht="14.25" customHeight="1" s="37">
      <c r="E367" s="11" t="n"/>
      <c r="F367" s="11" t="n"/>
    </row>
    <row r="368" ht="14.25" customHeight="1" s="37">
      <c r="E368" s="11" t="n"/>
      <c r="F368" s="11" t="n"/>
    </row>
    <row r="369" ht="14.25" customHeight="1" s="37">
      <c r="E369" s="11" t="n"/>
      <c r="F369" s="11" t="n"/>
    </row>
    <row r="370" ht="14.25" customHeight="1" s="37">
      <c r="E370" s="11" t="n"/>
      <c r="F370" s="11" t="n"/>
    </row>
    <row r="371" ht="14.25" customHeight="1" s="37">
      <c r="E371" s="11" t="n"/>
      <c r="F371" s="11" t="n"/>
    </row>
    <row r="372" ht="14.25" customHeight="1" s="37">
      <c r="E372" s="11" t="n"/>
      <c r="F372" s="11" t="n"/>
    </row>
    <row r="373" ht="14.25" customHeight="1" s="37">
      <c r="E373" s="11" t="n"/>
      <c r="F373" s="11" t="n"/>
    </row>
    <row r="374" ht="14.25" customHeight="1" s="37">
      <c r="E374" s="11" t="n"/>
      <c r="F374" s="11" t="n"/>
    </row>
    <row r="375" ht="14.25" customHeight="1" s="37">
      <c r="E375" s="11" t="n"/>
      <c r="F375" s="11" t="n"/>
    </row>
    <row r="376" ht="14.25" customHeight="1" s="37">
      <c r="E376" s="11" t="n"/>
      <c r="F376" s="11" t="n"/>
    </row>
    <row r="377" ht="14.25" customHeight="1" s="37">
      <c r="E377" s="11" t="n"/>
      <c r="F377" s="11" t="n"/>
    </row>
    <row r="378" ht="14.25" customHeight="1" s="37">
      <c r="E378" s="11" t="n"/>
      <c r="F378" s="11" t="n"/>
    </row>
    <row r="379" ht="14.25" customHeight="1" s="37">
      <c r="E379" s="11" t="n"/>
      <c r="F379" s="11" t="n"/>
    </row>
    <row r="380" ht="14.25" customHeight="1" s="37">
      <c r="E380" s="11" t="n"/>
      <c r="F380" s="11" t="n"/>
    </row>
    <row r="381" ht="14.25" customHeight="1" s="37">
      <c r="E381" s="11" t="n"/>
      <c r="F381" s="11" t="n"/>
    </row>
    <row r="382" ht="14.25" customHeight="1" s="37">
      <c r="E382" s="11" t="n"/>
      <c r="F382" s="11" t="n"/>
    </row>
    <row r="383" ht="14.25" customHeight="1" s="37">
      <c r="E383" s="11" t="n"/>
      <c r="F383" s="11" t="n"/>
    </row>
    <row r="384" ht="14.25" customHeight="1" s="37">
      <c r="E384" s="11" t="n"/>
      <c r="F384" s="11" t="n"/>
    </row>
    <row r="385" ht="14.25" customHeight="1" s="37">
      <c r="E385" s="11" t="n"/>
      <c r="F385" s="11" t="n"/>
    </row>
    <row r="386" ht="14.25" customHeight="1" s="37">
      <c r="E386" s="11" t="n"/>
      <c r="F386" s="11" t="n"/>
    </row>
    <row r="387" ht="14.25" customHeight="1" s="37">
      <c r="E387" s="11" t="n"/>
      <c r="F387" s="11" t="n"/>
    </row>
    <row r="388" ht="14.25" customHeight="1" s="37">
      <c r="E388" s="11" t="n"/>
      <c r="F388" s="11" t="n"/>
    </row>
    <row r="389" ht="14.25" customHeight="1" s="37">
      <c r="E389" s="11" t="n"/>
      <c r="F389" s="11" t="n"/>
    </row>
    <row r="390" ht="14.25" customHeight="1" s="37">
      <c r="E390" s="11" t="n"/>
      <c r="F390" s="11" t="n"/>
    </row>
    <row r="391" ht="14.25" customHeight="1" s="37">
      <c r="E391" s="11" t="n"/>
      <c r="F391" s="11" t="n"/>
    </row>
    <row r="392" ht="14.25" customHeight="1" s="37">
      <c r="E392" s="11" t="n"/>
      <c r="F392" s="11" t="n"/>
    </row>
    <row r="393" ht="14.25" customHeight="1" s="37">
      <c r="E393" s="11" t="n"/>
      <c r="F393" s="11" t="n"/>
    </row>
    <row r="394" ht="14.25" customHeight="1" s="37">
      <c r="E394" s="11" t="n"/>
      <c r="F394" s="11" t="n"/>
    </row>
    <row r="395" ht="14.25" customHeight="1" s="37">
      <c r="E395" s="11" t="n"/>
      <c r="F395" s="11" t="n"/>
    </row>
    <row r="396" ht="14.25" customHeight="1" s="37">
      <c r="E396" s="11" t="n"/>
      <c r="F396" s="11" t="n"/>
    </row>
    <row r="397" ht="14.25" customHeight="1" s="37">
      <c r="E397" s="11" t="n"/>
      <c r="F397" s="11" t="n"/>
    </row>
    <row r="398" ht="14.25" customHeight="1" s="37">
      <c r="E398" s="11" t="n"/>
      <c r="F398" s="11" t="n"/>
    </row>
    <row r="399" ht="14.25" customHeight="1" s="37">
      <c r="E399" s="11" t="n"/>
      <c r="F399" s="11" t="n"/>
    </row>
    <row r="400" ht="14.25" customHeight="1" s="37">
      <c r="E400" s="11" t="n"/>
      <c r="F400" s="11" t="n"/>
    </row>
    <row r="401" ht="14.25" customHeight="1" s="37">
      <c r="E401" s="11" t="n"/>
      <c r="F401" s="11" t="n"/>
    </row>
    <row r="402" ht="14.25" customHeight="1" s="37">
      <c r="E402" s="11" t="n"/>
      <c r="F402" s="11" t="n"/>
    </row>
    <row r="403" ht="14.25" customHeight="1" s="37">
      <c r="E403" s="11" t="n"/>
      <c r="F403" s="11" t="n"/>
    </row>
    <row r="404" ht="14.25" customHeight="1" s="37">
      <c r="E404" s="11" t="n"/>
      <c r="F404" s="11" t="n"/>
    </row>
    <row r="405" ht="14.25" customHeight="1" s="37">
      <c r="E405" s="11" t="n"/>
      <c r="F405" s="11" t="n"/>
    </row>
    <row r="406" ht="14.25" customHeight="1" s="37">
      <c r="E406" s="11" t="n"/>
      <c r="F406" s="11" t="n"/>
    </row>
    <row r="407" ht="14.25" customHeight="1" s="37">
      <c r="E407" s="11" t="n"/>
      <c r="F407" s="11" t="n"/>
    </row>
    <row r="408" ht="14.25" customHeight="1" s="37">
      <c r="E408" s="11" t="n"/>
      <c r="F408" s="11" t="n"/>
    </row>
    <row r="409" ht="14.25" customHeight="1" s="37">
      <c r="E409" s="11" t="n"/>
      <c r="F409" s="11" t="n"/>
    </row>
    <row r="410" ht="14.25" customHeight="1" s="37">
      <c r="E410" s="11" t="n"/>
      <c r="F410" s="11" t="n"/>
    </row>
    <row r="411" ht="14.25" customHeight="1" s="37">
      <c r="E411" s="11" t="n"/>
      <c r="F411" s="11" t="n"/>
    </row>
    <row r="412" ht="14.25" customHeight="1" s="37">
      <c r="E412" s="11" t="n"/>
      <c r="F412" s="11" t="n"/>
    </row>
    <row r="413" ht="14.25" customHeight="1" s="37">
      <c r="E413" s="11" t="n"/>
      <c r="F413" s="11" t="n"/>
    </row>
    <row r="414" ht="14.25" customHeight="1" s="37">
      <c r="E414" s="11" t="n"/>
      <c r="F414" s="11" t="n"/>
    </row>
    <row r="415" ht="14.25" customHeight="1" s="37">
      <c r="E415" s="11" t="n"/>
      <c r="F415" s="11" t="n"/>
    </row>
    <row r="416" ht="14.25" customHeight="1" s="37">
      <c r="E416" s="11" t="n"/>
      <c r="F416" s="11" t="n"/>
    </row>
    <row r="417" ht="14.25" customHeight="1" s="37">
      <c r="E417" s="11" t="n"/>
      <c r="F417" s="11" t="n"/>
    </row>
    <row r="418" ht="14.25" customHeight="1" s="37">
      <c r="E418" s="11" t="n"/>
      <c r="F418" s="11" t="n"/>
    </row>
    <row r="419" ht="14.25" customHeight="1" s="37">
      <c r="E419" s="11" t="n"/>
      <c r="F419" s="11" t="n"/>
    </row>
    <row r="420" ht="14.25" customHeight="1" s="37">
      <c r="E420" s="11" t="n"/>
      <c r="F420" s="11" t="n"/>
    </row>
    <row r="421" ht="14.25" customHeight="1" s="37">
      <c r="E421" s="11" t="n"/>
      <c r="F421" s="11" t="n"/>
    </row>
    <row r="422" ht="14.25" customHeight="1" s="37">
      <c r="E422" s="11" t="n"/>
      <c r="F422" s="11" t="n"/>
    </row>
    <row r="423" ht="14.25" customHeight="1" s="37">
      <c r="E423" s="11" t="n"/>
      <c r="F423" s="11" t="n"/>
    </row>
    <row r="424" ht="14.25" customHeight="1" s="37">
      <c r="E424" s="11" t="n"/>
      <c r="F424" s="11" t="n"/>
    </row>
    <row r="425" ht="14.25" customHeight="1" s="37">
      <c r="E425" s="11" t="n"/>
      <c r="F425" s="11" t="n"/>
    </row>
    <row r="426" ht="14.25" customHeight="1" s="37">
      <c r="E426" s="11" t="n"/>
      <c r="F426" s="11" t="n"/>
    </row>
    <row r="427" ht="14.25" customHeight="1" s="37">
      <c r="E427" s="11" t="n"/>
      <c r="F427" s="11" t="n"/>
    </row>
    <row r="428" ht="14.25" customHeight="1" s="37">
      <c r="E428" s="11" t="n"/>
      <c r="F428" s="11" t="n"/>
    </row>
    <row r="429" ht="14.25" customHeight="1" s="37">
      <c r="E429" s="11" t="n"/>
      <c r="F429" s="11" t="n"/>
    </row>
    <row r="430" ht="14.25" customHeight="1" s="37">
      <c r="E430" s="11" t="n"/>
      <c r="F430" s="11" t="n"/>
    </row>
    <row r="431" ht="14.25" customHeight="1" s="37">
      <c r="E431" s="11" t="n"/>
      <c r="F431" s="11" t="n"/>
    </row>
    <row r="432" ht="14.25" customHeight="1" s="37">
      <c r="E432" s="11" t="n"/>
      <c r="F432" s="11" t="n"/>
    </row>
    <row r="433" ht="14.25" customHeight="1" s="37">
      <c r="E433" s="11" t="n"/>
      <c r="F433" s="11" t="n"/>
    </row>
    <row r="434" ht="14.25" customHeight="1" s="37">
      <c r="E434" s="11" t="n"/>
      <c r="F434" s="11" t="n"/>
    </row>
    <row r="435" ht="14.25" customHeight="1" s="37">
      <c r="E435" s="11" t="n"/>
      <c r="F435" s="11" t="n"/>
    </row>
    <row r="436" ht="14.25" customHeight="1" s="37">
      <c r="E436" s="11" t="n"/>
      <c r="F436" s="11" t="n"/>
    </row>
    <row r="437" ht="14.25" customHeight="1" s="37">
      <c r="E437" s="11" t="n"/>
      <c r="F437" s="11" t="n"/>
    </row>
    <row r="438" ht="14.25" customHeight="1" s="37">
      <c r="E438" s="11" t="n"/>
      <c r="F438" s="11" t="n"/>
    </row>
    <row r="439" ht="14.25" customHeight="1" s="37">
      <c r="E439" s="11" t="n"/>
      <c r="F439" s="11" t="n"/>
    </row>
    <row r="440" ht="14.25" customHeight="1" s="37">
      <c r="E440" s="11" t="n"/>
      <c r="F440" s="11" t="n"/>
    </row>
    <row r="441" ht="14.25" customHeight="1" s="37">
      <c r="E441" s="11" t="n"/>
      <c r="F441" s="11" t="n"/>
    </row>
    <row r="442" ht="14.25" customHeight="1" s="37">
      <c r="E442" s="11" t="n"/>
      <c r="F442" s="11" t="n"/>
    </row>
    <row r="443" ht="14.25" customHeight="1" s="37">
      <c r="E443" s="11" t="n"/>
      <c r="F443" s="11" t="n"/>
    </row>
    <row r="444" ht="14.25" customHeight="1" s="37">
      <c r="E444" s="11" t="n"/>
      <c r="F444" s="11" t="n"/>
    </row>
    <row r="445" ht="14.25" customHeight="1" s="37">
      <c r="E445" s="11" t="n"/>
      <c r="F445" s="11" t="n"/>
    </row>
    <row r="446" ht="14.25" customHeight="1" s="37">
      <c r="E446" s="11" t="n"/>
      <c r="F446" s="11" t="n"/>
    </row>
    <row r="447" ht="14.25" customHeight="1" s="37">
      <c r="E447" s="11" t="n"/>
      <c r="F447" s="11" t="n"/>
    </row>
    <row r="448" ht="14.25" customHeight="1" s="37">
      <c r="E448" s="11" t="n"/>
      <c r="F448" s="11" t="n"/>
    </row>
    <row r="449" ht="14.25" customHeight="1" s="37">
      <c r="E449" s="11" t="n"/>
      <c r="F449" s="11" t="n"/>
    </row>
    <row r="450" ht="14.25" customHeight="1" s="37">
      <c r="E450" s="11" t="n"/>
      <c r="F450" s="11" t="n"/>
    </row>
    <row r="451" ht="14.25" customHeight="1" s="37">
      <c r="E451" s="11" t="n"/>
      <c r="F451" s="11" t="n"/>
    </row>
    <row r="452" ht="14.25" customHeight="1" s="37">
      <c r="E452" s="11" t="n"/>
      <c r="F452" s="11" t="n"/>
    </row>
    <row r="453" ht="14.25" customHeight="1" s="37">
      <c r="E453" s="11" t="n"/>
      <c r="F453" s="11" t="n"/>
    </row>
    <row r="454" ht="14.25" customHeight="1" s="37">
      <c r="E454" s="11" t="n"/>
      <c r="F454" s="11" t="n"/>
    </row>
    <row r="455" ht="14.25" customHeight="1" s="37">
      <c r="E455" s="11" t="n"/>
      <c r="F455" s="11" t="n"/>
    </row>
    <row r="456" ht="14.25" customHeight="1" s="37">
      <c r="E456" s="11" t="n"/>
      <c r="F456" s="11" t="n"/>
    </row>
    <row r="457" ht="14.25" customHeight="1" s="37">
      <c r="E457" s="11" t="n"/>
      <c r="F457" s="11" t="n"/>
    </row>
    <row r="458" ht="14.25" customHeight="1" s="37">
      <c r="E458" s="11" t="n"/>
      <c r="F458" s="11" t="n"/>
    </row>
    <row r="459" ht="14.25" customHeight="1" s="37">
      <c r="E459" s="11" t="n"/>
      <c r="F459" s="11" t="n"/>
    </row>
    <row r="460" ht="14.25" customHeight="1" s="37">
      <c r="E460" s="11" t="n"/>
      <c r="F460" s="11" t="n"/>
    </row>
    <row r="461" ht="14.25" customHeight="1" s="37">
      <c r="E461" s="11" t="n"/>
      <c r="F461" s="11" t="n"/>
    </row>
    <row r="462" ht="14.25" customHeight="1" s="37">
      <c r="E462" s="11" t="n"/>
      <c r="F462" s="11" t="n"/>
    </row>
    <row r="463" ht="14.25" customHeight="1" s="37">
      <c r="E463" s="11" t="n"/>
      <c r="F463" s="11" t="n"/>
    </row>
    <row r="464" ht="14.25" customHeight="1" s="37">
      <c r="E464" s="11" t="n"/>
      <c r="F464" s="11" t="n"/>
    </row>
    <row r="465" ht="14.25" customHeight="1" s="37">
      <c r="E465" s="11" t="n"/>
      <c r="F465" s="11" t="n"/>
    </row>
    <row r="466" ht="14.25" customHeight="1" s="37">
      <c r="E466" s="11" t="n"/>
      <c r="F466" s="11" t="n"/>
    </row>
    <row r="467" ht="14.25" customHeight="1" s="37">
      <c r="E467" s="11" t="n"/>
      <c r="F467" s="11" t="n"/>
    </row>
    <row r="468" ht="14.25" customHeight="1" s="37">
      <c r="E468" s="11" t="n"/>
      <c r="F468" s="11" t="n"/>
    </row>
    <row r="469" ht="14.25" customHeight="1" s="37">
      <c r="E469" s="11" t="n"/>
      <c r="F469" s="11" t="n"/>
    </row>
    <row r="470" ht="14.25" customHeight="1" s="37">
      <c r="E470" s="11" t="n"/>
      <c r="F470" s="11" t="n"/>
    </row>
    <row r="471" ht="14.25" customHeight="1" s="37">
      <c r="E471" s="11" t="n"/>
      <c r="F471" s="11" t="n"/>
    </row>
    <row r="472" ht="14.25" customHeight="1" s="37">
      <c r="E472" s="11" t="n"/>
      <c r="F472" s="11" t="n"/>
    </row>
    <row r="473" ht="14.25" customHeight="1" s="37">
      <c r="E473" s="11" t="n"/>
      <c r="F473" s="11" t="n"/>
    </row>
    <row r="474" ht="14.25" customHeight="1" s="37">
      <c r="E474" s="11" t="n"/>
      <c r="F474" s="11" t="n"/>
    </row>
    <row r="475" ht="14.25" customHeight="1" s="37">
      <c r="E475" s="11" t="n"/>
      <c r="F475" s="11" t="n"/>
    </row>
    <row r="476" ht="14.25" customHeight="1" s="37">
      <c r="E476" s="11" t="n"/>
      <c r="F476" s="11" t="n"/>
    </row>
    <row r="477" ht="14.25" customHeight="1" s="37">
      <c r="E477" s="11" t="n"/>
      <c r="F477" s="11" t="n"/>
    </row>
    <row r="478" ht="14.25" customHeight="1" s="37">
      <c r="E478" s="11" t="n"/>
      <c r="F478" s="11" t="n"/>
    </row>
    <row r="479" ht="14.25" customHeight="1" s="37">
      <c r="E479" s="11" t="n"/>
      <c r="F479" s="11" t="n"/>
    </row>
    <row r="480" ht="14.25" customHeight="1" s="37">
      <c r="E480" s="11" t="n"/>
      <c r="F480" s="11" t="n"/>
    </row>
    <row r="481" ht="14.25" customHeight="1" s="37">
      <c r="E481" s="11" t="n"/>
      <c r="F481" s="11" t="n"/>
    </row>
    <row r="482" ht="14.25" customHeight="1" s="37">
      <c r="E482" s="11" t="n"/>
      <c r="F482" s="11" t="n"/>
    </row>
    <row r="483" ht="14.25" customHeight="1" s="37">
      <c r="E483" s="11" t="n"/>
      <c r="F483" s="11" t="n"/>
    </row>
    <row r="484" ht="14.25" customHeight="1" s="37">
      <c r="E484" s="11" t="n"/>
      <c r="F484" s="11" t="n"/>
    </row>
    <row r="485" ht="14.25" customHeight="1" s="37">
      <c r="E485" s="11" t="n"/>
      <c r="F485" s="11" t="n"/>
    </row>
    <row r="486" ht="14.25" customHeight="1" s="37">
      <c r="E486" s="11" t="n"/>
      <c r="F486" s="11" t="n"/>
    </row>
    <row r="487" ht="14.25" customHeight="1" s="37">
      <c r="E487" s="11" t="n"/>
      <c r="F487" s="11" t="n"/>
    </row>
    <row r="488" ht="14.25" customHeight="1" s="37">
      <c r="E488" s="11" t="n"/>
      <c r="F488" s="11" t="n"/>
    </row>
    <row r="489" ht="14.25" customHeight="1" s="37">
      <c r="E489" s="11" t="n"/>
      <c r="F489" s="11" t="n"/>
    </row>
    <row r="490" ht="14.25" customHeight="1" s="37">
      <c r="E490" s="11" t="n"/>
      <c r="F490" s="11" t="n"/>
    </row>
    <row r="491" ht="14.25" customHeight="1" s="37">
      <c r="E491" s="11" t="n"/>
      <c r="F491" s="11" t="n"/>
    </row>
    <row r="492" ht="14.25" customHeight="1" s="37">
      <c r="E492" s="11" t="n"/>
      <c r="F492" s="11" t="n"/>
    </row>
    <row r="493" ht="14.25" customHeight="1" s="37">
      <c r="E493" s="11" t="n"/>
      <c r="F493" s="11" t="n"/>
    </row>
    <row r="494" ht="14.25" customHeight="1" s="37">
      <c r="E494" s="11" t="n"/>
      <c r="F494" s="11" t="n"/>
    </row>
    <row r="495" ht="14.25" customHeight="1" s="37">
      <c r="E495" s="11" t="n"/>
      <c r="F495" s="11" t="n"/>
    </row>
    <row r="496" ht="14.25" customHeight="1" s="37">
      <c r="E496" s="11" t="n"/>
      <c r="F496" s="11" t="n"/>
    </row>
    <row r="497" ht="14.25" customHeight="1" s="37">
      <c r="E497" s="11" t="n"/>
      <c r="F497" s="11" t="n"/>
    </row>
    <row r="498" ht="14.25" customHeight="1" s="37">
      <c r="E498" s="11" t="n"/>
      <c r="F498" s="11" t="n"/>
    </row>
    <row r="499" ht="14.25" customHeight="1" s="37">
      <c r="E499" s="11" t="n"/>
      <c r="F499" s="11" t="n"/>
    </row>
    <row r="500" ht="14.25" customHeight="1" s="37">
      <c r="E500" s="11" t="n"/>
      <c r="F500" s="11" t="n"/>
    </row>
    <row r="501" ht="14.25" customHeight="1" s="37">
      <c r="E501" s="11" t="n"/>
      <c r="F501" s="11" t="n"/>
    </row>
    <row r="502" ht="14.25" customHeight="1" s="37">
      <c r="E502" s="11" t="n"/>
      <c r="F502" s="11" t="n"/>
    </row>
    <row r="503" ht="14.25" customHeight="1" s="37">
      <c r="E503" s="11" t="n"/>
      <c r="F503" s="11" t="n"/>
    </row>
    <row r="504" ht="14.25" customHeight="1" s="37">
      <c r="E504" s="11" t="n"/>
      <c r="F504" s="11" t="n"/>
    </row>
    <row r="505" ht="14.25" customHeight="1" s="37">
      <c r="E505" s="11" t="n"/>
      <c r="F505" s="11" t="n"/>
    </row>
    <row r="506" ht="14.25" customHeight="1" s="37">
      <c r="E506" s="11" t="n"/>
      <c r="F506" s="11" t="n"/>
    </row>
    <row r="507" ht="14.25" customHeight="1" s="37">
      <c r="E507" s="11" t="n"/>
      <c r="F507" s="11" t="n"/>
    </row>
    <row r="508" ht="14.25" customHeight="1" s="37">
      <c r="E508" s="11" t="n"/>
      <c r="F508" s="11" t="n"/>
    </row>
    <row r="509" ht="14.25" customHeight="1" s="37">
      <c r="E509" s="11" t="n"/>
      <c r="F509" s="11" t="n"/>
    </row>
    <row r="510" ht="14.25" customHeight="1" s="37">
      <c r="E510" s="11" t="n"/>
      <c r="F510" s="11" t="n"/>
    </row>
    <row r="511" ht="14.25" customHeight="1" s="37">
      <c r="E511" s="11" t="n"/>
      <c r="F511" s="11" t="n"/>
    </row>
    <row r="512" ht="14.25" customHeight="1" s="37">
      <c r="E512" s="11" t="n"/>
      <c r="F512" s="11" t="n"/>
    </row>
    <row r="513" ht="14.25" customHeight="1" s="37">
      <c r="E513" s="11" t="n"/>
      <c r="F513" s="11" t="n"/>
    </row>
    <row r="514" ht="14.25" customHeight="1" s="37">
      <c r="E514" s="11" t="n"/>
      <c r="F514" s="11" t="n"/>
    </row>
    <row r="515" ht="14.25" customHeight="1" s="37">
      <c r="E515" s="11" t="n"/>
      <c r="F515" s="11" t="n"/>
    </row>
    <row r="516" ht="14.25" customHeight="1" s="37">
      <c r="E516" s="11" t="n"/>
      <c r="F516" s="11" t="n"/>
    </row>
    <row r="517" ht="14.25" customHeight="1" s="37">
      <c r="E517" s="11" t="n"/>
      <c r="F517" s="11" t="n"/>
    </row>
    <row r="518" ht="14.25" customHeight="1" s="37">
      <c r="E518" s="11" t="n"/>
      <c r="F518" s="11" t="n"/>
    </row>
    <row r="519" ht="14.25" customHeight="1" s="37">
      <c r="E519" s="11" t="n"/>
      <c r="F519" s="11" t="n"/>
    </row>
    <row r="520" ht="14.25" customHeight="1" s="37">
      <c r="E520" s="11" t="n"/>
      <c r="F520" s="11" t="n"/>
    </row>
    <row r="521" ht="14.25" customHeight="1" s="37">
      <c r="E521" s="11" t="n"/>
      <c r="F521" s="11" t="n"/>
    </row>
    <row r="522" ht="14.25" customHeight="1" s="37">
      <c r="E522" s="11" t="n"/>
      <c r="F522" s="11" t="n"/>
    </row>
    <row r="523" ht="14.25" customHeight="1" s="37">
      <c r="E523" s="11" t="n"/>
      <c r="F523" s="11" t="n"/>
    </row>
    <row r="524" ht="14.25" customHeight="1" s="37">
      <c r="E524" s="11" t="n"/>
      <c r="F524" s="11" t="n"/>
    </row>
    <row r="525" ht="14.25" customHeight="1" s="37">
      <c r="E525" s="11" t="n"/>
      <c r="F525" s="11" t="n"/>
    </row>
    <row r="526" ht="14.25" customHeight="1" s="37">
      <c r="E526" s="11" t="n"/>
      <c r="F526" s="11" t="n"/>
    </row>
    <row r="527" ht="14.25" customHeight="1" s="37">
      <c r="E527" s="11" t="n"/>
      <c r="F527" s="11" t="n"/>
    </row>
    <row r="528" ht="14.25" customHeight="1" s="37">
      <c r="E528" s="11" t="n"/>
      <c r="F528" s="11" t="n"/>
    </row>
    <row r="529" ht="14.25" customHeight="1" s="37">
      <c r="E529" s="11" t="n"/>
      <c r="F529" s="11" t="n"/>
    </row>
    <row r="530" ht="14.25" customHeight="1" s="37">
      <c r="E530" s="11" t="n"/>
      <c r="F530" s="11" t="n"/>
    </row>
    <row r="531" ht="14.25" customHeight="1" s="37">
      <c r="E531" s="11" t="n"/>
      <c r="F531" s="11" t="n"/>
    </row>
    <row r="532" ht="14.25" customHeight="1" s="37">
      <c r="E532" s="11" t="n"/>
      <c r="F532" s="11" t="n"/>
    </row>
    <row r="533" ht="14.25" customHeight="1" s="37">
      <c r="E533" s="11" t="n"/>
      <c r="F533" s="11" t="n"/>
    </row>
    <row r="534" ht="14.25" customHeight="1" s="37">
      <c r="E534" s="11" t="n"/>
      <c r="F534" s="11" t="n"/>
    </row>
    <row r="535" ht="14.25" customHeight="1" s="37">
      <c r="E535" s="11" t="n"/>
      <c r="F535" s="11" t="n"/>
    </row>
    <row r="536" ht="14.25" customHeight="1" s="37">
      <c r="E536" s="11" t="n"/>
      <c r="F536" s="11" t="n"/>
    </row>
    <row r="537" ht="14.25" customHeight="1" s="37">
      <c r="E537" s="11" t="n"/>
      <c r="F537" s="11" t="n"/>
    </row>
    <row r="538" ht="14.25" customHeight="1" s="37">
      <c r="E538" s="11" t="n"/>
      <c r="F538" s="11" t="n"/>
    </row>
    <row r="539" ht="14.25" customHeight="1" s="37">
      <c r="E539" s="11" t="n"/>
      <c r="F539" s="11" t="n"/>
    </row>
    <row r="540" ht="14.25" customHeight="1" s="37">
      <c r="E540" s="11" t="n"/>
      <c r="F540" s="11" t="n"/>
    </row>
    <row r="541" ht="14.25" customHeight="1" s="37">
      <c r="E541" s="11" t="n"/>
      <c r="F541" s="11" t="n"/>
    </row>
    <row r="542" ht="14.25" customHeight="1" s="37">
      <c r="E542" s="11" t="n"/>
      <c r="F542" s="11" t="n"/>
    </row>
    <row r="543" ht="14.25" customHeight="1" s="37">
      <c r="E543" s="11" t="n"/>
      <c r="F543" s="11" t="n"/>
    </row>
    <row r="544" ht="14.25" customHeight="1" s="37">
      <c r="E544" s="11" t="n"/>
      <c r="F544" s="11" t="n"/>
    </row>
    <row r="545" ht="14.25" customHeight="1" s="37">
      <c r="E545" s="11" t="n"/>
      <c r="F545" s="11" t="n"/>
    </row>
    <row r="546" ht="14.25" customHeight="1" s="37">
      <c r="E546" s="11" t="n"/>
      <c r="F546" s="11" t="n"/>
    </row>
    <row r="547" ht="14.25" customHeight="1" s="37">
      <c r="E547" s="11" t="n"/>
      <c r="F547" s="11" t="n"/>
    </row>
    <row r="548" ht="14.25" customHeight="1" s="37">
      <c r="E548" s="11" t="n"/>
      <c r="F548" s="11" t="n"/>
    </row>
    <row r="549" ht="14.25" customHeight="1" s="37">
      <c r="E549" s="11" t="n"/>
      <c r="F549" s="11" t="n"/>
    </row>
    <row r="550" ht="14.25" customHeight="1" s="37">
      <c r="E550" s="11" t="n"/>
      <c r="F550" s="11" t="n"/>
    </row>
    <row r="551" ht="14.25" customHeight="1" s="37">
      <c r="E551" s="11" t="n"/>
      <c r="F551" s="11" t="n"/>
    </row>
    <row r="552" ht="14.25" customHeight="1" s="37">
      <c r="E552" s="11" t="n"/>
      <c r="F552" s="11" t="n"/>
    </row>
    <row r="553" ht="14.25" customHeight="1" s="37">
      <c r="E553" s="11" t="n"/>
      <c r="F553" s="11" t="n"/>
    </row>
    <row r="554" ht="14.25" customHeight="1" s="37">
      <c r="E554" s="11" t="n"/>
      <c r="F554" s="11" t="n"/>
    </row>
    <row r="555" ht="14.25" customHeight="1" s="37">
      <c r="E555" s="11" t="n"/>
      <c r="F555" s="11" t="n"/>
    </row>
    <row r="556" ht="14.25" customHeight="1" s="37">
      <c r="E556" s="11" t="n"/>
      <c r="F556" s="11" t="n"/>
    </row>
    <row r="557" ht="14.25" customHeight="1" s="37">
      <c r="E557" s="11" t="n"/>
      <c r="F557" s="11" t="n"/>
    </row>
    <row r="558" ht="14.25" customHeight="1" s="37">
      <c r="E558" s="11" t="n"/>
      <c r="F558" s="11" t="n"/>
    </row>
    <row r="559" ht="14.25" customHeight="1" s="37">
      <c r="E559" s="11" t="n"/>
      <c r="F559" s="11" t="n"/>
    </row>
    <row r="560" ht="14.25" customHeight="1" s="37">
      <c r="E560" s="11" t="n"/>
      <c r="F560" s="11" t="n"/>
    </row>
    <row r="561" ht="14.25" customHeight="1" s="37">
      <c r="E561" s="11" t="n"/>
      <c r="F561" s="11" t="n"/>
    </row>
    <row r="562" ht="14.25" customHeight="1" s="37">
      <c r="E562" s="11" t="n"/>
      <c r="F562" s="11" t="n"/>
    </row>
    <row r="563" ht="14.25" customHeight="1" s="37">
      <c r="E563" s="11" t="n"/>
      <c r="F563" s="11" t="n"/>
    </row>
    <row r="564" ht="14.25" customHeight="1" s="37">
      <c r="E564" s="11" t="n"/>
      <c r="F564" s="11" t="n"/>
    </row>
    <row r="565" ht="14.25" customHeight="1" s="37">
      <c r="E565" s="11" t="n"/>
      <c r="F565" s="11" t="n"/>
    </row>
    <row r="566" ht="14.25" customHeight="1" s="37">
      <c r="E566" s="11" t="n"/>
      <c r="F566" s="11" t="n"/>
    </row>
    <row r="567" ht="14.25" customHeight="1" s="37">
      <c r="E567" s="11" t="n"/>
      <c r="F567" s="11" t="n"/>
    </row>
    <row r="568" ht="14.25" customHeight="1" s="37">
      <c r="E568" s="11" t="n"/>
      <c r="F568" s="11" t="n"/>
    </row>
    <row r="569" ht="14.25" customHeight="1" s="37">
      <c r="E569" s="11" t="n"/>
      <c r="F569" s="11" t="n"/>
    </row>
    <row r="570" ht="14.25" customHeight="1" s="37">
      <c r="E570" s="11" t="n"/>
      <c r="F570" s="11" t="n"/>
    </row>
    <row r="571" ht="14.25" customHeight="1" s="37">
      <c r="E571" s="11" t="n"/>
      <c r="F571" s="11" t="n"/>
    </row>
    <row r="572" ht="14.25" customHeight="1" s="37">
      <c r="E572" s="11" t="n"/>
      <c r="F572" s="11" t="n"/>
    </row>
    <row r="573" ht="14.25" customHeight="1" s="37">
      <c r="E573" s="11" t="n"/>
      <c r="F573" s="11" t="n"/>
    </row>
    <row r="574" ht="14.25" customHeight="1" s="37">
      <c r="E574" s="11" t="n"/>
      <c r="F574" s="11" t="n"/>
    </row>
    <row r="575" ht="14.25" customHeight="1" s="37">
      <c r="E575" s="11" t="n"/>
      <c r="F575" s="11" t="n"/>
    </row>
    <row r="576" ht="14.25" customHeight="1" s="37">
      <c r="E576" s="11" t="n"/>
      <c r="F576" s="11" t="n"/>
    </row>
    <row r="577" ht="14.25" customHeight="1" s="37">
      <c r="E577" s="11" t="n"/>
      <c r="F577" s="11" t="n"/>
    </row>
    <row r="578" ht="14.25" customHeight="1" s="37">
      <c r="E578" s="11" t="n"/>
      <c r="F578" s="11" t="n"/>
    </row>
    <row r="579" ht="14.25" customHeight="1" s="37">
      <c r="E579" s="11" t="n"/>
      <c r="F579" s="11" t="n"/>
    </row>
    <row r="580" ht="14.25" customHeight="1" s="37">
      <c r="E580" s="11" t="n"/>
      <c r="F580" s="11" t="n"/>
    </row>
    <row r="581" ht="14.25" customHeight="1" s="37">
      <c r="E581" s="11" t="n"/>
      <c r="F581" s="11" t="n"/>
    </row>
    <row r="582" ht="14.25" customHeight="1" s="37">
      <c r="E582" s="11" t="n"/>
      <c r="F582" s="11" t="n"/>
    </row>
    <row r="583" ht="14.25" customHeight="1" s="37">
      <c r="E583" s="11" t="n"/>
      <c r="F583" s="11" t="n"/>
    </row>
    <row r="584" ht="14.25" customHeight="1" s="37">
      <c r="E584" s="11" t="n"/>
      <c r="F584" s="11" t="n"/>
    </row>
    <row r="585" ht="14.25" customHeight="1" s="37">
      <c r="E585" s="11" t="n"/>
      <c r="F585" s="11" t="n"/>
    </row>
    <row r="586" ht="14.25" customHeight="1" s="37">
      <c r="E586" s="11" t="n"/>
      <c r="F586" s="11" t="n"/>
    </row>
    <row r="587" ht="14.25" customHeight="1" s="37">
      <c r="E587" s="11" t="n"/>
      <c r="F587" s="11" t="n"/>
    </row>
    <row r="588" ht="14.25" customHeight="1" s="37">
      <c r="E588" s="11" t="n"/>
      <c r="F588" s="11" t="n"/>
    </row>
    <row r="589" ht="14.25" customHeight="1" s="37">
      <c r="E589" s="11" t="n"/>
      <c r="F589" s="11" t="n"/>
    </row>
    <row r="590" ht="14.25" customHeight="1" s="37">
      <c r="E590" s="11" t="n"/>
      <c r="F590" s="11" t="n"/>
    </row>
    <row r="591" ht="14.25" customHeight="1" s="37">
      <c r="E591" s="11" t="n"/>
      <c r="F591" s="11" t="n"/>
    </row>
    <row r="592" ht="14.25" customHeight="1" s="37">
      <c r="E592" s="11" t="n"/>
      <c r="F592" s="11" t="n"/>
    </row>
    <row r="593" ht="14.25" customHeight="1" s="37">
      <c r="E593" s="11" t="n"/>
      <c r="F593" s="11" t="n"/>
    </row>
    <row r="594" ht="14.25" customHeight="1" s="37">
      <c r="E594" s="11" t="n"/>
      <c r="F594" s="11" t="n"/>
    </row>
    <row r="595" ht="14.25" customHeight="1" s="37">
      <c r="E595" s="11" t="n"/>
      <c r="F595" s="11" t="n"/>
    </row>
    <row r="596" ht="14.25" customHeight="1" s="37">
      <c r="E596" s="11" t="n"/>
      <c r="F596" s="11" t="n"/>
    </row>
    <row r="597" ht="14.25" customHeight="1" s="37">
      <c r="E597" s="11" t="n"/>
      <c r="F597" s="11" t="n"/>
    </row>
    <row r="598" ht="14.25" customHeight="1" s="37">
      <c r="E598" s="11" t="n"/>
      <c r="F598" s="11" t="n"/>
    </row>
    <row r="599" ht="14.25" customHeight="1" s="37">
      <c r="E599" s="11" t="n"/>
      <c r="F599" s="11" t="n"/>
    </row>
    <row r="600" ht="14.25" customHeight="1" s="37">
      <c r="E600" s="11" t="n"/>
      <c r="F600" s="11" t="n"/>
    </row>
    <row r="601" ht="14.25" customHeight="1" s="37">
      <c r="E601" s="11" t="n"/>
      <c r="F601" s="11" t="n"/>
    </row>
    <row r="602" ht="14.25" customHeight="1" s="37">
      <c r="E602" s="11" t="n"/>
      <c r="F602" s="11" t="n"/>
    </row>
    <row r="603" ht="14.25" customHeight="1" s="37">
      <c r="E603" s="11" t="n"/>
      <c r="F603" s="11" t="n"/>
    </row>
    <row r="604" ht="14.25" customHeight="1" s="37">
      <c r="E604" s="11" t="n"/>
      <c r="F604" s="11" t="n"/>
    </row>
    <row r="605" ht="14.25" customHeight="1" s="37">
      <c r="E605" s="11" t="n"/>
      <c r="F605" s="11" t="n"/>
    </row>
    <row r="606" ht="14.25" customHeight="1" s="37">
      <c r="E606" s="11" t="n"/>
      <c r="F606" s="11" t="n"/>
    </row>
    <row r="607" ht="14.25" customHeight="1" s="37">
      <c r="E607" s="11" t="n"/>
      <c r="F607" s="11" t="n"/>
    </row>
    <row r="608" ht="14.25" customHeight="1" s="37">
      <c r="E608" s="11" t="n"/>
      <c r="F608" s="11" t="n"/>
    </row>
    <row r="609" ht="14.25" customHeight="1" s="37">
      <c r="E609" s="11" t="n"/>
      <c r="F609" s="11" t="n"/>
    </row>
    <row r="610" ht="14.25" customHeight="1" s="37">
      <c r="E610" s="11" t="n"/>
      <c r="F610" s="11" t="n"/>
    </row>
    <row r="611" ht="14.25" customHeight="1" s="37">
      <c r="E611" s="11" t="n"/>
      <c r="F611" s="11" t="n"/>
    </row>
    <row r="612" ht="14.25" customHeight="1" s="37">
      <c r="E612" s="11" t="n"/>
      <c r="F612" s="11" t="n"/>
    </row>
    <row r="613" ht="14.25" customHeight="1" s="37">
      <c r="E613" s="11" t="n"/>
      <c r="F613" s="11" t="n"/>
    </row>
    <row r="614" ht="14.25" customHeight="1" s="37">
      <c r="E614" s="11" t="n"/>
      <c r="F614" s="11" t="n"/>
    </row>
    <row r="615" ht="14.25" customHeight="1" s="37">
      <c r="E615" s="11" t="n"/>
      <c r="F615" s="11" t="n"/>
    </row>
    <row r="616" ht="14.25" customHeight="1" s="37">
      <c r="E616" s="11" t="n"/>
      <c r="F616" s="11" t="n"/>
    </row>
    <row r="617" ht="14.25" customHeight="1" s="37">
      <c r="E617" s="11" t="n"/>
      <c r="F617" s="11" t="n"/>
    </row>
    <row r="618" ht="14.25" customHeight="1" s="37">
      <c r="E618" s="11" t="n"/>
      <c r="F618" s="11" t="n"/>
    </row>
    <row r="619" ht="14.25" customHeight="1" s="37">
      <c r="E619" s="11" t="n"/>
      <c r="F619" s="11" t="n"/>
    </row>
    <row r="620" ht="14.25" customHeight="1" s="37">
      <c r="E620" s="11" t="n"/>
      <c r="F620" s="11" t="n"/>
    </row>
    <row r="621" ht="14.25" customHeight="1" s="37">
      <c r="E621" s="11" t="n"/>
      <c r="F621" s="11" t="n"/>
    </row>
    <row r="622" ht="14.25" customHeight="1" s="37">
      <c r="E622" s="11" t="n"/>
      <c r="F622" s="11" t="n"/>
    </row>
    <row r="623" ht="14.25" customHeight="1" s="37">
      <c r="E623" s="11" t="n"/>
      <c r="F623" s="11" t="n"/>
    </row>
    <row r="624" ht="14.25" customHeight="1" s="37">
      <c r="E624" s="11" t="n"/>
      <c r="F624" s="11" t="n"/>
    </row>
    <row r="625" ht="14.25" customHeight="1" s="37">
      <c r="E625" s="11" t="n"/>
      <c r="F625" s="11" t="n"/>
    </row>
    <row r="626" ht="14.25" customHeight="1" s="37">
      <c r="E626" s="11" t="n"/>
      <c r="F626" s="11" t="n"/>
    </row>
    <row r="627" ht="14.25" customHeight="1" s="37">
      <c r="E627" s="11" t="n"/>
      <c r="F627" s="11" t="n"/>
    </row>
    <row r="628" ht="14.25" customHeight="1" s="37">
      <c r="E628" s="11" t="n"/>
      <c r="F628" s="11" t="n"/>
    </row>
    <row r="629" ht="14.25" customHeight="1" s="37">
      <c r="E629" s="11" t="n"/>
      <c r="F629" s="11" t="n"/>
    </row>
    <row r="630" ht="14.25" customHeight="1" s="37">
      <c r="E630" s="11" t="n"/>
      <c r="F630" s="11" t="n"/>
    </row>
    <row r="631" ht="14.25" customHeight="1" s="37">
      <c r="E631" s="11" t="n"/>
      <c r="F631" s="11" t="n"/>
    </row>
    <row r="632" ht="14.25" customHeight="1" s="37">
      <c r="E632" s="11" t="n"/>
      <c r="F632" s="11" t="n"/>
    </row>
    <row r="633" ht="14.25" customHeight="1" s="37">
      <c r="E633" s="11" t="n"/>
      <c r="F633" s="11" t="n"/>
    </row>
    <row r="634" ht="14.25" customHeight="1" s="37">
      <c r="E634" s="11" t="n"/>
      <c r="F634" s="11" t="n"/>
    </row>
    <row r="635" ht="14.25" customHeight="1" s="37">
      <c r="E635" s="11" t="n"/>
      <c r="F635" s="11" t="n"/>
    </row>
    <row r="636" ht="14.25" customHeight="1" s="37">
      <c r="E636" s="11" t="n"/>
      <c r="F636" s="11" t="n"/>
    </row>
    <row r="637" ht="14.25" customHeight="1" s="37">
      <c r="E637" s="11" t="n"/>
      <c r="F637" s="11" t="n"/>
    </row>
    <row r="638" ht="14.25" customHeight="1" s="37">
      <c r="E638" s="11" t="n"/>
      <c r="F638" s="11" t="n"/>
    </row>
    <row r="639" ht="14.25" customHeight="1" s="37">
      <c r="E639" s="11" t="n"/>
      <c r="F639" s="11" t="n"/>
    </row>
    <row r="640" ht="14.25" customHeight="1" s="37">
      <c r="E640" s="11" t="n"/>
      <c r="F640" s="11" t="n"/>
    </row>
    <row r="641" ht="14.25" customHeight="1" s="37">
      <c r="E641" s="11" t="n"/>
      <c r="F641" s="11" t="n"/>
    </row>
    <row r="642" ht="14.25" customHeight="1" s="37">
      <c r="E642" s="11" t="n"/>
      <c r="F642" s="11" t="n"/>
    </row>
    <row r="643" ht="14.25" customHeight="1" s="37">
      <c r="E643" s="11" t="n"/>
      <c r="F643" s="11" t="n"/>
    </row>
    <row r="644" ht="14.25" customHeight="1" s="37">
      <c r="E644" s="11" t="n"/>
      <c r="F644" s="11" t="n"/>
    </row>
    <row r="645" ht="14.25" customHeight="1" s="37">
      <c r="E645" s="11" t="n"/>
      <c r="F645" s="11" t="n"/>
    </row>
    <row r="646" ht="14.25" customHeight="1" s="37">
      <c r="E646" s="11" t="n"/>
      <c r="F646" s="11" t="n"/>
    </row>
    <row r="647" ht="14.25" customHeight="1" s="37">
      <c r="E647" s="11" t="n"/>
      <c r="F647" s="11" t="n"/>
    </row>
    <row r="648" ht="14.25" customHeight="1" s="37">
      <c r="E648" s="11" t="n"/>
      <c r="F648" s="11" t="n"/>
    </row>
    <row r="649" ht="14.25" customHeight="1" s="37">
      <c r="E649" s="11" t="n"/>
      <c r="F649" s="11" t="n"/>
    </row>
    <row r="650" ht="14.25" customHeight="1" s="37">
      <c r="E650" s="11" t="n"/>
      <c r="F650" s="11" t="n"/>
    </row>
    <row r="651" ht="14.25" customHeight="1" s="37">
      <c r="E651" s="11" t="n"/>
      <c r="F651" s="11" t="n"/>
    </row>
    <row r="652" ht="14.25" customHeight="1" s="37">
      <c r="E652" s="11" t="n"/>
      <c r="F652" s="11" t="n"/>
    </row>
    <row r="653" ht="14.25" customHeight="1" s="37">
      <c r="E653" s="11" t="n"/>
      <c r="F653" s="11" t="n"/>
    </row>
    <row r="654" ht="14.25" customHeight="1" s="37">
      <c r="E654" s="11" t="n"/>
      <c r="F654" s="11" t="n"/>
    </row>
    <row r="655" ht="14.25" customHeight="1" s="37">
      <c r="E655" s="11" t="n"/>
      <c r="F655" s="11" t="n"/>
    </row>
    <row r="656" ht="14.25" customHeight="1" s="37">
      <c r="E656" s="11" t="n"/>
      <c r="F656" s="11" t="n"/>
    </row>
    <row r="657" ht="14.25" customHeight="1" s="37">
      <c r="E657" s="11" t="n"/>
      <c r="F657" s="11" t="n"/>
    </row>
    <row r="658" ht="14.25" customHeight="1" s="37">
      <c r="E658" s="11" t="n"/>
      <c r="F658" s="11" t="n"/>
    </row>
    <row r="659" ht="14.25" customHeight="1" s="37">
      <c r="E659" s="11" t="n"/>
      <c r="F659" s="11" t="n"/>
    </row>
    <row r="660" ht="14.25" customHeight="1" s="37">
      <c r="E660" s="11" t="n"/>
      <c r="F660" s="11" t="n"/>
    </row>
    <row r="661" ht="14.25" customHeight="1" s="37">
      <c r="E661" s="11" t="n"/>
      <c r="F661" s="11" t="n"/>
    </row>
    <row r="662" ht="14.25" customHeight="1" s="37">
      <c r="E662" s="11" t="n"/>
      <c r="F662" s="11" t="n"/>
    </row>
    <row r="663" ht="14.25" customHeight="1" s="37">
      <c r="E663" s="11" t="n"/>
      <c r="F663" s="11" t="n"/>
    </row>
    <row r="664" ht="14.25" customHeight="1" s="37">
      <c r="E664" s="11" t="n"/>
      <c r="F664" s="11" t="n"/>
    </row>
    <row r="665" ht="14.25" customHeight="1" s="37">
      <c r="E665" s="11" t="n"/>
      <c r="F665" s="11" t="n"/>
    </row>
    <row r="666" ht="14.25" customHeight="1" s="37">
      <c r="E666" s="11" t="n"/>
      <c r="F666" s="11" t="n"/>
    </row>
    <row r="667" ht="14.25" customHeight="1" s="37">
      <c r="E667" s="11" t="n"/>
      <c r="F667" s="11" t="n"/>
    </row>
    <row r="668" ht="14.25" customHeight="1" s="37">
      <c r="E668" s="11" t="n"/>
      <c r="F668" s="11" t="n"/>
    </row>
    <row r="669" ht="14.25" customHeight="1" s="37">
      <c r="E669" s="11" t="n"/>
      <c r="F669" s="11" t="n"/>
    </row>
    <row r="670" ht="14.25" customHeight="1" s="37">
      <c r="E670" s="11" t="n"/>
      <c r="F670" s="11" t="n"/>
    </row>
    <row r="671" ht="14.25" customHeight="1" s="37">
      <c r="E671" s="11" t="n"/>
      <c r="F671" s="11" t="n"/>
    </row>
    <row r="672" ht="14.25" customHeight="1" s="37">
      <c r="E672" s="11" t="n"/>
      <c r="F672" s="11" t="n"/>
    </row>
    <row r="673" ht="14.25" customHeight="1" s="37">
      <c r="E673" s="11" t="n"/>
      <c r="F673" s="11" t="n"/>
    </row>
    <row r="674" ht="14.25" customHeight="1" s="37">
      <c r="E674" s="11" t="n"/>
      <c r="F674" s="11" t="n"/>
    </row>
    <row r="675" ht="14.25" customHeight="1" s="37">
      <c r="E675" s="11" t="n"/>
      <c r="F675" s="11" t="n"/>
    </row>
    <row r="676" ht="14.25" customHeight="1" s="37">
      <c r="E676" s="11" t="n"/>
      <c r="F676" s="11" t="n"/>
    </row>
    <row r="677" ht="14.25" customHeight="1" s="37">
      <c r="E677" s="11" t="n"/>
      <c r="F677" s="11" t="n"/>
    </row>
    <row r="678" ht="14.25" customHeight="1" s="37">
      <c r="E678" s="11" t="n"/>
      <c r="F678" s="11" t="n"/>
    </row>
    <row r="679" ht="14.25" customHeight="1" s="37">
      <c r="E679" s="11" t="n"/>
      <c r="F679" s="11" t="n"/>
    </row>
    <row r="680" ht="14.25" customHeight="1" s="37">
      <c r="E680" s="11" t="n"/>
      <c r="F680" s="11" t="n"/>
    </row>
    <row r="681" ht="14.25" customHeight="1" s="37">
      <c r="E681" s="11" t="n"/>
      <c r="F681" s="11" t="n"/>
    </row>
    <row r="682" ht="14.25" customHeight="1" s="37">
      <c r="E682" s="11" t="n"/>
      <c r="F682" s="11" t="n"/>
    </row>
    <row r="683" ht="14.25" customHeight="1" s="37">
      <c r="E683" s="11" t="n"/>
      <c r="F683" s="11" t="n"/>
    </row>
    <row r="684" ht="14.25" customHeight="1" s="37">
      <c r="E684" s="11" t="n"/>
      <c r="F684" s="11" t="n"/>
    </row>
    <row r="685" ht="14.25" customHeight="1" s="37">
      <c r="E685" s="11" t="n"/>
      <c r="F685" s="11" t="n"/>
    </row>
    <row r="686" ht="14.25" customHeight="1" s="37">
      <c r="E686" s="11" t="n"/>
      <c r="F686" s="11" t="n"/>
    </row>
    <row r="687" ht="14.25" customHeight="1" s="37">
      <c r="E687" s="11" t="n"/>
      <c r="F687" s="11" t="n"/>
    </row>
    <row r="688" ht="14.25" customHeight="1" s="37">
      <c r="E688" s="11" t="n"/>
      <c r="F688" s="11" t="n"/>
    </row>
    <row r="689" ht="14.25" customHeight="1" s="37">
      <c r="E689" s="11" t="n"/>
      <c r="F689" s="11" t="n"/>
    </row>
    <row r="690" ht="14.25" customHeight="1" s="37">
      <c r="E690" s="11" t="n"/>
      <c r="F690" s="11" t="n"/>
    </row>
    <row r="691" ht="14.25" customHeight="1" s="37">
      <c r="E691" s="11" t="n"/>
      <c r="F691" s="11" t="n"/>
    </row>
    <row r="692" ht="14.25" customHeight="1" s="37">
      <c r="E692" s="11" t="n"/>
      <c r="F692" s="11" t="n"/>
    </row>
    <row r="693" ht="14.25" customHeight="1" s="37">
      <c r="E693" s="11" t="n"/>
      <c r="F693" s="11" t="n"/>
    </row>
    <row r="694" ht="14.25" customHeight="1" s="37">
      <c r="E694" s="11" t="n"/>
      <c r="F694" s="11" t="n"/>
    </row>
    <row r="695" ht="14.25" customHeight="1" s="37">
      <c r="E695" s="11" t="n"/>
      <c r="F695" s="11" t="n"/>
    </row>
    <row r="696" ht="14.25" customHeight="1" s="37">
      <c r="E696" s="11" t="n"/>
      <c r="F696" s="11" t="n"/>
    </row>
    <row r="697" ht="14.25" customHeight="1" s="37">
      <c r="E697" s="11" t="n"/>
      <c r="F697" s="11" t="n"/>
    </row>
    <row r="698" ht="14.25" customHeight="1" s="37">
      <c r="E698" s="11" t="n"/>
      <c r="F698" s="11" t="n"/>
    </row>
    <row r="699" ht="14.25" customHeight="1" s="37">
      <c r="E699" s="11" t="n"/>
      <c r="F699" s="11" t="n"/>
    </row>
    <row r="700" ht="14.25" customHeight="1" s="37">
      <c r="E700" s="11" t="n"/>
      <c r="F700" s="11" t="n"/>
    </row>
    <row r="701" ht="14.25" customHeight="1" s="37">
      <c r="E701" s="11" t="n"/>
      <c r="F701" s="11" t="n"/>
    </row>
    <row r="702" ht="14.25" customHeight="1" s="37">
      <c r="E702" s="11" t="n"/>
      <c r="F702" s="11" t="n"/>
    </row>
    <row r="703" ht="14.25" customHeight="1" s="37">
      <c r="E703" s="11" t="n"/>
      <c r="F703" s="11" t="n"/>
    </row>
    <row r="704" ht="14.25" customHeight="1" s="37">
      <c r="E704" s="11" t="n"/>
      <c r="F704" s="11" t="n"/>
    </row>
    <row r="705" ht="14.25" customHeight="1" s="37">
      <c r="E705" s="11" t="n"/>
      <c r="F705" s="11" t="n"/>
    </row>
    <row r="706" ht="14.25" customHeight="1" s="37">
      <c r="E706" s="11" t="n"/>
      <c r="F706" s="11" t="n"/>
    </row>
    <row r="707" ht="14.25" customHeight="1" s="37">
      <c r="E707" s="11" t="n"/>
      <c r="F707" s="11" t="n"/>
    </row>
    <row r="708" ht="14.25" customHeight="1" s="37">
      <c r="E708" s="11" t="n"/>
      <c r="F708" s="11" t="n"/>
    </row>
    <row r="709" ht="14.25" customHeight="1" s="37">
      <c r="E709" s="11" t="n"/>
      <c r="F709" s="11" t="n"/>
    </row>
    <row r="710" ht="14.25" customHeight="1" s="37">
      <c r="E710" s="11" t="n"/>
      <c r="F710" s="11" t="n"/>
    </row>
    <row r="711" ht="14.25" customHeight="1" s="37">
      <c r="E711" s="11" t="n"/>
      <c r="F711" s="11" t="n"/>
    </row>
    <row r="712" ht="14.25" customHeight="1" s="37">
      <c r="E712" s="11" t="n"/>
      <c r="F712" s="11" t="n"/>
    </row>
    <row r="713" ht="14.25" customHeight="1" s="37">
      <c r="E713" s="11" t="n"/>
      <c r="F713" s="11" t="n"/>
    </row>
    <row r="714" ht="14.25" customHeight="1" s="37">
      <c r="E714" s="11" t="n"/>
      <c r="F714" s="11" t="n"/>
    </row>
    <row r="715" ht="14.25" customHeight="1" s="37">
      <c r="E715" s="11" t="n"/>
      <c r="F715" s="11" t="n"/>
    </row>
    <row r="716" ht="14.25" customHeight="1" s="37">
      <c r="E716" s="11" t="n"/>
      <c r="F716" s="11" t="n"/>
    </row>
    <row r="717" ht="14.25" customHeight="1" s="37">
      <c r="E717" s="11" t="n"/>
      <c r="F717" s="11" t="n"/>
    </row>
    <row r="718" ht="14.25" customHeight="1" s="37">
      <c r="E718" s="11" t="n"/>
      <c r="F718" s="11" t="n"/>
    </row>
    <row r="719" ht="14.25" customHeight="1" s="37">
      <c r="E719" s="11" t="n"/>
      <c r="F719" s="11" t="n"/>
    </row>
    <row r="720" ht="14.25" customHeight="1" s="37">
      <c r="E720" s="11" t="n"/>
      <c r="F720" s="11" t="n"/>
    </row>
    <row r="721" ht="14.25" customHeight="1" s="37">
      <c r="E721" s="11" t="n"/>
      <c r="F721" s="11" t="n"/>
    </row>
    <row r="722" ht="14.25" customHeight="1" s="37">
      <c r="E722" s="11" t="n"/>
      <c r="F722" s="11" t="n"/>
    </row>
    <row r="723" ht="14.25" customHeight="1" s="37">
      <c r="E723" s="11" t="n"/>
      <c r="F723" s="11" t="n"/>
    </row>
    <row r="724" ht="14.25" customHeight="1" s="37">
      <c r="E724" s="11" t="n"/>
      <c r="F724" s="11" t="n"/>
    </row>
    <row r="725" ht="14.25" customHeight="1" s="37">
      <c r="E725" s="11" t="n"/>
      <c r="F725" s="11" t="n"/>
    </row>
    <row r="726" ht="14.25" customHeight="1" s="37">
      <c r="E726" s="11" t="n"/>
      <c r="F726" s="11" t="n"/>
    </row>
    <row r="727" ht="14.25" customHeight="1" s="37">
      <c r="E727" s="11" t="n"/>
      <c r="F727" s="11" t="n"/>
    </row>
    <row r="728" ht="14.25" customHeight="1" s="37">
      <c r="E728" s="11" t="n"/>
      <c r="F728" s="11" t="n"/>
    </row>
    <row r="729" ht="14.25" customHeight="1" s="37">
      <c r="E729" s="11" t="n"/>
      <c r="F729" s="11" t="n"/>
    </row>
    <row r="730" ht="14.25" customHeight="1" s="37">
      <c r="E730" s="11" t="n"/>
      <c r="F730" s="11" t="n"/>
    </row>
    <row r="731" ht="14.25" customHeight="1" s="37">
      <c r="E731" s="11" t="n"/>
      <c r="F731" s="11" t="n"/>
    </row>
    <row r="732" ht="14.25" customHeight="1" s="37">
      <c r="E732" s="11" t="n"/>
      <c r="F732" s="11" t="n"/>
    </row>
    <row r="733" ht="14.25" customHeight="1" s="37">
      <c r="E733" s="11" t="n"/>
      <c r="F733" s="11" t="n"/>
    </row>
    <row r="734" ht="14.25" customHeight="1" s="37">
      <c r="E734" s="11" t="n"/>
      <c r="F734" s="11" t="n"/>
    </row>
    <row r="735" ht="14.25" customHeight="1" s="37">
      <c r="E735" s="11" t="n"/>
      <c r="F735" s="11" t="n"/>
    </row>
    <row r="736" ht="14.25" customHeight="1" s="37">
      <c r="E736" s="11" t="n"/>
      <c r="F736" s="11" t="n"/>
    </row>
    <row r="737" ht="14.25" customHeight="1" s="37">
      <c r="E737" s="11" t="n"/>
      <c r="F737" s="11" t="n"/>
    </row>
    <row r="738" ht="14.25" customHeight="1" s="37">
      <c r="E738" s="11" t="n"/>
      <c r="F738" s="11" t="n"/>
    </row>
    <row r="739" ht="14.25" customHeight="1" s="37">
      <c r="E739" s="11" t="n"/>
      <c r="F739" s="11" t="n"/>
    </row>
    <row r="740" ht="14.25" customHeight="1" s="37">
      <c r="E740" s="11" t="n"/>
      <c r="F740" s="11" t="n"/>
    </row>
    <row r="741" ht="14.25" customHeight="1" s="37">
      <c r="E741" s="11" t="n"/>
      <c r="F741" s="11" t="n"/>
    </row>
    <row r="742" ht="14.25" customHeight="1" s="37">
      <c r="E742" s="11" t="n"/>
      <c r="F742" s="11" t="n"/>
    </row>
    <row r="743" ht="14.25" customHeight="1" s="37">
      <c r="E743" s="11" t="n"/>
      <c r="F743" s="11" t="n"/>
    </row>
    <row r="744" ht="14.25" customHeight="1" s="37">
      <c r="E744" s="11" t="n"/>
      <c r="F744" s="11" t="n"/>
    </row>
    <row r="745" ht="14.25" customHeight="1" s="37">
      <c r="E745" s="11" t="n"/>
      <c r="F745" s="11" t="n"/>
    </row>
    <row r="746" ht="14.25" customHeight="1" s="37">
      <c r="E746" s="11" t="n"/>
      <c r="F746" s="11" t="n"/>
    </row>
    <row r="747" ht="14.25" customHeight="1" s="37">
      <c r="E747" s="11" t="n"/>
      <c r="F747" s="11" t="n"/>
    </row>
    <row r="748" ht="14.25" customHeight="1" s="37">
      <c r="E748" s="11" t="n"/>
      <c r="F748" s="11" t="n"/>
    </row>
    <row r="749" ht="14.25" customHeight="1" s="37">
      <c r="E749" s="11" t="n"/>
      <c r="F749" s="11" t="n"/>
    </row>
    <row r="750" ht="14.25" customHeight="1" s="37">
      <c r="E750" s="11" t="n"/>
      <c r="F750" s="11" t="n"/>
    </row>
    <row r="751" ht="14.25" customHeight="1" s="37">
      <c r="E751" s="11" t="n"/>
      <c r="F751" s="11" t="n"/>
    </row>
    <row r="752" ht="14.25" customHeight="1" s="37">
      <c r="E752" s="11" t="n"/>
      <c r="F752" s="11" t="n"/>
    </row>
    <row r="753" ht="14.25" customHeight="1" s="37">
      <c r="E753" s="11" t="n"/>
      <c r="F753" s="11" t="n"/>
    </row>
    <row r="754" ht="14.25" customHeight="1" s="37">
      <c r="E754" s="11" t="n"/>
      <c r="F754" s="11" t="n"/>
    </row>
    <row r="755" ht="14.25" customHeight="1" s="37">
      <c r="E755" s="11" t="n"/>
      <c r="F755" s="11" t="n"/>
    </row>
    <row r="756" ht="14.25" customHeight="1" s="37">
      <c r="E756" s="11" t="n"/>
      <c r="F756" s="11" t="n"/>
    </row>
    <row r="757" ht="14.25" customHeight="1" s="37">
      <c r="E757" s="11" t="n"/>
      <c r="F757" s="11" t="n"/>
    </row>
    <row r="758" ht="14.25" customHeight="1" s="37">
      <c r="E758" s="11" t="n"/>
      <c r="F758" s="11" t="n"/>
    </row>
    <row r="759" ht="14.25" customHeight="1" s="37">
      <c r="E759" s="11" t="n"/>
      <c r="F759" s="11" t="n"/>
    </row>
    <row r="760" ht="14.25" customHeight="1" s="37">
      <c r="E760" s="11" t="n"/>
      <c r="F760" s="11" t="n"/>
    </row>
    <row r="761" ht="14.25" customHeight="1" s="37">
      <c r="E761" s="11" t="n"/>
      <c r="F761" s="11" t="n"/>
    </row>
    <row r="762" ht="14.25" customHeight="1" s="37">
      <c r="E762" s="11" t="n"/>
      <c r="F762" s="11" t="n"/>
    </row>
    <row r="763" ht="14.25" customHeight="1" s="37">
      <c r="E763" s="11" t="n"/>
      <c r="F763" s="11" t="n"/>
    </row>
    <row r="764" ht="14.25" customHeight="1" s="37">
      <c r="E764" s="11" t="n"/>
      <c r="F764" s="11" t="n"/>
    </row>
    <row r="765" ht="14.25" customHeight="1" s="37">
      <c r="E765" s="11" t="n"/>
      <c r="F765" s="11" t="n"/>
    </row>
    <row r="766" ht="14.25" customHeight="1" s="37">
      <c r="E766" s="11" t="n"/>
      <c r="F766" s="11" t="n"/>
    </row>
    <row r="767" ht="14.25" customHeight="1" s="37">
      <c r="E767" s="11" t="n"/>
      <c r="F767" s="11" t="n"/>
    </row>
    <row r="768" ht="14.25" customHeight="1" s="37">
      <c r="E768" s="11" t="n"/>
      <c r="F768" s="11" t="n"/>
    </row>
    <row r="769" ht="14.25" customHeight="1" s="37">
      <c r="E769" s="11" t="n"/>
      <c r="F769" s="11" t="n"/>
    </row>
    <row r="770" ht="14.25" customHeight="1" s="37">
      <c r="E770" s="11" t="n"/>
      <c r="F770" s="11" t="n"/>
    </row>
    <row r="771" ht="14.25" customHeight="1" s="37">
      <c r="E771" s="11" t="n"/>
      <c r="F771" s="11" t="n"/>
    </row>
    <row r="772" ht="14.25" customHeight="1" s="37">
      <c r="E772" s="11" t="n"/>
      <c r="F772" s="11" t="n"/>
    </row>
    <row r="773" ht="14.25" customHeight="1" s="37">
      <c r="E773" s="11" t="n"/>
      <c r="F773" s="11" t="n"/>
    </row>
    <row r="774" ht="14.25" customHeight="1" s="37">
      <c r="E774" s="11" t="n"/>
      <c r="F774" s="11" t="n"/>
    </row>
    <row r="775" ht="14.25" customHeight="1" s="37">
      <c r="E775" s="11" t="n"/>
      <c r="F775" s="11" t="n"/>
    </row>
    <row r="776" ht="14.25" customHeight="1" s="37">
      <c r="E776" s="11" t="n"/>
      <c r="F776" s="11" t="n"/>
    </row>
    <row r="777" ht="14.25" customHeight="1" s="37">
      <c r="E777" s="11" t="n"/>
      <c r="F777" s="11" t="n"/>
    </row>
    <row r="778" ht="14.25" customHeight="1" s="37">
      <c r="E778" s="11" t="n"/>
      <c r="F778" s="11" t="n"/>
    </row>
    <row r="779" ht="14.25" customHeight="1" s="37">
      <c r="E779" s="11" t="n"/>
      <c r="F779" s="11" t="n"/>
    </row>
    <row r="780" ht="14.25" customHeight="1" s="37">
      <c r="E780" s="11" t="n"/>
      <c r="F780" s="11" t="n"/>
    </row>
    <row r="781" ht="14.25" customHeight="1" s="37">
      <c r="E781" s="11" t="n"/>
      <c r="F781" s="11" t="n"/>
    </row>
    <row r="782" ht="14.25" customHeight="1" s="37">
      <c r="E782" s="11" t="n"/>
      <c r="F782" s="11" t="n"/>
    </row>
    <row r="783" ht="14.25" customHeight="1" s="37">
      <c r="E783" s="11" t="n"/>
      <c r="F783" s="11" t="n"/>
    </row>
    <row r="784" ht="14.25" customHeight="1" s="37">
      <c r="E784" s="11" t="n"/>
      <c r="F784" s="11" t="n"/>
    </row>
    <row r="785" ht="14.25" customHeight="1" s="37">
      <c r="E785" s="11" t="n"/>
      <c r="F785" s="11" t="n"/>
    </row>
    <row r="786" ht="14.25" customHeight="1" s="37">
      <c r="E786" s="11" t="n"/>
      <c r="F786" s="11" t="n"/>
    </row>
    <row r="787" ht="14.25" customHeight="1" s="37">
      <c r="E787" s="11" t="n"/>
      <c r="F787" s="11" t="n"/>
    </row>
    <row r="788" ht="14.25" customHeight="1" s="37">
      <c r="E788" s="11" t="n"/>
      <c r="F788" s="11" t="n"/>
    </row>
    <row r="789" ht="14.25" customHeight="1" s="37">
      <c r="E789" s="11" t="n"/>
      <c r="F789" s="11" t="n"/>
    </row>
    <row r="790" ht="14.25" customHeight="1" s="37">
      <c r="E790" s="11" t="n"/>
      <c r="F790" s="11" t="n"/>
    </row>
    <row r="791" ht="14.25" customHeight="1" s="37">
      <c r="E791" s="11" t="n"/>
      <c r="F791" s="11" t="n"/>
    </row>
    <row r="792" ht="14.25" customHeight="1" s="37">
      <c r="E792" s="11" t="n"/>
      <c r="F792" s="11" t="n"/>
    </row>
    <row r="793" ht="14.25" customHeight="1" s="37">
      <c r="E793" s="11" t="n"/>
      <c r="F793" s="11" t="n"/>
    </row>
    <row r="794" ht="14.25" customHeight="1" s="37">
      <c r="E794" s="11" t="n"/>
      <c r="F794" s="11" t="n"/>
    </row>
    <row r="795" ht="14.25" customHeight="1" s="37">
      <c r="E795" s="11" t="n"/>
      <c r="F795" s="11" t="n"/>
    </row>
    <row r="796" ht="14.25" customHeight="1" s="37">
      <c r="E796" s="11" t="n"/>
      <c r="F796" s="11" t="n"/>
    </row>
    <row r="797" ht="14.25" customHeight="1" s="37">
      <c r="E797" s="11" t="n"/>
      <c r="F797" s="11" t="n"/>
    </row>
    <row r="798" ht="14.25" customHeight="1" s="37">
      <c r="E798" s="11" t="n"/>
      <c r="F798" s="11" t="n"/>
    </row>
    <row r="799" ht="14.25" customHeight="1" s="37">
      <c r="E799" s="11" t="n"/>
      <c r="F799" s="11" t="n"/>
    </row>
    <row r="800" ht="14.25" customHeight="1" s="37">
      <c r="E800" s="11" t="n"/>
      <c r="F800" s="11" t="n"/>
    </row>
    <row r="801" ht="14.25" customHeight="1" s="37">
      <c r="E801" s="11" t="n"/>
      <c r="F801" s="11" t="n"/>
    </row>
    <row r="802" ht="14.25" customHeight="1" s="37">
      <c r="E802" s="11" t="n"/>
      <c r="F802" s="11" t="n"/>
    </row>
    <row r="803" ht="14.25" customHeight="1" s="37">
      <c r="E803" s="11" t="n"/>
      <c r="F803" s="11" t="n"/>
    </row>
    <row r="804" ht="14.25" customHeight="1" s="37">
      <c r="E804" s="11" t="n"/>
      <c r="F804" s="11" t="n"/>
    </row>
    <row r="805" ht="14.25" customHeight="1" s="37">
      <c r="E805" s="11" t="n"/>
      <c r="F805" s="11" t="n"/>
    </row>
    <row r="806" ht="14.25" customHeight="1" s="37">
      <c r="E806" s="11" t="n"/>
      <c r="F806" s="11" t="n"/>
    </row>
    <row r="807" ht="14.25" customHeight="1" s="37">
      <c r="E807" s="11" t="n"/>
      <c r="F807" s="11" t="n"/>
    </row>
    <row r="808" ht="14.25" customHeight="1" s="37">
      <c r="E808" s="11" t="n"/>
      <c r="F808" s="11" t="n"/>
    </row>
    <row r="809" ht="14.25" customHeight="1" s="37">
      <c r="E809" s="11" t="n"/>
      <c r="F809" s="11" t="n"/>
    </row>
    <row r="810" ht="14.25" customHeight="1" s="37">
      <c r="E810" s="11" t="n"/>
      <c r="F810" s="11" t="n"/>
    </row>
    <row r="811" ht="14.25" customHeight="1" s="37">
      <c r="E811" s="11" t="n"/>
      <c r="F811" s="11" t="n"/>
    </row>
    <row r="812" ht="14.25" customHeight="1" s="37">
      <c r="E812" s="11" t="n"/>
      <c r="F812" s="11" t="n"/>
    </row>
    <row r="813" ht="14.25" customHeight="1" s="37">
      <c r="E813" s="11" t="n"/>
      <c r="F813" s="11" t="n"/>
    </row>
    <row r="814" ht="14.25" customHeight="1" s="37">
      <c r="E814" s="11" t="n"/>
      <c r="F814" s="11" t="n"/>
    </row>
    <row r="815" ht="14.25" customHeight="1" s="37">
      <c r="E815" s="11" t="n"/>
      <c r="F815" s="11" t="n"/>
    </row>
    <row r="816" ht="14.25" customHeight="1" s="37">
      <c r="E816" s="11" t="n"/>
      <c r="F816" s="11" t="n"/>
    </row>
    <row r="817" ht="14.25" customHeight="1" s="37">
      <c r="E817" s="11" t="n"/>
      <c r="F817" s="11" t="n"/>
    </row>
    <row r="818" ht="14.25" customHeight="1" s="37">
      <c r="E818" s="11" t="n"/>
      <c r="F818" s="11" t="n"/>
    </row>
    <row r="819" ht="14.25" customHeight="1" s="37">
      <c r="E819" s="11" t="n"/>
      <c r="F819" s="11" t="n"/>
    </row>
    <row r="820" ht="14.25" customHeight="1" s="37">
      <c r="E820" s="11" t="n"/>
      <c r="F820" s="11" t="n"/>
    </row>
    <row r="821" ht="14.25" customHeight="1" s="37">
      <c r="E821" s="11" t="n"/>
      <c r="F821" s="11" t="n"/>
    </row>
    <row r="822" ht="14.25" customHeight="1" s="37">
      <c r="E822" s="11" t="n"/>
      <c r="F822" s="11" t="n"/>
    </row>
    <row r="823" ht="14.25" customHeight="1" s="37">
      <c r="E823" s="11" t="n"/>
      <c r="F823" s="11" t="n"/>
    </row>
    <row r="824" ht="14.25" customHeight="1" s="37">
      <c r="E824" s="11" t="n"/>
      <c r="F824" s="11" t="n"/>
    </row>
    <row r="825" ht="14.25" customHeight="1" s="37">
      <c r="E825" s="11" t="n"/>
      <c r="F825" s="11" t="n"/>
    </row>
    <row r="826" ht="14.25" customHeight="1" s="37">
      <c r="E826" s="11" t="n"/>
      <c r="F826" s="11" t="n"/>
    </row>
    <row r="827" ht="14.25" customHeight="1" s="37">
      <c r="E827" s="11" t="n"/>
      <c r="F827" s="11" t="n"/>
    </row>
    <row r="828" ht="14.25" customHeight="1" s="37">
      <c r="E828" s="11" t="n"/>
      <c r="F828" s="11" t="n"/>
    </row>
    <row r="829" ht="14.25" customHeight="1" s="37">
      <c r="E829" s="11" t="n"/>
      <c r="F829" s="11" t="n"/>
    </row>
    <row r="830" ht="14.25" customHeight="1" s="37">
      <c r="E830" s="11" t="n"/>
      <c r="F830" s="11" t="n"/>
    </row>
    <row r="831" ht="14.25" customHeight="1" s="37">
      <c r="E831" s="11" t="n"/>
      <c r="F831" s="11" t="n"/>
    </row>
    <row r="832" ht="14.25" customHeight="1" s="37">
      <c r="E832" s="11" t="n"/>
      <c r="F832" s="11" t="n"/>
    </row>
    <row r="833" ht="14.25" customHeight="1" s="37">
      <c r="E833" s="11" t="n"/>
      <c r="F833" s="11" t="n"/>
    </row>
    <row r="834" ht="14.25" customHeight="1" s="37">
      <c r="E834" s="11" t="n"/>
      <c r="F834" s="11" t="n"/>
    </row>
    <row r="835" ht="14.25" customHeight="1" s="37">
      <c r="E835" s="11" t="n"/>
      <c r="F835" s="11" t="n"/>
    </row>
    <row r="836" ht="14.25" customHeight="1" s="37">
      <c r="E836" s="11" t="n"/>
      <c r="F836" s="11" t="n"/>
    </row>
    <row r="837" ht="14.25" customHeight="1" s="37">
      <c r="E837" s="11" t="n"/>
      <c r="F837" s="11" t="n"/>
    </row>
    <row r="838" ht="14.25" customHeight="1" s="37">
      <c r="E838" s="11" t="n"/>
      <c r="F838" s="11" t="n"/>
    </row>
    <row r="839" ht="14.25" customHeight="1" s="37">
      <c r="E839" s="11" t="n"/>
      <c r="F839" s="11" t="n"/>
    </row>
    <row r="840" ht="14.25" customHeight="1" s="37">
      <c r="E840" s="11" t="n"/>
      <c r="F840" s="11" t="n"/>
    </row>
    <row r="841" ht="14.25" customHeight="1" s="37">
      <c r="E841" s="11" t="n"/>
      <c r="F841" s="11" t="n"/>
    </row>
    <row r="842" ht="14.25" customHeight="1" s="37">
      <c r="E842" s="11" t="n"/>
      <c r="F842" s="11" t="n"/>
    </row>
    <row r="843" ht="14.25" customHeight="1" s="37">
      <c r="E843" s="11" t="n"/>
      <c r="F843" s="11" t="n"/>
    </row>
    <row r="844" ht="14.25" customHeight="1" s="37">
      <c r="E844" s="11" t="n"/>
      <c r="F844" s="11" t="n"/>
    </row>
    <row r="845" ht="14.25" customHeight="1" s="37">
      <c r="E845" s="11" t="n"/>
      <c r="F845" s="11" t="n"/>
    </row>
    <row r="846" ht="14.25" customHeight="1" s="37">
      <c r="E846" s="11" t="n"/>
      <c r="F846" s="11" t="n"/>
    </row>
    <row r="847" ht="14.25" customHeight="1" s="37">
      <c r="E847" s="11" t="n"/>
      <c r="F847" s="11" t="n"/>
    </row>
    <row r="848" ht="14.25" customHeight="1" s="37">
      <c r="E848" s="11" t="n"/>
      <c r="F848" s="11" t="n"/>
    </row>
    <row r="849" ht="14.25" customHeight="1" s="37">
      <c r="E849" s="11" t="n"/>
      <c r="F849" s="11" t="n"/>
    </row>
    <row r="850" ht="14.25" customHeight="1" s="37">
      <c r="E850" s="11" t="n"/>
      <c r="F850" s="11" t="n"/>
    </row>
    <row r="851" ht="14.25" customHeight="1" s="37">
      <c r="E851" s="11" t="n"/>
      <c r="F851" s="11" t="n"/>
    </row>
    <row r="852" ht="14.25" customHeight="1" s="37">
      <c r="E852" s="11" t="n"/>
      <c r="F852" s="11" t="n"/>
    </row>
    <row r="853" ht="14.25" customHeight="1" s="37">
      <c r="E853" s="11" t="n"/>
      <c r="F853" s="11" t="n"/>
    </row>
    <row r="854" ht="14.25" customHeight="1" s="37">
      <c r="E854" s="11" t="n"/>
      <c r="F854" s="11" t="n"/>
    </row>
    <row r="855" ht="14.25" customHeight="1" s="37">
      <c r="E855" s="11" t="n"/>
      <c r="F855" s="11" t="n"/>
    </row>
    <row r="856" ht="14.25" customHeight="1" s="37">
      <c r="E856" s="11" t="n"/>
      <c r="F856" s="11" t="n"/>
    </row>
    <row r="857" ht="14.25" customHeight="1" s="37">
      <c r="E857" s="11" t="n"/>
      <c r="F857" s="11" t="n"/>
    </row>
    <row r="858" ht="14.25" customHeight="1" s="37">
      <c r="E858" s="11" t="n"/>
      <c r="F858" s="11" t="n"/>
    </row>
    <row r="859" ht="14.25" customHeight="1" s="37">
      <c r="E859" s="11" t="n"/>
      <c r="F859" s="11" t="n"/>
    </row>
    <row r="860" ht="14.25" customHeight="1" s="37">
      <c r="E860" s="11" t="n"/>
      <c r="F860" s="11" t="n"/>
    </row>
    <row r="861" ht="14.25" customHeight="1" s="37">
      <c r="E861" s="11" t="n"/>
      <c r="F861" s="11" t="n"/>
    </row>
    <row r="862" ht="14.25" customHeight="1" s="37">
      <c r="E862" s="11" t="n"/>
      <c r="F862" s="11" t="n"/>
    </row>
    <row r="863" ht="14.25" customHeight="1" s="37">
      <c r="E863" s="11" t="n"/>
      <c r="F863" s="11" t="n"/>
    </row>
    <row r="864" ht="14.25" customHeight="1" s="37">
      <c r="E864" s="11" t="n"/>
      <c r="F864" s="11" t="n"/>
    </row>
    <row r="865" ht="14.25" customHeight="1" s="37">
      <c r="E865" s="11" t="n"/>
      <c r="F865" s="11" t="n"/>
    </row>
    <row r="866" ht="14.25" customHeight="1" s="37">
      <c r="E866" s="11" t="n"/>
      <c r="F866" s="11" t="n"/>
    </row>
    <row r="867" ht="14.25" customHeight="1" s="37">
      <c r="E867" s="11" t="n"/>
      <c r="F867" s="11" t="n"/>
    </row>
    <row r="868" ht="14.25" customHeight="1" s="37">
      <c r="E868" s="11" t="n"/>
      <c r="F868" s="11" t="n"/>
    </row>
    <row r="869" ht="14.25" customHeight="1" s="37">
      <c r="E869" s="11" t="n"/>
      <c r="F869" s="11" t="n"/>
    </row>
    <row r="870" ht="14.25" customHeight="1" s="37">
      <c r="E870" s="11" t="n"/>
      <c r="F870" s="11" t="n"/>
    </row>
    <row r="871" ht="14.25" customHeight="1" s="37">
      <c r="E871" s="11" t="n"/>
      <c r="F871" s="11" t="n"/>
    </row>
    <row r="872" ht="14.25" customHeight="1" s="37">
      <c r="E872" s="11" t="n"/>
      <c r="F872" s="11" t="n"/>
    </row>
    <row r="873" ht="14.25" customHeight="1" s="37">
      <c r="E873" s="11" t="n"/>
      <c r="F873" s="11" t="n"/>
    </row>
    <row r="874" ht="14.25" customHeight="1" s="37">
      <c r="E874" s="11" t="n"/>
      <c r="F874" s="11" t="n"/>
    </row>
    <row r="875" ht="14.25" customHeight="1" s="37">
      <c r="E875" s="11" t="n"/>
      <c r="F875" s="11" t="n"/>
    </row>
    <row r="876" ht="14.25" customHeight="1" s="37">
      <c r="E876" s="11" t="n"/>
      <c r="F876" s="11" t="n"/>
    </row>
    <row r="877" ht="14.25" customHeight="1" s="37">
      <c r="E877" s="11" t="n"/>
      <c r="F877" s="11" t="n"/>
    </row>
    <row r="878" ht="14.25" customHeight="1" s="37">
      <c r="E878" s="11" t="n"/>
      <c r="F878" s="11" t="n"/>
    </row>
    <row r="879" ht="14.25" customHeight="1" s="37">
      <c r="E879" s="11" t="n"/>
      <c r="F879" s="11" t="n"/>
    </row>
    <row r="880" ht="14.25" customHeight="1" s="37">
      <c r="E880" s="11" t="n"/>
      <c r="F880" s="11" t="n"/>
    </row>
    <row r="881" ht="14.25" customHeight="1" s="37">
      <c r="E881" s="11" t="n"/>
      <c r="F881" s="11" t="n"/>
    </row>
    <row r="882" ht="14.25" customHeight="1" s="37">
      <c r="E882" s="11" t="n"/>
      <c r="F882" s="11" t="n"/>
    </row>
    <row r="883" ht="14.25" customHeight="1" s="37">
      <c r="E883" s="11" t="n"/>
      <c r="F883" s="11" t="n"/>
    </row>
    <row r="884" ht="14.25" customHeight="1" s="37">
      <c r="E884" s="11" t="n"/>
      <c r="F884" s="11" t="n"/>
    </row>
    <row r="885" ht="14.25" customHeight="1" s="37">
      <c r="E885" s="11" t="n"/>
      <c r="F885" s="11" t="n"/>
    </row>
    <row r="886" ht="14.25" customHeight="1" s="37">
      <c r="E886" s="11" t="n"/>
      <c r="F886" s="11" t="n"/>
    </row>
    <row r="887" ht="14.25" customHeight="1" s="37">
      <c r="E887" s="11" t="n"/>
      <c r="F887" s="11" t="n"/>
    </row>
    <row r="888" ht="14.25" customHeight="1" s="37">
      <c r="E888" s="11" t="n"/>
      <c r="F888" s="11" t="n"/>
    </row>
    <row r="889" ht="14.25" customHeight="1" s="37">
      <c r="E889" s="11" t="n"/>
      <c r="F889" s="11" t="n"/>
    </row>
    <row r="890" ht="14.25" customHeight="1" s="37">
      <c r="E890" s="11" t="n"/>
      <c r="F890" s="11" t="n"/>
    </row>
    <row r="891" ht="14.25" customHeight="1" s="37">
      <c r="E891" s="11" t="n"/>
      <c r="F891" s="11" t="n"/>
    </row>
    <row r="892" ht="14.25" customHeight="1" s="37">
      <c r="E892" s="11" t="n"/>
      <c r="F892" s="11" t="n"/>
    </row>
    <row r="893" ht="14.25" customHeight="1" s="37">
      <c r="E893" s="11" t="n"/>
      <c r="F893" s="11" t="n"/>
    </row>
    <row r="894" ht="14.25" customHeight="1" s="37">
      <c r="E894" s="11" t="n"/>
      <c r="F894" s="11" t="n"/>
    </row>
    <row r="895" ht="14.25" customHeight="1" s="37">
      <c r="E895" s="11" t="n"/>
      <c r="F895" s="11" t="n"/>
    </row>
    <row r="896" ht="14.25" customHeight="1" s="37">
      <c r="E896" s="11" t="n"/>
      <c r="F896" s="11" t="n"/>
    </row>
    <row r="897" ht="14.25" customHeight="1" s="37">
      <c r="E897" s="11" t="n"/>
      <c r="F897" s="11" t="n"/>
    </row>
    <row r="898" ht="14.25" customHeight="1" s="37">
      <c r="E898" s="11" t="n"/>
      <c r="F898" s="11" t="n"/>
    </row>
    <row r="899" ht="14.25" customHeight="1" s="37">
      <c r="E899" s="11" t="n"/>
      <c r="F899" s="11" t="n"/>
    </row>
    <row r="900" ht="14.25" customHeight="1" s="37">
      <c r="E900" s="11" t="n"/>
      <c r="F900" s="11" t="n"/>
    </row>
    <row r="901" ht="14.25" customHeight="1" s="37">
      <c r="E901" s="11" t="n"/>
      <c r="F901" s="11" t="n"/>
    </row>
    <row r="902" ht="14.25" customHeight="1" s="37">
      <c r="E902" s="11" t="n"/>
      <c r="F902" s="11" t="n"/>
    </row>
    <row r="903" ht="14.25" customHeight="1" s="37">
      <c r="E903" s="11" t="n"/>
      <c r="F903" s="11" t="n"/>
    </row>
    <row r="904" ht="14.25" customHeight="1" s="37">
      <c r="E904" s="11" t="n"/>
      <c r="F904" s="11" t="n"/>
    </row>
    <row r="905" ht="14.25" customHeight="1" s="37">
      <c r="E905" s="11" t="n"/>
      <c r="F905" s="11" t="n"/>
    </row>
    <row r="906" ht="14.25" customHeight="1" s="37">
      <c r="E906" s="11" t="n"/>
      <c r="F906" s="11" t="n"/>
    </row>
    <row r="907" ht="14.25" customHeight="1" s="37">
      <c r="E907" s="11" t="n"/>
      <c r="F907" s="11" t="n"/>
    </row>
    <row r="908" ht="14.25" customHeight="1" s="37">
      <c r="E908" s="11" t="n"/>
      <c r="F908" s="11" t="n"/>
    </row>
    <row r="909" ht="14.25" customHeight="1" s="37">
      <c r="E909" s="11" t="n"/>
      <c r="F909" s="11" t="n"/>
    </row>
    <row r="910" ht="14.25" customHeight="1" s="37">
      <c r="E910" s="11" t="n"/>
      <c r="F910" s="11" t="n"/>
    </row>
    <row r="911" ht="14.25" customHeight="1" s="37">
      <c r="E911" s="11" t="n"/>
      <c r="F911" s="11" t="n"/>
    </row>
    <row r="912" ht="14.25" customHeight="1" s="37">
      <c r="E912" s="11" t="n"/>
      <c r="F912" s="11" t="n"/>
    </row>
    <row r="913" ht="14.25" customHeight="1" s="37">
      <c r="E913" s="11" t="n"/>
      <c r="F913" s="11" t="n"/>
    </row>
    <row r="914" ht="14.25" customHeight="1" s="37">
      <c r="E914" s="11" t="n"/>
      <c r="F914" s="11" t="n"/>
    </row>
    <row r="915" ht="14.25" customHeight="1" s="37">
      <c r="E915" s="11" t="n"/>
      <c r="F915" s="11" t="n"/>
    </row>
    <row r="916" ht="14.25" customHeight="1" s="37">
      <c r="E916" s="11" t="n"/>
      <c r="F916" s="11" t="n"/>
    </row>
    <row r="917" ht="14.25" customHeight="1" s="37">
      <c r="E917" s="11" t="n"/>
      <c r="F917" s="11" t="n"/>
    </row>
    <row r="918" ht="14.25" customHeight="1" s="37">
      <c r="E918" s="11" t="n"/>
      <c r="F918" s="11" t="n"/>
    </row>
    <row r="919" ht="14.25" customHeight="1" s="37">
      <c r="E919" s="11" t="n"/>
      <c r="F919" s="11" t="n"/>
    </row>
    <row r="920" ht="14.25" customHeight="1" s="37">
      <c r="E920" s="11" t="n"/>
      <c r="F920" s="11" t="n"/>
    </row>
    <row r="921" ht="14.25" customHeight="1" s="37">
      <c r="E921" s="11" t="n"/>
      <c r="F921" s="11" t="n"/>
    </row>
    <row r="922" ht="14.25" customHeight="1" s="37">
      <c r="E922" s="11" t="n"/>
      <c r="F922" s="11" t="n"/>
    </row>
    <row r="923" ht="14.25" customHeight="1" s="37">
      <c r="E923" s="11" t="n"/>
      <c r="F923" s="11" t="n"/>
    </row>
    <row r="924" ht="14.25" customHeight="1" s="37">
      <c r="E924" s="11" t="n"/>
      <c r="F924" s="11" t="n"/>
    </row>
    <row r="925" ht="14.25" customHeight="1" s="37">
      <c r="E925" s="11" t="n"/>
      <c r="F925" s="11" t="n"/>
    </row>
    <row r="926" ht="14.25" customHeight="1" s="37">
      <c r="E926" s="11" t="n"/>
      <c r="F926" s="11" t="n"/>
    </row>
    <row r="927" ht="14.25" customHeight="1" s="37">
      <c r="E927" s="11" t="n"/>
      <c r="F927" s="11" t="n"/>
    </row>
    <row r="928" ht="14.25" customHeight="1" s="37">
      <c r="E928" s="11" t="n"/>
      <c r="F928" s="11" t="n"/>
    </row>
    <row r="929" ht="14.25" customHeight="1" s="37">
      <c r="E929" s="11" t="n"/>
      <c r="F929" s="11" t="n"/>
    </row>
    <row r="930" ht="14.25" customHeight="1" s="37">
      <c r="E930" s="11" t="n"/>
      <c r="F930" s="11" t="n"/>
    </row>
    <row r="931" ht="14.25" customHeight="1" s="37">
      <c r="E931" s="11" t="n"/>
      <c r="F931" s="11" t="n"/>
    </row>
    <row r="932" ht="14.25" customHeight="1" s="37">
      <c r="E932" s="11" t="n"/>
      <c r="F932" s="11" t="n"/>
    </row>
    <row r="933" ht="14.25" customHeight="1" s="37">
      <c r="E933" s="11" t="n"/>
      <c r="F933" s="11" t="n"/>
    </row>
    <row r="934" ht="14.25" customHeight="1" s="37">
      <c r="E934" s="11" t="n"/>
      <c r="F934" s="11" t="n"/>
    </row>
    <row r="935" ht="14.25" customHeight="1" s="37">
      <c r="E935" s="11" t="n"/>
      <c r="F935" s="11" t="n"/>
    </row>
    <row r="936" ht="14.25" customHeight="1" s="37">
      <c r="E936" s="11" t="n"/>
      <c r="F936" s="11" t="n"/>
    </row>
    <row r="937" ht="14.25" customHeight="1" s="37">
      <c r="E937" s="11" t="n"/>
      <c r="F937" s="11" t="n"/>
    </row>
    <row r="938" ht="14.25" customHeight="1" s="37">
      <c r="E938" s="11" t="n"/>
      <c r="F938" s="11" t="n"/>
    </row>
    <row r="939" ht="14.25" customHeight="1" s="37">
      <c r="E939" s="11" t="n"/>
      <c r="F939" s="11" t="n"/>
    </row>
    <row r="940" ht="14.25" customHeight="1" s="37">
      <c r="E940" s="11" t="n"/>
      <c r="F940" s="11" t="n"/>
    </row>
    <row r="941" ht="14.25" customHeight="1" s="37">
      <c r="E941" s="11" t="n"/>
      <c r="F941" s="11" t="n"/>
    </row>
    <row r="942" ht="14.25" customHeight="1" s="37">
      <c r="E942" s="11" t="n"/>
      <c r="F942" s="11" t="n"/>
    </row>
    <row r="943" ht="14.25" customHeight="1" s="37">
      <c r="E943" s="11" t="n"/>
      <c r="F943" s="11" t="n"/>
    </row>
    <row r="944" ht="14.25" customHeight="1" s="37">
      <c r="E944" s="11" t="n"/>
      <c r="F944" s="11" t="n"/>
    </row>
    <row r="945" ht="14.25" customHeight="1" s="37">
      <c r="E945" s="11" t="n"/>
      <c r="F945" s="11" t="n"/>
    </row>
    <row r="946" ht="14.25" customHeight="1" s="37">
      <c r="E946" s="11" t="n"/>
      <c r="F946" s="11" t="n"/>
    </row>
    <row r="947" ht="14.25" customHeight="1" s="37">
      <c r="E947" s="11" t="n"/>
      <c r="F947" s="11" t="n"/>
    </row>
    <row r="948" ht="14.25" customHeight="1" s="37">
      <c r="E948" s="11" t="n"/>
      <c r="F948" s="11" t="n"/>
    </row>
    <row r="949" ht="14.25" customHeight="1" s="37">
      <c r="E949" s="11" t="n"/>
      <c r="F949" s="11" t="n"/>
    </row>
    <row r="950" ht="14.25" customHeight="1" s="37">
      <c r="E950" s="11" t="n"/>
      <c r="F950" s="11" t="n"/>
    </row>
    <row r="951" ht="14.25" customHeight="1" s="37">
      <c r="E951" s="11" t="n"/>
      <c r="F951" s="11" t="n"/>
    </row>
    <row r="952" ht="14.25" customHeight="1" s="37">
      <c r="E952" s="11" t="n"/>
      <c r="F952" s="11" t="n"/>
    </row>
    <row r="953" ht="14.25" customHeight="1" s="37">
      <c r="E953" s="11" t="n"/>
      <c r="F953" s="11" t="n"/>
    </row>
    <row r="954" ht="14.25" customHeight="1" s="37">
      <c r="E954" s="11" t="n"/>
      <c r="F954" s="11" t="n"/>
    </row>
    <row r="955" ht="14.25" customHeight="1" s="37">
      <c r="E955" s="11" t="n"/>
      <c r="F955" s="11" t="n"/>
    </row>
    <row r="956" ht="14.25" customHeight="1" s="37">
      <c r="E956" s="11" t="n"/>
      <c r="F956" s="11" t="n"/>
    </row>
    <row r="957" ht="14.25" customHeight="1" s="37">
      <c r="E957" s="11" t="n"/>
      <c r="F957" s="11" t="n"/>
    </row>
    <row r="958" ht="14.25" customHeight="1" s="37">
      <c r="E958" s="11" t="n"/>
      <c r="F958" s="11" t="n"/>
    </row>
    <row r="959" ht="14.25" customHeight="1" s="37">
      <c r="E959" s="11" t="n"/>
      <c r="F959" s="11" t="n"/>
    </row>
    <row r="960" ht="14.25" customHeight="1" s="37">
      <c r="E960" s="11" t="n"/>
      <c r="F960" s="11" t="n"/>
    </row>
    <row r="961" ht="14.25" customHeight="1" s="37">
      <c r="E961" s="11" t="n"/>
      <c r="F961" s="11" t="n"/>
    </row>
    <row r="962" ht="14.25" customHeight="1" s="37">
      <c r="E962" s="11" t="n"/>
      <c r="F962" s="11" t="n"/>
    </row>
    <row r="963" ht="14.25" customHeight="1" s="37">
      <c r="E963" s="11" t="n"/>
      <c r="F963" s="11" t="n"/>
    </row>
    <row r="964" ht="14.25" customHeight="1" s="37">
      <c r="E964" s="11" t="n"/>
      <c r="F964" s="11" t="n"/>
    </row>
    <row r="965" ht="14.25" customHeight="1" s="37">
      <c r="E965" s="11" t="n"/>
      <c r="F965" s="11" t="n"/>
    </row>
    <row r="966" ht="14.25" customHeight="1" s="37">
      <c r="E966" s="11" t="n"/>
      <c r="F966" s="11" t="n"/>
    </row>
    <row r="967" ht="14.25" customHeight="1" s="37">
      <c r="E967" s="11" t="n"/>
      <c r="F967" s="11" t="n"/>
    </row>
    <row r="968" ht="14.25" customHeight="1" s="37">
      <c r="E968" s="11" t="n"/>
      <c r="F968" s="11" t="n"/>
    </row>
    <row r="969" ht="14.25" customHeight="1" s="37">
      <c r="E969" s="11" t="n"/>
      <c r="F969" s="11" t="n"/>
    </row>
    <row r="970" ht="14.25" customHeight="1" s="37">
      <c r="E970" s="11" t="n"/>
      <c r="F970" s="11" t="n"/>
    </row>
    <row r="971" ht="14.25" customHeight="1" s="37">
      <c r="E971" s="11" t="n"/>
      <c r="F971" s="11" t="n"/>
    </row>
    <row r="972" ht="14.25" customHeight="1" s="37">
      <c r="E972" s="11" t="n"/>
      <c r="F972" s="11" t="n"/>
    </row>
    <row r="973" ht="14.25" customHeight="1" s="37">
      <c r="E973" s="11" t="n"/>
      <c r="F973" s="11" t="n"/>
    </row>
    <row r="974" ht="14.25" customHeight="1" s="37">
      <c r="E974" s="11" t="n"/>
      <c r="F974" s="11" t="n"/>
    </row>
    <row r="975" ht="14.25" customHeight="1" s="37">
      <c r="E975" s="11" t="n"/>
      <c r="F975" s="11" t="n"/>
    </row>
    <row r="976" ht="14.25" customHeight="1" s="37">
      <c r="E976" s="11" t="n"/>
      <c r="F976" s="11" t="n"/>
    </row>
    <row r="977" ht="14.25" customHeight="1" s="37">
      <c r="E977" s="11" t="n"/>
      <c r="F977" s="11" t="n"/>
    </row>
    <row r="978" ht="14.25" customHeight="1" s="37">
      <c r="E978" s="11" t="n"/>
      <c r="F978" s="11" t="n"/>
    </row>
    <row r="979" ht="14.25" customHeight="1" s="37">
      <c r="E979" s="11" t="n"/>
      <c r="F979" s="11" t="n"/>
    </row>
    <row r="980" ht="14.25" customHeight="1" s="37">
      <c r="E980" s="11" t="n"/>
      <c r="F980" s="11" t="n"/>
    </row>
    <row r="981" ht="14.25" customHeight="1" s="37">
      <c r="E981" s="11" t="n"/>
      <c r="F981" s="11" t="n"/>
    </row>
    <row r="982" ht="14.25" customHeight="1" s="37">
      <c r="E982" s="11" t="n"/>
      <c r="F982" s="11" t="n"/>
    </row>
    <row r="983" ht="14.25" customHeight="1" s="37">
      <c r="E983" s="11" t="n"/>
      <c r="F983" s="11" t="n"/>
    </row>
    <row r="984" ht="14.25" customHeight="1" s="37">
      <c r="E984" s="11" t="n"/>
      <c r="F984" s="11" t="n"/>
    </row>
    <row r="985" ht="14.25" customHeight="1" s="37">
      <c r="E985" s="11" t="n"/>
      <c r="F985" s="11" t="n"/>
    </row>
    <row r="986" ht="14.25" customHeight="1" s="37">
      <c r="E986" s="11" t="n"/>
      <c r="F986" s="11" t="n"/>
    </row>
    <row r="987" ht="14.25" customHeight="1" s="37">
      <c r="E987" s="11" t="n"/>
      <c r="F987" s="11" t="n"/>
    </row>
    <row r="988" ht="14.25" customHeight="1" s="37">
      <c r="E988" s="11" t="n"/>
      <c r="F988" s="11" t="n"/>
    </row>
    <row r="989" ht="14.25" customHeight="1" s="37">
      <c r="E989" s="11" t="n"/>
      <c r="F989" s="11" t="n"/>
    </row>
    <row r="990" ht="14.25" customHeight="1" s="37">
      <c r="E990" s="11" t="n"/>
      <c r="F990" s="11" t="n"/>
    </row>
    <row r="991" ht="14.25" customHeight="1" s="37">
      <c r="E991" s="11" t="n"/>
      <c r="F991" s="11" t="n"/>
    </row>
    <row r="992" ht="14.25" customHeight="1" s="37">
      <c r="E992" s="11" t="n"/>
      <c r="F992" s="11" t="n"/>
    </row>
    <row r="993" ht="14.25" customHeight="1" s="37">
      <c r="E993" s="11" t="n"/>
      <c r="F993" s="11" t="n"/>
    </row>
    <row r="994" ht="14.25" customHeight="1" s="37">
      <c r="E994" s="11" t="n"/>
      <c r="F994" s="11" t="n"/>
    </row>
    <row r="995" ht="14.25" customHeight="1" s="37">
      <c r="E995" s="11" t="n"/>
      <c r="F995" s="11" t="n"/>
    </row>
    <row r="996" ht="14.25" customHeight="1" s="37">
      <c r="E996" s="11" t="n"/>
      <c r="F996" s="11" t="n"/>
    </row>
    <row r="997" ht="14.25" customHeight="1" s="37">
      <c r="E997" s="11" t="n"/>
      <c r="F997" s="11" t="n"/>
    </row>
    <row r="998" ht="14.25" customHeight="1" s="37">
      <c r="E998" s="11" t="n"/>
      <c r="F998" s="11" t="n"/>
    </row>
    <row r="999" ht="14.25" customHeight="1" s="37">
      <c r="E999" s="11" t="n"/>
      <c r="F999" s="11" t="n"/>
    </row>
    <row r="1000" ht="14.25" customHeight="1" s="37">
      <c r="E1000" s="11" t="n"/>
      <c r="F1000" s="11" t="n"/>
    </row>
    <row r="1001" ht="14.25" customHeight="1" s="37">
      <c r="E1001" s="11" t="n"/>
      <c r="F1001" s="11" t="n"/>
    </row>
  </sheetData>
  <autoFilter ref="$A$1:$H$1001"/>
  <dataValidations count="2">
    <dataValidation sqref="E2:E1001" showDropDown="0" showInputMessage="0" showErrorMessage="0" allowBlank="1" type="list">
      <formula1>LIST!$H$2:$H$5</formula1>
    </dataValidation>
    <dataValidation sqref="F2:F1001" showDropDown="0" showInputMessage="0" showErrorMessage="0" allowBlank="1" type="list">
      <formula1>LIST!$I$2:$I$3</formula1>
    </dataValidation>
  </dataValidation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S105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" customWidth="1" style="37" min="1" max="1"/>
    <col width="8" customWidth="1" style="37" min="2" max="3"/>
    <col width="11" customWidth="1" style="37" min="4" max="4"/>
    <col width="13" customWidth="1" style="37" min="5" max="7"/>
    <col width="10" customWidth="1" style="37" min="8" max="8"/>
    <col width="13" customWidth="1" style="37" min="9" max="10"/>
    <col width="11" customWidth="1" style="37" min="11" max="11"/>
    <col width="12" customWidth="1" style="37" min="12" max="12"/>
    <col width="10" customWidth="1" style="37" min="13" max="13"/>
    <col width="13" customWidth="1" style="37" min="14" max="14"/>
    <col width="12" customWidth="1" style="37" min="15" max="16"/>
    <col width="10" customWidth="1" style="37" min="17" max="17"/>
    <col width="14" customWidth="1" style="37" min="18" max="19"/>
    <col width="9" customWidth="1" style="37" min="20" max="26"/>
  </cols>
  <sheetData>
    <row r="1" ht="14.25" customHeight="1" s="37">
      <c r="A1" s="46" t="inlineStr">
        <is>
          <t>REKAP STATISTIK LINGKUNGAN — PAROKI ST. KLEMENT I SEPINGGAN BALIKPAPAN 2026</t>
        </is>
      </c>
    </row>
    <row r="2" ht="14.25" customHeight="1" s="37">
      <c r="A2" s="15" t="inlineStr">
        <is>
          <t>Ketik nama lingkungan di kolom A. Kolom angka terhitung otomatis dari database.</t>
        </is>
      </c>
    </row>
    <row r="3" ht="14.25" customHeight="1" s="37">
      <c r="A3" s="16" t="inlineStr">
        <is>
          <t>*Kolom 1.1/1.2 mengikuti kategori pada formulir sumber: mutasi antar-paroki dalam keuskupan vs keuskupan lain.</t>
        </is>
      </c>
    </row>
    <row r="4" ht="49.5" customHeight="1" s="37">
      <c r="A4" s="17" t="inlineStr">
        <is>
          <t>Nama Lingkungan</t>
        </is>
      </c>
      <c r="B4" s="17" t="inlineStr">
        <is>
          <t>KK</t>
        </is>
      </c>
      <c r="C4" s="17" t="inlineStr">
        <is>
          <t>Jiwa</t>
        </is>
      </c>
      <c r="D4" s="17" t="inlineStr">
        <is>
          <t>Baptis 2026</t>
        </is>
      </c>
      <c r="E4" s="17" t="inlineStr">
        <is>
          <t>Diterima dari Kristen Lain</t>
        </is>
      </c>
      <c r="F4" s="17" t="inlineStr">
        <is>
          <t>Pindah Masuk dari Paroki Lain</t>
        </is>
      </c>
      <c r="G4" s="17" t="inlineStr">
        <is>
          <t>Pindah Masuk dari Keuskupan Lain</t>
        </is>
      </c>
      <c r="H4" s="17" t="inlineStr">
        <is>
          <t>Meninggal</t>
        </is>
      </c>
      <c r="I4" s="17" t="inlineStr">
        <is>
          <t>Pindah Keluar ke Paroki Lain</t>
        </is>
      </c>
      <c r="J4" s="17" t="inlineStr">
        <is>
          <t>Pindah Keluar ke Keuskupan Lain</t>
        </is>
      </c>
      <c r="K4" s="17" t="inlineStr">
        <is>
          <t>Pindah Agama</t>
        </is>
      </c>
      <c r="L4" s="17" t="inlineStr">
        <is>
          <t>Saldo Perubahan</t>
        </is>
      </c>
      <c r="M4" s="17" t="inlineStr">
        <is>
          <t>Komuni I</t>
        </is>
      </c>
      <c r="N4" s="17" t="inlineStr">
        <is>
          <t>Perkawinan Gerejani</t>
        </is>
      </c>
      <c r="O4" s="17" t="inlineStr">
        <is>
          <t>Pembubaran</t>
        </is>
      </c>
      <c r="P4" s="17" t="inlineStr">
        <is>
          <t>Perminyakan Suci</t>
        </is>
      </c>
      <c r="Q4" s="17" t="inlineStr">
        <is>
          <t>Kematian</t>
        </is>
      </c>
      <c r="R4" s="17" t="inlineStr">
        <is>
          <t>Mulai Seminari/Biara</t>
        </is>
      </c>
      <c r="S4" s="17" t="inlineStr">
        <is>
          <t>Sedang Belajar Seminari</t>
        </is>
      </c>
    </row>
    <row r="5" ht="14.25" customHeight="1" s="37">
      <c r="A5" s="18" t="inlineStr">
        <is>
          <t>St. Maria Immacula</t>
        </is>
      </c>
      <c r="B5" s="19">
        <f>IF($A5="","",COUNTIF('DATA KK'!$E$2:$E$501,$A5))</f>
        <v/>
      </c>
      <c r="C5" s="19">
        <f>IF($A5="","",COUNTIF('DATA UMAT'!$H$2:$H$2001,$A5))</f>
        <v/>
      </c>
      <c r="D5" s="19">
        <f>IF($A5="","",COUNTIFS(BAPTIS!$C$2:$C$1001,$A5,BAPTIS!$F$2:$F$1001,"&gt;="&amp;DATE(2026,1,1),BAPTIS!$F$2:$F$1001,"&lt;="&amp;DATE(2026,12,31)))</f>
        <v/>
      </c>
      <c r="E5" s="19">
        <f>IF($A5="","",COUNTIFS('DITERIMA MASUK'!$C$2:$C$1001,$A5,'DITERIMA MASUK'!$D$2:$D$1001,"&gt;="&amp;DATE(2026,1,1),'DITERIMA MASUK'!$D$2:$D$1001,"&lt;="&amp;DATE(2026,12,31)))</f>
        <v/>
      </c>
      <c r="F5" s="19">
        <f>IF($A5="","",COUNTIFS(MUTASI!$C$2:$C$1001,$A5,MUTASI!$D$2:$D$1001,"Masuk",MUTASI!$F$2:$F$1001,"Paroki lain dalam keuskupan",MUTASI!$E$2:$E$1001,"&gt;="&amp;DATE(2026,1,1),MUTASI!$E$2:$E$1001,"&lt;="&amp;DATE(2026,12,31)))</f>
        <v/>
      </c>
      <c r="G5" s="19">
        <f>IF($A5="","",COUNTIFS(MUTASI!$C$2:$C$1001,$A5,MUTASI!$D$2:$D$1001,"Masuk",MUTASI!$F$2:$F$1001,"Keuskupan lain",MUTASI!$E$2:$E$1001,"&gt;="&amp;DATE(2026,1,1),MUTASI!$E$2:$E$1001,"&lt;="&amp;DATE(2026,12,31)))</f>
        <v/>
      </c>
      <c r="H5" s="19">
        <f>IF($A5="","",COUNTIFS(KEMATIAN!$C$2:$C$1001,$A5,KEMATIAN!$F$2:$F$1001,"&gt;="&amp;DATE(2026,1,1),KEMATIAN!$F$2:$F$1001,"&lt;="&amp;DATE(2026,12,31)))</f>
        <v/>
      </c>
      <c r="I5" s="19">
        <f>IF($A5="","",COUNTIFS(MUTASI!$C$2:$C$1001,$A5,MUTASI!$D$2:$D$1001,"Keluar",MUTASI!$F$2:$F$1001,"Paroki lain dalam keuskupan",MUTASI!$E$2:$E$1001,"&gt;="&amp;DATE(2026,1,1),MUTASI!$E$2:$E$1001,"&lt;="&amp;DATE(2026,12,31)))</f>
        <v/>
      </c>
      <c r="J5" s="19">
        <f>IF($A5="","",COUNTIFS(MUTASI!$C$2:$C$1001,$A5,MUTASI!$D$2:$D$1001,"Keluar",MUTASI!$F$2:$F$1001,"Keuskupan lain",MUTASI!$E$2:$E$1001,"&gt;="&amp;DATE(2026,1,1),MUTASI!$E$2:$E$1001,"&lt;="&amp;DATE(2026,12,31)))</f>
        <v/>
      </c>
      <c r="K5" s="19">
        <f>IF($A5="","",COUNTIFS('PINDAH AGAMA'!$C$2:$C$1001,$A5,'PINDAH AGAMA'!$D$2:$D$1001,"&gt;="&amp;DATE(2026,1,1),'PINDAH AGAMA'!$D$2:$D$1001,"&lt;="&amp;DATE(2026,12,31)))</f>
        <v/>
      </c>
      <c r="L5" s="19">
        <f>IF($A5="","",D5+E5+F5+G5-H5-I5-J5-K5)</f>
        <v/>
      </c>
      <c r="M5" s="19">
        <f>IF($A5="","",COUNTIFS('KOMUNI PERTAMA'!$C$2:$C$1001,$A5,'KOMUNI PERTAMA'!$E$2:$E$1001,"&gt;="&amp;DATE(2026,1,1),'KOMUNI PERTAMA'!$E$2:$E$1001,"&lt;="&amp;DATE(2026,12,31)))</f>
        <v/>
      </c>
      <c r="N5" s="19">
        <f>IF($A5="","",COUNTIFS('PERKAWINAN GEREJANI'!$C$2:$C$1001,$A5,'PERKAWINAN GEREJANI'!$D$2:$D$1001,"&gt;="&amp;DATE(2026,1,1),'PERKAWINAN GEREJANI'!$D$2:$D$1001,"&lt;="&amp;DATE(2026,12,31)))</f>
        <v/>
      </c>
      <c r="O5" s="19">
        <f>IF($A5="","",COUNTIFS(PEMBUBARAN!$C$2:$C$1001,$A5,PEMBUBARAN!$D$2:$D$1001,"&gt;="&amp;DATE(2026,1,1),PEMBUBARAN!$D$2:$D$1001,"&lt;="&amp;DATE(2026,12,31)))</f>
        <v/>
      </c>
      <c r="P5" s="19">
        <f>IF($A5="","",COUNTIFS('PERMINYAKAN SUCI'!$C$2:$C$1001,$A5,'PERMINYAKAN SUCI'!$E$2:$E$1001,"&gt;="&amp;DATE(2026,1,1),'PERMINYAKAN SUCI'!$E$2:$E$1001,"&lt;="&amp;DATE(2026,12,31)))</f>
        <v/>
      </c>
      <c r="Q5" s="19">
        <f>IF($A5="","",H5)</f>
        <v/>
      </c>
      <c r="R5" s="19">
        <f>IF($A5="","",COUNTIFS('SEMINARI BIARA'!$C$2:$C$1001,$A5,'SEMINARI BIARA'!$F$2:$F$1001,"Mulai masuk 2026",'SEMINARI BIARA'!$G$2:$G$1001,"&gt;="&amp;DATE(2026,1,1),'SEMINARI BIARA'!$G$2:$G$1001,"&lt;="&amp;DATE(2026,12,31)))</f>
        <v/>
      </c>
      <c r="S5" s="19">
        <f>IF($A5="","",COUNTIFS('SEMINARI BIARA'!$C$2:$C$1001,$A5,'SEMINARI BIARA'!$F$2:$F$1001,"Sedang belajar 2026"))</f>
        <v/>
      </c>
    </row>
    <row r="6" ht="14.25" customHeight="1" s="37">
      <c r="A6" s="18" t="n"/>
      <c r="B6" s="19">
        <f>IF($A6="","",COUNTIF('DATA KK'!$E$2:$E$501,$A6))</f>
        <v/>
      </c>
      <c r="C6" s="19">
        <f>IF($A6="","",COUNTIF('DATA UMAT'!$H$2:$H$2001,$A6))</f>
        <v/>
      </c>
      <c r="D6" s="19">
        <f>IF($A6="","",COUNTIFS(BAPTIS!$C$2:$C$1001,$A6,BAPTIS!$F$2:$F$1001,"&gt;="&amp;DATE(2026,1,1),BAPTIS!$F$2:$F$1001,"&lt;="&amp;DATE(2026,12,31)))</f>
        <v/>
      </c>
      <c r="E6" s="19">
        <f>IF($A6="","",COUNTIFS('DITERIMA MASUK'!$C$2:$C$1001,$A6,'DITERIMA MASUK'!$D$2:$D$1001,"&gt;="&amp;DATE(2026,1,1),'DITERIMA MASUK'!$D$2:$D$1001,"&lt;="&amp;DATE(2026,12,31)))</f>
        <v/>
      </c>
      <c r="F6" s="19">
        <f>IF($A6="","",COUNTIFS(MUTASI!$C$2:$C$1001,$A6,MUTASI!$D$2:$D$1001,"Masuk",MUTASI!$F$2:$F$1001,"Paroki lain dalam keuskupan",MUTASI!$E$2:$E$1001,"&gt;="&amp;DATE(2026,1,1),MUTASI!$E$2:$E$1001,"&lt;="&amp;DATE(2026,12,31)))</f>
        <v/>
      </c>
      <c r="G6" s="19">
        <f>IF($A6="","",COUNTIFS(MUTASI!$C$2:$C$1001,$A6,MUTASI!$D$2:$D$1001,"Masuk",MUTASI!$F$2:$F$1001,"Keuskupan lain",MUTASI!$E$2:$E$1001,"&gt;="&amp;DATE(2026,1,1),MUTASI!$E$2:$E$1001,"&lt;="&amp;DATE(2026,12,31)))</f>
        <v/>
      </c>
      <c r="H6" s="19">
        <f>IF($A6="","",COUNTIFS(KEMATIAN!$C$2:$C$1001,$A6,KEMATIAN!$F$2:$F$1001,"&gt;="&amp;DATE(2026,1,1),KEMATIAN!$F$2:$F$1001,"&lt;="&amp;DATE(2026,12,31)))</f>
        <v/>
      </c>
      <c r="I6" s="19">
        <f>IF($A6="","",COUNTIFS(MUTASI!$C$2:$C$1001,$A6,MUTASI!$D$2:$D$1001,"Keluar",MUTASI!$F$2:$F$1001,"Paroki lain dalam keuskupan",MUTASI!$E$2:$E$1001,"&gt;="&amp;DATE(2026,1,1),MUTASI!$E$2:$E$1001,"&lt;="&amp;DATE(2026,12,31)))</f>
        <v/>
      </c>
      <c r="J6" s="19">
        <f>IF($A6="","",COUNTIFS(MUTASI!$C$2:$C$1001,$A6,MUTASI!$D$2:$D$1001,"Keluar",MUTASI!$F$2:$F$1001,"Keuskupan lain",MUTASI!$E$2:$E$1001,"&gt;="&amp;DATE(2026,1,1),MUTASI!$E$2:$E$1001,"&lt;="&amp;DATE(2026,12,31)))</f>
        <v/>
      </c>
      <c r="K6" s="19">
        <f>IF($A6="","",COUNTIFS('PINDAH AGAMA'!$C$2:$C$1001,$A6,'PINDAH AGAMA'!$D$2:$D$1001,"&gt;="&amp;DATE(2026,1,1),'PINDAH AGAMA'!$D$2:$D$1001,"&lt;="&amp;DATE(2026,12,31)))</f>
        <v/>
      </c>
      <c r="L6" s="19">
        <f>IF($A6="","",D6+E6+F6+G6-H6-I6-J6-K6)</f>
        <v/>
      </c>
      <c r="M6" s="19">
        <f>IF($A6="","",COUNTIFS('KOMUNI PERTAMA'!$C$2:$C$1001,$A6,'KOMUNI PERTAMA'!$E$2:$E$1001,"&gt;="&amp;DATE(2026,1,1),'KOMUNI PERTAMA'!$E$2:$E$1001,"&lt;="&amp;DATE(2026,12,31)))</f>
        <v/>
      </c>
      <c r="N6" s="19">
        <f>IF($A6="","",COUNTIFS('PERKAWINAN GEREJANI'!$C$2:$C$1001,$A6,'PERKAWINAN GEREJANI'!$D$2:$D$1001,"&gt;="&amp;DATE(2026,1,1),'PERKAWINAN GEREJANI'!$D$2:$D$1001,"&lt;="&amp;DATE(2026,12,31)))</f>
        <v/>
      </c>
      <c r="O6" s="19">
        <f>IF($A6="","",COUNTIFS(PEMBUBARAN!$C$2:$C$1001,$A6,PEMBUBARAN!$D$2:$D$1001,"&gt;="&amp;DATE(2026,1,1),PEMBUBARAN!$D$2:$D$1001,"&lt;="&amp;DATE(2026,12,31)))</f>
        <v/>
      </c>
      <c r="P6" s="19">
        <f>IF($A6="","",COUNTIFS('PERMINYAKAN SUCI'!$C$2:$C$1001,$A6,'PERMINYAKAN SUCI'!$E$2:$E$1001,"&gt;="&amp;DATE(2026,1,1),'PERMINYAKAN SUCI'!$E$2:$E$1001,"&lt;="&amp;DATE(2026,12,31)))</f>
        <v/>
      </c>
      <c r="Q6" s="19">
        <f>IF($A6="","",H6)</f>
        <v/>
      </c>
      <c r="R6" s="19">
        <f>IF($A6="","",COUNTIFS('SEMINARI BIARA'!$C$2:$C$1001,$A6,'SEMINARI BIARA'!$F$2:$F$1001,"Mulai masuk 2026",'SEMINARI BIARA'!$G$2:$G$1001,"&gt;="&amp;DATE(2026,1,1),'SEMINARI BIARA'!$G$2:$G$1001,"&lt;="&amp;DATE(2026,12,31)))</f>
        <v/>
      </c>
      <c r="S6" s="19">
        <f>IF($A6="","",COUNTIFS('SEMINARI BIARA'!$C$2:$C$1001,$A6,'SEMINARI BIARA'!$F$2:$F$1001,"Sedang belajar 2026"))</f>
        <v/>
      </c>
    </row>
    <row r="7" ht="14.25" customHeight="1" s="37">
      <c r="A7" s="18" t="n"/>
      <c r="B7" s="19">
        <f>IF($A7="","",COUNTIF('DATA KK'!$E$2:$E$501,$A7))</f>
        <v/>
      </c>
      <c r="C7" s="19">
        <f>IF($A7="","",COUNTIF('DATA UMAT'!$H$2:$H$2001,$A7))</f>
        <v/>
      </c>
      <c r="D7" s="19">
        <f>IF($A7="","",COUNTIFS(BAPTIS!$C$2:$C$1001,$A7,BAPTIS!$F$2:$F$1001,"&gt;="&amp;DATE(2026,1,1),BAPTIS!$F$2:$F$1001,"&lt;="&amp;DATE(2026,12,31)))</f>
        <v/>
      </c>
      <c r="E7" s="19">
        <f>IF($A7="","",COUNTIFS('DITERIMA MASUK'!$C$2:$C$1001,$A7,'DITERIMA MASUK'!$D$2:$D$1001,"&gt;="&amp;DATE(2026,1,1),'DITERIMA MASUK'!$D$2:$D$1001,"&lt;="&amp;DATE(2026,12,31)))</f>
        <v/>
      </c>
      <c r="F7" s="19">
        <f>IF($A7="","",COUNTIFS(MUTASI!$C$2:$C$1001,$A7,MUTASI!$D$2:$D$1001,"Masuk",MUTASI!$F$2:$F$1001,"Paroki lain dalam keuskupan",MUTASI!$E$2:$E$1001,"&gt;="&amp;DATE(2026,1,1),MUTASI!$E$2:$E$1001,"&lt;="&amp;DATE(2026,12,31)))</f>
        <v/>
      </c>
      <c r="G7" s="19">
        <f>IF($A7="","",COUNTIFS(MUTASI!$C$2:$C$1001,$A7,MUTASI!$D$2:$D$1001,"Masuk",MUTASI!$F$2:$F$1001,"Keuskupan lain",MUTASI!$E$2:$E$1001,"&gt;="&amp;DATE(2026,1,1),MUTASI!$E$2:$E$1001,"&lt;="&amp;DATE(2026,12,31)))</f>
        <v/>
      </c>
      <c r="H7" s="19">
        <f>IF($A7="","",COUNTIFS(KEMATIAN!$C$2:$C$1001,$A7,KEMATIAN!$F$2:$F$1001,"&gt;="&amp;DATE(2026,1,1),KEMATIAN!$F$2:$F$1001,"&lt;="&amp;DATE(2026,12,31)))</f>
        <v/>
      </c>
      <c r="I7" s="19">
        <f>IF($A7="","",COUNTIFS(MUTASI!$C$2:$C$1001,$A7,MUTASI!$D$2:$D$1001,"Keluar",MUTASI!$F$2:$F$1001,"Paroki lain dalam keuskupan",MUTASI!$E$2:$E$1001,"&gt;="&amp;DATE(2026,1,1),MUTASI!$E$2:$E$1001,"&lt;="&amp;DATE(2026,12,31)))</f>
        <v/>
      </c>
      <c r="J7" s="19">
        <f>IF($A7="","",COUNTIFS(MUTASI!$C$2:$C$1001,$A7,MUTASI!$D$2:$D$1001,"Keluar",MUTASI!$F$2:$F$1001,"Keuskupan lain",MUTASI!$E$2:$E$1001,"&gt;="&amp;DATE(2026,1,1),MUTASI!$E$2:$E$1001,"&lt;="&amp;DATE(2026,12,31)))</f>
        <v/>
      </c>
      <c r="K7" s="19">
        <f>IF($A7="","",COUNTIFS('PINDAH AGAMA'!$C$2:$C$1001,$A7,'PINDAH AGAMA'!$D$2:$D$1001,"&gt;="&amp;DATE(2026,1,1),'PINDAH AGAMA'!$D$2:$D$1001,"&lt;="&amp;DATE(2026,12,31)))</f>
        <v/>
      </c>
      <c r="L7" s="19">
        <f>IF($A7="","",D7+E7+F7+G7-H7-I7-J7-K7)</f>
        <v/>
      </c>
      <c r="M7" s="19">
        <f>IF($A7="","",COUNTIFS('KOMUNI PERTAMA'!$C$2:$C$1001,$A7,'KOMUNI PERTAMA'!$E$2:$E$1001,"&gt;="&amp;DATE(2026,1,1),'KOMUNI PERTAMA'!$E$2:$E$1001,"&lt;="&amp;DATE(2026,12,31)))</f>
        <v/>
      </c>
      <c r="N7" s="19">
        <f>IF($A7="","",COUNTIFS('PERKAWINAN GEREJANI'!$C$2:$C$1001,$A7,'PERKAWINAN GEREJANI'!$D$2:$D$1001,"&gt;="&amp;DATE(2026,1,1),'PERKAWINAN GEREJANI'!$D$2:$D$1001,"&lt;="&amp;DATE(2026,12,31)))</f>
        <v/>
      </c>
      <c r="O7" s="19">
        <f>IF($A7="","",COUNTIFS(PEMBUBARAN!$C$2:$C$1001,$A7,PEMBUBARAN!$D$2:$D$1001,"&gt;="&amp;DATE(2026,1,1),PEMBUBARAN!$D$2:$D$1001,"&lt;="&amp;DATE(2026,12,31)))</f>
        <v/>
      </c>
      <c r="P7" s="19">
        <f>IF($A7="","",COUNTIFS('PERMINYAKAN SUCI'!$C$2:$C$1001,$A7,'PERMINYAKAN SUCI'!$E$2:$E$1001,"&gt;="&amp;DATE(2026,1,1),'PERMINYAKAN SUCI'!$E$2:$E$1001,"&lt;="&amp;DATE(2026,12,31)))</f>
        <v/>
      </c>
      <c r="Q7" s="19">
        <f>IF($A7="","",H7)</f>
        <v/>
      </c>
      <c r="R7" s="19">
        <f>IF($A7="","",COUNTIFS('SEMINARI BIARA'!$C$2:$C$1001,$A7,'SEMINARI BIARA'!$F$2:$F$1001,"Mulai masuk 2026",'SEMINARI BIARA'!$G$2:$G$1001,"&gt;="&amp;DATE(2026,1,1),'SEMINARI BIARA'!$G$2:$G$1001,"&lt;="&amp;DATE(2026,12,31)))</f>
        <v/>
      </c>
      <c r="S7" s="19">
        <f>IF($A7="","",COUNTIFS('SEMINARI BIARA'!$C$2:$C$1001,$A7,'SEMINARI BIARA'!$F$2:$F$1001,"Sedang belajar 2026"))</f>
        <v/>
      </c>
    </row>
    <row r="8" ht="14.25" customHeight="1" s="37">
      <c r="A8" s="18" t="n"/>
      <c r="B8" s="19">
        <f>IF($A8="","",COUNTIF('DATA KK'!$E$2:$E$501,$A8))</f>
        <v/>
      </c>
      <c r="C8" s="19">
        <f>IF($A8="","",COUNTIF('DATA UMAT'!$H$2:$H$2001,$A8))</f>
        <v/>
      </c>
      <c r="D8" s="19">
        <f>IF($A8="","",COUNTIFS(BAPTIS!$C$2:$C$1001,$A8,BAPTIS!$F$2:$F$1001,"&gt;="&amp;DATE(2026,1,1),BAPTIS!$F$2:$F$1001,"&lt;="&amp;DATE(2026,12,31)))</f>
        <v/>
      </c>
      <c r="E8" s="19">
        <f>IF($A8="","",COUNTIFS('DITERIMA MASUK'!$C$2:$C$1001,$A8,'DITERIMA MASUK'!$D$2:$D$1001,"&gt;="&amp;DATE(2026,1,1),'DITERIMA MASUK'!$D$2:$D$1001,"&lt;="&amp;DATE(2026,12,31)))</f>
        <v/>
      </c>
      <c r="F8" s="19">
        <f>IF($A8="","",COUNTIFS(MUTASI!$C$2:$C$1001,$A8,MUTASI!$D$2:$D$1001,"Masuk",MUTASI!$F$2:$F$1001,"Paroki lain dalam keuskupan",MUTASI!$E$2:$E$1001,"&gt;="&amp;DATE(2026,1,1),MUTASI!$E$2:$E$1001,"&lt;="&amp;DATE(2026,12,31)))</f>
        <v/>
      </c>
      <c r="G8" s="19">
        <f>IF($A8="","",COUNTIFS(MUTASI!$C$2:$C$1001,$A8,MUTASI!$D$2:$D$1001,"Masuk",MUTASI!$F$2:$F$1001,"Keuskupan lain",MUTASI!$E$2:$E$1001,"&gt;="&amp;DATE(2026,1,1),MUTASI!$E$2:$E$1001,"&lt;="&amp;DATE(2026,12,31)))</f>
        <v/>
      </c>
      <c r="H8" s="19">
        <f>IF($A8="","",COUNTIFS(KEMATIAN!$C$2:$C$1001,$A8,KEMATIAN!$F$2:$F$1001,"&gt;="&amp;DATE(2026,1,1),KEMATIAN!$F$2:$F$1001,"&lt;="&amp;DATE(2026,12,31)))</f>
        <v/>
      </c>
      <c r="I8" s="19">
        <f>IF($A8="","",COUNTIFS(MUTASI!$C$2:$C$1001,$A8,MUTASI!$D$2:$D$1001,"Keluar",MUTASI!$F$2:$F$1001,"Paroki lain dalam keuskupan",MUTASI!$E$2:$E$1001,"&gt;="&amp;DATE(2026,1,1),MUTASI!$E$2:$E$1001,"&lt;="&amp;DATE(2026,12,31)))</f>
        <v/>
      </c>
      <c r="J8" s="19">
        <f>IF($A8="","",COUNTIFS(MUTASI!$C$2:$C$1001,$A8,MUTASI!$D$2:$D$1001,"Keluar",MUTASI!$F$2:$F$1001,"Keuskupan lain",MUTASI!$E$2:$E$1001,"&gt;="&amp;DATE(2026,1,1),MUTASI!$E$2:$E$1001,"&lt;="&amp;DATE(2026,12,31)))</f>
        <v/>
      </c>
      <c r="K8" s="19">
        <f>IF($A8="","",COUNTIFS('PINDAH AGAMA'!$C$2:$C$1001,$A8,'PINDAH AGAMA'!$D$2:$D$1001,"&gt;="&amp;DATE(2026,1,1),'PINDAH AGAMA'!$D$2:$D$1001,"&lt;="&amp;DATE(2026,12,31)))</f>
        <v/>
      </c>
      <c r="L8" s="19">
        <f>IF($A8="","",D8+E8+F8+G8-H8-I8-J8-K8)</f>
        <v/>
      </c>
      <c r="M8" s="19">
        <f>IF($A8="","",COUNTIFS('KOMUNI PERTAMA'!$C$2:$C$1001,$A8,'KOMUNI PERTAMA'!$E$2:$E$1001,"&gt;="&amp;DATE(2026,1,1),'KOMUNI PERTAMA'!$E$2:$E$1001,"&lt;="&amp;DATE(2026,12,31)))</f>
        <v/>
      </c>
      <c r="N8" s="19">
        <f>IF($A8="","",COUNTIFS('PERKAWINAN GEREJANI'!$C$2:$C$1001,$A8,'PERKAWINAN GEREJANI'!$D$2:$D$1001,"&gt;="&amp;DATE(2026,1,1),'PERKAWINAN GEREJANI'!$D$2:$D$1001,"&lt;="&amp;DATE(2026,12,31)))</f>
        <v/>
      </c>
      <c r="O8" s="19">
        <f>IF($A8="","",COUNTIFS(PEMBUBARAN!$C$2:$C$1001,$A8,PEMBUBARAN!$D$2:$D$1001,"&gt;="&amp;DATE(2026,1,1),PEMBUBARAN!$D$2:$D$1001,"&lt;="&amp;DATE(2026,12,31)))</f>
        <v/>
      </c>
      <c r="P8" s="19">
        <f>IF($A8="","",COUNTIFS('PERMINYAKAN SUCI'!$C$2:$C$1001,$A8,'PERMINYAKAN SUCI'!$E$2:$E$1001,"&gt;="&amp;DATE(2026,1,1),'PERMINYAKAN SUCI'!$E$2:$E$1001,"&lt;="&amp;DATE(2026,12,31)))</f>
        <v/>
      </c>
      <c r="Q8" s="19">
        <f>IF($A8="","",H8)</f>
        <v/>
      </c>
      <c r="R8" s="19">
        <f>IF($A8="","",COUNTIFS('SEMINARI BIARA'!$C$2:$C$1001,$A8,'SEMINARI BIARA'!$F$2:$F$1001,"Mulai masuk 2026",'SEMINARI BIARA'!$G$2:$G$1001,"&gt;="&amp;DATE(2026,1,1),'SEMINARI BIARA'!$G$2:$G$1001,"&lt;="&amp;DATE(2026,12,31)))</f>
        <v/>
      </c>
      <c r="S8" s="19">
        <f>IF($A8="","",COUNTIFS('SEMINARI BIARA'!$C$2:$C$1001,$A8,'SEMINARI BIARA'!$F$2:$F$1001,"Sedang belajar 2026"))</f>
        <v/>
      </c>
    </row>
    <row r="9" ht="14.25" customHeight="1" s="37">
      <c r="A9" s="18" t="n"/>
      <c r="B9" s="19">
        <f>IF($A9="","",COUNTIF('DATA KK'!$E$2:$E$501,$A9))</f>
        <v/>
      </c>
      <c r="C9" s="19">
        <f>IF($A9="","",COUNTIF('DATA UMAT'!$H$2:$H$2001,$A9))</f>
        <v/>
      </c>
      <c r="D9" s="19">
        <f>IF($A9="","",COUNTIFS(BAPTIS!$C$2:$C$1001,$A9,BAPTIS!$F$2:$F$1001,"&gt;="&amp;DATE(2026,1,1),BAPTIS!$F$2:$F$1001,"&lt;="&amp;DATE(2026,12,31)))</f>
        <v/>
      </c>
      <c r="E9" s="19">
        <f>IF($A9="","",COUNTIFS('DITERIMA MASUK'!$C$2:$C$1001,$A9,'DITERIMA MASUK'!$D$2:$D$1001,"&gt;="&amp;DATE(2026,1,1),'DITERIMA MASUK'!$D$2:$D$1001,"&lt;="&amp;DATE(2026,12,31)))</f>
        <v/>
      </c>
      <c r="F9" s="19">
        <f>IF($A9="","",COUNTIFS(MUTASI!$C$2:$C$1001,$A9,MUTASI!$D$2:$D$1001,"Masuk",MUTASI!$F$2:$F$1001,"Paroki lain dalam keuskupan",MUTASI!$E$2:$E$1001,"&gt;="&amp;DATE(2026,1,1),MUTASI!$E$2:$E$1001,"&lt;="&amp;DATE(2026,12,31)))</f>
        <v/>
      </c>
      <c r="G9" s="19">
        <f>IF($A9="","",COUNTIFS(MUTASI!$C$2:$C$1001,$A9,MUTASI!$D$2:$D$1001,"Masuk",MUTASI!$F$2:$F$1001,"Keuskupan lain",MUTASI!$E$2:$E$1001,"&gt;="&amp;DATE(2026,1,1),MUTASI!$E$2:$E$1001,"&lt;="&amp;DATE(2026,12,31)))</f>
        <v/>
      </c>
      <c r="H9" s="19">
        <f>IF($A9="","",COUNTIFS(KEMATIAN!$C$2:$C$1001,$A9,KEMATIAN!$F$2:$F$1001,"&gt;="&amp;DATE(2026,1,1),KEMATIAN!$F$2:$F$1001,"&lt;="&amp;DATE(2026,12,31)))</f>
        <v/>
      </c>
      <c r="I9" s="19">
        <f>IF($A9="","",COUNTIFS(MUTASI!$C$2:$C$1001,$A9,MUTASI!$D$2:$D$1001,"Keluar",MUTASI!$F$2:$F$1001,"Paroki lain dalam keuskupan",MUTASI!$E$2:$E$1001,"&gt;="&amp;DATE(2026,1,1),MUTASI!$E$2:$E$1001,"&lt;="&amp;DATE(2026,12,31)))</f>
        <v/>
      </c>
      <c r="J9" s="19">
        <f>IF($A9="","",COUNTIFS(MUTASI!$C$2:$C$1001,$A9,MUTASI!$D$2:$D$1001,"Keluar",MUTASI!$F$2:$F$1001,"Keuskupan lain",MUTASI!$E$2:$E$1001,"&gt;="&amp;DATE(2026,1,1),MUTASI!$E$2:$E$1001,"&lt;="&amp;DATE(2026,12,31)))</f>
        <v/>
      </c>
      <c r="K9" s="19">
        <f>IF($A9="","",COUNTIFS('PINDAH AGAMA'!$C$2:$C$1001,$A9,'PINDAH AGAMA'!$D$2:$D$1001,"&gt;="&amp;DATE(2026,1,1),'PINDAH AGAMA'!$D$2:$D$1001,"&lt;="&amp;DATE(2026,12,31)))</f>
        <v/>
      </c>
      <c r="L9" s="19">
        <f>IF($A9="","",D9+E9+F9+G9-H9-I9-J9-K9)</f>
        <v/>
      </c>
      <c r="M9" s="19">
        <f>IF($A9="","",COUNTIFS('KOMUNI PERTAMA'!$C$2:$C$1001,$A9,'KOMUNI PERTAMA'!$E$2:$E$1001,"&gt;="&amp;DATE(2026,1,1),'KOMUNI PERTAMA'!$E$2:$E$1001,"&lt;="&amp;DATE(2026,12,31)))</f>
        <v/>
      </c>
      <c r="N9" s="19">
        <f>IF($A9="","",COUNTIFS('PERKAWINAN GEREJANI'!$C$2:$C$1001,$A9,'PERKAWINAN GEREJANI'!$D$2:$D$1001,"&gt;="&amp;DATE(2026,1,1),'PERKAWINAN GEREJANI'!$D$2:$D$1001,"&lt;="&amp;DATE(2026,12,31)))</f>
        <v/>
      </c>
      <c r="O9" s="19">
        <f>IF($A9="","",COUNTIFS(PEMBUBARAN!$C$2:$C$1001,$A9,PEMBUBARAN!$D$2:$D$1001,"&gt;="&amp;DATE(2026,1,1),PEMBUBARAN!$D$2:$D$1001,"&lt;="&amp;DATE(2026,12,31)))</f>
        <v/>
      </c>
      <c r="P9" s="19">
        <f>IF($A9="","",COUNTIFS('PERMINYAKAN SUCI'!$C$2:$C$1001,$A9,'PERMINYAKAN SUCI'!$E$2:$E$1001,"&gt;="&amp;DATE(2026,1,1),'PERMINYAKAN SUCI'!$E$2:$E$1001,"&lt;="&amp;DATE(2026,12,31)))</f>
        <v/>
      </c>
      <c r="Q9" s="19">
        <f>IF($A9="","",H9)</f>
        <v/>
      </c>
      <c r="R9" s="19">
        <f>IF($A9="","",COUNTIFS('SEMINARI BIARA'!$C$2:$C$1001,$A9,'SEMINARI BIARA'!$F$2:$F$1001,"Mulai masuk 2026",'SEMINARI BIARA'!$G$2:$G$1001,"&gt;="&amp;DATE(2026,1,1),'SEMINARI BIARA'!$G$2:$G$1001,"&lt;="&amp;DATE(2026,12,31)))</f>
        <v/>
      </c>
      <c r="S9" s="19">
        <f>IF($A9="","",COUNTIFS('SEMINARI BIARA'!$C$2:$C$1001,$A9,'SEMINARI BIARA'!$F$2:$F$1001,"Sedang belajar 2026"))</f>
        <v/>
      </c>
    </row>
    <row r="10" ht="14.25" customHeight="1" s="37">
      <c r="A10" s="18" t="n"/>
      <c r="B10" s="19">
        <f>IF($A10="","",COUNTIF('DATA KK'!$E$2:$E$501,$A10))</f>
        <v/>
      </c>
      <c r="C10" s="19">
        <f>IF($A10="","",COUNTIF('DATA UMAT'!$H$2:$H$2001,$A10))</f>
        <v/>
      </c>
      <c r="D10" s="19">
        <f>IF($A10="","",COUNTIFS(BAPTIS!$C$2:$C$1001,$A10,BAPTIS!$F$2:$F$1001,"&gt;="&amp;DATE(2026,1,1),BAPTIS!$F$2:$F$1001,"&lt;="&amp;DATE(2026,12,31)))</f>
        <v/>
      </c>
      <c r="E10" s="19">
        <f>IF($A10="","",COUNTIFS('DITERIMA MASUK'!$C$2:$C$1001,$A10,'DITERIMA MASUK'!$D$2:$D$1001,"&gt;="&amp;DATE(2026,1,1),'DITERIMA MASUK'!$D$2:$D$1001,"&lt;="&amp;DATE(2026,12,31)))</f>
        <v/>
      </c>
      <c r="F10" s="19">
        <f>IF($A10="","",COUNTIFS(MUTASI!$C$2:$C$1001,$A10,MUTASI!$D$2:$D$1001,"Masuk",MUTASI!$F$2:$F$1001,"Paroki lain dalam keuskupan",MUTASI!$E$2:$E$1001,"&gt;="&amp;DATE(2026,1,1),MUTASI!$E$2:$E$1001,"&lt;="&amp;DATE(2026,12,31)))</f>
        <v/>
      </c>
      <c r="G10" s="19">
        <f>IF($A10="","",COUNTIFS(MUTASI!$C$2:$C$1001,$A10,MUTASI!$D$2:$D$1001,"Masuk",MUTASI!$F$2:$F$1001,"Keuskupan lain",MUTASI!$E$2:$E$1001,"&gt;="&amp;DATE(2026,1,1),MUTASI!$E$2:$E$1001,"&lt;="&amp;DATE(2026,12,31)))</f>
        <v/>
      </c>
      <c r="H10" s="19">
        <f>IF($A10="","",COUNTIFS(KEMATIAN!$C$2:$C$1001,$A10,KEMATIAN!$F$2:$F$1001,"&gt;="&amp;DATE(2026,1,1),KEMATIAN!$F$2:$F$1001,"&lt;="&amp;DATE(2026,12,31)))</f>
        <v/>
      </c>
      <c r="I10" s="19">
        <f>IF($A10="","",COUNTIFS(MUTASI!$C$2:$C$1001,$A10,MUTASI!$D$2:$D$1001,"Keluar",MUTASI!$F$2:$F$1001,"Paroki lain dalam keuskupan",MUTASI!$E$2:$E$1001,"&gt;="&amp;DATE(2026,1,1),MUTASI!$E$2:$E$1001,"&lt;="&amp;DATE(2026,12,31)))</f>
        <v/>
      </c>
      <c r="J10" s="19">
        <f>IF($A10="","",COUNTIFS(MUTASI!$C$2:$C$1001,$A10,MUTASI!$D$2:$D$1001,"Keluar",MUTASI!$F$2:$F$1001,"Keuskupan lain",MUTASI!$E$2:$E$1001,"&gt;="&amp;DATE(2026,1,1),MUTASI!$E$2:$E$1001,"&lt;="&amp;DATE(2026,12,31)))</f>
        <v/>
      </c>
      <c r="K10" s="19">
        <f>IF($A10="","",COUNTIFS('PINDAH AGAMA'!$C$2:$C$1001,$A10,'PINDAH AGAMA'!$D$2:$D$1001,"&gt;="&amp;DATE(2026,1,1),'PINDAH AGAMA'!$D$2:$D$1001,"&lt;="&amp;DATE(2026,12,31)))</f>
        <v/>
      </c>
      <c r="L10" s="19">
        <f>IF($A10="","",D10+E10+F10+G10-H10-I10-J10-K10)</f>
        <v/>
      </c>
      <c r="M10" s="19">
        <f>IF($A10="","",COUNTIFS('KOMUNI PERTAMA'!$C$2:$C$1001,$A10,'KOMUNI PERTAMA'!$E$2:$E$1001,"&gt;="&amp;DATE(2026,1,1),'KOMUNI PERTAMA'!$E$2:$E$1001,"&lt;="&amp;DATE(2026,12,31)))</f>
        <v/>
      </c>
      <c r="N10" s="19">
        <f>IF($A10="","",COUNTIFS('PERKAWINAN GEREJANI'!$C$2:$C$1001,$A10,'PERKAWINAN GEREJANI'!$D$2:$D$1001,"&gt;="&amp;DATE(2026,1,1),'PERKAWINAN GEREJANI'!$D$2:$D$1001,"&lt;="&amp;DATE(2026,12,31)))</f>
        <v/>
      </c>
      <c r="O10" s="19">
        <f>IF($A10="","",COUNTIFS(PEMBUBARAN!$C$2:$C$1001,$A10,PEMBUBARAN!$D$2:$D$1001,"&gt;="&amp;DATE(2026,1,1),PEMBUBARAN!$D$2:$D$1001,"&lt;="&amp;DATE(2026,12,31)))</f>
        <v/>
      </c>
      <c r="P10" s="19">
        <f>IF($A10="","",COUNTIFS('PERMINYAKAN SUCI'!$C$2:$C$1001,$A10,'PERMINYAKAN SUCI'!$E$2:$E$1001,"&gt;="&amp;DATE(2026,1,1),'PERMINYAKAN SUCI'!$E$2:$E$1001,"&lt;="&amp;DATE(2026,12,31)))</f>
        <v/>
      </c>
      <c r="Q10" s="19">
        <f>IF($A10="","",H10)</f>
        <v/>
      </c>
      <c r="R10" s="19">
        <f>IF($A10="","",COUNTIFS('SEMINARI BIARA'!$C$2:$C$1001,$A10,'SEMINARI BIARA'!$F$2:$F$1001,"Mulai masuk 2026",'SEMINARI BIARA'!$G$2:$G$1001,"&gt;="&amp;DATE(2026,1,1),'SEMINARI BIARA'!$G$2:$G$1001,"&lt;="&amp;DATE(2026,12,31)))</f>
        <v/>
      </c>
      <c r="S10" s="19">
        <f>IF($A10="","",COUNTIFS('SEMINARI BIARA'!$C$2:$C$1001,$A10,'SEMINARI BIARA'!$F$2:$F$1001,"Sedang belajar 2026"))</f>
        <v/>
      </c>
    </row>
    <row r="11" ht="14.25" customHeight="1" s="37">
      <c r="A11" s="18" t="n"/>
      <c r="B11" s="19">
        <f>IF($A11="","",COUNTIF('DATA KK'!$E$2:$E$501,$A11))</f>
        <v/>
      </c>
      <c r="C11" s="19">
        <f>IF($A11="","",COUNTIF('DATA UMAT'!$H$2:$H$2001,$A11))</f>
        <v/>
      </c>
      <c r="D11" s="19">
        <f>IF($A11="","",COUNTIFS(BAPTIS!$C$2:$C$1001,$A11,BAPTIS!$F$2:$F$1001,"&gt;="&amp;DATE(2026,1,1),BAPTIS!$F$2:$F$1001,"&lt;="&amp;DATE(2026,12,31)))</f>
        <v/>
      </c>
      <c r="E11" s="19">
        <f>IF($A11="","",COUNTIFS('DITERIMA MASUK'!$C$2:$C$1001,$A11,'DITERIMA MASUK'!$D$2:$D$1001,"&gt;="&amp;DATE(2026,1,1),'DITERIMA MASUK'!$D$2:$D$1001,"&lt;="&amp;DATE(2026,12,31)))</f>
        <v/>
      </c>
      <c r="F11" s="19">
        <f>IF($A11="","",COUNTIFS(MUTASI!$C$2:$C$1001,$A11,MUTASI!$D$2:$D$1001,"Masuk",MUTASI!$F$2:$F$1001,"Paroki lain dalam keuskupan",MUTASI!$E$2:$E$1001,"&gt;="&amp;DATE(2026,1,1),MUTASI!$E$2:$E$1001,"&lt;="&amp;DATE(2026,12,31)))</f>
        <v/>
      </c>
      <c r="G11" s="19">
        <f>IF($A11="","",COUNTIFS(MUTASI!$C$2:$C$1001,$A11,MUTASI!$D$2:$D$1001,"Masuk",MUTASI!$F$2:$F$1001,"Keuskupan lain",MUTASI!$E$2:$E$1001,"&gt;="&amp;DATE(2026,1,1),MUTASI!$E$2:$E$1001,"&lt;="&amp;DATE(2026,12,31)))</f>
        <v/>
      </c>
      <c r="H11" s="19">
        <f>IF($A11="","",COUNTIFS(KEMATIAN!$C$2:$C$1001,$A11,KEMATIAN!$F$2:$F$1001,"&gt;="&amp;DATE(2026,1,1),KEMATIAN!$F$2:$F$1001,"&lt;="&amp;DATE(2026,12,31)))</f>
        <v/>
      </c>
      <c r="I11" s="19">
        <f>IF($A11="","",COUNTIFS(MUTASI!$C$2:$C$1001,$A11,MUTASI!$D$2:$D$1001,"Keluar",MUTASI!$F$2:$F$1001,"Paroki lain dalam keuskupan",MUTASI!$E$2:$E$1001,"&gt;="&amp;DATE(2026,1,1),MUTASI!$E$2:$E$1001,"&lt;="&amp;DATE(2026,12,31)))</f>
        <v/>
      </c>
      <c r="J11" s="19">
        <f>IF($A11="","",COUNTIFS(MUTASI!$C$2:$C$1001,$A11,MUTASI!$D$2:$D$1001,"Keluar",MUTASI!$F$2:$F$1001,"Keuskupan lain",MUTASI!$E$2:$E$1001,"&gt;="&amp;DATE(2026,1,1),MUTASI!$E$2:$E$1001,"&lt;="&amp;DATE(2026,12,31)))</f>
        <v/>
      </c>
      <c r="K11" s="19">
        <f>IF($A11="","",COUNTIFS('PINDAH AGAMA'!$C$2:$C$1001,$A11,'PINDAH AGAMA'!$D$2:$D$1001,"&gt;="&amp;DATE(2026,1,1),'PINDAH AGAMA'!$D$2:$D$1001,"&lt;="&amp;DATE(2026,12,31)))</f>
        <v/>
      </c>
      <c r="L11" s="19">
        <f>IF($A11="","",D11+E11+F11+G11-H11-I11-J11-K11)</f>
        <v/>
      </c>
      <c r="M11" s="19">
        <f>IF($A11="","",COUNTIFS('KOMUNI PERTAMA'!$C$2:$C$1001,$A11,'KOMUNI PERTAMA'!$E$2:$E$1001,"&gt;="&amp;DATE(2026,1,1),'KOMUNI PERTAMA'!$E$2:$E$1001,"&lt;="&amp;DATE(2026,12,31)))</f>
        <v/>
      </c>
      <c r="N11" s="19">
        <f>IF($A11="","",COUNTIFS('PERKAWINAN GEREJANI'!$C$2:$C$1001,$A11,'PERKAWINAN GEREJANI'!$D$2:$D$1001,"&gt;="&amp;DATE(2026,1,1),'PERKAWINAN GEREJANI'!$D$2:$D$1001,"&lt;="&amp;DATE(2026,12,31)))</f>
        <v/>
      </c>
      <c r="O11" s="19">
        <f>IF($A11="","",COUNTIFS(PEMBUBARAN!$C$2:$C$1001,$A11,PEMBUBARAN!$D$2:$D$1001,"&gt;="&amp;DATE(2026,1,1),PEMBUBARAN!$D$2:$D$1001,"&lt;="&amp;DATE(2026,12,31)))</f>
        <v/>
      </c>
      <c r="P11" s="19">
        <f>IF($A11="","",COUNTIFS('PERMINYAKAN SUCI'!$C$2:$C$1001,$A11,'PERMINYAKAN SUCI'!$E$2:$E$1001,"&gt;="&amp;DATE(2026,1,1),'PERMINYAKAN SUCI'!$E$2:$E$1001,"&lt;="&amp;DATE(2026,12,31)))</f>
        <v/>
      </c>
      <c r="Q11" s="19">
        <f>IF($A11="","",H11)</f>
        <v/>
      </c>
      <c r="R11" s="19">
        <f>IF($A11="","",COUNTIFS('SEMINARI BIARA'!$C$2:$C$1001,$A11,'SEMINARI BIARA'!$F$2:$F$1001,"Mulai masuk 2026",'SEMINARI BIARA'!$G$2:$G$1001,"&gt;="&amp;DATE(2026,1,1),'SEMINARI BIARA'!$G$2:$G$1001,"&lt;="&amp;DATE(2026,12,31)))</f>
        <v/>
      </c>
      <c r="S11" s="19">
        <f>IF($A11="","",COUNTIFS('SEMINARI BIARA'!$C$2:$C$1001,$A11,'SEMINARI BIARA'!$F$2:$F$1001,"Sedang belajar 2026"))</f>
        <v/>
      </c>
    </row>
    <row r="12" ht="14.25" customHeight="1" s="37">
      <c r="A12" s="18" t="n"/>
      <c r="B12" s="19">
        <f>IF($A12="","",COUNTIF('DATA KK'!$E$2:$E$501,$A12))</f>
        <v/>
      </c>
      <c r="C12" s="19">
        <f>IF($A12="","",COUNTIF('DATA UMAT'!$H$2:$H$2001,$A12))</f>
        <v/>
      </c>
      <c r="D12" s="19">
        <f>IF($A12="","",COUNTIFS(BAPTIS!$C$2:$C$1001,$A12,BAPTIS!$F$2:$F$1001,"&gt;="&amp;DATE(2026,1,1),BAPTIS!$F$2:$F$1001,"&lt;="&amp;DATE(2026,12,31)))</f>
        <v/>
      </c>
      <c r="E12" s="19">
        <f>IF($A12="","",COUNTIFS('DITERIMA MASUK'!$C$2:$C$1001,$A12,'DITERIMA MASUK'!$D$2:$D$1001,"&gt;="&amp;DATE(2026,1,1),'DITERIMA MASUK'!$D$2:$D$1001,"&lt;="&amp;DATE(2026,12,31)))</f>
        <v/>
      </c>
      <c r="F12" s="19">
        <f>IF($A12="","",COUNTIFS(MUTASI!$C$2:$C$1001,$A12,MUTASI!$D$2:$D$1001,"Masuk",MUTASI!$F$2:$F$1001,"Paroki lain dalam keuskupan",MUTASI!$E$2:$E$1001,"&gt;="&amp;DATE(2026,1,1),MUTASI!$E$2:$E$1001,"&lt;="&amp;DATE(2026,12,31)))</f>
        <v/>
      </c>
      <c r="G12" s="19">
        <f>IF($A12="","",COUNTIFS(MUTASI!$C$2:$C$1001,$A12,MUTASI!$D$2:$D$1001,"Masuk",MUTASI!$F$2:$F$1001,"Keuskupan lain",MUTASI!$E$2:$E$1001,"&gt;="&amp;DATE(2026,1,1),MUTASI!$E$2:$E$1001,"&lt;="&amp;DATE(2026,12,31)))</f>
        <v/>
      </c>
      <c r="H12" s="19">
        <f>IF($A12="","",COUNTIFS(KEMATIAN!$C$2:$C$1001,$A12,KEMATIAN!$F$2:$F$1001,"&gt;="&amp;DATE(2026,1,1),KEMATIAN!$F$2:$F$1001,"&lt;="&amp;DATE(2026,12,31)))</f>
        <v/>
      </c>
      <c r="I12" s="19">
        <f>IF($A12="","",COUNTIFS(MUTASI!$C$2:$C$1001,$A12,MUTASI!$D$2:$D$1001,"Keluar",MUTASI!$F$2:$F$1001,"Paroki lain dalam keuskupan",MUTASI!$E$2:$E$1001,"&gt;="&amp;DATE(2026,1,1),MUTASI!$E$2:$E$1001,"&lt;="&amp;DATE(2026,12,31)))</f>
        <v/>
      </c>
      <c r="J12" s="19">
        <f>IF($A12="","",COUNTIFS(MUTASI!$C$2:$C$1001,$A12,MUTASI!$D$2:$D$1001,"Keluar",MUTASI!$F$2:$F$1001,"Keuskupan lain",MUTASI!$E$2:$E$1001,"&gt;="&amp;DATE(2026,1,1),MUTASI!$E$2:$E$1001,"&lt;="&amp;DATE(2026,12,31)))</f>
        <v/>
      </c>
      <c r="K12" s="19">
        <f>IF($A12="","",COUNTIFS('PINDAH AGAMA'!$C$2:$C$1001,$A12,'PINDAH AGAMA'!$D$2:$D$1001,"&gt;="&amp;DATE(2026,1,1),'PINDAH AGAMA'!$D$2:$D$1001,"&lt;="&amp;DATE(2026,12,31)))</f>
        <v/>
      </c>
      <c r="L12" s="19">
        <f>IF($A12="","",D12+E12+F12+G12-H12-I12-J12-K12)</f>
        <v/>
      </c>
      <c r="M12" s="19">
        <f>IF($A12="","",COUNTIFS('KOMUNI PERTAMA'!$C$2:$C$1001,$A12,'KOMUNI PERTAMA'!$E$2:$E$1001,"&gt;="&amp;DATE(2026,1,1),'KOMUNI PERTAMA'!$E$2:$E$1001,"&lt;="&amp;DATE(2026,12,31)))</f>
        <v/>
      </c>
      <c r="N12" s="19">
        <f>IF($A12="","",COUNTIFS('PERKAWINAN GEREJANI'!$C$2:$C$1001,$A12,'PERKAWINAN GEREJANI'!$D$2:$D$1001,"&gt;="&amp;DATE(2026,1,1),'PERKAWINAN GEREJANI'!$D$2:$D$1001,"&lt;="&amp;DATE(2026,12,31)))</f>
        <v/>
      </c>
      <c r="O12" s="19">
        <f>IF($A12="","",COUNTIFS(PEMBUBARAN!$C$2:$C$1001,$A12,PEMBUBARAN!$D$2:$D$1001,"&gt;="&amp;DATE(2026,1,1),PEMBUBARAN!$D$2:$D$1001,"&lt;="&amp;DATE(2026,12,31)))</f>
        <v/>
      </c>
      <c r="P12" s="19">
        <f>IF($A12="","",COUNTIFS('PERMINYAKAN SUCI'!$C$2:$C$1001,$A12,'PERMINYAKAN SUCI'!$E$2:$E$1001,"&gt;="&amp;DATE(2026,1,1),'PERMINYAKAN SUCI'!$E$2:$E$1001,"&lt;="&amp;DATE(2026,12,31)))</f>
        <v/>
      </c>
      <c r="Q12" s="19">
        <f>IF($A12="","",H12)</f>
        <v/>
      </c>
      <c r="R12" s="19">
        <f>IF($A12="","",COUNTIFS('SEMINARI BIARA'!$C$2:$C$1001,$A12,'SEMINARI BIARA'!$F$2:$F$1001,"Mulai masuk 2026",'SEMINARI BIARA'!$G$2:$G$1001,"&gt;="&amp;DATE(2026,1,1),'SEMINARI BIARA'!$G$2:$G$1001,"&lt;="&amp;DATE(2026,12,31)))</f>
        <v/>
      </c>
      <c r="S12" s="19">
        <f>IF($A12="","",COUNTIFS('SEMINARI BIARA'!$C$2:$C$1001,$A12,'SEMINARI BIARA'!$F$2:$F$1001,"Sedang belajar 2026"))</f>
        <v/>
      </c>
    </row>
    <row r="13" ht="14.25" customHeight="1" s="37">
      <c r="A13" s="18" t="n"/>
      <c r="B13" s="19">
        <f>IF($A13="","",COUNTIF('DATA KK'!$E$2:$E$501,$A13))</f>
        <v/>
      </c>
      <c r="C13" s="19">
        <f>IF($A13="","",COUNTIF('DATA UMAT'!$H$2:$H$2001,$A13))</f>
        <v/>
      </c>
      <c r="D13" s="19">
        <f>IF($A13="","",COUNTIFS(BAPTIS!$C$2:$C$1001,$A13,BAPTIS!$F$2:$F$1001,"&gt;="&amp;DATE(2026,1,1),BAPTIS!$F$2:$F$1001,"&lt;="&amp;DATE(2026,12,31)))</f>
        <v/>
      </c>
      <c r="E13" s="19">
        <f>IF($A13="","",COUNTIFS('DITERIMA MASUK'!$C$2:$C$1001,$A13,'DITERIMA MASUK'!$D$2:$D$1001,"&gt;="&amp;DATE(2026,1,1),'DITERIMA MASUK'!$D$2:$D$1001,"&lt;="&amp;DATE(2026,12,31)))</f>
        <v/>
      </c>
      <c r="F13" s="19">
        <f>IF($A13="","",COUNTIFS(MUTASI!$C$2:$C$1001,$A13,MUTASI!$D$2:$D$1001,"Masuk",MUTASI!$F$2:$F$1001,"Paroki lain dalam keuskupan",MUTASI!$E$2:$E$1001,"&gt;="&amp;DATE(2026,1,1),MUTASI!$E$2:$E$1001,"&lt;="&amp;DATE(2026,12,31)))</f>
        <v/>
      </c>
      <c r="G13" s="19">
        <f>IF($A13="","",COUNTIFS(MUTASI!$C$2:$C$1001,$A13,MUTASI!$D$2:$D$1001,"Masuk",MUTASI!$F$2:$F$1001,"Keuskupan lain",MUTASI!$E$2:$E$1001,"&gt;="&amp;DATE(2026,1,1),MUTASI!$E$2:$E$1001,"&lt;="&amp;DATE(2026,12,31)))</f>
        <v/>
      </c>
      <c r="H13" s="19">
        <f>IF($A13="","",COUNTIFS(KEMATIAN!$C$2:$C$1001,$A13,KEMATIAN!$F$2:$F$1001,"&gt;="&amp;DATE(2026,1,1),KEMATIAN!$F$2:$F$1001,"&lt;="&amp;DATE(2026,12,31)))</f>
        <v/>
      </c>
      <c r="I13" s="19">
        <f>IF($A13="","",COUNTIFS(MUTASI!$C$2:$C$1001,$A13,MUTASI!$D$2:$D$1001,"Keluar",MUTASI!$F$2:$F$1001,"Paroki lain dalam keuskupan",MUTASI!$E$2:$E$1001,"&gt;="&amp;DATE(2026,1,1),MUTASI!$E$2:$E$1001,"&lt;="&amp;DATE(2026,12,31)))</f>
        <v/>
      </c>
      <c r="J13" s="19">
        <f>IF($A13="","",COUNTIFS(MUTASI!$C$2:$C$1001,$A13,MUTASI!$D$2:$D$1001,"Keluar",MUTASI!$F$2:$F$1001,"Keuskupan lain",MUTASI!$E$2:$E$1001,"&gt;="&amp;DATE(2026,1,1),MUTASI!$E$2:$E$1001,"&lt;="&amp;DATE(2026,12,31)))</f>
        <v/>
      </c>
      <c r="K13" s="19">
        <f>IF($A13="","",COUNTIFS('PINDAH AGAMA'!$C$2:$C$1001,$A13,'PINDAH AGAMA'!$D$2:$D$1001,"&gt;="&amp;DATE(2026,1,1),'PINDAH AGAMA'!$D$2:$D$1001,"&lt;="&amp;DATE(2026,12,31)))</f>
        <v/>
      </c>
      <c r="L13" s="19">
        <f>IF($A13="","",D13+E13+F13+G13-H13-I13-J13-K13)</f>
        <v/>
      </c>
      <c r="M13" s="19">
        <f>IF($A13="","",COUNTIFS('KOMUNI PERTAMA'!$C$2:$C$1001,$A13,'KOMUNI PERTAMA'!$E$2:$E$1001,"&gt;="&amp;DATE(2026,1,1),'KOMUNI PERTAMA'!$E$2:$E$1001,"&lt;="&amp;DATE(2026,12,31)))</f>
        <v/>
      </c>
      <c r="N13" s="19">
        <f>IF($A13="","",COUNTIFS('PERKAWINAN GEREJANI'!$C$2:$C$1001,$A13,'PERKAWINAN GEREJANI'!$D$2:$D$1001,"&gt;="&amp;DATE(2026,1,1),'PERKAWINAN GEREJANI'!$D$2:$D$1001,"&lt;="&amp;DATE(2026,12,31)))</f>
        <v/>
      </c>
      <c r="O13" s="19">
        <f>IF($A13="","",COUNTIFS(PEMBUBARAN!$C$2:$C$1001,$A13,PEMBUBARAN!$D$2:$D$1001,"&gt;="&amp;DATE(2026,1,1),PEMBUBARAN!$D$2:$D$1001,"&lt;="&amp;DATE(2026,12,31)))</f>
        <v/>
      </c>
      <c r="P13" s="19">
        <f>IF($A13="","",COUNTIFS('PERMINYAKAN SUCI'!$C$2:$C$1001,$A13,'PERMINYAKAN SUCI'!$E$2:$E$1001,"&gt;="&amp;DATE(2026,1,1),'PERMINYAKAN SUCI'!$E$2:$E$1001,"&lt;="&amp;DATE(2026,12,31)))</f>
        <v/>
      </c>
      <c r="Q13" s="19">
        <f>IF($A13="","",H13)</f>
        <v/>
      </c>
      <c r="R13" s="19">
        <f>IF($A13="","",COUNTIFS('SEMINARI BIARA'!$C$2:$C$1001,$A13,'SEMINARI BIARA'!$F$2:$F$1001,"Mulai masuk 2026",'SEMINARI BIARA'!$G$2:$G$1001,"&gt;="&amp;DATE(2026,1,1),'SEMINARI BIARA'!$G$2:$G$1001,"&lt;="&amp;DATE(2026,12,31)))</f>
        <v/>
      </c>
      <c r="S13" s="19">
        <f>IF($A13="","",COUNTIFS('SEMINARI BIARA'!$C$2:$C$1001,$A13,'SEMINARI BIARA'!$F$2:$F$1001,"Sedang belajar 2026"))</f>
        <v/>
      </c>
    </row>
    <row r="14" ht="14.25" customHeight="1" s="37">
      <c r="A14" s="18" t="n"/>
      <c r="B14" s="19">
        <f>IF($A14="","",COUNTIF('DATA KK'!$E$2:$E$501,$A14))</f>
        <v/>
      </c>
      <c r="C14" s="19">
        <f>IF($A14="","",COUNTIF('DATA UMAT'!$H$2:$H$2001,$A14))</f>
        <v/>
      </c>
      <c r="D14" s="19">
        <f>IF($A14="","",COUNTIFS(BAPTIS!$C$2:$C$1001,$A14,BAPTIS!$F$2:$F$1001,"&gt;="&amp;DATE(2026,1,1),BAPTIS!$F$2:$F$1001,"&lt;="&amp;DATE(2026,12,31)))</f>
        <v/>
      </c>
      <c r="E14" s="19">
        <f>IF($A14="","",COUNTIFS('DITERIMA MASUK'!$C$2:$C$1001,$A14,'DITERIMA MASUK'!$D$2:$D$1001,"&gt;="&amp;DATE(2026,1,1),'DITERIMA MASUK'!$D$2:$D$1001,"&lt;="&amp;DATE(2026,12,31)))</f>
        <v/>
      </c>
      <c r="F14" s="19">
        <f>IF($A14="","",COUNTIFS(MUTASI!$C$2:$C$1001,$A14,MUTASI!$D$2:$D$1001,"Masuk",MUTASI!$F$2:$F$1001,"Paroki lain dalam keuskupan",MUTASI!$E$2:$E$1001,"&gt;="&amp;DATE(2026,1,1),MUTASI!$E$2:$E$1001,"&lt;="&amp;DATE(2026,12,31)))</f>
        <v/>
      </c>
      <c r="G14" s="19">
        <f>IF($A14="","",COUNTIFS(MUTASI!$C$2:$C$1001,$A14,MUTASI!$D$2:$D$1001,"Masuk",MUTASI!$F$2:$F$1001,"Keuskupan lain",MUTASI!$E$2:$E$1001,"&gt;="&amp;DATE(2026,1,1),MUTASI!$E$2:$E$1001,"&lt;="&amp;DATE(2026,12,31)))</f>
        <v/>
      </c>
      <c r="H14" s="19">
        <f>IF($A14="","",COUNTIFS(KEMATIAN!$C$2:$C$1001,$A14,KEMATIAN!$F$2:$F$1001,"&gt;="&amp;DATE(2026,1,1),KEMATIAN!$F$2:$F$1001,"&lt;="&amp;DATE(2026,12,31)))</f>
        <v/>
      </c>
      <c r="I14" s="19">
        <f>IF($A14="","",COUNTIFS(MUTASI!$C$2:$C$1001,$A14,MUTASI!$D$2:$D$1001,"Keluar",MUTASI!$F$2:$F$1001,"Paroki lain dalam keuskupan",MUTASI!$E$2:$E$1001,"&gt;="&amp;DATE(2026,1,1),MUTASI!$E$2:$E$1001,"&lt;="&amp;DATE(2026,12,31)))</f>
        <v/>
      </c>
      <c r="J14" s="19">
        <f>IF($A14="","",COUNTIFS(MUTASI!$C$2:$C$1001,$A14,MUTASI!$D$2:$D$1001,"Keluar",MUTASI!$F$2:$F$1001,"Keuskupan lain",MUTASI!$E$2:$E$1001,"&gt;="&amp;DATE(2026,1,1),MUTASI!$E$2:$E$1001,"&lt;="&amp;DATE(2026,12,31)))</f>
        <v/>
      </c>
      <c r="K14" s="19">
        <f>IF($A14="","",COUNTIFS('PINDAH AGAMA'!$C$2:$C$1001,$A14,'PINDAH AGAMA'!$D$2:$D$1001,"&gt;="&amp;DATE(2026,1,1),'PINDAH AGAMA'!$D$2:$D$1001,"&lt;="&amp;DATE(2026,12,31)))</f>
        <v/>
      </c>
      <c r="L14" s="19">
        <f>IF($A14="","",D14+E14+F14+G14-H14-I14-J14-K14)</f>
        <v/>
      </c>
      <c r="M14" s="19">
        <f>IF($A14="","",COUNTIFS('KOMUNI PERTAMA'!$C$2:$C$1001,$A14,'KOMUNI PERTAMA'!$E$2:$E$1001,"&gt;="&amp;DATE(2026,1,1),'KOMUNI PERTAMA'!$E$2:$E$1001,"&lt;="&amp;DATE(2026,12,31)))</f>
        <v/>
      </c>
      <c r="N14" s="19">
        <f>IF($A14="","",COUNTIFS('PERKAWINAN GEREJANI'!$C$2:$C$1001,$A14,'PERKAWINAN GEREJANI'!$D$2:$D$1001,"&gt;="&amp;DATE(2026,1,1),'PERKAWINAN GEREJANI'!$D$2:$D$1001,"&lt;="&amp;DATE(2026,12,31)))</f>
        <v/>
      </c>
      <c r="O14" s="19">
        <f>IF($A14="","",COUNTIFS(PEMBUBARAN!$C$2:$C$1001,$A14,PEMBUBARAN!$D$2:$D$1001,"&gt;="&amp;DATE(2026,1,1),PEMBUBARAN!$D$2:$D$1001,"&lt;="&amp;DATE(2026,12,31)))</f>
        <v/>
      </c>
      <c r="P14" s="19">
        <f>IF($A14="","",COUNTIFS('PERMINYAKAN SUCI'!$C$2:$C$1001,$A14,'PERMINYAKAN SUCI'!$E$2:$E$1001,"&gt;="&amp;DATE(2026,1,1),'PERMINYAKAN SUCI'!$E$2:$E$1001,"&lt;="&amp;DATE(2026,12,31)))</f>
        <v/>
      </c>
      <c r="Q14" s="19">
        <f>IF($A14="","",H14)</f>
        <v/>
      </c>
      <c r="R14" s="19">
        <f>IF($A14="","",COUNTIFS('SEMINARI BIARA'!$C$2:$C$1001,$A14,'SEMINARI BIARA'!$F$2:$F$1001,"Mulai masuk 2026",'SEMINARI BIARA'!$G$2:$G$1001,"&gt;="&amp;DATE(2026,1,1),'SEMINARI BIARA'!$G$2:$G$1001,"&lt;="&amp;DATE(2026,12,31)))</f>
        <v/>
      </c>
      <c r="S14" s="19">
        <f>IF($A14="","",COUNTIFS('SEMINARI BIARA'!$C$2:$C$1001,$A14,'SEMINARI BIARA'!$F$2:$F$1001,"Sedang belajar 2026"))</f>
        <v/>
      </c>
    </row>
    <row r="15" ht="14.25" customHeight="1" s="37">
      <c r="A15" s="18" t="n"/>
      <c r="B15" s="19">
        <f>IF($A15="","",COUNTIF('DATA KK'!$E$2:$E$501,$A15))</f>
        <v/>
      </c>
      <c r="C15" s="19">
        <f>IF($A15="","",COUNTIF('DATA UMAT'!$H$2:$H$2001,$A15))</f>
        <v/>
      </c>
      <c r="D15" s="19">
        <f>IF($A15="","",COUNTIFS(BAPTIS!$C$2:$C$1001,$A15,BAPTIS!$F$2:$F$1001,"&gt;="&amp;DATE(2026,1,1),BAPTIS!$F$2:$F$1001,"&lt;="&amp;DATE(2026,12,31)))</f>
        <v/>
      </c>
      <c r="E15" s="19">
        <f>IF($A15="","",COUNTIFS('DITERIMA MASUK'!$C$2:$C$1001,$A15,'DITERIMA MASUK'!$D$2:$D$1001,"&gt;="&amp;DATE(2026,1,1),'DITERIMA MASUK'!$D$2:$D$1001,"&lt;="&amp;DATE(2026,12,31)))</f>
        <v/>
      </c>
      <c r="F15" s="19">
        <f>IF($A15="","",COUNTIFS(MUTASI!$C$2:$C$1001,$A15,MUTASI!$D$2:$D$1001,"Masuk",MUTASI!$F$2:$F$1001,"Paroki lain dalam keuskupan",MUTASI!$E$2:$E$1001,"&gt;="&amp;DATE(2026,1,1),MUTASI!$E$2:$E$1001,"&lt;="&amp;DATE(2026,12,31)))</f>
        <v/>
      </c>
      <c r="G15" s="19">
        <f>IF($A15="","",COUNTIFS(MUTASI!$C$2:$C$1001,$A15,MUTASI!$D$2:$D$1001,"Masuk",MUTASI!$F$2:$F$1001,"Keuskupan lain",MUTASI!$E$2:$E$1001,"&gt;="&amp;DATE(2026,1,1),MUTASI!$E$2:$E$1001,"&lt;="&amp;DATE(2026,12,31)))</f>
        <v/>
      </c>
      <c r="H15" s="19">
        <f>IF($A15="","",COUNTIFS(KEMATIAN!$C$2:$C$1001,$A15,KEMATIAN!$F$2:$F$1001,"&gt;="&amp;DATE(2026,1,1),KEMATIAN!$F$2:$F$1001,"&lt;="&amp;DATE(2026,12,31)))</f>
        <v/>
      </c>
      <c r="I15" s="19">
        <f>IF($A15="","",COUNTIFS(MUTASI!$C$2:$C$1001,$A15,MUTASI!$D$2:$D$1001,"Keluar",MUTASI!$F$2:$F$1001,"Paroki lain dalam keuskupan",MUTASI!$E$2:$E$1001,"&gt;="&amp;DATE(2026,1,1),MUTASI!$E$2:$E$1001,"&lt;="&amp;DATE(2026,12,31)))</f>
        <v/>
      </c>
      <c r="J15" s="19">
        <f>IF($A15="","",COUNTIFS(MUTASI!$C$2:$C$1001,$A15,MUTASI!$D$2:$D$1001,"Keluar",MUTASI!$F$2:$F$1001,"Keuskupan lain",MUTASI!$E$2:$E$1001,"&gt;="&amp;DATE(2026,1,1),MUTASI!$E$2:$E$1001,"&lt;="&amp;DATE(2026,12,31)))</f>
        <v/>
      </c>
      <c r="K15" s="19">
        <f>IF($A15="","",COUNTIFS('PINDAH AGAMA'!$C$2:$C$1001,$A15,'PINDAH AGAMA'!$D$2:$D$1001,"&gt;="&amp;DATE(2026,1,1),'PINDAH AGAMA'!$D$2:$D$1001,"&lt;="&amp;DATE(2026,12,31)))</f>
        <v/>
      </c>
      <c r="L15" s="19">
        <f>IF($A15="","",D15+E15+F15+G15-H15-I15-J15-K15)</f>
        <v/>
      </c>
      <c r="M15" s="19">
        <f>IF($A15="","",COUNTIFS('KOMUNI PERTAMA'!$C$2:$C$1001,$A15,'KOMUNI PERTAMA'!$E$2:$E$1001,"&gt;="&amp;DATE(2026,1,1),'KOMUNI PERTAMA'!$E$2:$E$1001,"&lt;="&amp;DATE(2026,12,31)))</f>
        <v/>
      </c>
      <c r="N15" s="19">
        <f>IF($A15="","",COUNTIFS('PERKAWINAN GEREJANI'!$C$2:$C$1001,$A15,'PERKAWINAN GEREJANI'!$D$2:$D$1001,"&gt;="&amp;DATE(2026,1,1),'PERKAWINAN GEREJANI'!$D$2:$D$1001,"&lt;="&amp;DATE(2026,12,31)))</f>
        <v/>
      </c>
      <c r="O15" s="19">
        <f>IF($A15="","",COUNTIFS(PEMBUBARAN!$C$2:$C$1001,$A15,PEMBUBARAN!$D$2:$D$1001,"&gt;="&amp;DATE(2026,1,1),PEMBUBARAN!$D$2:$D$1001,"&lt;="&amp;DATE(2026,12,31)))</f>
        <v/>
      </c>
      <c r="P15" s="19">
        <f>IF($A15="","",COUNTIFS('PERMINYAKAN SUCI'!$C$2:$C$1001,$A15,'PERMINYAKAN SUCI'!$E$2:$E$1001,"&gt;="&amp;DATE(2026,1,1),'PERMINYAKAN SUCI'!$E$2:$E$1001,"&lt;="&amp;DATE(2026,12,31)))</f>
        <v/>
      </c>
      <c r="Q15" s="19">
        <f>IF($A15="","",H15)</f>
        <v/>
      </c>
      <c r="R15" s="19">
        <f>IF($A15="","",COUNTIFS('SEMINARI BIARA'!$C$2:$C$1001,$A15,'SEMINARI BIARA'!$F$2:$F$1001,"Mulai masuk 2026",'SEMINARI BIARA'!$G$2:$G$1001,"&gt;="&amp;DATE(2026,1,1),'SEMINARI BIARA'!$G$2:$G$1001,"&lt;="&amp;DATE(2026,12,31)))</f>
        <v/>
      </c>
      <c r="S15" s="19">
        <f>IF($A15="","",COUNTIFS('SEMINARI BIARA'!$C$2:$C$1001,$A15,'SEMINARI BIARA'!$F$2:$F$1001,"Sedang belajar 2026"))</f>
        <v/>
      </c>
    </row>
    <row r="16" ht="14.25" customHeight="1" s="37">
      <c r="A16" s="18" t="n"/>
      <c r="B16" s="19">
        <f>IF($A16="","",COUNTIF('DATA KK'!$E$2:$E$501,$A16))</f>
        <v/>
      </c>
      <c r="C16" s="19">
        <f>IF($A16="","",COUNTIF('DATA UMAT'!$H$2:$H$2001,$A16))</f>
        <v/>
      </c>
      <c r="D16" s="19">
        <f>IF($A16="","",COUNTIFS(BAPTIS!$C$2:$C$1001,$A16,BAPTIS!$F$2:$F$1001,"&gt;="&amp;DATE(2026,1,1),BAPTIS!$F$2:$F$1001,"&lt;="&amp;DATE(2026,12,31)))</f>
        <v/>
      </c>
      <c r="E16" s="19">
        <f>IF($A16="","",COUNTIFS('DITERIMA MASUK'!$C$2:$C$1001,$A16,'DITERIMA MASUK'!$D$2:$D$1001,"&gt;="&amp;DATE(2026,1,1),'DITERIMA MASUK'!$D$2:$D$1001,"&lt;="&amp;DATE(2026,12,31)))</f>
        <v/>
      </c>
      <c r="F16" s="19">
        <f>IF($A16="","",COUNTIFS(MUTASI!$C$2:$C$1001,$A16,MUTASI!$D$2:$D$1001,"Masuk",MUTASI!$F$2:$F$1001,"Paroki lain dalam keuskupan",MUTASI!$E$2:$E$1001,"&gt;="&amp;DATE(2026,1,1),MUTASI!$E$2:$E$1001,"&lt;="&amp;DATE(2026,12,31)))</f>
        <v/>
      </c>
      <c r="G16" s="19">
        <f>IF($A16="","",COUNTIFS(MUTASI!$C$2:$C$1001,$A16,MUTASI!$D$2:$D$1001,"Masuk",MUTASI!$F$2:$F$1001,"Keuskupan lain",MUTASI!$E$2:$E$1001,"&gt;="&amp;DATE(2026,1,1),MUTASI!$E$2:$E$1001,"&lt;="&amp;DATE(2026,12,31)))</f>
        <v/>
      </c>
      <c r="H16" s="19">
        <f>IF($A16="","",COUNTIFS(KEMATIAN!$C$2:$C$1001,$A16,KEMATIAN!$F$2:$F$1001,"&gt;="&amp;DATE(2026,1,1),KEMATIAN!$F$2:$F$1001,"&lt;="&amp;DATE(2026,12,31)))</f>
        <v/>
      </c>
      <c r="I16" s="19">
        <f>IF($A16="","",COUNTIFS(MUTASI!$C$2:$C$1001,$A16,MUTASI!$D$2:$D$1001,"Keluar",MUTASI!$F$2:$F$1001,"Paroki lain dalam keuskupan",MUTASI!$E$2:$E$1001,"&gt;="&amp;DATE(2026,1,1),MUTASI!$E$2:$E$1001,"&lt;="&amp;DATE(2026,12,31)))</f>
        <v/>
      </c>
      <c r="J16" s="19">
        <f>IF($A16="","",COUNTIFS(MUTASI!$C$2:$C$1001,$A16,MUTASI!$D$2:$D$1001,"Keluar",MUTASI!$F$2:$F$1001,"Keuskupan lain",MUTASI!$E$2:$E$1001,"&gt;="&amp;DATE(2026,1,1),MUTASI!$E$2:$E$1001,"&lt;="&amp;DATE(2026,12,31)))</f>
        <v/>
      </c>
      <c r="K16" s="19">
        <f>IF($A16="","",COUNTIFS('PINDAH AGAMA'!$C$2:$C$1001,$A16,'PINDAH AGAMA'!$D$2:$D$1001,"&gt;="&amp;DATE(2026,1,1),'PINDAH AGAMA'!$D$2:$D$1001,"&lt;="&amp;DATE(2026,12,31)))</f>
        <v/>
      </c>
      <c r="L16" s="19">
        <f>IF($A16="","",D16+E16+F16+G16-H16-I16-J16-K16)</f>
        <v/>
      </c>
      <c r="M16" s="19">
        <f>IF($A16="","",COUNTIFS('KOMUNI PERTAMA'!$C$2:$C$1001,$A16,'KOMUNI PERTAMA'!$E$2:$E$1001,"&gt;="&amp;DATE(2026,1,1),'KOMUNI PERTAMA'!$E$2:$E$1001,"&lt;="&amp;DATE(2026,12,31)))</f>
        <v/>
      </c>
      <c r="N16" s="19">
        <f>IF($A16="","",COUNTIFS('PERKAWINAN GEREJANI'!$C$2:$C$1001,$A16,'PERKAWINAN GEREJANI'!$D$2:$D$1001,"&gt;="&amp;DATE(2026,1,1),'PERKAWINAN GEREJANI'!$D$2:$D$1001,"&lt;="&amp;DATE(2026,12,31)))</f>
        <v/>
      </c>
      <c r="O16" s="19">
        <f>IF($A16="","",COUNTIFS(PEMBUBARAN!$C$2:$C$1001,$A16,PEMBUBARAN!$D$2:$D$1001,"&gt;="&amp;DATE(2026,1,1),PEMBUBARAN!$D$2:$D$1001,"&lt;="&amp;DATE(2026,12,31)))</f>
        <v/>
      </c>
      <c r="P16" s="19">
        <f>IF($A16="","",COUNTIFS('PERMINYAKAN SUCI'!$C$2:$C$1001,$A16,'PERMINYAKAN SUCI'!$E$2:$E$1001,"&gt;="&amp;DATE(2026,1,1),'PERMINYAKAN SUCI'!$E$2:$E$1001,"&lt;="&amp;DATE(2026,12,31)))</f>
        <v/>
      </c>
      <c r="Q16" s="19">
        <f>IF($A16="","",H16)</f>
        <v/>
      </c>
      <c r="R16" s="19">
        <f>IF($A16="","",COUNTIFS('SEMINARI BIARA'!$C$2:$C$1001,$A16,'SEMINARI BIARA'!$F$2:$F$1001,"Mulai masuk 2026",'SEMINARI BIARA'!$G$2:$G$1001,"&gt;="&amp;DATE(2026,1,1),'SEMINARI BIARA'!$G$2:$G$1001,"&lt;="&amp;DATE(2026,12,31)))</f>
        <v/>
      </c>
      <c r="S16" s="19">
        <f>IF($A16="","",COUNTIFS('SEMINARI BIARA'!$C$2:$C$1001,$A16,'SEMINARI BIARA'!$F$2:$F$1001,"Sedang belajar 2026"))</f>
        <v/>
      </c>
    </row>
    <row r="17" ht="14.25" customHeight="1" s="37">
      <c r="A17" s="18" t="n"/>
      <c r="B17" s="19">
        <f>IF($A17="","",COUNTIF('DATA KK'!$E$2:$E$501,$A17))</f>
        <v/>
      </c>
      <c r="C17" s="19">
        <f>IF($A17="","",COUNTIF('DATA UMAT'!$H$2:$H$2001,$A17))</f>
        <v/>
      </c>
      <c r="D17" s="19">
        <f>IF($A17="","",COUNTIFS(BAPTIS!$C$2:$C$1001,$A17,BAPTIS!$F$2:$F$1001,"&gt;="&amp;DATE(2026,1,1),BAPTIS!$F$2:$F$1001,"&lt;="&amp;DATE(2026,12,31)))</f>
        <v/>
      </c>
      <c r="E17" s="19">
        <f>IF($A17="","",COUNTIFS('DITERIMA MASUK'!$C$2:$C$1001,$A17,'DITERIMA MASUK'!$D$2:$D$1001,"&gt;="&amp;DATE(2026,1,1),'DITERIMA MASUK'!$D$2:$D$1001,"&lt;="&amp;DATE(2026,12,31)))</f>
        <v/>
      </c>
      <c r="F17" s="19">
        <f>IF($A17="","",COUNTIFS(MUTASI!$C$2:$C$1001,$A17,MUTASI!$D$2:$D$1001,"Masuk",MUTASI!$F$2:$F$1001,"Paroki lain dalam keuskupan",MUTASI!$E$2:$E$1001,"&gt;="&amp;DATE(2026,1,1),MUTASI!$E$2:$E$1001,"&lt;="&amp;DATE(2026,12,31)))</f>
        <v/>
      </c>
      <c r="G17" s="19">
        <f>IF($A17="","",COUNTIFS(MUTASI!$C$2:$C$1001,$A17,MUTASI!$D$2:$D$1001,"Masuk",MUTASI!$F$2:$F$1001,"Keuskupan lain",MUTASI!$E$2:$E$1001,"&gt;="&amp;DATE(2026,1,1),MUTASI!$E$2:$E$1001,"&lt;="&amp;DATE(2026,12,31)))</f>
        <v/>
      </c>
      <c r="H17" s="19">
        <f>IF($A17="","",COUNTIFS(KEMATIAN!$C$2:$C$1001,$A17,KEMATIAN!$F$2:$F$1001,"&gt;="&amp;DATE(2026,1,1),KEMATIAN!$F$2:$F$1001,"&lt;="&amp;DATE(2026,12,31)))</f>
        <v/>
      </c>
      <c r="I17" s="19">
        <f>IF($A17="","",COUNTIFS(MUTASI!$C$2:$C$1001,$A17,MUTASI!$D$2:$D$1001,"Keluar",MUTASI!$F$2:$F$1001,"Paroki lain dalam keuskupan",MUTASI!$E$2:$E$1001,"&gt;="&amp;DATE(2026,1,1),MUTASI!$E$2:$E$1001,"&lt;="&amp;DATE(2026,12,31)))</f>
        <v/>
      </c>
      <c r="J17" s="19">
        <f>IF($A17="","",COUNTIFS(MUTASI!$C$2:$C$1001,$A17,MUTASI!$D$2:$D$1001,"Keluar",MUTASI!$F$2:$F$1001,"Keuskupan lain",MUTASI!$E$2:$E$1001,"&gt;="&amp;DATE(2026,1,1),MUTASI!$E$2:$E$1001,"&lt;="&amp;DATE(2026,12,31)))</f>
        <v/>
      </c>
      <c r="K17" s="19">
        <f>IF($A17="","",COUNTIFS('PINDAH AGAMA'!$C$2:$C$1001,$A17,'PINDAH AGAMA'!$D$2:$D$1001,"&gt;="&amp;DATE(2026,1,1),'PINDAH AGAMA'!$D$2:$D$1001,"&lt;="&amp;DATE(2026,12,31)))</f>
        <v/>
      </c>
      <c r="L17" s="19">
        <f>IF($A17="","",D17+E17+F17+G17-H17-I17-J17-K17)</f>
        <v/>
      </c>
      <c r="M17" s="19">
        <f>IF($A17="","",COUNTIFS('KOMUNI PERTAMA'!$C$2:$C$1001,$A17,'KOMUNI PERTAMA'!$E$2:$E$1001,"&gt;="&amp;DATE(2026,1,1),'KOMUNI PERTAMA'!$E$2:$E$1001,"&lt;="&amp;DATE(2026,12,31)))</f>
        <v/>
      </c>
      <c r="N17" s="19">
        <f>IF($A17="","",COUNTIFS('PERKAWINAN GEREJANI'!$C$2:$C$1001,$A17,'PERKAWINAN GEREJANI'!$D$2:$D$1001,"&gt;="&amp;DATE(2026,1,1),'PERKAWINAN GEREJANI'!$D$2:$D$1001,"&lt;="&amp;DATE(2026,12,31)))</f>
        <v/>
      </c>
      <c r="O17" s="19">
        <f>IF($A17="","",COUNTIFS(PEMBUBARAN!$C$2:$C$1001,$A17,PEMBUBARAN!$D$2:$D$1001,"&gt;="&amp;DATE(2026,1,1),PEMBUBARAN!$D$2:$D$1001,"&lt;="&amp;DATE(2026,12,31)))</f>
        <v/>
      </c>
      <c r="P17" s="19">
        <f>IF($A17="","",COUNTIFS('PERMINYAKAN SUCI'!$C$2:$C$1001,$A17,'PERMINYAKAN SUCI'!$E$2:$E$1001,"&gt;="&amp;DATE(2026,1,1),'PERMINYAKAN SUCI'!$E$2:$E$1001,"&lt;="&amp;DATE(2026,12,31)))</f>
        <v/>
      </c>
      <c r="Q17" s="19">
        <f>IF($A17="","",H17)</f>
        <v/>
      </c>
      <c r="R17" s="19">
        <f>IF($A17="","",COUNTIFS('SEMINARI BIARA'!$C$2:$C$1001,$A17,'SEMINARI BIARA'!$F$2:$F$1001,"Mulai masuk 2026",'SEMINARI BIARA'!$G$2:$G$1001,"&gt;="&amp;DATE(2026,1,1),'SEMINARI BIARA'!$G$2:$G$1001,"&lt;="&amp;DATE(2026,12,31)))</f>
        <v/>
      </c>
      <c r="S17" s="19">
        <f>IF($A17="","",COUNTIFS('SEMINARI BIARA'!$C$2:$C$1001,$A17,'SEMINARI BIARA'!$F$2:$F$1001,"Sedang belajar 2026"))</f>
        <v/>
      </c>
    </row>
    <row r="18" ht="14.25" customHeight="1" s="37">
      <c r="A18" s="18" t="n"/>
      <c r="B18" s="19">
        <f>IF($A18="","",COUNTIF('DATA KK'!$E$2:$E$501,$A18))</f>
        <v/>
      </c>
      <c r="C18" s="19">
        <f>IF($A18="","",COUNTIF('DATA UMAT'!$H$2:$H$2001,$A18))</f>
        <v/>
      </c>
      <c r="D18" s="19">
        <f>IF($A18="","",COUNTIFS(BAPTIS!$C$2:$C$1001,$A18,BAPTIS!$F$2:$F$1001,"&gt;="&amp;DATE(2026,1,1),BAPTIS!$F$2:$F$1001,"&lt;="&amp;DATE(2026,12,31)))</f>
        <v/>
      </c>
      <c r="E18" s="19">
        <f>IF($A18="","",COUNTIFS('DITERIMA MASUK'!$C$2:$C$1001,$A18,'DITERIMA MASUK'!$D$2:$D$1001,"&gt;="&amp;DATE(2026,1,1),'DITERIMA MASUK'!$D$2:$D$1001,"&lt;="&amp;DATE(2026,12,31)))</f>
        <v/>
      </c>
      <c r="F18" s="19">
        <f>IF($A18="","",COUNTIFS(MUTASI!$C$2:$C$1001,$A18,MUTASI!$D$2:$D$1001,"Masuk",MUTASI!$F$2:$F$1001,"Paroki lain dalam keuskupan",MUTASI!$E$2:$E$1001,"&gt;="&amp;DATE(2026,1,1),MUTASI!$E$2:$E$1001,"&lt;="&amp;DATE(2026,12,31)))</f>
        <v/>
      </c>
      <c r="G18" s="19">
        <f>IF($A18="","",COUNTIFS(MUTASI!$C$2:$C$1001,$A18,MUTASI!$D$2:$D$1001,"Masuk",MUTASI!$F$2:$F$1001,"Keuskupan lain",MUTASI!$E$2:$E$1001,"&gt;="&amp;DATE(2026,1,1),MUTASI!$E$2:$E$1001,"&lt;="&amp;DATE(2026,12,31)))</f>
        <v/>
      </c>
      <c r="H18" s="19">
        <f>IF($A18="","",COUNTIFS(KEMATIAN!$C$2:$C$1001,$A18,KEMATIAN!$F$2:$F$1001,"&gt;="&amp;DATE(2026,1,1),KEMATIAN!$F$2:$F$1001,"&lt;="&amp;DATE(2026,12,31)))</f>
        <v/>
      </c>
      <c r="I18" s="19">
        <f>IF($A18="","",COUNTIFS(MUTASI!$C$2:$C$1001,$A18,MUTASI!$D$2:$D$1001,"Keluar",MUTASI!$F$2:$F$1001,"Paroki lain dalam keuskupan",MUTASI!$E$2:$E$1001,"&gt;="&amp;DATE(2026,1,1),MUTASI!$E$2:$E$1001,"&lt;="&amp;DATE(2026,12,31)))</f>
        <v/>
      </c>
      <c r="J18" s="19">
        <f>IF($A18="","",COUNTIFS(MUTASI!$C$2:$C$1001,$A18,MUTASI!$D$2:$D$1001,"Keluar",MUTASI!$F$2:$F$1001,"Keuskupan lain",MUTASI!$E$2:$E$1001,"&gt;="&amp;DATE(2026,1,1),MUTASI!$E$2:$E$1001,"&lt;="&amp;DATE(2026,12,31)))</f>
        <v/>
      </c>
      <c r="K18" s="19">
        <f>IF($A18="","",COUNTIFS('PINDAH AGAMA'!$C$2:$C$1001,$A18,'PINDAH AGAMA'!$D$2:$D$1001,"&gt;="&amp;DATE(2026,1,1),'PINDAH AGAMA'!$D$2:$D$1001,"&lt;="&amp;DATE(2026,12,31)))</f>
        <v/>
      </c>
      <c r="L18" s="19">
        <f>IF($A18="","",D18+E18+F18+G18-H18-I18-J18-K18)</f>
        <v/>
      </c>
      <c r="M18" s="19">
        <f>IF($A18="","",COUNTIFS('KOMUNI PERTAMA'!$C$2:$C$1001,$A18,'KOMUNI PERTAMA'!$E$2:$E$1001,"&gt;="&amp;DATE(2026,1,1),'KOMUNI PERTAMA'!$E$2:$E$1001,"&lt;="&amp;DATE(2026,12,31)))</f>
        <v/>
      </c>
      <c r="N18" s="19">
        <f>IF($A18="","",COUNTIFS('PERKAWINAN GEREJANI'!$C$2:$C$1001,$A18,'PERKAWINAN GEREJANI'!$D$2:$D$1001,"&gt;="&amp;DATE(2026,1,1),'PERKAWINAN GEREJANI'!$D$2:$D$1001,"&lt;="&amp;DATE(2026,12,31)))</f>
        <v/>
      </c>
      <c r="O18" s="19">
        <f>IF($A18="","",COUNTIFS(PEMBUBARAN!$C$2:$C$1001,$A18,PEMBUBARAN!$D$2:$D$1001,"&gt;="&amp;DATE(2026,1,1),PEMBUBARAN!$D$2:$D$1001,"&lt;="&amp;DATE(2026,12,31)))</f>
        <v/>
      </c>
      <c r="P18" s="19">
        <f>IF($A18="","",COUNTIFS('PERMINYAKAN SUCI'!$C$2:$C$1001,$A18,'PERMINYAKAN SUCI'!$E$2:$E$1001,"&gt;="&amp;DATE(2026,1,1),'PERMINYAKAN SUCI'!$E$2:$E$1001,"&lt;="&amp;DATE(2026,12,31)))</f>
        <v/>
      </c>
      <c r="Q18" s="19">
        <f>IF($A18="","",H18)</f>
        <v/>
      </c>
      <c r="R18" s="19">
        <f>IF($A18="","",COUNTIFS('SEMINARI BIARA'!$C$2:$C$1001,$A18,'SEMINARI BIARA'!$F$2:$F$1001,"Mulai masuk 2026",'SEMINARI BIARA'!$G$2:$G$1001,"&gt;="&amp;DATE(2026,1,1),'SEMINARI BIARA'!$G$2:$G$1001,"&lt;="&amp;DATE(2026,12,31)))</f>
        <v/>
      </c>
      <c r="S18" s="19">
        <f>IF($A18="","",COUNTIFS('SEMINARI BIARA'!$C$2:$C$1001,$A18,'SEMINARI BIARA'!$F$2:$F$1001,"Sedang belajar 2026"))</f>
        <v/>
      </c>
    </row>
    <row r="19" ht="14.25" customHeight="1" s="37">
      <c r="A19" s="18" t="n"/>
      <c r="B19" s="19">
        <f>IF($A19="","",COUNTIF('DATA KK'!$E$2:$E$501,$A19))</f>
        <v/>
      </c>
      <c r="C19" s="19">
        <f>IF($A19="","",COUNTIF('DATA UMAT'!$H$2:$H$2001,$A19))</f>
        <v/>
      </c>
      <c r="D19" s="19">
        <f>IF($A19="","",COUNTIFS(BAPTIS!$C$2:$C$1001,$A19,BAPTIS!$F$2:$F$1001,"&gt;="&amp;DATE(2026,1,1),BAPTIS!$F$2:$F$1001,"&lt;="&amp;DATE(2026,12,31)))</f>
        <v/>
      </c>
      <c r="E19" s="19">
        <f>IF($A19="","",COUNTIFS('DITERIMA MASUK'!$C$2:$C$1001,$A19,'DITERIMA MASUK'!$D$2:$D$1001,"&gt;="&amp;DATE(2026,1,1),'DITERIMA MASUK'!$D$2:$D$1001,"&lt;="&amp;DATE(2026,12,31)))</f>
        <v/>
      </c>
      <c r="F19" s="19">
        <f>IF($A19="","",COUNTIFS(MUTASI!$C$2:$C$1001,$A19,MUTASI!$D$2:$D$1001,"Masuk",MUTASI!$F$2:$F$1001,"Paroki lain dalam keuskupan",MUTASI!$E$2:$E$1001,"&gt;="&amp;DATE(2026,1,1),MUTASI!$E$2:$E$1001,"&lt;="&amp;DATE(2026,12,31)))</f>
        <v/>
      </c>
      <c r="G19" s="19">
        <f>IF($A19="","",COUNTIFS(MUTASI!$C$2:$C$1001,$A19,MUTASI!$D$2:$D$1001,"Masuk",MUTASI!$F$2:$F$1001,"Keuskupan lain",MUTASI!$E$2:$E$1001,"&gt;="&amp;DATE(2026,1,1),MUTASI!$E$2:$E$1001,"&lt;="&amp;DATE(2026,12,31)))</f>
        <v/>
      </c>
      <c r="H19" s="19">
        <f>IF($A19="","",COUNTIFS(KEMATIAN!$C$2:$C$1001,$A19,KEMATIAN!$F$2:$F$1001,"&gt;="&amp;DATE(2026,1,1),KEMATIAN!$F$2:$F$1001,"&lt;="&amp;DATE(2026,12,31)))</f>
        <v/>
      </c>
      <c r="I19" s="19">
        <f>IF($A19="","",COUNTIFS(MUTASI!$C$2:$C$1001,$A19,MUTASI!$D$2:$D$1001,"Keluar",MUTASI!$F$2:$F$1001,"Paroki lain dalam keuskupan",MUTASI!$E$2:$E$1001,"&gt;="&amp;DATE(2026,1,1),MUTASI!$E$2:$E$1001,"&lt;="&amp;DATE(2026,12,31)))</f>
        <v/>
      </c>
      <c r="J19" s="19">
        <f>IF($A19="","",COUNTIFS(MUTASI!$C$2:$C$1001,$A19,MUTASI!$D$2:$D$1001,"Keluar",MUTASI!$F$2:$F$1001,"Keuskupan lain",MUTASI!$E$2:$E$1001,"&gt;="&amp;DATE(2026,1,1),MUTASI!$E$2:$E$1001,"&lt;="&amp;DATE(2026,12,31)))</f>
        <v/>
      </c>
      <c r="K19" s="19">
        <f>IF($A19="","",COUNTIFS('PINDAH AGAMA'!$C$2:$C$1001,$A19,'PINDAH AGAMA'!$D$2:$D$1001,"&gt;="&amp;DATE(2026,1,1),'PINDAH AGAMA'!$D$2:$D$1001,"&lt;="&amp;DATE(2026,12,31)))</f>
        <v/>
      </c>
      <c r="L19" s="19">
        <f>IF($A19="","",D19+E19+F19+G19-H19-I19-J19-K19)</f>
        <v/>
      </c>
      <c r="M19" s="19">
        <f>IF($A19="","",COUNTIFS('KOMUNI PERTAMA'!$C$2:$C$1001,$A19,'KOMUNI PERTAMA'!$E$2:$E$1001,"&gt;="&amp;DATE(2026,1,1),'KOMUNI PERTAMA'!$E$2:$E$1001,"&lt;="&amp;DATE(2026,12,31)))</f>
        <v/>
      </c>
      <c r="N19" s="19">
        <f>IF($A19="","",COUNTIFS('PERKAWINAN GEREJANI'!$C$2:$C$1001,$A19,'PERKAWINAN GEREJANI'!$D$2:$D$1001,"&gt;="&amp;DATE(2026,1,1),'PERKAWINAN GEREJANI'!$D$2:$D$1001,"&lt;="&amp;DATE(2026,12,31)))</f>
        <v/>
      </c>
      <c r="O19" s="19">
        <f>IF($A19="","",COUNTIFS(PEMBUBARAN!$C$2:$C$1001,$A19,PEMBUBARAN!$D$2:$D$1001,"&gt;="&amp;DATE(2026,1,1),PEMBUBARAN!$D$2:$D$1001,"&lt;="&amp;DATE(2026,12,31)))</f>
        <v/>
      </c>
      <c r="P19" s="19">
        <f>IF($A19="","",COUNTIFS('PERMINYAKAN SUCI'!$C$2:$C$1001,$A19,'PERMINYAKAN SUCI'!$E$2:$E$1001,"&gt;="&amp;DATE(2026,1,1),'PERMINYAKAN SUCI'!$E$2:$E$1001,"&lt;="&amp;DATE(2026,12,31)))</f>
        <v/>
      </c>
      <c r="Q19" s="19">
        <f>IF($A19="","",H19)</f>
        <v/>
      </c>
      <c r="R19" s="19">
        <f>IF($A19="","",COUNTIFS('SEMINARI BIARA'!$C$2:$C$1001,$A19,'SEMINARI BIARA'!$F$2:$F$1001,"Mulai masuk 2026",'SEMINARI BIARA'!$G$2:$G$1001,"&gt;="&amp;DATE(2026,1,1),'SEMINARI BIARA'!$G$2:$G$1001,"&lt;="&amp;DATE(2026,12,31)))</f>
        <v/>
      </c>
      <c r="S19" s="19">
        <f>IF($A19="","",COUNTIFS('SEMINARI BIARA'!$C$2:$C$1001,$A19,'SEMINARI BIARA'!$F$2:$F$1001,"Sedang belajar 2026"))</f>
        <v/>
      </c>
    </row>
    <row r="20" ht="14.25" customHeight="1" s="37">
      <c r="A20" s="18" t="n"/>
      <c r="B20" s="19">
        <f>IF($A20="","",COUNTIF('DATA KK'!$E$2:$E$501,$A20))</f>
        <v/>
      </c>
      <c r="C20" s="19">
        <f>IF($A20="","",COUNTIF('DATA UMAT'!$H$2:$H$2001,$A20))</f>
        <v/>
      </c>
      <c r="D20" s="19">
        <f>IF($A20="","",COUNTIFS(BAPTIS!$C$2:$C$1001,$A20,BAPTIS!$F$2:$F$1001,"&gt;="&amp;DATE(2026,1,1),BAPTIS!$F$2:$F$1001,"&lt;="&amp;DATE(2026,12,31)))</f>
        <v/>
      </c>
      <c r="E20" s="19">
        <f>IF($A20="","",COUNTIFS('DITERIMA MASUK'!$C$2:$C$1001,$A20,'DITERIMA MASUK'!$D$2:$D$1001,"&gt;="&amp;DATE(2026,1,1),'DITERIMA MASUK'!$D$2:$D$1001,"&lt;="&amp;DATE(2026,12,31)))</f>
        <v/>
      </c>
      <c r="F20" s="19">
        <f>IF($A20="","",COUNTIFS(MUTASI!$C$2:$C$1001,$A20,MUTASI!$D$2:$D$1001,"Masuk",MUTASI!$F$2:$F$1001,"Paroki lain dalam keuskupan",MUTASI!$E$2:$E$1001,"&gt;="&amp;DATE(2026,1,1),MUTASI!$E$2:$E$1001,"&lt;="&amp;DATE(2026,12,31)))</f>
        <v/>
      </c>
      <c r="G20" s="19">
        <f>IF($A20="","",COUNTIFS(MUTASI!$C$2:$C$1001,$A20,MUTASI!$D$2:$D$1001,"Masuk",MUTASI!$F$2:$F$1001,"Keuskupan lain",MUTASI!$E$2:$E$1001,"&gt;="&amp;DATE(2026,1,1),MUTASI!$E$2:$E$1001,"&lt;="&amp;DATE(2026,12,31)))</f>
        <v/>
      </c>
      <c r="H20" s="19">
        <f>IF($A20="","",COUNTIFS(KEMATIAN!$C$2:$C$1001,$A20,KEMATIAN!$F$2:$F$1001,"&gt;="&amp;DATE(2026,1,1),KEMATIAN!$F$2:$F$1001,"&lt;="&amp;DATE(2026,12,31)))</f>
        <v/>
      </c>
      <c r="I20" s="19">
        <f>IF($A20="","",COUNTIFS(MUTASI!$C$2:$C$1001,$A20,MUTASI!$D$2:$D$1001,"Keluar",MUTASI!$F$2:$F$1001,"Paroki lain dalam keuskupan",MUTASI!$E$2:$E$1001,"&gt;="&amp;DATE(2026,1,1),MUTASI!$E$2:$E$1001,"&lt;="&amp;DATE(2026,12,31)))</f>
        <v/>
      </c>
      <c r="J20" s="19">
        <f>IF($A20="","",COUNTIFS(MUTASI!$C$2:$C$1001,$A20,MUTASI!$D$2:$D$1001,"Keluar",MUTASI!$F$2:$F$1001,"Keuskupan lain",MUTASI!$E$2:$E$1001,"&gt;="&amp;DATE(2026,1,1),MUTASI!$E$2:$E$1001,"&lt;="&amp;DATE(2026,12,31)))</f>
        <v/>
      </c>
      <c r="K20" s="19">
        <f>IF($A20="","",COUNTIFS('PINDAH AGAMA'!$C$2:$C$1001,$A20,'PINDAH AGAMA'!$D$2:$D$1001,"&gt;="&amp;DATE(2026,1,1),'PINDAH AGAMA'!$D$2:$D$1001,"&lt;="&amp;DATE(2026,12,31)))</f>
        <v/>
      </c>
      <c r="L20" s="19">
        <f>IF($A20="","",D20+E20+F20+G20-H20-I20-J20-K20)</f>
        <v/>
      </c>
      <c r="M20" s="19">
        <f>IF($A20="","",COUNTIFS('KOMUNI PERTAMA'!$C$2:$C$1001,$A20,'KOMUNI PERTAMA'!$E$2:$E$1001,"&gt;="&amp;DATE(2026,1,1),'KOMUNI PERTAMA'!$E$2:$E$1001,"&lt;="&amp;DATE(2026,12,31)))</f>
        <v/>
      </c>
      <c r="N20" s="19">
        <f>IF($A20="","",COUNTIFS('PERKAWINAN GEREJANI'!$C$2:$C$1001,$A20,'PERKAWINAN GEREJANI'!$D$2:$D$1001,"&gt;="&amp;DATE(2026,1,1),'PERKAWINAN GEREJANI'!$D$2:$D$1001,"&lt;="&amp;DATE(2026,12,31)))</f>
        <v/>
      </c>
      <c r="O20" s="19">
        <f>IF($A20="","",COUNTIFS(PEMBUBARAN!$C$2:$C$1001,$A20,PEMBUBARAN!$D$2:$D$1001,"&gt;="&amp;DATE(2026,1,1),PEMBUBARAN!$D$2:$D$1001,"&lt;="&amp;DATE(2026,12,31)))</f>
        <v/>
      </c>
      <c r="P20" s="19">
        <f>IF($A20="","",COUNTIFS('PERMINYAKAN SUCI'!$C$2:$C$1001,$A20,'PERMINYAKAN SUCI'!$E$2:$E$1001,"&gt;="&amp;DATE(2026,1,1),'PERMINYAKAN SUCI'!$E$2:$E$1001,"&lt;="&amp;DATE(2026,12,31)))</f>
        <v/>
      </c>
      <c r="Q20" s="19">
        <f>IF($A20="","",H20)</f>
        <v/>
      </c>
      <c r="R20" s="19">
        <f>IF($A20="","",COUNTIFS('SEMINARI BIARA'!$C$2:$C$1001,$A20,'SEMINARI BIARA'!$F$2:$F$1001,"Mulai masuk 2026",'SEMINARI BIARA'!$G$2:$G$1001,"&gt;="&amp;DATE(2026,1,1),'SEMINARI BIARA'!$G$2:$G$1001,"&lt;="&amp;DATE(2026,12,31)))</f>
        <v/>
      </c>
      <c r="S20" s="19">
        <f>IF($A20="","",COUNTIFS('SEMINARI BIARA'!$C$2:$C$1001,$A20,'SEMINARI BIARA'!$F$2:$F$1001,"Sedang belajar 2026"))</f>
        <v/>
      </c>
    </row>
    <row r="21" ht="14.25" customHeight="1" s="37">
      <c r="A21" s="18" t="n"/>
      <c r="B21" s="19">
        <f>IF($A21="","",COUNTIF('DATA KK'!$E$2:$E$501,$A21))</f>
        <v/>
      </c>
      <c r="C21" s="19">
        <f>IF($A21="","",COUNTIF('DATA UMAT'!$H$2:$H$2001,$A21))</f>
        <v/>
      </c>
      <c r="D21" s="19">
        <f>IF($A21="","",COUNTIFS(BAPTIS!$C$2:$C$1001,$A21,BAPTIS!$F$2:$F$1001,"&gt;="&amp;DATE(2026,1,1),BAPTIS!$F$2:$F$1001,"&lt;="&amp;DATE(2026,12,31)))</f>
        <v/>
      </c>
      <c r="E21" s="19">
        <f>IF($A21="","",COUNTIFS('DITERIMA MASUK'!$C$2:$C$1001,$A21,'DITERIMA MASUK'!$D$2:$D$1001,"&gt;="&amp;DATE(2026,1,1),'DITERIMA MASUK'!$D$2:$D$1001,"&lt;="&amp;DATE(2026,12,31)))</f>
        <v/>
      </c>
      <c r="F21" s="19">
        <f>IF($A21="","",COUNTIFS(MUTASI!$C$2:$C$1001,$A21,MUTASI!$D$2:$D$1001,"Masuk",MUTASI!$F$2:$F$1001,"Paroki lain dalam keuskupan",MUTASI!$E$2:$E$1001,"&gt;="&amp;DATE(2026,1,1),MUTASI!$E$2:$E$1001,"&lt;="&amp;DATE(2026,12,31)))</f>
        <v/>
      </c>
      <c r="G21" s="19">
        <f>IF($A21="","",COUNTIFS(MUTASI!$C$2:$C$1001,$A21,MUTASI!$D$2:$D$1001,"Masuk",MUTASI!$F$2:$F$1001,"Keuskupan lain",MUTASI!$E$2:$E$1001,"&gt;="&amp;DATE(2026,1,1),MUTASI!$E$2:$E$1001,"&lt;="&amp;DATE(2026,12,31)))</f>
        <v/>
      </c>
      <c r="H21" s="19">
        <f>IF($A21="","",COUNTIFS(KEMATIAN!$C$2:$C$1001,$A21,KEMATIAN!$F$2:$F$1001,"&gt;="&amp;DATE(2026,1,1),KEMATIAN!$F$2:$F$1001,"&lt;="&amp;DATE(2026,12,31)))</f>
        <v/>
      </c>
      <c r="I21" s="19">
        <f>IF($A21="","",COUNTIFS(MUTASI!$C$2:$C$1001,$A21,MUTASI!$D$2:$D$1001,"Keluar",MUTASI!$F$2:$F$1001,"Paroki lain dalam keuskupan",MUTASI!$E$2:$E$1001,"&gt;="&amp;DATE(2026,1,1),MUTASI!$E$2:$E$1001,"&lt;="&amp;DATE(2026,12,31)))</f>
        <v/>
      </c>
      <c r="J21" s="19">
        <f>IF($A21="","",COUNTIFS(MUTASI!$C$2:$C$1001,$A21,MUTASI!$D$2:$D$1001,"Keluar",MUTASI!$F$2:$F$1001,"Keuskupan lain",MUTASI!$E$2:$E$1001,"&gt;="&amp;DATE(2026,1,1),MUTASI!$E$2:$E$1001,"&lt;="&amp;DATE(2026,12,31)))</f>
        <v/>
      </c>
      <c r="K21" s="19">
        <f>IF($A21="","",COUNTIFS('PINDAH AGAMA'!$C$2:$C$1001,$A21,'PINDAH AGAMA'!$D$2:$D$1001,"&gt;="&amp;DATE(2026,1,1),'PINDAH AGAMA'!$D$2:$D$1001,"&lt;="&amp;DATE(2026,12,31)))</f>
        <v/>
      </c>
      <c r="L21" s="19">
        <f>IF($A21="","",D21+E21+F21+G21-H21-I21-J21-K21)</f>
        <v/>
      </c>
      <c r="M21" s="19">
        <f>IF($A21="","",COUNTIFS('KOMUNI PERTAMA'!$C$2:$C$1001,$A21,'KOMUNI PERTAMA'!$E$2:$E$1001,"&gt;="&amp;DATE(2026,1,1),'KOMUNI PERTAMA'!$E$2:$E$1001,"&lt;="&amp;DATE(2026,12,31)))</f>
        <v/>
      </c>
      <c r="N21" s="19">
        <f>IF($A21="","",COUNTIFS('PERKAWINAN GEREJANI'!$C$2:$C$1001,$A21,'PERKAWINAN GEREJANI'!$D$2:$D$1001,"&gt;="&amp;DATE(2026,1,1),'PERKAWINAN GEREJANI'!$D$2:$D$1001,"&lt;="&amp;DATE(2026,12,31)))</f>
        <v/>
      </c>
      <c r="O21" s="19">
        <f>IF($A21="","",COUNTIFS(PEMBUBARAN!$C$2:$C$1001,$A21,PEMBUBARAN!$D$2:$D$1001,"&gt;="&amp;DATE(2026,1,1),PEMBUBARAN!$D$2:$D$1001,"&lt;="&amp;DATE(2026,12,31)))</f>
        <v/>
      </c>
      <c r="P21" s="19">
        <f>IF($A21="","",COUNTIFS('PERMINYAKAN SUCI'!$C$2:$C$1001,$A21,'PERMINYAKAN SUCI'!$E$2:$E$1001,"&gt;="&amp;DATE(2026,1,1),'PERMINYAKAN SUCI'!$E$2:$E$1001,"&lt;="&amp;DATE(2026,12,31)))</f>
        <v/>
      </c>
      <c r="Q21" s="19">
        <f>IF($A21="","",H21)</f>
        <v/>
      </c>
      <c r="R21" s="19">
        <f>IF($A21="","",COUNTIFS('SEMINARI BIARA'!$C$2:$C$1001,$A21,'SEMINARI BIARA'!$F$2:$F$1001,"Mulai masuk 2026",'SEMINARI BIARA'!$G$2:$G$1001,"&gt;="&amp;DATE(2026,1,1),'SEMINARI BIARA'!$G$2:$G$1001,"&lt;="&amp;DATE(2026,12,31)))</f>
        <v/>
      </c>
      <c r="S21" s="19">
        <f>IF($A21="","",COUNTIFS('SEMINARI BIARA'!$C$2:$C$1001,$A21,'SEMINARI BIARA'!$F$2:$F$1001,"Sedang belajar 2026"))</f>
        <v/>
      </c>
    </row>
    <row r="22" ht="14.25" customHeight="1" s="37">
      <c r="A22" s="18" t="n"/>
      <c r="B22" s="19">
        <f>IF($A22="","",COUNTIF('DATA KK'!$E$2:$E$501,$A22))</f>
        <v/>
      </c>
      <c r="C22" s="19">
        <f>IF($A22="","",COUNTIF('DATA UMAT'!$H$2:$H$2001,$A22))</f>
        <v/>
      </c>
      <c r="D22" s="19">
        <f>IF($A22="","",COUNTIFS(BAPTIS!$C$2:$C$1001,$A22,BAPTIS!$F$2:$F$1001,"&gt;="&amp;DATE(2026,1,1),BAPTIS!$F$2:$F$1001,"&lt;="&amp;DATE(2026,12,31)))</f>
        <v/>
      </c>
      <c r="E22" s="19">
        <f>IF($A22="","",COUNTIFS('DITERIMA MASUK'!$C$2:$C$1001,$A22,'DITERIMA MASUK'!$D$2:$D$1001,"&gt;="&amp;DATE(2026,1,1),'DITERIMA MASUK'!$D$2:$D$1001,"&lt;="&amp;DATE(2026,12,31)))</f>
        <v/>
      </c>
      <c r="F22" s="19">
        <f>IF($A22="","",COUNTIFS(MUTASI!$C$2:$C$1001,$A22,MUTASI!$D$2:$D$1001,"Masuk",MUTASI!$F$2:$F$1001,"Paroki lain dalam keuskupan",MUTASI!$E$2:$E$1001,"&gt;="&amp;DATE(2026,1,1),MUTASI!$E$2:$E$1001,"&lt;="&amp;DATE(2026,12,31)))</f>
        <v/>
      </c>
      <c r="G22" s="19">
        <f>IF($A22="","",COUNTIFS(MUTASI!$C$2:$C$1001,$A22,MUTASI!$D$2:$D$1001,"Masuk",MUTASI!$F$2:$F$1001,"Keuskupan lain",MUTASI!$E$2:$E$1001,"&gt;="&amp;DATE(2026,1,1),MUTASI!$E$2:$E$1001,"&lt;="&amp;DATE(2026,12,31)))</f>
        <v/>
      </c>
      <c r="H22" s="19">
        <f>IF($A22="","",COUNTIFS(KEMATIAN!$C$2:$C$1001,$A22,KEMATIAN!$F$2:$F$1001,"&gt;="&amp;DATE(2026,1,1),KEMATIAN!$F$2:$F$1001,"&lt;="&amp;DATE(2026,12,31)))</f>
        <v/>
      </c>
      <c r="I22" s="19">
        <f>IF($A22="","",COUNTIFS(MUTASI!$C$2:$C$1001,$A22,MUTASI!$D$2:$D$1001,"Keluar",MUTASI!$F$2:$F$1001,"Paroki lain dalam keuskupan",MUTASI!$E$2:$E$1001,"&gt;="&amp;DATE(2026,1,1),MUTASI!$E$2:$E$1001,"&lt;="&amp;DATE(2026,12,31)))</f>
        <v/>
      </c>
      <c r="J22" s="19">
        <f>IF($A22="","",COUNTIFS(MUTASI!$C$2:$C$1001,$A22,MUTASI!$D$2:$D$1001,"Keluar",MUTASI!$F$2:$F$1001,"Keuskupan lain",MUTASI!$E$2:$E$1001,"&gt;="&amp;DATE(2026,1,1),MUTASI!$E$2:$E$1001,"&lt;="&amp;DATE(2026,12,31)))</f>
        <v/>
      </c>
      <c r="K22" s="19">
        <f>IF($A22="","",COUNTIFS('PINDAH AGAMA'!$C$2:$C$1001,$A22,'PINDAH AGAMA'!$D$2:$D$1001,"&gt;="&amp;DATE(2026,1,1),'PINDAH AGAMA'!$D$2:$D$1001,"&lt;="&amp;DATE(2026,12,31)))</f>
        <v/>
      </c>
      <c r="L22" s="19">
        <f>IF($A22="","",D22+E22+F22+G22-H22-I22-J22-K22)</f>
        <v/>
      </c>
      <c r="M22" s="19">
        <f>IF($A22="","",COUNTIFS('KOMUNI PERTAMA'!$C$2:$C$1001,$A22,'KOMUNI PERTAMA'!$E$2:$E$1001,"&gt;="&amp;DATE(2026,1,1),'KOMUNI PERTAMA'!$E$2:$E$1001,"&lt;="&amp;DATE(2026,12,31)))</f>
        <v/>
      </c>
      <c r="N22" s="19">
        <f>IF($A22="","",COUNTIFS('PERKAWINAN GEREJANI'!$C$2:$C$1001,$A22,'PERKAWINAN GEREJANI'!$D$2:$D$1001,"&gt;="&amp;DATE(2026,1,1),'PERKAWINAN GEREJANI'!$D$2:$D$1001,"&lt;="&amp;DATE(2026,12,31)))</f>
        <v/>
      </c>
      <c r="O22" s="19">
        <f>IF($A22="","",COUNTIFS(PEMBUBARAN!$C$2:$C$1001,$A22,PEMBUBARAN!$D$2:$D$1001,"&gt;="&amp;DATE(2026,1,1),PEMBUBARAN!$D$2:$D$1001,"&lt;="&amp;DATE(2026,12,31)))</f>
        <v/>
      </c>
      <c r="P22" s="19">
        <f>IF($A22="","",COUNTIFS('PERMINYAKAN SUCI'!$C$2:$C$1001,$A22,'PERMINYAKAN SUCI'!$E$2:$E$1001,"&gt;="&amp;DATE(2026,1,1),'PERMINYAKAN SUCI'!$E$2:$E$1001,"&lt;="&amp;DATE(2026,12,31)))</f>
        <v/>
      </c>
      <c r="Q22" s="19">
        <f>IF($A22="","",H22)</f>
        <v/>
      </c>
      <c r="R22" s="19">
        <f>IF($A22="","",COUNTIFS('SEMINARI BIARA'!$C$2:$C$1001,$A22,'SEMINARI BIARA'!$F$2:$F$1001,"Mulai masuk 2026",'SEMINARI BIARA'!$G$2:$G$1001,"&gt;="&amp;DATE(2026,1,1),'SEMINARI BIARA'!$G$2:$G$1001,"&lt;="&amp;DATE(2026,12,31)))</f>
        <v/>
      </c>
      <c r="S22" s="19">
        <f>IF($A22="","",COUNTIFS('SEMINARI BIARA'!$C$2:$C$1001,$A22,'SEMINARI BIARA'!$F$2:$F$1001,"Sedang belajar 2026"))</f>
        <v/>
      </c>
    </row>
    <row r="23" ht="14.25" customHeight="1" s="37">
      <c r="A23" s="18" t="n"/>
      <c r="B23" s="19">
        <f>IF($A23="","",COUNTIF('DATA KK'!$E$2:$E$501,$A23))</f>
        <v/>
      </c>
      <c r="C23" s="19">
        <f>IF($A23="","",COUNTIF('DATA UMAT'!$H$2:$H$2001,$A23))</f>
        <v/>
      </c>
      <c r="D23" s="19">
        <f>IF($A23="","",COUNTIFS(BAPTIS!$C$2:$C$1001,$A23,BAPTIS!$F$2:$F$1001,"&gt;="&amp;DATE(2026,1,1),BAPTIS!$F$2:$F$1001,"&lt;="&amp;DATE(2026,12,31)))</f>
        <v/>
      </c>
      <c r="E23" s="19">
        <f>IF($A23="","",COUNTIFS('DITERIMA MASUK'!$C$2:$C$1001,$A23,'DITERIMA MASUK'!$D$2:$D$1001,"&gt;="&amp;DATE(2026,1,1),'DITERIMA MASUK'!$D$2:$D$1001,"&lt;="&amp;DATE(2026,12,31)))</f>
        <v/>
      </c>
      <c r="F23" s="19">
        <f>IF($A23="","",COUNTIFS(MUTASI!$C$2:$C$1001,$A23,MUTASI!$D$2:$D$1001,"Masuk",MUTASI!$F$2:$F$1001,"Paroki lain dalam keuskupan",MUTASI!$E$2:$E$1001,"&gt;="&amp;DATE(2026,1,1),MUTASI!$E$2:$E$1001,"&lt;="&amp;DATE(2026,12,31)))</f>
        <v/>
      </c>
      <c r="G23" s="19">
        <f>IF($A23="","",COUNTIFS(MUTASI!$C$2:$C$1001,$A23,MUTASI!$D$2:$D$1001,"Masuk",MUTASI!$F$2:$F$1001,"Keuskupan lain",MUTASI!$E$2:$E$1001,"&gt;="&amp;DATE(2026,1,1),MUTASI!$E$2:$E$1001,"&lt;="&amp;DATE(2026,12,31)))</f>
        <v/>
      </c>
      <c r="H23" s="19">
        <f>IF($A23="","",COUNTIFS(KEMATIAN!$C$2:$C$1001,$A23,KEMATIAN!$F$2:$F$1001,"&gt;="&amp;DATE(2026,1,1),KEMATIAN!$F$2:$F$1001,"&lt;="&amp;DATE(2026,12,31)))</f>
        <v/>
      </c>
      <c r="I23" s="19">
        <f>IF($A23="","",COUNTIFS(MUTASI!$C$2:$C$1001,$A23,MUTASI!$D$2:$D$1001,"Keluar",MUTASI!$F$2:$F$1001,"Paroki lain dalam keuskupan",MUTASI!$E$2:$E$1001,"&gt;="&amp;DATE(2026,1,1),MUTASI!$E$2:$E$1001,"&lt;="&amp;DATE(2026,12,31)))</f>
        <v/>
      </c>
      <c r="J23" s="19">
        <f>IF($A23="","",COUNTIFS(MUTASI!$C$2:$C$1001,$A23,MUTASI!$D$2:$D$1001,"Keluar",MUTASI!$F$2:$F$1001,"Keuskupan lain",MUTASI!$E$2:$E$1001,"&gt;="&amp;DATE(2026,1,1),MUTASI!$E$2:$E$1001,"&lt;="&amp;DATE(2026,12,31)))</f>
        <v/>
      </c>
      <c r="K23" s="19">
        <f>IF($A23="","",COUNTIFS('PINDAH AGAMA'!$C$2:$C$1001,$A23,'PINDAH AGAMA'!$D$2:$D$1001,"&gt;="&amp;DATE(2026,1,1),'PINDAH AGAMA'!$D$2:$D$1001,"&lt;="&amp;DATE(2026,12,31)))</f>
        <v/>
      </c>
      <c r="L23" s="19">
        <f>IF($A23="","",D23+E23+F23+G23-H23-I23-J23-K23)</f>
        <v/>
      </c>
      <c r="M23" s="19">
        <f>IF($A23="","",COUNTIFS('KOMUNI PERTAMA'!$C$2:$C$1001,$A23,'KOMUNI PERTAMA'!$E$2:$E$1001,"&gt;="&amp;DATE(2026,1,1),'KOMUNI PERTAMA'!$E$2:$E$1001,"&lt;="&amp;DATE(2026,12,31)))</f>
        <v/>
      </c>
      <c r="N23" s="19">
        <f>IF($A23="","",COUNTIFS('PERKAWINAN GEREJANI'!$C$2:$C$1001,$A23,'PERKAWINAN GEREJANI'!$D$2:$D$1001,"&gt;="&amp;DATE(2026,1,1),'PERKAWINAN GEREJANI'!$D$2:$D$1001,"&lt;="&amp;DATE(2026,12,31)))</f>
        <v/>
      </c>
      <c r="O23" s="19">
        <f>IF($A23="","",COUNTIFS(PEMBUBARAN!$C$2:$C$1001,$A23,PEMBUBARAN!$D$2:$D$1001,"&gt;="&amp;DATE(2026,1,1),PEMBUBARAN!$D$2:$D$1001,"&lt;="&amp;DATE(2026,12,31)))</f>
        <v/>
      </c>
      <c r="P23" s="19">
        <f>IF($A23="","",COUNTIFS('PERMINYAKAN SUCI'!$C$2:$C$1001,$A23,'PERMINYAKAN SUCI'!$E$2:$E$1001,"&gt;="&amp;DATE(2026,1,1),'PERMINYAKAN SUCI'!$E$2:$E$1001,"&lt;="&amp;DATE(2026,12,31)))</f>
        <v/>
      </c>
      <c r="Q23" s="19">
        <f>IF($A23="","",H23)</f>
        <v/>
      </c>
      <c r="R23" s="19">
        <f>IF($A23="","",COUNTIFS('SEMINARI BIARA'!$C$2:$C$1001,$A23,'SEMINARI BIARA'!$F$2:$F$1001,"Mulai masuk 2026",'SEMINARI BIARA'!$G$2:$G$1001,"&gt;="&amp;DATE(2026,1,1),'SEMINARI BIARA'!$G$2:$G$1001,"&lt;="&amp;DATE(2026,12,31)))</f>
        <v/>
      </c>
      <c r="S23" s="19">
        <f>IF($A23="","",COUNTIFS('SEMINARI BIARA'!$C$2:$C$1001,$A23,'SEMINARI BIARA'!$F$2:$F$1001,"Sedang belajar 2026"))</f>
        <v/>
      </c>
    </row>
    <row r="24" ht="14.25" customHeight="1" s="37">
      <c r="A24" s="18" t="n"/>
      <c r="B24" s="19">
        <f>IF($A24="","",COUNTIF('DATA KK'!$E$2:$E$501,$A24))</f>
        <v/>
      </c>
      <c r="C24" s="19">
        <f>IF($A24="","",COUNTIF('DATA UMAT'!$H$2:$H$2001,$A24))</f>
        <v/>
      </c>
      <c r="D24" s="19">
        <f>IF($A24="","",COUNTIFS(BAPTIS!$C$2:$C$1001,$A24,BAPTIS!$F$2:$F$1001,"&gt;="&amp;DATE(2026,1,1),BAPTIS!$F$2:$F$1001,"&lt;="&amp;DATE(2026,12,31)))</f>
        <v/>
      </c>
      <c r="E24" s="19">
        <f>IF($A24="","",COUNTIFS('DITERIMA MASUK'!$C$2:$C$1001,$A24,'DITERIMA MASUK'!$D$2:$D$1001,"&gt;="&amp;DATE(2026,1,1),'DITERIMA MASUK'!$D$2:$D$1001,"&lt;="&amp;DATE(2026,12,31)))</f>
        <v/>
      </c>
      <c r="F24" s="19">
        <f>IF($A24="","",COUNTIFS(MUTASI!$C$2:$C$1001,$A24,MUTASI!$D$2:$D$1001,"Masuk",MUTASI!$F$2:$F$1001,"Paroki lain dalam keuskupan",MUTASI!$E$2:$E$1001,"&gt;="&amp;DATE(2026,1,1),MUTASI!$E$2:$E$1001,"&lt;="&amp;DATE(2026,12,31)))</f>
        <v/>
      </c>
      <c r="G24" s="19">
        <f>IF($A24="","",COUNTIFS(MUTASI!$C$2:$C$1001,$A24,MUTASI!$D$2:$D$1001,"Masuk",MUTASI!$F$2:$F$1001,"Keuskupan lain",MUTASI!$E$2:$E$1001,"&gt;="&amp;DATE(2026,1,1),MUTASI!$E$2:$E$1001,"&lt;="&amp;DATE(2026,12,31)))</f>
        <v/>
      </c>
      <c r="H24" s="19">
        <f>IF($A24="","",COUNTIFS(KEMATIAN!$C$2:$C$1001,$A24,KEMATIAN!$F$2:$F$1001,"&gt;="&amp;DATE(2026,1,1),KEMATIAN!$F$2:$F$1001,"&lt;="&amp;DATE(2026,12,31)))</f>
        <v/>
      </c>
      <c r="I24" s="19">
        <f>IF($A24="","",COUNTIFS(MUTASI!$C$2:$C$1001,$A24,MUTASI!$D$2:$D$1001,"Keluar",MUTASI!$F$2:$F$1001,"Paroki lain dalam keuskupan",MUTASI!$E$2:$E$1001,"&gt;="&amp;DATE(2026,1,1),MUTASI!$E$2:$E$1001,"&lt;="&amp;DATE(2026,12,31)))</f>
        <v/>
      </c>
      <c r="J24" s="19">
        <f>IF($A24="","",COUNTIFS(MUTASI!$C$2:$C$1001,$A24,MUTASI!$D$2:$D$1001,"Keluar",MUTASI!$F$2:$F$1001,"Keuskupan lain",MUTASI!$E$2:$E$1001,"&gt;="&amp;DATE(2026,1,1),MUTASI!$E$2:$E$1001,"&lt;="&amp;DATE(2026,12,31)))</f>
        <v/>
      </c>
      <c r="K24" s="19">
        <f>IF($A24="","",COUNTIFS('PINDAH AGAMA'!$C$2:$C$1001,$A24,'PINDAH AGAMA'!$D$2:$D$1001,"&gt;="&amp;DATE(2026,1,1),'PINDAH AGAMA'!$D$2:$D$1001,"&lt;="&amp;DATE(2026,12,31)))</f>
        <v/>
      </c>
      <c r="L24" s="19">
        <f>IF($A24="","",D24+E24+F24+G24-H24-I24-J24-K24)</f>
        <v/>
      </c>
      <c r="M24" s="19">
        <f>IF($A24="","",COUNTIFS('KOMUNI PERTAMA'!$C$2:$C$1001,$A24,'KOMUNI PERTAMA'!$E$2:$E$1001,"&gt;="&amp;DATE(2026,1,1),'KOMUNI PERTAMA'!$E$2:$E$1001,"&lt;="&amp;DATE(2026,12,31)))</f>
        <v/>
      </c>
      <c r="N24" s="19">
        <f>IF($A24="","",COUNTIFS('PERKAWINAN GEREJANI'!$C$2:$C$1001,$A24,'PERKAWINAN GEREJANI'!$D$2:$D$1001,"&gt;="&amp;DATE(2026,1,1),'PERKAWINAN GEREJANI'!$D$2:$D$1001,"&lt;="&amp;DATE(2026,12,31)))</f>
        <v/>
      </c>
      <c r="O24" s="19">
        <f>IF($A24="","",COUNTIFS(PEMBUBARAN!$C$2:$C$1001,$A24,PEMBUBARAN!$D$2:$D$1001,"&gt;="&amp;DATE(2026,1,1),PEMBUBARAN!$D$2:$D$1001,"&lt;="&amp;DATE(2026,12,31)))</f>
        <v/>
      </c>
      <c r="P24" s="19">
        <f>IF($A24="","",COUNTIFS('PERMINYAKAN SUCI'!$C$2:$C$1001,$A24,'PERMINYAKAN SUCI'!$E$2:$E$1001,"&gt;="&amp;DATE(2026,1,1),'PERMINYAKAN SUCI'!$E$2:$E$1001,"&lt;="&amp;DATE(2026,12,31)))</f>
        <v/>
      </c>
      <c r="Q24" s="19">
        <f>IF($A24="","",H24)</f>
        <v/>
      </c>
      <c r="R24" s="19">
        <f>IF($A24="","",COUNTIFS('SEMINARI BIARA'!$C$2:$C$1001,$A24,'SEMINARI BIARA'!$F$2:$F$1001,"Mulai masuk 2026",'SEMINARI BIARA'!$G$2:$G$1001,"&gt;="&amp;DATE(2026,1,1),'SEMINARI BIARA'!$G$2:$G$1001,"&lt;="&amp;DATE(2026,12,31)))</f>
        <v/>
      </c>
      <c r="S24" s="19">
        <f>IF($A24="","",COUNTIFS('SEMINARI BIARA'!$C$2:$C$1001,$A24,'SEMINARI BIARA'!$F$2:$F$1001,"Sedang belajar 2026"))</f>
        <v/>
      </c>
    </row>
    <row r="25" ht="14.25" customHeight="1" s="37">
      <c r="A25" s="18" t="n"/>
      <c r="B25" s="19">
        <f>IF($A25="","",COUNTIF('DATA KK'!$E$2:$E$501,$A25))</f>
        <v/>
      </c>
      <c r="C25" s="19">
        <f>IF($A25="","",COUNTIF('DATA UMAT'!$H$2:$H$2001,$A25))</f>
        <v/>
      </c>
      <c r="D25" s="19">
        <f>IF($A25="","",COUNTIFS(BAPTIS!$C$2:$C$1001,$A25,BAPTIS!$F$2:$F$1001,"&gt;="&amp;DATE(2026,1,1),BAPTIS!$F$2:$F$1001,"&lt;="&amp;DATE(2026,12,31)))</f>
        <v/>
      </c>
      <c r="E25" s="19">
        <f>IF($A25="","",COUNTIFS('DITERIMA MASUK'!$C$2:$C$1001,$A25,'DITERIMA MASUK'!$D$2:$D$1001,"&gt;="&amp;DATE(2026,1,1),'DITERIMA MASUK'!$D$2:$D$1001,"&lt;="&amp;DATE(2026,12,31)))</f>
        <v/>
      </c>
      <c r="F25" s="19">
        <f>IF($A25="","",COUNTIFS(MUTASI!$C$2:$C$1001,$A25,MUTASI!$D$2:$D$1001,"Masuk",MUTASI!$F$2:$F$1001,"Paroki lain dalam keuskupan",MUTASI!$E$2:$E$1001,"&gt;="&amp;DATE(2026,1,1),MUTASI!$E$2:$E$1001,"&lt;="&amp;DATE(2026,12,31)))</f>
        <v/>
      </c>
      <c r="G25" s="19">
        <f>IF($A25="","",COUNTIFS(MUTASI!$C$2:$C$1001,$A25,MUTASI!$D$2:$D$1001,"Masuk",MUTASI!$F$2:$F$1001,"Keuskupan lain",MUTASI!$E$2:$E$1001,"&gt;="&amp;DATE(2026,1,1),MUTASI!$E$2:$E$1001,"&lt;="&amp;DATE(2026,12,31)))</f>
        <v/>
      </c>
      <c r="H25" s="19">
        <f>IF($A25="","",COUNTIFS(KEMATIAN!$C$2:$C$1001,$A25,KEMATIAN!$F$2:$F$1001,"&gt;="&amp;DATE(2026,1,1),KEMATIAN!$F$2:$F$1001,"&lt;="&amp;DATE(2026,12,31)))</f>
        <v/>
      </c>
      <c r="I25" s="19">
        <f>IF($A25="","",COUNTIFS(MUTASI!$C$2:$C$1001,$A25,MUTASI!$D$2:$D$1001,"Keluar",MUTASI!$F$2:$F$1001,"Paroki lain dalam keuskupan",MUTASI!$E$2:$E$1001,"&gt;="&amp;DATE(2026,1,1),MUTASI!$E$2:$E$1001,"&lt;="&amp;DATE(2026,12,31)))</f>
        <v/>
      </c>
      <c r="J25" s="19">
        <f>IF($A25="","",COUNTIFS(MUTASI!$C$2:$C$1001,$A25,MUTASI!$D$2:$D$1001,"Keluar",MUTASI!$F$2:$F$1001,"Keuskupan lain",MUTASI!$E$2:$E$1001,"&gt;="&amp;DATE(2026,1,1),MUTASI!$E$2:$E$1001,"&lt;="&amp;DATE(2026,12,31)))</f>
        <v/>
      </c>
      <c r="K25" s="19">
        <f>IF($A25="","",COUNTIFS('PINDAH AGAMA'!$C$2:$C$1001,$A25,'PINDAH AGAMA'!$D$2:$D$1001,"&gt;="&amp;DATE(2026,1,1),'PINDAH AGAMA'!$D$2:$D$1001,"&lt;="&amp;DATE(2026,12,31)))</f>
        <v/>
      </c>
      <c r="L25" s="19">
        <f>IF($A25="","",D25+E25+F25+G25-H25-I25-J25-K25)</f>
        <v/>
      </c>
      <c r="M25" s="19">
        <f>IF($A25="","",COUNTIFS('KOMUNI PERTAMA'!$C$2:$C$1001,$A25,'KOMUNI PERTAMA'!$E$2:$E$1001,"&gt;="&amp;DATE(2026,1,1),'KOMUNI PERTAMA'!$E$2:$E$1001,"&lt;="&amp;DATE(2026,12,31)))</f>
        <v/>
      </c>
      <c r="N25" s="19">
        <f>IF($A25="","",COUNTIFS('PERKAWINAN GEREJANI'!$C$2:$C$1001,$A25,'PERKAWINAN GEREJANI'!$D$2:$D$1001,"&gt;="&amp;DATE(2026,1,1),'PERKAWINAN GEREJANI'!$D$2:$D$1001,"&lt;="&amp;DATE(2026,12,31)))</f>
        <v/>
      </c>
      <c r="O25" s="19">
        <f>IF($A25="","",COUNTIFS(PEMBUBARAN!$C$2:$C$1001,$A25,PEMBUBARAN!$D$2:$D$1001,"&gt;="&amp;DATE(2026,1,1),PEMBUBARAN!$D$2:$D$1001,"&lt;="&amp;DATE(2026,12,31)))</f>
        <v/>
      </c>
      <c r="P25" s="19">
        <f>IF($A25="","",COUNTIFS('PERMINYAKAN SUCI'!$C$2:$C$1001,$A25,'PERMINYAKAN SUCI'!$E$2:$E$1001,"&gt;="&amp;DATE(2026,1,1),'PERMINYAKAN SUCI'!$E$2:$E$1001,"&lt;="&amp;DATE(2026,12,31)))</f>
        <v/>
      </c>
      <c r="Q25" s="19">
        <f>IF($A25="","",H25)</f>
        <v/>
      </c>
      <c r="R25" s="19">
        <f>IF($A25="","",COUNTIFS('SEMINARI BIARA'!$C$2:$C$1001,$A25,'SEMINARI BIARA'!$F$2:$F$1001,"Mulai masuk 2026",'SEMINARI BIARA'!$G$2:$G$1001,"&gt;="&amp;DATE(2026,1,1),'SEMINARI BIARA'!$G$2:$G$1001,"&lt;="&amp;DATE(2026,12,31)))</f>
        <v/>
      </c>
      <c r="S25" s="19">
        <f>IF($A25="","",COUNTIFS('SEMINARI BIARA'!$C$2:$C$1001,$A25,'SEMINARI BIARA'!$F$2:$F$1001,"Sedang belajar 2026"))</f>
        <v/>
      </c>
    </row>
    <row r="26" ht="14.25" customHeight="1" s="37">
      <c r="A26" s="18" t="n"/>
      <c r="B26" s="19">
        <f>IF($A26="","",COUNTIF('DATA KK'!$E$2:$E$501,$A26))</f>
        <v/>
      </c>
      <c r="C26" s="19">
        <f>IF($A26="","",COUNTIF('DATA UMAT'!$H$2:$H$2001,$A26))</f>
        <v/>
      </c>
      <c r="D26" s="19">
        <f>IF($A26="","",COUNTIFS(BAPTIS!$C$2:$C$1001,$A26,BAPTIS!$F$2:$F$1001,"&gt;="&amp;DATE(2026,1,1),BAPTIS!$F$2:$F$1001,"&lt;="&amp;DATE(2026,12,31)))</f>
        <v/>
      </c>
      <c r="E26" s="19">
        <f>IF($A26="","",COUNTIFS('DITERIMA MASUK'!$C$2:$C$1001,$A26,'DITERIMA MASUK'!$D$2:$D$1001,"&gt;="&amp;DATE(2026,1,1),'DITERIMA MASUK'!$D$2:$D$1001,"&lt;="&amp;DATE(2026,12,31)))</f>
        <v/>
      </c>
      <c r="F26" s="19">
        <f>IF($A26="","",COUNTIFS(MUTASI!$C$2:$C$1001,$A26,MUTASI!$D$2:$D$1001,"Masuk",MUTASI!$F$2:$F$1001,"Paroki lain dalam keuskupan",MUTASI!$E$2:$E$1001,"&gt;="&amp;DATE(2026,1,1),MUTASI!$E$2:$E$1001,"&lt;="&amp;DATE(2026,12,31)))</f>
        <v/>
      </c>
      <c r="G26" s="19">
        <f>IF($A26="","",COUNTIFS(MUTASI!$C$2:$C$1001,$A26,MUTASI!$D$2:$D$1001,"Masuk",MUTASI!$F$2:$F$1001,"Keuskupan lain",MUTASI!$E$2:$E$1001,"&gt;="&amp;DATE(2026,1,1),MUTASI!$E$2:$E$1001,"&lt;="&amp;DATE(2026,12,31)))</f>
        <v/>
      </c>
      <c r="H26" s="19">
        <f>IF($A26="","",COUNTIFS(KEMATIAN!$C$2:$C$1001,$A26,KEMATIAN!$F$2:$F$1001,"&gt;="&amp;DATE(2026,1,1),KEMATIAN!$F$2:$F$1001,"&lt;="&amp;DATE(2026,12,31)))</f>
        <v/>
      </c>
      <c r="I26" s="19">
        <f>IF($A26="","",COUNTIFS(MUTASI!$C$2:$C$1001,$A26,MUTASI!$D$2:$D$1001,"Keluar",MUTASI!$F$2:$F$1001,"Paroki lain dalam keuskupan",MUTASI!$E$2:$E$1001,"&gt;="&amp;DATE(2026,1,1),MUTASI!$E$2:$E$1001,"&lt;="&amp;DATE(2026,12,31)))</f>
        <v/>
      </c>
      <c r="J26" s="19">
        <f>IF($A26="","",COUNTIFS(MUTASI!$C$2:$C$1001,$A26,MUTASI!$D$2:$D$1001,"Keluar",MUTASI!$F$2:$F$1001,"Keuskupan lain",MUTASI!$E$2:$E$1001,"&gt;="&amp;DATE(2026,1,1),MUTASI!$E$2:$E$1001,"&lt;="&amp;DATE(2026,12,31)))</f>
        <v/>
      </c>
      <c r="K26" s="19">
        <f>IF($A26="","",COUNTIFS('PINDAH AGAMA'!$C$2:$C$1001,$A26,'PINDAH AGAMA'!$D$2:$D$1001,"&gt;="&amp;DATE(2026,1,1),'PINDAH AGAMA'!$D$2:$D$1001,"&lt;="&amp;DATE(2026,12,31)))</f>
        <v/>
      </c>
      <c r="L26" s="19">
        <f>IF($A26="","",D26+E26+F26+G26-H26-I26-J26-K26)</f>
        <v/>
      </c>
      <c r="M26" s="19">
        <f>IF($A26="","",COUNTIFS('KOMUNI PERTAMA'!$C$2:$C$1001,$A26,'KOMUNI PERTAMA'!$E$2:$E$1001,"&gt;="&amp;DATE(2026,1,1),'KOMUNI PERTAMA'!$E$2:$E$1001,"&lt;="&amp;DATE(2026,12,31)))</f>
        <v/>
      </c>
      <c r="N26" s="19">
        <f>IF($A26="","",COUNTIFS('PERKAWINAN GEREJANI'!$C$2:$C$1001,$A26,'PERKAWINAN GEREJANI'!$D$2:$D$1001,"&gt;="&amp;DATE(2026,1,1),'PERKAWINAN GEREJANI'!$D$2:$D$1001,"&lt;="&amp;DATE(2026,12,31)))</f>
        <v/>
      </c>
      <c r="O26" s="19">
        <f>IF($A26="","",COUNTIFS(PEMBUBARAN!$C$2:$C$1001,$A26,PEMBUBARAN!$D$2:$D$1001,"&gt;="&amp;DATE(2026,1,1),PEMBUBARAN!$D$2:$D$1001,"&lt;="&amp;DATE(2026,12,31)))</f>
        <v/>
      </c>
      <c r="P26" s="19">
        <f>IF($A26="","",COUNTIFS('PERMINYAKAN SUCI'!$C$2:$C$1001,$A26,'PERMINYAKAN SUCI'!$E$2:$E$1001,"&gt;="&amp;DATE(2026,1,1),'PERMINYAKAN SUCI'!$E$2:$E$1001,"&lt;="&amp;DATE(2026,12,31)))</f>
        <v/>
      </c>
      <c r="Q26" s="19">
        <f>IF($A26="","",H26)</f>
        <v/>
      </c>
      <c r="R26" s="19">
        <f>IF($A26="","",COUNTIFS('SEMINARI BIARA'!$C$2:$C$1001,$A26,'SEMINARI BIARA'!$F$2:$F$1001,"Mulai masuk 2026",'SEMINARI BIARA'!$G$2:$G$1001,"&gt;="&amp;DATE(2026,1,1),'SEMINARI BIARA'!$G$2:$G$1001,"&lt;="&amp;DATE(2026,12,31)))</f>
        <v/>
      </c>
      <c r="S26" s="19">
        <f>IF($A26="","",COUNTIFS('SEMINARI BIARA'!$C$2:$C$1001,$A26,'SEMINARI BIARA'!$F$2:$F$1001,"Sedang belajar 2026"))</f>
        <v/>
      </c>
    </row>
    <row r="27" ht="14.25" customHeight="1" s="37">
      <c r="A27" s="18" t="n"/>
      <c r="B27" s="19">
        <f>IF($A27="","",COUNTIF('DATA KK'!$E$2:$E$501,$A27))</f>
        <v/>
      </c>
      <c r="C27" s="19">
        <f>IF($A27="","",COUNTIF('DATA UMAT'!$H$2:$H$2001,$A27))</f>
        <v/>
      </c>
      <c r="D27" s="19">
        <f>IF($A27="","",COUNTIFS(BAPTIS!$C$2:$C$1001,$A27,BAPTIS!$F$2:$F$1001,"&gt;="&amp;DATE(2026,1,1),BAPTIS!$F$2:$F$1001,"&lt;="&amp;DATE(2026,12,31)))</f>
        <v/>
      </c>
      <c r="E27" s="19">
        <f>IF($A27="","",COUNTIFS('DITERIMA MASUK'!$C$2:$C$1001,$A27,'DITERIMA MASUK'!$D$2:$D$1001,"&gt;="&amp;DATE(2026,1,1),'DITERIMA MASUK'!$D$2:$D$1001,"&lt;="&amp;DATE(2026,12,31)))</f>
        <v/>
      </c>
      <c r="F27" s="19">
        <f>IF($A27="","",COUNTIFS(MUTASI!$C$2:$C$1001,$A27,MUTASI!$D$2:$D$1001,"Masuk",MUTASI!$F$2:$F$1001,"Paroki lain dalam keuskupan",MUTASI!$E$2:$E$1001,"&gt;="&amp;DATE(2026,1,1),MUTASI!$E$2:$E$1001,"&lt;="&amp;DATE(2026,12,31)))</f>
        <v/>
      </c>
      <c r="G27" s="19">
        <f>IF($A27="","",COUNTIFS(MUTASI!$C$2:$C$1001,$A27,MUTASI!$D$2:$D$1001,"Masuk",MUTASI!$F$2:$F$1001,"Keuskupan lain",MUTASI!$E$2:$E$1001,"&gt;="&amp;DATE(2026,1,1),MUTASI!$E$2:$E$1001,"&lt;="&amp;DATE(2026,12,31)))</f>
        <v/>
      </c>
      <c r="H27" s="19">
        <f>IF($A27="","",COUNTIFS(KEMATIAN!$C$2:$C$1001,$A27,KEMATIAN!$F$2:$F$1001,"&gt;="&amp;DATE(2026,1,1),KEMATIAN!$F$2:$F$1001,"&lt;="&amp;DATE(2026,12,31)))</f>
        <v/>
      </c>
      <c r="I27" s="19">
        <f>IF($A27="","",COUNTIFS(MUTASI!$C$2:$C$1001,$A27,MUTASI!$D$2:$D$1001,"Keluar",MUTASI!$F$2:$F$1001,"Paroki lain dalam keuskupan",MUTASI!$E$2:$E$1001,"&gt;="&amp;DATE(2026,1,1),MUTASI!$E$2:$E$1001,"&lt;="&amp;DATE(2026,12,31)))</f>
        <v/>
      </c>
      <c r="J27" s="19">
        <f>IF($A27="","",COUNTIFS(MUTASI!$C$2:$C$1001,$A27,MUTASI!$D$2:$D$1001,"Keluar",MUTASI!$F$2:$F$1001,"Keuskupan lain",MUTASI!$E$2:$E$1001,"&gt;="&amp;DATE(2026,1,1),MUTASI!$E$2:$E$1001,"&lt;="&amp;DATE(2026,12,31)))</f>
        <v/>
      </c>
      <c r="K27" s="19">
        <f>IF($A27="","",COUNTIFS('PINDAH AGAMA'!$C$2:$C$1001,$A27,'PINDAH AGAMA'!$D$2:$D$1001,"&gt;="&amp;DATE(2026,1,1),'PINDAH AGAMA'!$D$2:$D$1001,"&lt;="&amp;DATE(2026,12,31)))</f>
        <v/>
      </c>
      <c r="L27" s="19">
        <f>IF($A27="","",D27+E27+F27+G27-H27-I27-J27-K27)</f>
        <v/>
      </c>
      <c r="M27" s="19">
        <f>IF($A27="","",COUNTIFS('KOMUNI PERTAMA'!$C$2:$C$1001,$A27,'KOMUNI PERTAMA'!$E$2:$E$1001,"&gt;="&amp;DATE(2026,1,1),'KOMUNI PERTAMA'!$E$2:$E$1001,"&lt;="&amp;DATE(2026,12,31)))</f>
        <v/>
      </c>
      <c r="N27" s="19">
        <f>IF($A27="","",COUNTIFS('PERKAWINAN GEREJANI'!$C$2:$C$1001,$A27,'PERKAWINAN GEREJANI'!$D$2:$D$1001,"&gt;="&amp;DATE(2026,1,1),'PERKAWINAN GEREJANI'!$D$2:$D$1001,"&lt;="&amp;DATE(2026,12,31)))</f>
        <v/>
      </c>
      <c r="O27" s="19">
        <f>IF($A27="","",COUNTIFS(PEMBUBARAN!$C$2:$C$1001,$A27,PEMBUBARAN!$D$2:$D$1001,"&gt;="&amp;DATE(2026,1,1),PEMBUBARAN!$D$2:$D$1001,"&lt;="&amp;DATE(2026,12,31)))</f>
        <v/>
      </c>
      <c r="P27" s="19">
        <f>IF($A27="","",COUNTIFS('PERMINYAKAN SUCI'!$C$2:$C$1001,$A27,'PERMINYAKAN SUCI'!$E$2:$E$1001,"&gt;="&amp;DATE(2026,1,1),'PERMINYAKAN SUCI'!$E$2:$E$1001,"&lt;="&amp;DATE(2026,12,31)))</f>
        <v/>
      </c>
      <c r="Q27" s="19">
        <f>IF($A27="","",H27)</f>
        <v/>
      </c>
      <c r="R27" s="19">
        <f>IF($A27="","",COUNTIFS('SEMINARI BIARA'!$C$2:$C$1001,$A27,'SEMINARI BIARA'!$F$2:$F$1001,"Mulai masuk 2026",'SEMINARI BIARA'!$G$2:$G$1001,"&gt;="&amp;DATE(2026,1,1),'SEMINARI BIARA'!$G$2:$G$1001,"&lt;="&amp;DATE(2026,12,31)))</f>
        <v/>
      </c>
      <c r="S27" s="19">
        <f>IF($A27="","",COUNTIFS('SEMINARI BIARA'!$C$2:$C$1001,$A27,'SEMINARI BIARA'!$F$2:$F$1001,"Sedang belajar 2026"))</f>
        <v/>
      </c>
    </row>
    <row r="28" ht="14.25" customHeight="1" s="37">
      <c r="A28" s="18" t="n"/>
      <c r="B28" s="19">
        <f>IF($A28="","",COUNTIF('DATA KK'!$E$2:$E$501,$A28))</f>
        <v/>
      </c>
      <c r="C28" s="19">
        <f>IF($A28="","",COUNTIF('DATA UMAT'!$H$2:$H$2001,$A28))</f>
        <v/>
      </c>
      <c r="D28" s="19">
        <f>IF($A28="","",COUNTIFS(BAPTIS!$C$2:$C$1001,$A28,BAPTIS!$F$2:$F$1001,"&gt;="&amp;DATE(2026,1,1),BAPTIS!$F$2:$F$1001,"&lt;="&amp;DATE(2026,12,31)))</f>
        <v/>
      </c>
      <c r="E28" s="19">
        <f>IF($A28="","",COUNTIFS('DITERIMA MASUK'!$C$2:$C$1001,$A28,'DITERIMA MASUK'!$D$2:$D$1001,"&gt;="&amp;DATE(2026,1,1),'DITERIMA MASUK'!$D$2:$D$1001,"&lt;="&amp;DATE(2026,12,31)))</f>
        <v/>
      </c>
      <c r="F28" s="19">
        <f>IF($A28="","",COUNTIFS(MUTASI!$C$2:$C$1001,$A28,MUTASI!$D$2:$D$1001,"Masuk",MUTASI!$F$2:$F$1001,"Paroki lain dalam keuskupan",MUTASI!$E$2:$E$1001,"&gt;="&amp;DATE(2026,1,1),MUTASI!$E$2:$E$1001,"&lt;="&amp;DATE(2026,12,31)))</f>
        <v/>
      </c>
      <c r="G28" s="19">
        <f>IF($A28="","",COUNTIFS(MUTASI!$C$2:$C$1001,$A28,MUTASI!$D$2:$D$1001,"Masuk",MUTASI!$F$2:$F$1001,"Keuskupan lain",MUTASI!$E$2:$E$1001,"&gt;="&amp;DATE(2026,1,1),MUTASI!$E$2:$E$1001,"&lt;="&amp;DATE(2026,12,31)))</f>
        <v/>
      </c>
      <c r="H28" s="19">
        <f>IF($A28="","",COUNTIFS(KEMATIAN!$C$2:$C$1001,$A28,KEMATIAN!$F$2:$F$1001,"&gt;="&amp;DATE(2026,1,1),KEMATIAN!$F$2:$F$1001,"&lt;="&amp;DATE(2026,12,31)))</f>
        <v/>
      </c>
      <c r="I28" s="19">
        <f>IF($A28="","",COUNTIFS(MUTASI!$C$2:$C$1001,$A28,MUTASI!$D$2:$D$1001,"Keluar",MUTASI!$F$2:$F$1001,"Paroki lain dalam keuskupan",MUTASI!$E$2:$E$1001,"&gt;="&amp;DATE(2026,1,1),MUTASI!$E$2:$E$1001,"&lt;="&amp;DATE(2026,12,31)))</f>
        <v/>
      </c>
      <c r="J28" s="19">
        <f>IF($A28="","",COUNTIFS(MUTASI!$C$2:$C$1001,$A28,MUTASI!$D$2:$D$1001,"Keluar",MUTASI!$F$2:$F$1001,"Keuskupan lain",MUTASI!$E$2:$E$1001,"&gt;="&amp;DATE(2026,1,1),MUTASI!$E$2:$E$1001,"&lt;="&amp;DATE(2026,12,31)))</f>
        <v/>
      </c>
      <c r="K28" s="19">
        <f>IF($A28="","",COUNTIFS('PINDAH AGAMA'!$C$2:$C$1001,$A28,'PINDAH AGAMA'!$D$2:$D$1001,"&gt;="&amp;DATE(2026,1,1),'PINDAH AGAMA'!$D$2:$D$1001,"&lt;="&amp;DATE(2026,12,31)))</f>
        <v/>
      </c>
      <c r="L28" s="19">
        <f>IF($A28="","",D28+E28+F28+G28-H28-I28-J28-K28)</f>
        <v/>
      </c>
      <c r="M28" s="19">
        <f>IF($A28="","",COUNTIFS('KOMUNI PERTAMA'!$C$2:$C$1001,$A28,'KOMUNI PERTAMA'!$E$2:$E$1001,"&gt;="&amp;DATE(2026,1,1),'KOMUNI PERTAMA'!$E$2:$E$1001,"&lt;="&amp;DATE(2026,12,31)))</f>
        <v/>
      </c>
      <c r="N28" s="19">
        <f>IF($A28="","",COUNTIFS('PERKAWINAN GEREJANI'!$C$2:$C$1001,$A28,'PERKAWINAN GEREJANI'!$D$2:$D$1001,"&gt;="&amp;DATE(2026,1,1),'PERKAWINAN GEREJANI'!$D$2:$D$1001,"&lt;="&amp;DATE(2026,12,31)))</f>
        <v/>
      </c>
      <c r="O28" s="19">
        <f>IF($A28="","",COUNTIFS(PEMBUBARAN!$C$2:$C$1001,$A28,PEMBUBARAN!$D$2:$D$1001,"&gt;="&amp;DATE(2026,1,1),PEMBUBARAN!$D$2:$D$1001,"&lt;="&amp;DATE(2026,12,31)))</f>
        <v/>
      </c>
      <c r="P28" s="19">
        <f>IF($A28="","",COUNTIFS('PERMINYAKAN SUCI'!$C$2:$C$1001,$A28,'PERMINYAKAN SUCI'!$E$2:$E$1001,"&gt;="&amp;DATE(2026,1,1),'PERMINYAKAN SUCI'!$E$2:$E$1001,"&lt;="&amp;DATE(2026,12,31)))</f>
        <v/>
      </c>
      <c r="Q28" s="19">
        <f>IF($A28="","",H28)</f>
        <v/>
      </c>
      <c r="R28" s="19">
        <f>IF($A28="","",COUNTIFS('SEMINARI BIARA'!$C$2:$C$1001,$A28,'SEMINARI BIARA'!$F$2:$F$1001,"Mulai masuk 2026",'SEMINARI BIARA'!$G$2:$G$1001,"&gt;="&amp;DATE(2026,1,1),'SEMINARI BIARA'!$G$2:$G$1001,"&lt;="&amp;DATE(2026,12,31)))</f>
        <v/>
      </c>
      <c r="S28" s="19">
        <f>IF($A28="","",COUNTIFS('SEMINARI BIARA'!$C$2:$C$1001,$A28,'SEMINARI BIARA'!$F$2:$F$1001,"Sedang belajar 2026"))</f>
        <v/>
      </c>
    </row>
    <row r="29" ht="14.25" customHeight="1" s="37">
      <c r="A29" s="18" t="n"/>
      <c r="B29" s="19">
        <f>IF($A29="","",COUNTIF('DATA KK'!$E$2:$E$501,$A29))</f>
        <v/>
      </c>
      <c r="C29" s="19">
        <f>IF($A29="","",COUNTIF('DATA UMAT'!$H$2:$H$2001,$A29))</f>
        <v/>
      </c>
      <c r="D29" s="19">
        <f>IF($A29="","",COUNTIFS(BAPTIS!$C$2:$C$1001,$A29,BAPTIS!$F$2:$F$1001,"&gt;="&amp;DATE(2026,1,1),BAPTIS!$F$2:$F$1001,"&lt;="&amp;DATE(2026,12,31)))</f>
        <v/>
      </c>
      <c r="E29" s="19">
        <f>IF($A29="","",COUNTIFS('DITERIMA MASUK'!$C$2:$C$1001,$A29,'DITERIMA MASUK'!$D$2:$D$1001,"&gt;="&amp;DATE(2026,1,1),'DITERIMA MASUK'!$D$2:$D$1001,"&lt;="&amp;DATE(2026,12,31)))</f>
        <v/>
      </c>
      <c r="F29" s="19">
        <f>IF($A29="","",COUNTIFS(MUTASI!$C$2:$C$1001,$A29,MUTASI!$D$2:$D$1001,"Masuk",MUTASI!$F$2:$F$1001,"Paroki lain dalam keuskupan",MUTASI!$E$2:$E$1001,"&gt;="&amp;DATE(2026,1,1),MUTASI!$E$2:$E$1001,"&lt;="&amp;DATE(2026,12,31)))</f>
        <v/>
      </c>
      <c r="G29" s="19">
        <f>IF($A29="","",COUNTIFS(MUTASI!$C$2:$C$1001,$A29,MUTASI!$D$2:$D$1001,"Masuk",MUTASI!$F$2:$F$1001,"Keuskupan lain",MUTASI!$E$2:$E$1001,"&gt;="&amp;DATE(2026,1,1),MUTASI!$E$2:$E$1001,"&lt;="&amp;DATE(2026,12,31)))</f>
        <v/>
      </c>
      <c r="H29" s="19">
        <f>IF($A29="","",COUNTIFS(KEMATIAN!$C$2:$C$1001,$A29,KEMATIAN!$F$2:$F$1001,"&gt;="&amp;DATE(2026,1,1),KEMATIAN!$F$2:$F$1001,"&lt;="&amp;DATE(2026,12,31)))</f>
        <v/>
      </c>
      <c r="I29" s="19">
        <f>IF($A29="","",COUNTIFS(MUTASI!$C$2:$C$1001,$A29,MUTASI!$D$2:$D$1001,"Keluar",MUTASI!$F$2:$F$1001,"Paroki lain dalam keuskupan",MUTASI!$E$2:$E$1001,"&gt;="&amp;DATE(2026,1,1),MUTASI!$E$2:$E$1001,"&lt;="&amp;DATE(2026,12,31)))</f>
        <v/>
      </c>
      <c r="J29" s="19">
        <f>IF($A29="","",COUNTIFS(MUTASI!$C$2:$C$1001,$A29,MUTASI!$D$2:$D$1001,"Keluar",MUTASI!$F$2:$F$1001,"Keuskupan lain",MUTASI!$E$2:$E$1001,"&gt;="&amp;DATE(2026,1,1),MUTASI!$E$2:$E$1001,"&lt;="&amp;DATE(2026,12,31)))</f>
        <v/>
      </c>
      <c r="K29" s="19">
        <f>IF($A29="","",COUNTIFS('PINDAH AGAMA'!$C$2:$C$1001,$A29,'PINDAH AGAMA'!$D$2:$D$1001,"&gt;="&amp;DATE(2026,1,1),'PINDAH AGAMA'!$D$2:$D$1001,"&lt;="&amp;DATE(2026,12,31)))</f>
        <v/>
      </c>
      <c r="L29" s="19">
        <f>IF($A29="","",D29+E29+F29+G29-H29-I29-J29-K29)</f>
        <v/>
      </c>
      <c r="M29" s="19">
        <f>IF($A29="","",COUNTIFS('KOMUNI PERTAMA'!$C$2:$C$1001,$A29,'KOMUNI PERTAMA'!$E$2:$E$1001,"&gt;="&amp;DATE(2026,1,1),'KOMUNI PERTAMA'!$E$2:$E$1001,"&lt;="&amp;DATE(2026,12,31)))</f>
        <v/>
      </c>
      <c r="N29" s="19">
        <f>IF($A29="","",COUNTIFS('PERKAWINAN GEREJANI'!$C$2:$C$1001,$A29,'PERKAWINAN GEREJANI'!$D$2:$D$1001,"&gt;="&amp;DATE(2026,1,1),'PERKAWINAN GEREJANI'!$D$2:$D$1001,"&lt;="&amp;DATE(2026,12,31)))</f>
        <v/>
      </c>
      <c r="O29" s="19">
        <f>IF($A29="","",COUNTIFS(PEMBUBARAN!$C$2:$C$1001,$A29,PEMBUBARAN!$D$2:$D$1001,"&gt;="&amp;DATE(2026,1,1),PEMBUBARAN!$D$2:$D$1001,"&lt;="&amp;DATE(2026,12,31)))</f>
        <v/>
      </c>
      <c r="P29" s="19">
        <f>IF($A29="","",COUNTIFS('PERMINYAKAN SUCI'!$C$2:$C$1001,$A29,'PERMINYAKAN SUCI'!$E$2:$E$1001,"&gt;="&amp;DATE(2026,1,1),'PERMINYAKAN SUCI'!$E$2:$E$1001,"&lt;="&amp;DATE(2026,12,31)))</f>
        <v/>
      </c>
      <c r="Q29" s="19">
        <f>IF($A29="","",H29)</f>
        <v/>
      </c>
      <c r="R29" s="19">
        <f>IF($A29="","",COUNTIFS('SEMINARI BIARA'!$C$2:$C$1001,$A29,'SEMINARI BIARA'!$F$2:$F$1001,"Mulai masuk 2026",'SEMINARI BIARA'!$G$2:$G$1001,"&gt;="&amp;DATE(2026,1,1),'SEMINARI BIARA'!$G$2:$G$1001,"&lt;="&amp;DATE(2026,12,31)))</f>
        <v/>
      </c>
      <c r="S29" s="19">
        <f>IF($A29="","",COUNTIFS('SEMINARI BIARA'!$C$2:$C$1001,$A29,'SEMINARI BIARA'!$F$2:$F$1001,"Sedang belajar 2026"))</f>
        <v/>
      </c>
    </row>
    <row r="30" ht="14.25" customHeight="1" s="37">
      <c r="A30" s="18" t="n"/>
      <c r="B30" s="19">
        <f>IF($A30="","",COUNTIF('DATA KK'!$E$2:$E$501,$A30))</f>
        <v/>
      </c>
      <c r="C30" s="19">
        <f>IF($A30="","",COUNTIF('DATA UMAT'!$H$2:$H$2001,$A30))</f>
        <v/>
      </c>
      <c r="D30" s="19">
        <f>IF($A30="","",COUNTIFS(BAPTIS!$C$2:$C$1001,$A30,BAPTIS!$F$2:$F$1001,"&gt;="&amp;DATE(2026,1,1),BAPTIS!$F$2:$F$1001,"&lt;="&amp;DATE(2026,12,31)))</f>
        <v/>
      </c>
      <c r="E30" s="19">
        <f>IF($A30="","",COUNTIFS('DITERIMA MASUK'!$C$2:$C$1001,$A30,'DITERIMA MASUK'!$D$2:$D$1001,"&gt;="&amp;DATE(2026,1,1),'DITERIMA MASUK'!$D$2:$D$1001,"&lt;="&amp;DATE(2026,12,31)))</f>
        <v/>
      </c>
      <c r="F30" s="19">
        <f>IF($A30="","",COUNTIFS(MUTASI!$C$2:$C$1001,$A30,MUTASI!$D$2:$D$1001,"Masuk",MUTASI!$F$2:$F$1001,"Paroki lain dalam keuskupan",MUTASI!$E$2:$E$1001,"&gt;="&amp;DATE(2026,1,1),MUTASI!$E$2:$E$1001,"&lt;="&amp;DATE(2026,12,31)))</f>
        <v/>
      </c>
      <c r="G30" s="19">
        <f>IF($A30="","",COUNTIFS(MUTASI!$C$2:$C$1001,$A30,MUTASI!$D$2:$D$1001,"Masuk",MUTASI!$F$2:$F$1001,"Keuskupan lain",MUTASI!$E$2:$E$1001,"&gt;="&amp;DATE(2026,1,1),MUTASI!$E$2:$E$1001,"&lt;="&amp;DATE(2026,12,31)))</f>
        <v/>
      </c>
      <c r="H30" s="19">
        <f>IF($A30="","",COUNTIFS(KEMATIAN!$C$2:$C$1001,$A30,KEMATIAN!$F$2:$F$1001,"&gt;="&amp;DATE(2026,1,1),KEMATIAN!$F$2:$F$1001,"&lt;="&amp;DATE(2026,12,31)))</f>
        <v/>
      </c>
      <c r="I30" s="19">
        <f>IF($A30="","",COUNTIFS(MUTASI!$C$2:$C$1001,$A30,MUTASI!$D$2:$D$1001,"Keluar",MUTASI!$F$2:$F$1001,"Paroki lain dalam keuskupan",MUTASI!$E$2:$E$1001,"&gt;="&amp;DATE(2026,1,1),MUTASI!$E$2:$E$1001,"&lt;="&amp;DATE(2026,12,31)))</f>
        <v/>
      </c>
      <c r="J30" s="19">
        <f>IF($A30="","",COUNTIFS(MUTASI!$C$2:$C$1001,$A30,MUTASI!$D$2:$D$1001,"Keluar",MUTASI!$F$2:$F$1001,"Keuskupan lain",MUTASI!$E$2:$E$1001,"&gt;="&amp;DATE(2026,1,1),MUTASI!$E$2:$E$1001,"&lt;="&amp;DATE(2026,12,31)))</f>
        <v/>
      </c>
      <c r="K30" s="19">
        <f>IF($A30="","",COUNTIFS('PINDAH AGAMA'!$C$2:$C$1001,$A30,'PINDAH AGAMA'!$D$2:$D$1001,"&gt;="&amp;DATE(2026,1,1),'PINDAH AGAMA'!$D$2:$D$1001,"&lt;="&amp;DATE(2026,12,31)))</f>
        <v/>
      </c>
      <c r="L30" s="19">
        <f>IF($A30="","",D30+E30+F30+G30-H30-I30-J30-K30)</f>
        <v/>
      </c>
      <c r="M30" s="19">
        <f>IF($A30="","",COUNTIFS('KOMUNI PERTAMA'!$C$2:$C$1001,$A30,'KOMUNI PERTAMA'!$E$2:$E$1001,"&gt;="&amp;DATE(2026,1,1),'KOMUNI PERTAMA'!$E$2:$E$1001,"&lt;="&amp;DATE(2026,12,31)))</f>
        <v/>
      </c>
      <c r="N30" s="19">
        <f>IF($A30="","",COUNTIFS('PERKAWINAN GEREJANI'!$C$2:$C$1001,$A30,'PERKAWINAN GEREJANI'!$D$2:$D$1001,"&gt;="&amp;DATE(2026,1,1),'PERKAWINAN GEREJANI'!$D$2:$D$1001,"&lt;="&amp;DATE(2026,12,31)))</f>
        <v/>
      </c>
      <c r="O30" s="19">
        <f>IF($A30="","",COUNTIFS(PEMBUBARAN!$C$2:$C$1001,$A30,PEMBUBARAN!$D$2:$D$1001,"&gt;="&amp;DATE(2026,1,1),PEMBUBARAN!$D$2:$D$1001,"&lt;="&amp;DATE(2026,12,31)))</f>
        <v/>
      </c>
      <c r="P30" s="19">
        <f>IF($A30="","",COUNTIFS('PERMINYAKAN SUCI'!$C$2:$C$1001,$A30,'PERMINYAKAN SUCI'!$E$2:$E$1001,"&gt;="&amp;DATE(2026,1,1),'PERMINYAKAN SUCI'!$E$2:$E$1001,"&lt;="&amp;DATE(2026,12,31)))</f>
        <v/>
      </c>
      <c r="Q30" s="19">
        <f>IF($A30="","",H30)</f>
        <v/>
      </c>
      <c r="R30" s="19">
        <f>IF($A30="","",COUNTIFS('SEMINARI BIARA'!$C$2:$C$1001,$A30,'SEMINARI BIARA'!$F$2:$F$1001,"Mulai masuk 2026",'SEMINARI BIARA'!$G$2:$G$1001,"&gt;="&amp;DATE(2026,1,1),'SEMINARI BIARA'!$G$2:$G$1001,"&lt;="&amp;DATE(2026,12,31)))</f>
        <v/>
      </c>
      <c r="S30" s="19">
        <f>IF($A30="","",COUNTIFS('SEMINARI BIARA'!$C$2:$C$1001,$A30,'SEMINARI BIARA'!$F$2:$F$1001,"Sedang belajar 2026"))</f>
        <v/>
      </c>
    </row>
    <row r="31" ht="14.25" customHeight="1" s="37">
      <c r="A31" s="18" t="n"/>
      <c r="B31" s="19">
        <f>IF($A31="","",COUNTIF('DATA KK'!$E$2:$E$501,$A31))</f>
        <v/>
      </c>
      <c r="C31" s="19">
        <f>IF($A31="","",COUNTIF('DATA UMAT'!$H$2:$H$2001,$A31))</f>
        <v/>
      </c>
      <c r="D31" s="19">
        <f>IF($A31="","",COUNTIFS(BAPTIS!$C$2:$C$1001,$A31,BAPTIS!$F$2:$F$1001,"&gt;="&amp;DATE(2026,1,1),BAPTIS!$F$2:$F$1001,"&lt;="&amp;DATE(2026,12,31)))</f>
        <v/>
      </c>
      <c r="E31" s="19">
        <f>IF($A31="","",COUNTIFS('DITERIMA MASUK'!$C$2:$C$1001,$A31,'DITERIMA MASUK'!$D$2:$D$1001,"&gt;="&amp;DATE(2026,1,1),'DITERIMA MASUK'!$D$2:$D$1001,"&lt;="&amp;DATE(2026,12,31)))</f>
        <v/>
      </c>
      <c r="F31" s="19">
        <f>IF($A31="","",COUNTIFS(MUTASI!$C$2:$C$1001,$A31,MUTASI!$D$2:$D$1001,"Masuk",MUTASI!$F$2:$F$1001,"Paroki lain dalam keuskupan",MUTASI!$E$2:$E$1001,"&gt;="&amp;DATE(2026,1,1),MUTASI!$E$2:$E$1001,"&lt;="&amp;DATE(2026,12,31)))</f>
        <v/>
      </c>
      <c r="G31" s="19">
        <f>IF($A31="","",COUNTIFS(MUTASI!$C$2:$C$1001,$A31,MUTASI!$D$2:$D$1001,"Masuk",MUTASI!$F$2:$F$1001,"Keuskupan lain",MUTASI!$E$2:$E$1001,"&gt;="&amp;DATE(2026,1,1),MUTASI!$E$2:$E$1001,"&lt;="&amp;DATE(2026,12,31)))</f>
        <v/>
      </c>
      <c r="H31" s="19">
        <f>IF($A31="","",COUNTIFS(KEMATIAN!$C$2:$C$1001,$A31,KEMATIAN!$F$2:$F$1001,"&gt;="&amp;DATE(2026,1,1),KEMATIAN!$F$2:$F$1001,"&lt;="&amp;DATE(2026,12,31)))</f>
        <v/>
      </c>
      <c r="I31" s="19">
        <f>IF($A31="","",COUNTIFS(MUTASI!$C$2:$C$1001,$A31,MUTASI!$D$2:$D$1001,"Keluar",MUTASI!$F$2:$F$1001,"Paroki lain dalam keuskupan",MUTASI!$E$2:$E$1001,"&gt;="&amp;DATE(2026,1,1),MUTASI!$E$2:$E$1001,"&lt;="&amp;DATE(2026,12,31)))</f>
        <v/>
      </c>
      <c r="J31" s="19">
        <f>IF($A31="","",COUNTIFS(MUTASI!$C$2:$C$1001,$A31,MUTASI!$D$2:$D$1001,"Keluar",MUTASI!$F$2:$F$1001,"Keuskupan lain",MUTASI!$E$2:$E$1001,"&gt;="&amp;DATE(2026,1,1),MUTASI!$E$2:$E$1001,"&lt;="&amp;DATE(2026,12,31)))</f>
        <v/>
      </c>
      <c r="K31" s="19">
        <f>IF($A31="","",COUNTIFS('PINDAH AGAMA'!$C$2:$C$1001,$A31,'PINDAH AGAMA'!$D$2:$D$1001,"&gt;="&amp;DATE(2026,1,1),'PINDAH AGAMA'!$D$2:$D$1001,"&lt;="&amp;DATE(2026,12,31)))</f>
        <v/>
      </c>
      <c r="L31" s="19">
        <f>IF($A31="","",D31+E31+F31+G31-H31-I31-J31-K31)</f>
        <v/>
      </c>
      <c r="M31" s="19">
        <f>IF($A31="","",COUNTIFS('KOMUNI PERTAMA'!$C$2:$C$1001,$A31,'KOMUNI PERTAMA'!$E$2:$E$1001,"&gt;="&amp;DATE(2026,1,1),'KOMUNI PERTAMA'!$E$2:$E$1001,"&lt;="&amp;DATE(2026,12,31)))</f>
        <v/>
      </c>
      <c r="N31" s="19">
        <f>IF($A31="","",COUNTIFS('PERKAWINAN GEREJANI'!$C$2:$C$1001,$A31,'PERKAWINAN GEREJANI'!$D$2:$D$1001,"&gt;="&amp;DATE(2026,1,1),'PERKAWINAN GEREJANI'!$D$2:$D$1001,"&lt;="&amp;DATE(2026,12,31)))</f>
        <v/>
      </c>
      <c r="O31" s="19">
        <f>IF($A31="","",COUNTIFS(PEMBUBARAN!$C$2:$C$1001,$A31,PEMBUBARAN!$D$2:$D$1001,"&gt;="&amp;DATE(2026,1,1),PEMBUBARAN!$D$2:$D$1001,"&lt;="&amp;DATE(2026,12,31)))</f>
        <v/>
      </c>
      <c r="P31" s="19">
        <f>IF($A31="","",COUNTIFS('PERMINYAKAN SUCI'!$C$2:$C$1001,$A31,'PERMINYAKAN SUCI'!$E$2:$E$1001,"&gt;="&amp;DATE(2026,1,1),'PERMINYAKAN SUCI'!$E$2:$E$1001,"&lt;="&amp;DATE(2026,12,31)))</f>
        <v/>
      </c>
      <c r="Q31" s="19">
        <f>IF($A31="","",H31)</f>
        <v/>
      </c>
      <c r="R31" s="19">
        <f>IF($A31="","",COUNTIFS('SEMINARI BIARA'!$C$2:$C$1001,$A31,'SEMINARI BIARA'!$F$2:$F$1001,"Mulai masuk 2026",'SEMINARI BIARA'!$G$2:$G$1001,"&gt;="&amp;DATE(2026,1,1),'SEMINARI BIARA'!$G$2:$G$1001,"&lt;="&amp;DATE(2026,12,31)))</f>
        <v/>
      </c>
      <c r="S31" s="19">
        <f>IF($A31="","",COUNTIFS('SEMINARI BIARA'!$C$2:$C$1001,$A31,'SEMINARI BIARA'!$F$2:$F$1001,"Sedang belajar 2026"))</f>
        <v/>
      </c>
    </row>
    <row r="32" ht="14.25" customHeight="1" s="37">
      <c r="A32" s="18" t="n"/>
      <c r="B32" s="19">
        <f>IF($A32="","",COUNTIF('DATA KK'!$E$2:$E$501,$A32))</f>
        <v/>
      </c>
      <c r="C32" s="19">
        <f>IF($A32="","",COUNTIF('DATA UMAT'!$H$2:$H$2001,$A32))</f>
        <v/>
      </c>
      <c r="D32" s="19">
        <f>IF($A32="","",COUNTIFS(BAPTIS!$C$2:$C$1001,$A32,BAPTIS!$F$2:$F$1001,"&gt;="&amp;DATE(2026,1,1),BAPTIS!$F$2:$F$1001,"&lt;="&amp;DATE(2026,12,31)))</f>
        <v/>
      </c>
      <c r="E32" s="19">
        <f>IF($A32="","",COUNTIFS('DITERIMA MASUK'!$C$2:$C$1001,$A32,'DITERIMA MASUK'!$D$2:$D$1001,"&gt;="&amp;DATE(2026,1,1),'DITERIMA MASUK'!$D$2:$D$1001,"&lt;="&amp;DATE(2026,12,31)))</f>
        <v/>
      </c>
      <c r="F32" s="19">
        <f>IF($A32="","",COUNTIFS(MUTASI!$C$2:$C$1001,$A32,MUTASI!$D$2:$D$1001,"Masuk",MUTASI!$F$2:$F$1001,"Paroki lain dalam keuskupan",MUTASI!$E$2:$E$1001,"&gt;="&amp;DATE(2026,1,1),MUTASI!$E$2:$E$1001,"&lt;="&amp;DATE(2026,12,31)))</f>
        <v/>
      </c>
      <c r="G32" s="19">
        <f>IF($A32="","",COUNTIFS(MUTASI!$C$2:$C$1001,$A32,MUTASI!$D$2:$D$1001,"Masuk",MUTASI!$F$2:$F$1001,"Keuskupan lain",MUTASI!$E$2:$E$1001,"&gt;="&amp;DATE(2026,1,1),MUTASI!$E$2:$E$1001,"&lt;="&amp;DATE(2026,12,31)))</f>
        <v/>
      </c>
      <c r="H32" s="19">
        <f>IF($A32="","",COUNTIFS(KEMATIAN!$C$2:$C$1001,$A32,KEMATIAN!$F$2:$F$1001,"&gt;="&amp;DATE(2026,1,1),KEMATIAN!$F$2:$F$1001,"&lt;="&amp;DATE(2026,12,31)))</f>
        <v/>
      </c>
      <c r="I32" s="19">
        <f>IF($A32="","",COUNTIFS(MUTASI!$C$2:$C$1001,$A32,MUTASI!$D$2:$D$1001,"Keluar",MUTASI!$F$2:$F$1001,"Paroki lain dalam keuskupan",MUTASI!$E$2:$E$1001,"&gt;="&amp;DATE(2026,1,1),MUTASI!$E$2:$E$1001,"&lt;="&amp;DATE(2026,12,31)))</f>
        <v/>
      </c>
      <c r="J32" s="19">
        <f>IF($A32="","",COUNTIFS(MUTASI!$C$2:$C$1001,$A32,MUTASI!$D$2:$D$1001,"Keluar",MUTASI!$F$2:$F$1001,"Keuskupan lain",MUTASI!$E$2:$E$1001,"&gt;="&amp;DATE(2026,1,1),MUTASI!$E$2:$E$1001,"&lt;="&amp;DATE(2026,12,31)))</f>
        <v/>
      </c>
      <c r="K32" s="19">
        <f>IF($A32="","",COUNTIFS('PINDAH AGAMA'!$C$2:$C$1001,$A32,'PINDAH AGAMA'!$D$2:$D$1001,"&gt;="&amp;DATE(2026,1,1),'PINDAH AGAMA'!$D$2:$D$1001,"&lt;="&amp;DATE(2026,12,31)))</f>
        <v/>
      </c>
      <c r="L32" s="19">
        <f>IF($A32="","",D32+E32+F32+G32-H32-I32-J32-K32)</f>
        <v/>
      </c>
      <c r="M32" s="19">
        <f>IF($A32="","",COUNTIFS('KOMUNI PERTAMA'!$C$2:$C$1001,$A32,'KOMUNI PERTAMA'!$E$2:$E$1001,"&gt;="&amp;DATE(2026,1,1),'KOMUNI PERTAMA'!$E$2:$E$1001,"&lt;="&amp;DATE(2026,12,31)))</f>
        <v/>
      </c>
      <c r="N32" s="19">
        <f>IF($A32="","",COUNTIFS('PERKAWINAN GEREJANI'!$C$2:$C$1001,$A32,'PERKAWINAN GEREJANI'!$D$2:$D$1001,"&gt;="&amp;DATE(2026,1,1),'PERKAWINAN GEREJANI'!$D$2:$D$1001,"&lt;="&amp;DATE(2026,12,31)))</f>
        <v/>
      </c>
      <c r="O32" s="19">
        <f>IF($A32="","",COUNTIFS(PEMBUBARAN!$C$2:$C$1001,$A32,PEMBUBARAN!$D$2:$D$1001,"&gt;="&amp;DATE(2026,1,1),PEMBUBARAN!$D$2:$D$1001,"&lt;="&amp;DATE(2026,12,31)))</f>
        <v/>
      </c>
      <c r="P32" s="19">
        <f>IF($A32="","",COUNTIFS('PERMINYAKAN SUCI'!$C$2:$C$1001,$A32,'PERMINYAKAN SUCI'!$E$2:$E$1001,"&gt;="&amp;DATE(2026,1,1),'PERMINYAKAN SUCI'!$E$2:$E$1001,"&lt;="&amp;DATE(2026,12,31)))</f>
        <v/>
      </c>
      <c r="Q32" s="19">
        <f>IF($A32="","",H32)</f>
        <v/>
      </c>
      <c r="R32" s="19">
        <f>IF($A32="","",COUNTIFS('SEMINARI BIARA'!$C$2:$C$1001,$A32,'SEMINARI BIARA'!$F$2:$F$1001,"Mulai masuk 2026",'SEMINARI BIARA'!$G$2:$G$1001,"&gt;="&amp;DATE(2026,1,1),'SEMINARI BIARA'!$G$2:$G$1001,"&lt;="&amp;DATE(2026,12,31)))</f>
        <v/>
      </c>
      <c r="S32" s="19">
        <f>IF($A32="","",COUNTIFS('SEMINARI BIARA'!$C$2:$C$1001,$A32,'SEMINARI BIARA'!$F$2:$F$1001,"Sedang belajar 2026"))</f>
        <v/>
      </c>
    </row>
    <row r="33" ht="14.25" customHeight="1" s="37">
      <c r="A33" s="18" t="n"/>
      <c r="B33" s="19">
        <f>IF($A33="","",COUNTIF('DATA KK'!$E$2:$E$501,$A33))</f>
        <v/>
      </c>
      <c r="C33" s="19">
        <f>IF($A33="","",COUNTIF('DATA UMAT'!$H$2:$H$2001,$A33))</f>
        <v/>
      </c>
      <c r="D33" s="19">
        <f>IF($A33="","",COUNTIFS(BAPTIS!$C$2:$C$1001,$A33,BAPTIS!$F$2:$F$1001,"&gt;="&amp;DATE(2026,1,1),BAPTIS!$F$2:$F$1001,"&lt;="&amp;DATE(2026,12,31)))</f>
        <v/>
      </c>
      <c r="E33" s="19">
        <f>IF($A33="","",COUNTIFS('DITERIMA MASUK'!$C$2:$C$1001,$A33,'DITERIMA MASUK'!$D$2:$D$1001,"&gt;="&amp;DATE(2026,1,1),'DITERIMA MASUK'!$D$2:$D$1001,"&lt;="&amp;DATE(2026,12,31)))</f>
        <v/>
      </c>
      <c r="F33" s="19">
        <f>IF($A33="","",COUNTIFS(MUTASI!$C$2:$C$1001,$A33,MUTASI!$D$2:$D$1001,"Masuk",MUTASI!$F$2:$F$1001,"Paroki lain dalam keuskupan",MUTASI!$E$2:$E$1001,"&gt;="&amp;DATE(2026,1,1),MUTASI!$E$2:$E$1001,"&lt;="&amp;DATE(2026,12,31)))</f>
        <v/>
      </c>
      <c r="G33" s="19">
        <f>IF($A33="","",COUNTIFS(MUTASI!$C$2:$C$1001,$A33,MUTASI!$D$2:$D$1001,"Masuk",MUTASI!$F$2:$F$1001,"Keuskupan lain",MUTASI!$E$2:$E$1001,"&gt;="&amp;DATE(2026,1,1),MUTASI!$E$2:$E$1001,"&lt;="&amp;DATE(2026,12,31)))</f>
        <v/>
      </c>
      <c r="H33" s="19">
        <f>IF($A33="","",COUNTIFS(KEMATIAN!$C$2:$C$1001,$A33,KEMATIAN!$F$2:$F$1001,"&gt;="&amp;DATE(2026,1,1),KEMATIAN!$F$2:$F$1001,"&lt;="&amp;DATE(2026,12,31)))</f>
        <v/>
      </c>
      <c r="I33" s="19">
        <f>IF($A33="","",COUNTIFS(MUTASI!$C$2:$C$1001,$A33,MUTASI!$D$2:$D$1001,"Keluar",MUTASI!$F$2:$F$1001,"Paroki lain dalam keuskupan",MUTASI!$E$2:$E$1001,"&gt;="&amp;DATE(2026,1,1),MUTASI!$E$2:$E$1001,"&lt;="&amp;DATE(2026,12,31)))</f>
        <v/>
      </c>
      <c r="J33" s="19">
        <f>IF($A33="","",COUNTIFS(MUTASI!$C$2:$C$1001,$A33,MUTASI!$D$2:$D$1001,"Keluar",MUTASI!$F$2:$F$1001,"Keuskupan lain",MUTASI!$E$2:$E$1001,"&gt;="&amp;DATE(2026,1,1),MUTASI!$E$2:$E$1001,"&lt;="&amp;DATE(2026,12,31)))</f>
        <v/>
      </c>
      <c r="K33" s="19">
        <f>IF($A33="","",COUNTIFS('PINDAH AGAMA'!$C$2:$C$1001,$A33,'PINDAH AGAMA'!$D$2:$D$1001,"&gt;="&amp;DATE(2026,1,1),'PINDAH AGAMA'!$D$2:$D$1001,"&lt;="&amp;DATE(2026,12,31)))</f>
        <v/>
      </c>
      <c r="L33" s="19">
        <f>IF($A33="","",D33+E33+F33+G33-H33-I33-J33-K33)</f>
        <v/>
      </c>
      <c r="M33" s="19">
        <f>IF($A33="","",COUNTIFS('KOMUNI PERTAMA'!$C$2:$C$1001,$A33,'KOMUNI PERTAMA'!$E$2:$E$1001,"&gt;="&amp;DATE(2026,1,1),'KOMUNI PERTAMA'!$E$2:$E$1001,"&lt;="&amp;DATE(2026,12,31)))</f>
        <v/>
      </c>
      <c r="N33" s="19">
        <f>IF($A33="","",COUNTIFS('PERKAWINAN GEREJANI'!$C$2:$C$1001,$A33,'PERKAWINAN GEREJANI'!$D$2:$D$1001,"&gt;="&amp;DATE(2026,1,1),'PERKAWINAN GEREJANI'!$D$2:$D$1001,"&lt;="&amp;DATE(2026,12,31)))</f>
        <v/>
      </c>
      <c r="O33" s="19">
        <f>IF($A33="","",COUNTIFS(PEMBUBARAN!$C$2:$C$1001,$A33,PEMBUBARAN!$D$2:$D$1001,"&gt;="&amp;DATE(2026,1,1),PEMBUBARAN!$D$2:$D$1001,"&lt;="&amp;DATE(2026,12,31)))</f>
        <v/>
      </c>
      <c r="P33" s="19">
        <f>IF($A33="","",COUNTIFS('PERMINYAKAN SUCI'!$C$2:$C$1001,$A33,'PERMINYAKAN SUCI'!$E$2:$E$1001,"&gt;="&amp;DATE(2026,1,1),'PERMINYAKAN SUCI'!$E$2:$E$1001,"&lt;="&amp;DATE(2026,12,31)))</f>
        <v/>
      </c>
      <c r="Q33" s="19">
        <f>IF($A33="","",H33)</f>
        <v/>
      </c>
      <c r="R33" s="19">
        <f>IF($A33="","",COUNTIFS('SEMINARI BIARA'!$C$2:$C$1001,$A33,'SEMINARI BIARA'!$F$2:$F$1001,"Mulai masuk 2026",'SEMINARI BIARA'!$G$2:$G$1001,"&gt;="&amp;DATE(2026,1,1),'SEMINARI BIARA'!$G$2:$G$1001,"&lt;="&amp;DATE(2026,12,31)))</f>
        <v/>
      </c>
      <c r="S33" s="19">
        <f>IF($A33="","",COUNTIFS('SEMINARI BIARA'!$C$2:$C$1001,$A33,'SEMINARI BIARA'!$F$2:$F$1001,"Sedang belajar 2026"))</f>
        <v/>
      </c>
    </row>
    <row r="34" ht="14.25" customHeight="1" s="37">
      <c r="A34" s="18" t="n"/>
      <c r="B34" s="19">
        <f>IF($A34="","",COUNTIF('DATA KK'!$E$2:$E$501,$A34))</f>
        <v/>
      </c>
      <c r="C34" s="19">
        <f>IF($A34="","",COUNTIF('DATA UMAT'!$H$2:$H$2001,$A34))</f>
        <v/>
      </c>
      <c r="D34" s="19">
        <f>IF($A34="","",COUNTIFS(BAPTIS!$C$2:$C$1001,$A34,BAPTIS!$F$2:$F$1001,"&gt;="&amp;DATE(2026,1,1),BAPTIS!$F$2:$F$1001,"&lt;="&amp;DATE(2026,12,31)))</f>
        <v/>
      </c>
      <c r="E34" s="19">
        <f>IF($A34="","",COUNTIFS('DITERIMA MASUK'!$C$2:$C$1001,$A34,'DITERIMA MASUK'!$D$2:$D$1001,"&gt;="&amp;DATE(2026,1,1),'DITERIMA MASUK'!$D$2:$D$1001,"&lt;="&amp;DATE(2026,12,31)))</f>
        <v/>
      </c>
      <c r="F34" s="19">
        <f>IF($A34="","",COUNTIFS(MUTASI!$C$2:$C$1001,$A34,MUTASI!$D$2:$D$1001,"Masuk",MUTASI!$F$2:$F$1001,"Paroki lain dalam keuskupan",MUTASI!$E$2:$E$1001,"&gt;="&amp;DATE(2026,1,1),MUTASI!$E$2:$E$1001,"&lt;="&amp;DATE(2026,12,31)))</f>
        <v/>
      </c>
      <c r="G34" s="19">
        <f>IF($A34="","",COUNTIFS(MUTASI!$C$2:$C$1001,$A34,MUTASI!$D$2:$D$1001,"Masuk",MUTASI!$F$2:$F$1001,"Keuskupan lain",MUTASI!$E$2:$E$1001,"&gt;="&amp;DATE(2026,1,1),MUTASI!$E$2:$E$1001,"&lt;="&amp;DATE(2026,12,31)))</f>
        <v/>
      </c>
      <c r="H34" s="19">
        <f>IF($A34="","",COUNTIFS(KEMATIAN!$C$2:$C$1001,$A34,KEMATIAN!$F$2:$F$1001,"&gt;="&amp;DATE(2026,1,1),KEMATIAN!$F$2:$F$1001,"&lt;="&amp;DATE(2026,12,31)))</f>
        <v/>
      </c>
      <c r="I34" s="19">
        <f>IF($A34="","",COUNTIFS(MUTASI!$C$2:$C$1001,$A34,MUTASI!$D$2:$D$1001,"Keluar",MUTASI!$F$2:$F$1001,"Paroki lain dalam keuskupan",MUTASI!$E$2:$E$1001,"&gt;="&amp;DATE(2026,1,1),MUTASI!$E$2:$E$1001,"&lt;="&amp;DATE(2026,12,31)))</f>
        <v/>
      </c>
      <c r="J34" s="19">
        <f>IF($A34="","",COUNTIFS(MUTASI!$C$2:$C$1001,$A34,MUTASI!$D$2:$D$1001,"Keluar",MUTASI!$F$2:$F$1001,"Keuskupan lain",MUTASI!$E$2:$E$1001,"&gt;="&amp;DATE(2026,1,1),MUTASI!$E$2:$E$1001,"&lt;="&amp;DATE(2026,12,31)))</f>
        <v/>
      </c>
      <c r="K34" s="19">
        <f>IF($A34="","",COUNTIFS('PINDAH AGAMA'!$C$2:$C$1001,$A34,'PINDAH AGAMA'!$D$2:$D$1001,"&gt;="&amp;DATE(2026,1,1),'PINDAH AGAMA'!$D$2:$D$1001,"&lt;="&amp;DATE(2026,12,31)))</f>
        <v/>
      </c>
      <c r="L34" s="19">
        <f>IF($A34="","",D34+E34+F34+G34-H34-I34-J34-K34)</f>
        <v/>
      </c>
      <c r="M34" s="19">
        <f>IF($A34="","",COUNTIFS('KOMUNI PERTAMA'!$C$2:$C$1001,$A34,'KOMUNI PERTAMA'!$E$2:$E$1001,"&gt;="&amp;DATE(2026,1,1),'KOMUNI PERTAMA'!$E$2:$E$1001,"&lt;="&amp;DATE(2026,12,31)))</f>
        <v/>
      </c>
      <c r="N34" s="19">
        <f>IF($A34="","",COUNTIFS('PERKAWINAN GEREJANI'!$C$2:$C$1001,$A34,'PERKAWINAN GEREJANI'!$D$2:$D$1001,"&gt;="&amp;DATE(2026,1,1),'PERKAWINAN GEREJANI'!$D$2:$D$1001,"&lt;="&amp;DATE(2026,12,31)))</f>
        <v/>
      </c>
      <c r="O34" s="19">
        <f>IF($A34="","",COUNTIFS(PEMBUBARAN!$C$2:$C$1001,$A34,PEMBUBARAN!$D$2:$D$1001,"&gt;="&amp;DATE(2026,1,1),PEMBUBARAN!$D$2:$D$1001,"&lt;="&amp;DATE(2026,12,31)))</f>
        <v/>
      </c>
      <c r="P34" s="19">
        <f>IF($A34="","",COUNTIFS('PERMINYAKAN SUCI'!$C$2:$C$1001,$A34,'PERMINYAKAN SUCI'!$E$2:$E$1001,"&gt;="&amp;DATE(2026,1,1),'PERMINYAKAN SUCI'!$E$2:$E$1001,"&lt;="&amp;DATE(2026,12,31)))</f>
        <v/>
      </c>
      <c r="Q34" s="19">
        <f>IF($A34="","",H34)</f>
        <v/>
      </c>
      <c r="R34" s="19">
        <f>IF($A34="","",COUNTIFS('SEMINARI BIARA'!$C$2:$C$1001,$A34,'SEMINARI BIARA'!$F$2:$F$1001,"Mulai masuk 2026",'SEMINARI BIARA'!$G$2:$G$1001,"&gt;="&amp;DATE(2026,1,1),'SEMINARI BIARA'!$G$2:$G$1001,"&lt;="&amp;DATE(2026,12,31)))</f>
        <v/>
      </c>
      <c r="S34" s="19">
        <f>IF($A34="","",COUNTIFS('SEMINARI BIARA'!$C$2:$C$1001,$A34,'SEMINARI BIARA'!$F$2:$F$1001,"Sedang belajar 2026"))</f>
        <v/>
      </c>
    </row>
    <row r="35" ht="14.25" customHeight="1" s="37">
      <c r="A35" s="18" t="n"/>
      <c r="B35" s="19">
        <f>IF($A35="","",COUNTIF('DATA KK'!$E$2:$E$501,$A35))</f>
        <v/>
      </c>
      <c r="C35" s="19">
        <f>IF($A35="","",COUNTIF('DATA UMAT'!$H$2:$H$2001,$A35))</f>
        <v/>
      </c>
      <c r="D35" s="19">
        <f>IF($A35="","",COUNTIFS(BAPTIS!$C$2:$C$1001,$A35,BAPTIS!$F$2:$F$1001,"&gt;="&amp;DATE(2026,1,1),BAPTIS!$F$2:$F$1001,"&lt;="&amp;DATE(2026,12,31)))</f>
        <v/>
      </c>
      <c r="E35" s="19">
        <f>IF($A35="","",COUNTIFS('DITERIMA MASUK'!$C$2:$C$1001,$A35,'DITERIMA MASUK'!$D$2:$D$1001,"&gt;="&amp;DATE(2026,1,1),'DITERIMA MASUK'!$D$2:$D$1001,"&lt;="&amp;DATE(2026,12,31)))</f>
        <v/>
      </c>
      <c r="F35" s="19">
        <f>IF($A35="","",COUNTIFS(MUTASI!$C$2:$C$1001,$A35,MUTASI!$D$2:$D$1001,"Masuk",MUTASI!$F$2:$F$1001,"Paroki lain dalam keuskupan",MUTASI!$E$2:$E$1001,"&gt;="&amp;DATE(2026,1,1),MUTASI!$E$2:$E$1001,"&lt;="&amp;DATE(2026,12,31)))</f>
        <v/>
      </c>
      <c r="G35" s="19">
        <f>IF($A35="","",COUNTIFS(MUTASI!$C$2:$C$1001,$A35,MUTASI!$D$2:$D$1001,"Masuk",MUTASI!$F$2:$F$1001,"Keuskupan lain",MUTASI!$E$2:$E$1001,"&gt;="&amp;DATE(2026,1,1),MUTASI!$E$2:$E$1001,"&lt;="&amp;DATE(2026,12,31)))</f>
        <v/>
      </c>
      <c r="H35" s="19">
        <f>IF($A35="","",COUNTIFS(KEMATIAN!$C$2:$C$1001,$A35,KEMATIAN!$F$2:$F$1001,"&gt;="&amp;DATE(2026,1,1),KEMATIAN!$F$2:$F$1001,"&lt;="&amp;DATE(2026,12,31)))</f>
        <v/>
      </c>
      <c r="I35" s="19">
        <f>IF($A35="","",COUNTIFS(MUTASI!$C$2:$C$1001,$A35,MUTASI!$D$2:$D$1001,"Keluar",MUTASI!$F$2:$F$1001,"Paroki lain dalam keuskupan",MUTASI!$E$2:$E$1001,"&gt;="&amp;DATE(2026,1,1),MUTASI!$E$2:$E$1001,"&lt;="&amp;DATE(2026,12,31)))</f>
        <v/>
      </c>
      <c r="J35" s="19">
        <f>IF($A35="","",COUNTIFS(MUTASI!$C$2:$C$1001,$A35,MUTASI!$D$2:$D$1001,"Keluar",MUTASI!$F$2:$F$1001,"Keuskupan lain",MUTASI!$E$2:$E$1001,"&gt;="&amp;DATE(2026,1,1),MUTASI!$E$2:$E$1001,"&lt;="&amp;DATE(2026,12,31)))</f>
        <v/>
      </c>
      <c r="K35" s="19">
        <f>IF($A35="","",COUNTIFS('PINDAH AGAMA'!$C$2:$C$1001,$A35,'PINDAH AGAMA'!$D$2:$D$1001,"&gt;="&amp;DATE(2026,1,1),'PINDAH AGAMA'!$D$2:$D$1001,"&lt;="&amp;DATE(2026,12,31)))</f>
        <v/>
      </c>
      <c r="L35" s="19">
        <f>IF($A35="","",D35+E35+F35+G35-H35-I35-J35-K35)</f>
        <v/>
      </c>
      <c r="M35" s="19">
        <f>IF($A35="","",COUNTIFS('KOMUNI PERTAMA'!$C$2:$C$1001,$A35,'KOMUNI PERTAMA'!$E$2:$E$1001,"&gt;="&amp;DATE(2026,1,1),'KOMUNI PERTAMA'!$E$2:$E$1001,"&lt;="&amp;DATE(2026,12,31)))</f>
        <v/>
      </c>
      <c r="N35" s="19">
        <f>IF($A35="","",COUNTIFS('PERKAWINAN GEREJANI'!$C$2:$C$1001,$A35,'PERKAWINAN GEREJANI'!$D$2:$D$1001,"&gt;="&amp;DATE(2026,1,1),'PERKAWINAN GEREJANI'!$D$2:$D$1001,"&lt;="&amp;DATE(2026,12,31)))</f>
        <v/>
      </c>
      <c r="O35" s="19">
        <f>IF($A35="","",COUNTIFS(PEMBUBARAN!$C$2:$C$1001,$A35,PEMBUBARAN!$D$2:$D$1001,"&gt;="&amp;DATE(2026,1,1),PEMBUBARAN!$D$2:$D$1001,"&lt;="&amp;DATE(2026,12,31)))</f>
        <v/>
      </c>
      <c r="P35" s="19">
        <f>IF($A35="","",COUNTIFS('PERMINYAKAN SUCI'!$C$2:$C$1001,$A35,'PERMINYAKAN SUCI'!$E$2:$E$1001,"&gt;="&amp;DATE(2026,1,1),'PERMINYAKAN SUCI'!$E$2:$E$1001,"&lt;="&amp;DATE(2026,12,31)))</f>
        <v/>
      </c>
      <c r="Q35" s="19">
        <f>IF($A35="","",H35)</f>
        <v/>
      </c>
      <c r="R35" s="19">
        <f>IF($A35="","",COUNTIFS('SEMINARI BIARA'!$C$2:$C$1001,$A35,'SEMINARI BIARA'!$F$2:$F$1001,"Mulai masuk 2026",'SEMINARI BIARA'!$G$2:$G$1001,"&gt;="&amp;DATE(2026,1,1),'SEMINARI BIARA'!$G$2:$G$1001,"&lt;="&amp;DATE(2026,12,31)))</f>
        <v/>
      </c>
      <c r="S35" s="19">
        <f>IF($A35="","",COUNTIFS('SEMINARI BIARA'!$C$2:$C$1001,$A35,'SEMINARI BIARA'!$F$2:$F$1001,"Sedang belajar 2026"))</f>
        <v/>
      </c>
    </row>
    <row r="36" ht="14.25" customHeight="1" s="37">
      <c r="A36" s="18" t="n"/>
      <c r="B36" s="19">
        <f>IF($A36="","",COUNTIF('DATA KK'!$E$2:$E$501,$A36))</f>
        <v/>
      </c>
      <c r="C36" s="19">
        <f>IF($A36="","",COUNTIF('DATA UMAT'!$H$2:$H$2001,$A36))</f>
        <v/>
      </c>
      <c r="D36" s="19">
        <f>IF($A36="","",COUNTIFS(BAPTIS!$C$2:$C$1001,$A36,BAPTIS!$F$2:$F$1001,"&gt;="&amp;DATE(2026,1,1),BAPTIS!$F$2:$F$1001,"&lt;="&amp;DATE(2026,12,31)))</f>
        <v/>
      </c>
      <c r="E36" s="19">
        <f>IF($A36="","",COUNTIFS('DITERIMA MASUK'!$C$2:$C$1001,$A36,'DITERIMA MASUK'!$D$2:$D$1001,"&gt;="&amp;DATE(2026,1,1),'DITERIMA MASUK'!$D$2:$D$1001,"&lt;="&amp;DATE(2026,12,31)))</f>
        <v/>
      </c>
      <c r="F36" s="19">
        <f>IF($A36="","",COUNTIFS(MUTASI!$C$2:$C$1001,$A36,MUTASI!$D$2:$D$1001,"Masuk",MUTASI!$F$2:$F$1001,"Paroki lain dalam keuskupan",MUTASI!$E$2:$E$1001,"&gt;="&amp;DATE(2026,1,1),MUTASI!$E$2:$E$1001,"&lt;="&amp;DATE(2026,12,31)))</f>
        <v/>
      </c>
      <c r="G36" s="19">
        <f>IF($A36="","",COUNTIFS(MUTASI!$C$2:$C$1001,$A36,MUTASI!$D$2:$D$1001,"Masuk",MUTASI!$F$2:$F$1001,"Keuskupan lain",MUTASI!$E$2:$E$1001,"&gt;="&amp;DATE(2026,1,1),MUTASI!$E$2:$E$1001,"&lt;="&amp;DATE(2026,12,31)))</f>
        <v/>
      </c>
      <c r="H36" s="19">
        <f>IF($A36="","",COUNTIFS(KEMATIAN!$C$2:$C$1001,$A36,KEMATIAN!$F$2:$F$1001,"&gt;="&amp;DATE(2026,1,1),KEMATIAN!$F$2:$F$1001,"&lt;="&amp;DATE(2026,12,31)))</f>
        <v/>
      </c>
      <c r="I36" s="19">
        <f>IF($A36="","",COUNTIFS(MUTASI!$C$2:$C$1001,$A36,MUTASI!$D$2:$D$1001,"Keluar",MUTASI!$F$2:$F$1001,"Paroki lain dalam keuskupan",MUTASI!$E$2:$E$1001,"&gt;="&amp;DATE(2026,1,1),MUTASI!$E$2:$E$1001,"&lt;="&amp;DATE(2026,12,31)))</f>
        <v/>
      </c>
      <c r="J36" s="19">
        <f>IF($A36="","",COUNTIFS(MUTASI!$C$2:$C$1001,$A36,MUTASI!$D$2:$D$1001,"Keluar",MUTASI!$F$2:$F$1001,"Keuskupan lain",MUTASI!$E$2:$E$1001,"&gt;="&amp;DATE(2026,1,1),MUTASI!$E$2:$E$1001,"&lt;="&amp;DATE(2026,12,31)))</f>
        <v/>
      </c>
      <c r="K36" s="19">
        <f>IF($A36="","",COUNTIFS('PINDAH AGAMA'!$C$2:$C$1001,$A36,'PINDAH AGAMA'!$D$2:$D$1001,"&gt;="&amp;DATE(2026,1,1),'PINDAH AGAMA'!$D$2:$D$1001,"&lt;="&amp;DATE(2026,12,31)))</f>
        <v/>
      </c>
      <c r="L36" s="19">
        <f>IF($A36="","",D36+E36+F36+G36-H36-I36-J36-K36)</f>
        <v/>
      </c>
      <c r="M36" s="19">
        <f>IF($A36="","",COUNTIFS('KOMUNI PERTAMA'!$C$2:$C$1001,$A36,'KOMUNI PERTAMA'!$E$2:$E$1001,"&gt;="&amp;DATE(2026,1,1),'KOMUNI PERTAMA'!$E$2:$E$1001,"&lt;="&amp;DATE(2026,12,31)))</f>
        <v/>
      </c>
      <c r="N36" s="19">
        <f>IF($A36="","",COUNTIFS('PERKAWINAN GEREJANI'!$C$2:$C$1001,$A36,'PERKAWINAN GEREJANI'!$D$2:$D$1001,"&gt;="&amp;DATE(2026,1,1),'PERKAWINAN GEREJANI'!$D$2:$D$1001,"&lt;="&amp;DATE(2026,12,31)))</f>
        <v/>
      </c>
      <c r="O36" s="19">
        <f>IF($A36="","",COUNTIFS(PEMBUBARAN!$C$2:$C$1001,$A36,PEMBUBARAN!$D$2:$D$1001,"&gt;="&amp;DATE(2026,1,1),PEMBUBARAN!$D$2:$D$1001,"&lt;="&amp;DATE(2026,12,31)))</f>
        <v/>
      </c>
      <c r="P36" s="19">
        <f>IF($A36="","",COUNTIFS('PERMINYAKAN SUCI'!$C$2:$C$1001,$A36,'PERMINYAKAN SUCI'!$E$2:$E$1001,"&gt;="&amp;DATE(2026,1,1),'PERMINYAKAN SUCI'!$E$2:$E$1001,"&lt;="&amp;DATE(2026,12,31)))</f>
        <v/>
      </c>
      <c r="Q36" s="19">
        <f>IF($A36="","",H36)</f>
        <v/>
      </c>
      <c r="R36" s="19">
        <f>IF($A36="","",COUNTIFS('SEMINARI BIARA'!$C$2:$C$1001,$A36,'SEMINARI BIARA'!$F$2:$F$1001,"Mulai masuk 2026",'SEMINARI BIARA'!$G$2:$G$1001,"&gt;="&amp;DATE(2026,1,1),'SEMINARI BIARA'!$G$2:$G$1001,"&lt;="&amp;DATE(2026,12,31)))</f>
        <v/>
      </c>
      <c r="S36" s="19">
        <f>IF($A36="","",COUNTIFS('SEMINARI BIARA'!$C$2:$C$1001,$A36,'SEMINARI BIARA'!$F$2:$F$1001,"Sedang belajar 2026"))</f>
        <v/>
      </c>
    </row>
    <row r="37" ht="14.25" customHeight="1" s="37">
      <c r="A37" s="18" t="n"/>
      <c r="B37" s="19">
        <f>IF($A37="","",COUNTIF('DATA KK'!$E$2:$E$501,$A37))</f>
        <v/>
      </c>
      <c r="C37" s="19">
        <f>IF($A37="","",COUNTIF('DATA UMAT'!$H$2:$H$2001,$A37))</f>
        <v/>
      </c>
      <c r="D37" s="19">
        <f>IF($A37="","",COUNTIFS(BAPTIS!$C$2:$C$1001,$A37,BAPTIS!$F$2:$F$1001,"&gt;="&amp;DATE(2026,1,1),BAPTIS!$F$2:$F$1001,"&lt;="&amp;DATE(2026,12,31)))</f>
        <v/>
      </c>
      <c r="E37" s="19">
        <f>IF($A37="","",COUNTIFS('DITERIMA MASUK'!$C$2:$C$1001,$A37,'DITERIMA MASUK'!$D$2:$D$1001,"&gt;="&amp;DATE(2026,1,1),'DITERIMA MASUK'!$D$2:$D$1001,"&lt;="&amp;DATE(2026,12,31)))</f>
        <v/>
      </c>
      <c r="F37" s="19">
        <f>IF($A37="","",COUNTIFS(MUTASI!$C$2:$C$1001,$A37,MUTASI!$D$2:$D$1001,"Masuk",MUTASI!$F$2:$F$1001,"Paroki lain dalam keuskupan",MUTASI!$E$2:$E$1001,"&gt;="&amp;DATE(2026,1,1),MUTASI!$E$2:$E$1001,"&lt;="&amp;DATE(2026,12,31)))</f>
        <v/>
      </c>
      <c r="G37" s="19">
        <f>IF($A37="","",COUNTIFS(MUTASI!$C$2:$C$1001,$A37,MUTASI!$D$2:$D$1001,"Masuk",MUTASI!$F$2:$F$1001,"Keuskupan lain",MUTASI!$E$2:$E$1001,"&gt;="&amp;DATE(2026,1,1),MUTASI!$E$2:$E$1001,"&lt;="&amp;DATE(2026,12,31)))</f>
        <v/>
      </c>
      <c r="H37" s="19">
        <f>IF($A37="","",COUNTIFS(KEMATIAN!$C$2:$C$1001,$A37,KEMATIAN!$F$2:$F$1001,"&gt;="&amp;DATE(2026,1,1),KEMATIAN!$F$2:$F$1001,"&lt;="&amp;DATE(2026,12,31)))</f>
        <v/>
      </c>
      <c r="I37" s="19">
        <f>IF($A37="","",COUNTIFS(MUTASI!$C$2:$C$1001,$A37,MUTASI!$D$2:$D$1001,"Keluar",MUTASI!$F$2:$F$1001,"Paroki lain dalam keuskupan",MUTASI!$E$2:$E$1001,"&gt;="&amp;DATE(2026,1,1),MUTASI!$E$2:$E$1001,"&lt;="&amp;DATE(2026,12,31)))</f>
        <v/>
      </c>
      <c r="J37" s="19">
        <f>IF($A37="","",COUNTIFS(MUTASI!$C$2:$C$1001,$A37,MUTASI!$D$2:$D$1001,"Keluar",MUTASI!$F$2:$F$1001,"Keuskupan lain",MUTASI!$E$2:$E$1001,"&gt;="&amp;DATE(2026,1,1),MUTASI!$E$2:$E$1001,"&lt;="&amp;DATE(2026,12,31)))</f>
        <v/>
      </c>
      <c r="K37" s="19">
        <f>IF($A37="","",COUNTIFS('PINDAH AGAMA'!$C$2:$C$1001,$A37,'PINDAH AGAMA'!$D$2:$D$1001,"&gt;="&amp;DATE(2026,1,1),'PINDAH AGAMA'!$D$2:$D$1001,"&lt;="&amp;DATE(2026,12,31)))</f>
        <v/>
      </c>
      <c r="L37" s="19">
        <f>IF($A37="","",D37+E37+F37+G37-H37-I37-J37-K37)</f>
        <v/>
      </c>
      <c r="M37" s="19">
        <f>IF($A37="","",COUNTIFS('KOMUNI PERTAMA'!$C$2:$C$1001,$A37,'KOMUNI PERTAMA'!$E$2:$E$1001,"&gt;="&amp;DATE(2026,1,1),'KOMUNI PERTAMA'!$E$2:$E$1001,"&lt;="&amp;DATE(2026,12,31)))</f>
        <v/>
      </c>
      <c r="N37" s="19">
        <f>IF($A37="","",COUNTIFS('PERKAWINAN GEREJANI'!$C$2:$C$1001,$A37,'PERKAWINAN GEREJANI'!$D$2:$D$1001,"&gt;="&amp;DATE(2026,1,1),'PERKAWINAN GEREJANI'!$D$2:$D$1001,"&lt;="&amp;DATE(2026,12,31)))</f>
        <v/>
      </c>
      <c r="O37" s="19">
        <f>IF($A37="","",COUNTIFS(PEMBUBARAN!$C$2:$C$1001,$A37,PEMBUBARAN!$D$2:$D$1001,"&gt;="&amp;DATE(2026,1,1),PEMBUBARAN!$D$2:$D$1001,"&lt;="&amp;DATE(2026,12,31)))</f>
        <v/>
      </c>
      <c r="P37" s="19">
        <f>IF($A37="","",COUNTIFS('PERMINYAKAN SUCI'!$C$2:$C$1001,$A37,'PERMINYAKAN SUCI'!$E$2:$E$1001,"&gt;="&amp;DATE(2026,1,1),'PERMINYAKAN SUCI'!$E$2:$E$1001,"&lt;="&amp;DATE(2026,12,31)))</f>
        <v/>
      </c>
      <c r="Q37" s="19">
        <f>IF($A37="","",H37)</f>
        <v/>
      </c>
      <c r="R37" s="19">
        <f>IF($A37="","",COUNTIFS('SEMINARI BIARA'!$C$2:$C$1001,$A37,'SEMINARI BIARA'!$F$2:$F$1001,"Mulai masuk 2026",'SEMINARI BIARA'!$G$2:$G$1001,"&gt;="&amp;DATE(2026,1,1),'SEMINARI BIARA'!$G$2:$G$1001,"&lt;="&amp;DATE(2026,12,31)))</f>
        <v/>
      </c>
      <c r="S37" s="19">
        <f>IF($A37="","",COUNTIFS('SEMINARI BIARA'!$C$2:$C$1001,$A37,'SEMINARI BIARA'!$F$2:$F$1001,"Sedang belajar 2026"))</f>
        <v/>
      </c>
    </row>
    <row r="38" ht="14.25" customHeight="1" s="37">
      <c r="A38" s="18" t="n"/>
      <c r="B38" s="19">
        <f>IF($A38="","",COUNTIF('DATA KK'!$E$2:$E$501,$A38))</f>
        <v/>
      </c>
      <c r="C38" s="19">
        <f>IF($A38="","",COUNTIF('DATA UMAT'!$H$2:$H$2001,$A38))</f>
        <v/>
      </c>
      <c r="D38" s="19">
        <f>IF($A38="","",COUNTIFS(BAPTIS!$C$2:$C$1001,$A38,BAPTIS!$F$2:$F$1001,"&gt;="&amp;DATE(2026,1,1),BAPTIS!$F$2:$F$1001,"&lt;="&amp;DATE(2026,12,31)))</f>
        <v/>
      </c>
      <c r="E38" s="19">
        <f>IF($A38="","",COUNTIFS('DITERIMA MASUK'!$C$2:$C$1001,$A38,'DITERIMA MASUK'!$D$2:$D$1001,"&gt;="&amp;DATE(2026,1,1),'DITERIMA MASUK'!$D$2:$D$1001,"&lt;="&amp;DATE(2026,12,31)))</f>
        <v/>
      </c>
      <c r="F38" s="19">
        <f>IF($A38="","",COUNTIFS(MUTASI!$C$2:$C$1001,$A38,MUTASI!$D$2:$D$1001,"Masuk",MUTASI!$F$2:$F$1001,"Paroki lain dalam keuskupan",MUTASI!$E$2:$E$1001,"&gt;="&amp;DATE(2026,1,1),MUTASI!$E$2:$E$1001,"&lt;="&amp;DATE(2026,12,31)))</f>
        <v/>
      </c>
      <c r="G38" s="19">
        <f>IF($A38="","",COUNTIFS(MUTASI!$C$2:$C$1001,$A38,MUTASI!$D$2:$D$1001,"Masuk",MUTASI!$F$2:$F$1001,"Keuskupan lain",MUTASI!$E$2:$E$1001,"&gt;="&amp;DATE(2026,1,1),MUTASI!$E$2:$E$1001,"&lt;="&amp;DATE(2026,12,31)))</f>
        <v/>
      </c>
      <c r="H38" s="19">
        <f>IF($A38="","",COUNTIFS(KEMATIAN!$C$2:$C$1001,$A38,KEMATIAN!$F$2:$F$1001,"&gt;="&amp;DATE(2026,1,1),KEMATIAN!$F$2:$F$1001,"&lt;="&amp;DATE(2026,12,31)))</f>
        <v/>
      </c>
      <c r="I38" s="19">
        <f>IF($A38="","",COUNTIFS(MUTASI!$C$2:$C$1001,$A38,MUTASI!$D$2:$D$1001,"Keluar",MUTASI!$F$2:$F$1001,"Paroki lain dalam keuskupan",MUTASI!$E$2:$E$1001,"&gt;="&amp;DATE(2026,1,1),MUTASI!$E$2:$E$1001,"&lt;="&amp;DATE(2026,12,31)))</f>
        <v/>
      </c>
      <c r="J38" s="19">
        <f>IF($A38="","",COUNTIFS(MUTASI!$C$2:$C$1001,$A38,MUTASI!$D$2:$D$1001,"Keluar",MUTASI!$F$2:$F$1001,"Keuskupan lain",MUTASI!$E$2:$E$1001,"&gt;="&amp;DATE(2026,1,1),MUTASI!$E$2:$E$1001,"&lt;="&amp;DATE(2026,12,31)))</f>
        <v/>
      </c>
      <c r="K38" s="19">
        <f>IF($A38="","",COUNTIFS('PINDAH AGAMA'!$C$2:$C$1001,$A38,'PINDAH AGAMA'!$D$2:$D$1001,"&gt;="&amp;DATE(2026,1,1),'PINDAH AGAMA'!$D$2:$D$1001,"&lt;="&amp;DATE(2026,12,31)))</f>
        <v/>
      </c>
      <c r="L38" s="19">
        <f>IF($A38="","",D38+E38+F38+G38-H38-I38-J38-K38)</f>
        <v/>
      </c>
      <c r="M38" s="19">
        <f>IF($A38="","",COUNTIFS('KOMUNI PERTAMA'!$C$2:$C$1001,$A38,'KOMUNI PERTAMA'!$E$2:$E$1001,"&gt;="&amp;DATE(2026,1,1),'KOMUNI PERTAMA'!$E$2:$E$1001,"&lt;="&amp;DATE(2026,12,31)))</f>
        <v/>
      </c>
      <c r="N38" s="19">
        <f>IF($A38="","",COUNTIFS('PERKAWINAN GEREJANI'!$C$2:$C$1001,$A38,'PERKAWINAN GEREJANI'!$D$2:$D$1001,"&gt;="&amp;DATE(2026,1,1),'PERKAWINAN GEREJANI'!$D$2:$D$1001,"&lt;="&amp;DATE(2026,12,31)))</f>
        <v/>
      </c>
      <c r="O38" s="19">
        <f>IF($A38="","",COUNTIFS(PEMBUBARAN!$C$2:$C$1001,$A38,PEMBUBARAN!$D$2:$D$1001,"&gt;="&amp;DATE(2026,1,1),PEMBUBARAN!$D$2:$D$1001,"&lt;="&amp;DATE(2026,12,31)))</f>
        <v/>
      </c>
      <c r="P38" s="19">
        <f>IF($A38="","",COUNTIFS('PERMINYAKAN SUCI'!$C$2:$C$1001,$A38,'PERMINYAKAN SUCI'!$E$2:$E$1001,"&gt;="&amp;DATE(2026,1,1),'PERMINYAKAN SUCI'!$E$2:$E$1001,"&lt;="&amp;DATE(2026,12,31)))</f>
        <v/>
      </c>
      <c r="Q38" s="19">
        <f>IF($A38="","",H38)</f>
        <v/>
      </c>
      <c r="R38" s="19">
        <f>IF($A38="","",COUNTIFS('SEMINARI BIARA'!$C$2:$C$1001,$A38,'SEMINARI BIARA'!$F$2:$F$1001,"Mulai masuk 2026",'SEMINARI BIARA'!$G$2:$G$1001,"&gt;="&amp;DATE(2026,1,1),'SEMINARI BIARA'!$G$2:$G$1001,"&lt;="&amp;DATE(2026,12,31)))</f>
        <v/>
      </c>
      <c r="S38" s="19">
        <f>IF($A38="","",COUNTIFS('SEMINARI BIARA'!$C$2:$C$1001,$A38,'SEMINARI BIARA'!$F$2:$F$1001,"Sedang belajar 2026"))</f>
        <v/>
      </c>
    </row>
    <row r="39" ht="14.25" customHeight="1" s="37">
      <c r="A39" s="18" t="n"/>
      <c r="B39" s="19">
        <f>IF($A39="","",COUNTIF('DATA KK'!$E$2:$E$501,$A39))</f>
        <v/>
      </c>
      <c r="C39" s="19">
        <f>IF($A39="","",COUNTIF('DATA UMAT'!$H$2:$H$2001,$A39))</f>
        <v/>
      </c>
      <c r="D39" s="19">
        <f>IF($A39="","",COUNTIFS(BAPTIS!$C$2:$C$1001,$A39,BAPTIS!$F$2:$F$1001,"&gt;="&amp;DATE(2026,1,1),BAPTIS!$F$2:$F$1001,"&lt;="&amp;DATE(2026,12,31)))</f>
        <v/>
      </c>
      <c r="E39" s="19">
        <f>IF($A39="","",COUNTIFS('DITERIMA MASUK'!$C$2:$C$1001,$A39,'DITERIMA MASUK'!$D$2:$D$1001,"&gt;="&amp;DATE(2026,1,1),'DITERIMA MASUK'!$D$2:$D$1001,"&lt;="&amp;DATE(2026,12,31)))</f>
        <v/>
      </c>
      <c r="F39" s="19">
        <f>IF($A39="","",COUNTIFS(MUTASI!$C$2:$C$1001,$A39,MUTASI!$D$2:$D$1001,"Masuk",MUTASI!$F$2:$F$1001,"Paroki lain dalam keuskupan",MUTASI!$E$2:$E$1001,"&gt;="&amp;DATE(2026,1,1),MUTASI!$E$2:$E$1001,"&lt;="&amp;DATE(2026,12,31)))</f>
        <v/>
      </c>
      <c r="G39" s="19">
        <f>IF($A39="","",COUNTIFS(MUTASI!$C$2:$C$1001,$A39,MUTASI!$D$2:$D$1001,"Masuk",MUTASI!$F$2:$F$1001,"Keuskupan lain",MUTASI!$E$2:$E$1001,"&gt;="&amp;DATE(2026,1,1),MUTASI!$E$2:$E$1001,"&lt;="&amp;DATE(2026,12,31)))</f>
        <v/>
      </c>
      <c r="H39" s="19">
        <f>IF($A39="","",COUNTIFS(KEMATIAN!$C$2:$C$1001,$A39,KEMATIAN!$F$2:$F$1001,"&gt;="&amp;DATE(2026,1,1),KEMATIAN!$F$2:$F$1001,"&lt;="&amp;DATE(2026,12,31)))</f>
        <v/>
      </c>
      <c r="I39" s="19">
        <f>IF($A39="","",COUNTIFS(MUTASI!$C$2:$C$1001,$A39,MUTASI!$D$2:$D$1001,"Keluar",MUTASI!$F$2:$F$1001,"Paroki lain dalam keuskupan",MUTASI!$E$2:$E$1001,"&gt;="&amp;DATE(2026,1,1),MUTASI!$E$2:$E$1001,"&lt;="&amp;DATE(2026,12,31)))</f>
        <v/>
      </c>
      <c r="J39" s="19">
        <f>IF($A39="","",COUNTIFS(MUTASI!$C$2:$C$1001,$A39,MUTASI!$D$2:$D$1001,"Keluar",MUTASI!$F$2:$F$1001,"Keuskupan lain",MUTASI!$E$2:$E$1001,"&gt;="&amp;DATE(2026,1,1),MUTASI!$E$2:$E$1001,"&lt;="&amp;DATE(2026,12,31)))</f>
        <v/>
      </c>
      <c r="K39" s="19">
        <f>IF($A39="","",COUNTIFS('PINDAH AGAMA'!$C$2:$C$1001,$A39,'PINDAH AGAMA'!$D$2:$D$1001,"&gt;="&amp;DATE(2026,1,1),'PINDAH AGAMA'!$D$2:$D$1001,"&lt;="&amp;DATE(2026,12,31)))</f>
        <v/>
      </c>
      <c r="L39" s="19">
        <f>IF($A39="","",D39+E39+F39+G39-H39-I39-J39-K39)</f>
        <v/>
      </c>
      <c r="M39" s="19">
        <f>IF($A39="","",COUNTIFS('KOMUNI PERTAMA'!$C$2:$C$1001,$A39,'KOMUNI PERTAMA'!$E$2:$E$1001,"&gt;="&amp;DATE(2026,1,1),'KOMUNI PERTAMA'!$E$2:$E$1001,"&lt;="&amp;DATE(2026,12,31)))</f>
        <v/>
      </c>
      <c r="N39" s="19">
        <f>IF($A39="","",COUNTIFS('PERKAWINAN GEREJANI'!$C$2:$C$1001,$A39,'PERKAWINAN GEREJANI'!$D$2:$D$1001,"&gt;="&amp;DATE(2026,1,1),'PERKAWINAN GEREJANI'!$D$2:$D$1001,"&lt;="&amp;DATE(2026,12,31)))</f>
        <v/>
      </c>
      <c r="O39" s="19">
        <f>IF($A39="","",COUNTIFS(PEMBUBARAN!$C$2:$C$1001,$A39,PEMBUBARAN!$D$2:$D$1001,"&gt;="&amp;DATE(2026,1,1),PEMBUBARAN!$D$2:$D$1001,"&lt;="&amp;DATE(2026,12,31)))</f>
        <v/>
      </c>
      <c r="P39" s="19">
        <f>IF($A39="","",COUNTIFS('PERMINYAKAN SUCI'!$C$2:$C$1001,$A39,'PERMINYAKAN SUCI'!$E$2:$E$1001,"&gt;="&amp;DATE(2026,1,1),'PERMINYAKAN SUCI'!$E$2:$E$1001,"&lt;="&amp;DATE(2026,12,31)))</f>
        <v/>
      </c>
      <c r="Q39" s="19">
        <f>IF($A39="","",H39)</f>
        <v/>
      </c>
      <c r="R39" s="19">
        <f>IF($A39="","",COUNTIFS('SEMINARI BIARA'!$C$2:$C$1001,$A39,'SEMINARI BIARA'!$F$2:$F$1001,"Mulai masuk 2026",'SEMINARI BIARA'!$G$2:$G$1001,"&gt;="&amp;DATE(2026,1,1),'SEMINARI BIARA'!$G$2:$G$1001,"&lt;="&amp;DATE(2026,12,31)))</f>
        <v/>
      </c>
      <c r="S39" s="19">
        <f>IF($A39="","",COUNTIFS('SEMINARI BIARA'!$C$2:$C$1001,$A39,'SEMINARI BIARA'!$F$2:$F$1001,"Sedang belajar 2026"))</f>
        <v/>
      </c>
    </row>
    <row r="40" ht="14.25" customHeight="1" s="37">
      <c r="A40" s="18" t="n"/>
      <c r="B40" s="19">
        <f>IF($A40="","",COUNTIF('DATA KK'!$E$2:$E$501,$A40))</f>
        <v/>
      </c>
      <c r="C40" s="19">
        <f>IF($A40="","",COUNTIF('DATA UMAT'!$H$2:$H$2001,$A40))</f>
        <v/>
      </c>
      <c r="D40" s="19">
        <f>IF($A40="","",COUNTIFS(BAPTIS!$C$2:$C$1001,$A40,BAPTIS!$F$2:$F$1001,"&gt;="&amp;DATE(2026,1,1),BAPTIS!$F$2:$F$1001,"&lt;="&amp;DATE(2026,12,31)))</f>
        <v/>
      </c>
      <c r="E40" s="19">
        <f>IF($A40="","",COUNTIFS('DITERIMA MASUK'!$C$2:$C$1001,$A40,'DITERIMA MASUK'!$D$2:$D$1001,"&gt;="&amp;DATE(2026,1,1),'DITERIMA MASUK'!$D$2:$D$1001,"&lt;="&amp;DATE(2026,12,31)))</f>
        <v/>
      </c>
      <c r="F40" s="19">
        <f>IF($A40="","",COUNTIFS(MUTASI!$C$2:$C$1001,$A40,MUTASI!$D$2:$D$1001,"Masuk",MUTASI!$F$2:$F$1001,"Paroki lain dalam keuskupan",MUTASI!$E$2:$E$1001,"&gt;="&amp;DATE(2026,1,1),MUTASI!$E$2:$E$1001,"&lt;="&amp;DATE(2026,12,31)))</f>
        <v/>
      </c>
      <c r="G40" s="19">
        <f>IF($A40="","",COUNTIFS(MUTASI!$C$2:$C$1001,$A40,MUTASI!$D$2:$D$1001,"Masuk",MUTASI!$F$2:$F$1001,"Keuskupan lain",MUTASI!$E$2:$E$1001,"&gt;="&amp;DATE(2026,1,1),MUTASI!$E$2:$E$1001,"&lt;="&amp;DATE(2026,12,31)))</f>
        <v/>
      </c>
      <c r="H40" s="19">
        <f>IF($A40="","",COUNTIFS(KEMATIAN!$C$2:$C$1001,$A40,KEMATIAN!$F$2:$F$1001,"&gt;="&amp;DATE(2026,1,1),KEMATIAN!$F$2:$F$1001,"&lt;="&amp;DATE(2026,12,31)))</f>
        <v/>
      </c>
      <c r="I40" s="19">
        <f>IF($A40="","",COUNTIFS(MUTASI!$C$2:$C$1001,$A40,MUTASI!$D$2:$D$1001,"Keluar",MUTASI!$F$2:$F$1001,"Paroki lain dalam keuskupan",MUTASI!$E$2:$E$1001,"&gt;="&amp;DATE(2026,1,1),MUTASI!$E$2:$E$1001,"&lt;="&amp;DATE(2026,12,31)))</f>
        <v/>
      </c>
      <c r="J40" s="19">
        <f>IF($A40="","",COUNTIFS(MUTASI!$C$2:$C$1001,$A40,MUTASI!$D$2:$D$1001,"Keluar",MUTASI!$F$2:$F$1001,"Keuskupan lain",MUTASI!$E$2:$E$1001,"&gt;="&amp;DATE(2026,1,1),MUTASI!$E$2:$E$1001,"&lt;="&amp;DATE(2026,12,31)))</f>
        <v/>
      </c>
      <c r="K40" s="19">
        <f>IF($A40="","",COUNTIFS('PINDAH AGAMA'!$C$2:$C$1001,$A40,'PINDAH AGAMA'!$D$2:$D$1001,"&gt;="&amp;DATE(2026,1,1),'PINDAH AGAMA'!$D$2:$D$1001,"&lt;="&amp;DATE(2026,12,31)))</f>
        <v/>
      </c>
      <c r="L40" s="19">
        <f>IF($A40="","",D40+E40+F40+G40-H40-I40-J40-K40)</f>
        <v/>
      </c>
      <c r="M40" s="19">
        <f>IF($A40="","",COUNTIFS('KOMUNI PERTAMA'!$C$2:$C$1001,$A40,'KOMUNI PERTAMA'!$E$2:$E$1001,"&gt;="&amp;DATE(2026,1,1),'KOMUNI PERTAMA'!$E$2:$E$1001,"&lt;="&amp;DATE(2026,12,31)))</f>
        <v/>
      </c>
      <c r="N40" s="19">
        <f>IF($A40="","",COUNTIFS('PERKAWINAN GEREJANI'!$C$2:$C$1001,$A40,'PERKAWINAN GEREJANI'!$D$2:$D$1001,"&gt;="&amp;DATE(2026,1,1),'PERKAWINAN GEREJANI'!$D$2:$D$1001,"&lt;="&amp;DATE(2026,12,31)))</f>
        <v/>
      </c>
      <c r="O40" s="19">
        <f>IF($A40="","",COUNTIFS(PEMBUBARAN!$C$2:$C$1001,$A40,PEMBUBARAN!$D$2:$D$1001,"&gt;="&amp;DATE(2026,1,1),PEMBUBARAN!$D$2:$D$1001,"&lt;="&amp;DATE(2026,12,31)))</f>
        <v/>
      </c>
      <c r="P40" s="19">
        <f>IF($A40="","",COUNTIFS('PERMINYAKAN SUCI'!$C$2:$C$1001,$A40,'PERMINYAKAN SUCI'!$E$2:$E$1001,"&gt;="&amp;DATE(2026,1,1),'PERMINYAKAN SUCI'!$E$2:$E$1001,"&lt;="&amp;DATE(2026,12,31)))</f>
        <v/>
      </c>
      <c r="Q40" s="19">
        <f>IF($A40="","",H40)</f>
        <v/>
      </c>
      <c r="R40" s="19">
        <f>IF($A40="","",COUNTIFS('SEMINARI BIARA'!$C$2:$C$1001,$A40,'SEMINARI BIARA'!$F$2:$F$1001,"Mulai masuk 2026",'SEMINARI BIARA'!$G$2:$G$1001,"&gt;="&amp;DATE(2026,1,1),'SEMINARI BIARA'!$G$2:$G$1001,"&lt;="&amp;DATE(2026,12,31)))</f>
        <v/>
      </c>
      <c r="S40" s="19">
        <f>IF($A40="","",COUNTIFS('SEMINARI BIARA'!$C$2:$C$1001,$A40,'SEMINARI BIARA'!$F$2:$F$1001,"Sedang belajar 2026"))</f>
        <v/>
      </c>
    </row>
    <row r="41" ht="14.25" customHeight="1" s="37">
      <c r="A41" s="18" t="n"/>
      <c r="B41" s="19">
        <f>IF($A41="","",COUNTIF('DATA KK'!$E$2:$E$501,$A41))</f>
        <v/>
      </c>
      <c r="C41" s="19">
        <f>IF($A41="","",COUNTIF('DATA UMAT'!$H$2:$H$2001,$A41))</f>
        <v/>
      </c>
      <c r="D41" s="19">
        <f>IF($A41="","",COUNTIFS(BAPTIS!$C$2:$C$1001,$A41,BAPTIS!$F$2:$F$1001,"&gt;="&amp;DATE(2026,1,1),BAPTIS!$F$2:$F$1001,"&lt;="&amp;DATE(2026,12,31)))</f>
        <v/>
      </c>
      <c r="E41" s="19">
        <f>IF($A41="","",COUNTIFS('DITERIMA MASUK'!$C$2:$C$1001,$A41,'DITERIMA MASUK'!$D$2:$D$1001,"&gt;="&amp;DATE(2026,1,1),'DITERIMA MASUK'!$D$2:$D$1001,"&lt;="&amp;DATE(2026,12,31)))</f>
        <v/>
      </c>
      <c r="F41" s="19">
        <f>IF($A41="","",COUNTIFS(MUTASI!$C$2:$C$1001,$A41,MUTASI!$D$2:$D$1001,"Masuk",MUTASI!$F$2:$F$1001,"Paroki lain dalam keuskupan",MUTASI!$E$2:$E$1001,"&gt;="&amp;DATE(2026,1,1),MUTASI!$E$2:$E$1001,"&lt;="&amp;DATE(2026,12,31)))</f>
        <v/>
      </c>
      <c r="G41" s="19">
        <f>IF($A41="","",COUNTIFS(MUTASI!$C$2:$C$1001,$A41,MUTASI!$D$2:$D$1001,"Masuk",MUTASI!$F$2:$F$1001,"Keuskupan lain",MUTASI!$E$2:$E$1001,"&gt;="&amp;DATE(2026,1,1),MUTASI!$E$2:$E$1001,"&lt;="&amp;DATE(2026,12,31)))</f>
        <v/>
      </c>
      <c r="H41" s="19">
        <f>IF($A41="","",COUNTIFS(KEMATIAN!$C$2:$C$1001,$A41,KEMATIAN!$F$2:$F$1001,"&gt;="&amp;DATE(2026,1,1),KEMATIAN!$F$2:$F$1001,"&lt;="&amp;DATE(2026,12,31)))</f>
        <v/>
      </c>
      <c r="I41" s="19">
        <f>IF($A41="","",COUNTIFS(MUTASI!$C$2:$C$1001,$A41,MUTASI!$D$2:$D$1001,"Keluar",MUTASI!$F$2:$F$1001,"Paroki lain dalam keuskupan",MUTASI!$E$2:$E$1001,"&gt;="&amp;DATE(2026,1,1),MUTASI!$E$2:$E$1001,"&lt;="&amp;DATE(2026,12,31)))</f>
        <v/>
      </c>
      <c r="J41" s="19">
        <f>IF($A41="","",COUNTIFS(MUTASI!$C$2:$C$1001,$A41,MUTASI!$D$2:$D$1001,"Keluar",MUTASI!$F$2:$F$1001,"Keuskupan lain",MUTASI!$E$2:$E$1001,"&gt;="&amp;DATE(2026,1,1),MUTASI!$E$2:$E$1001,"&lt;="&amp;DATE(2026,12,31)))</f>
        <v/>
      </c>
      <c r="K41" s="19">
        <f>IF($A41="","",COUNTIFS('PINDAH AGAMA'!$C$2:$C$1001,$A41,'PINDAH AGAMA'!$D$2:$D$1001,"&gt;="&amp;DATE(2026,1,1),'PINDAH AGAMA'!$D$2:$D$1001,"&lt;="&amp;DATE(2026,12,31)))</f>
        <v/>
      </c>
      <c r="L41" s="19">
        <f>IF($A41="","",D41+E41+F41+G41-H41-I41-J41-K41)</f>
        <v/>
      </c>
      <c r="M41" s="19">
        <f>IF($A41="","",COUNTIFS('KOMUNI PERTAMA'!$C$2:$C$1001,$A41,'KOMUNI PERTAMA'!$E$2:$E$1001,"&gt;="&amp;DATE(2026,1,1),'KOMUNI PERTAMA'!$E$2:$E$1001,"&lt;="&amp;DATE(2026,12,31)))</f>
        <v/>
      </c>
      <c r="N41" s="19">
        <f>IF($A41="","",COUNTIFS('PERKAWINAN GEREJANI'!$C$2:$C$1001,$A41,'PERKAWINAN GEREJANI'!$D$2:$D$1001,"&gt;="&amp;DATE(2026,1,1),'PERKAWINAN GEREJANI'!$D$2:$D$1001,"&lt;="&amp;DATE(2026,12,31)))</f>
        <v/>
      </c>
      <c r="O41" s="19">
        <f>IF($A41="","",COUNTIFS(PEMBUBARAN!$C$2:$C$1001,$A41,PEMBUBARAN!$D$2:$D$1001,"&gt;="&amp;DATE(2026,1,1),PEMBUBARAN!$D$2:$D$1001,"&lt;="&amp;DATE(2026,12,31)))</f>
        <v/>
      </c>
      <c r="P41" s="19">
        <f>IF($A41="","",COUNTIFS('PERMINYAKAN SUCI'!$C$2:$C$1001,$A41,'PERMINYAKAN SUCI'!$E$2:$E$1001,"&gt;="&amp;DATE(2026,1,1),'PERMINYAKAN SUCI'!$E$2:$E$1001,"&lt;="&amp;DATE(2026,12,31)))</f>
        <v/>
      </c>
      <c r="Q41" s="19">
        <f>IF($A41="","",H41)</f>
        <v/>
      </c>
      <c r="R41" s="19">
        <f>IF($A41="","",COUNTIFS('SEMINARI BIARA'!$C$2:$C$1001,$A41,'SEMINARI BIARA'!$F$2:$F$1001,"Mulai masuk 2026",'SEMINARI BIARA'!$G$2:$G$1001,"&gt;="&amp;DATE(2026,1,1),'SEMINARI BIARA'!$G$2:$G$1001,"&lt;="&amp;DATE(2026,12,31)))</f>
        <v/>
      </c>
      <c r="S41" s="19">
        <f>IF($A41="","",COUNTIFS('SEMINARI BIARA'!$C$2:$C$1001,$A41,'SEMINARI BIARA'!$F$2:$F$1001,"Sedang belajar 2026"))</f>
        <v/>
      </c>
    </row>
    <row r="42" ht="14.25" customHeight="1" s="37">
      <c r="A42" s="18" t="n"/>
      <c r="B42" s="19">
        <f>IF($A42="","",COUNTIF('DATA KK'!$E$2:$E$501,$A42))</f>
        <v/>
      </c>
      <c r="C42" s="19">
        <f>IF($A42="","",COUNTIF('DATA UMAT'!$H$2:$H$2001,$A42))</f>
        <v/>
      </c>
      <c r="D42" s="19">
        <f>IF($A42="","",COUNTIFS(BAPTIS!$C$2:$C$1001,$A42,BAPTIS!$F$2:$F$1001,"&gt;="&amp;DATE(2026,1,1),BAPTIS!$F$2:$F$1001,"&lt;="&amp;DATE(2026,12,31)))</f>
        <v/>
      </c>
      <c r="E42" s="19">
        <f>IF($A42="","",COUNTIFS('DITERIMA MASUK'!$C$2:$C$1001,$A42,'DITERIMA MASUK'!$D$2:$D$1001,"&gt;="&amp;DATE(2026,1,1),'DITERIMA MASUK'!$D$2:$D$1001,"&lt;="&amp;DATE(2026,12,31)))</f>
        <v/>
      </c>
      <c r="F42" s="19">
        <f>IF($A42="","",COUNTIFS(MUTASI!$C$2:$C$1001,$A42,MUTASI!$D$2:$D$1001,"Masuk",MUTASI!$F$2:$F$1001,"Paroki lain dalam keuskupan",MUTASI!$E$2:$E$1001,"&gt;="&amp;DATE(2026,1,1),MUTASI!$E$2:$E$1001,"&lt;="&amp;DATE(2026,12,31)))</f>
        <v/>
      </c>
      <c r="G42" s="19">
        <f>IF($A42="","",COUNTIFS(MUTASI!$C$2:$C$1001,$A42,MUTASI!$D$2:$D$1001,"Masuk",MUTASI!$F$2:$F$1001,"Keuskupan lain",MUTASI!$E$2:$E$1001,"&gt;="&amp;DATE(2026,1,1),MUTASI!$E$2:$E$1001,"&lt;="&amp;DATE(2026,12,31)))</f>
        <v/>
      </c>
      <c r="H42" s="19">
        <f>IF($A42="","",COUNTIFS(KEMATIAN!$C$2:$C$1001,$A42,KEMATIAN!$F$2:$F$1001,"&gt;="&amp;DATE(2026,1,1),KEMATIAN!$F$2:$F$1001,"&lt;="&amp;DATE(2026,12,31)))</f>
        <v/>
      </c>
      <c r="I42" s="19">
        <f>IF($A42="","",COUNTIFS(MUTASI!$C$2:$C$1001,$A42,MUTASI!$D$2:$D$1001,"Keluar",MUTASI!$F$2:$F$1001,"Paroki lain dalam keuskupan",MUTASI!$E$2:$E$1001,"&gt;="&amp;DATE(2026,1,1),MUTASI!$E$2:$E$1001,"&lt;="&amp;DATE(2026,12,31)))</f>
        <v/>
      </c>
      <c r="J42" s="19">
        <f>IF($A42="","",COUNTIFS(MUTASI!$C$2:$C$1001,$A42,MUTASI!$D$2:$D$1001,"Keluar",MUTASI!$F$2:$F$1001,"Keuskupan lain",MUTASI!$E$2:$E$1001,"&gt;="&amp;DATE(2026,1,1),MUTASI!$E$2:$E$1001,"&lt;="&amp;DATE(2026,12,31)))</f>
        <v/>
      </c>
      <c r="K42" s="19">
        <f>IF($A42="","",COUNTIFS('PINDAH AGAMA'!$C$2:$C$1001,$A42,'PINDAH AGAMA'!$D$2:$D$1001,"&gt;="&amp;DATE(2026,1,1),'PINDAH AGAMA'!$D$2:$D$1001,"&lt;="&amp;DATE(2026,12,31)))</f>
        <v/>
      </c>
      <c r="L42" s="19">
        <f>IF($A42="","",D42+E42+F42+G42-H42-I42-J42-K42)</f>
        <v/>
      </c>
      <c r="M42" s="19">
        <f>IF($A42="","",COUNTIFS('KOMUNI PERTAMA'!$C$2:$C$1001,$A42,'KOMUNI PERTAMA'!$E$2:$E$1001,"&gt;="&amp;DATE(2026,1,1),'KOMUNI PERTAMA'!$E$2:$E$1001,"&lt;="&amp;DATE(2026,12,31)))</f>
        <v/>
      </c>
      <c r="N42" s="19">
        <f>IF($A42="","",COUNTIFS('PERKAWINAN GEREJANI'!$C$2:$C$1001,$A42,'PERKAWINAN GEREJANI'!$D$2:$D$1001,"&gt;="&amp;DATE(2026,1,1),'PERKAWINAN GEREJANI'!$D$2:$D$1001,"&lt;="&amp;DATE(2026,12,31)))</f>
        <v/>
      </c>
      <c r="O42" s="19">
        <f>IF($A42="","",COUNTIFS(PEMBUBARAN!$C$2:$C$1001,$A42,PEMBUBARAN!$D$2:$D$1001,"&gt;="&amp;DATE(2026,1,1),PEMBUBARAN!$D$2:$D$1001,"&lt;="&amp;DATE(2026,12,31)))</f>
        <v/>
      </c>
      <c r="P42" s="19">
        <f>IF($A42="","",COUNTIFS('PERMINYAKAN SUCI'!$C$2:$C$1001,$A42,'PERMINYAKAN SUCI'!$E$2:$E$1001,"&gt;="&amp;DATE(2026,1,1),'PERMINYAKAN SUCI'!$E$2:$E$1001,"&lt;="&amp;DATE(2026,12,31)))</f>
        <v/>
      </c>
      <c r="Q42" s="19">
        <f>IF($A42="","",H42)</f>
        <v/>
      </c>
      <c r="R42" s="19">
        <f>IF($A42="","",COUNTIFS('SEMINARI BIARA'!$C$2:$C$1001,$A42,'SEMINARI BIARA'!$F$2:$F$1001,"Mulai masuk 2026",'SEMINARI BIARA'!$G$2:$G$1001,"&gt;="&amp;DATE(2026,1,1),'SEMINARI BIARA'!$G$2:$G$1001,"&lt;="&amp;DATE(2026,12,31)))</f>
        <v/>
      </c>
      <c r="S42" s="19">
        <f>IF($A42="","",COUNTIFS('SEMINARI BIARA'!$C$2:$C$1001,$A42,'SEMINARI BIARA'!$F$2:$F$1001,"Sedang belajar 2026"))</f>
        <v/>
      </c>
    </row>
    <row r="43" ht="14.25" customHeight="1" s="37">
      <c r="A43" s="18" t="n"/>
      <c r="B43" s="19">
        <f>IF($A43="","",COUNTIF('DATA KK'!$E$2:$E$501,$A43))</f>
        <v/>
      </c>
      <c r="C43" s="19">
        <f>IF($A43="","",COUNTIF('DATA UMAT'!$H$2:$H$2001,$A43))</f>
        <v/>
      </c>
      <c r="D43" s="19">
        <f>IF($A43="","",COUNTIFS(BAPTIS!$C$2:$C$1001,$A43,BAPTIS!$F$2:$F$1001,"&gt;="&amp;DATE(2026,1,1),BAPTIS!$F$2:$F$1001,"&lt;="&amp;DATE(2026,12,31)))</f>
        <v/>
      </c>
      <c r="E43" s="19">
        <f>IF($A43="","",COUNTIFS('DITERIMA MASUK'!$C$2:$C$1001,$A43,'DITERIMA MASUK'!$D$2:$D$1001,"&gt;="&amp;DATE(2026,1,1),'DITERIMA MASUK'!$D$2:$D$1001,"&lt;="&amp;DATE(2026,12,31)))</f>
        <v/>
      </c>
      <c r="F43" s="19">
        <f>IF($A43="","",COUNTIFS(MUTASI!$C$2:$C$1001,$A43,MUTASI!$D$2:$D$1001,"Masuk",MUTASI!$F$2:$F$1001,"Paroki lain dalam keuskupan",MUTASI!$E$2:$E$1001,"&gt;="&amp;DATE(2026,1,1),MUTASI!$E$2:$E$1001,"&lt;="&amp;DATE(2026,12,31)))</f>
        <v/>
      </c>
      <c r="G43" s="19">
        <f>IF($A43="","",COUNTIFS(MUTASI!$C$2:$C$1001,$A43,MUTASI!$D$2:$D$1001,"Masuk",MUTASI!$F$2:$F$1001,"Keuskupan lain",MUTASI!$E$2:$E$1001,"&gt;="&amp;DATE(2026,1,1),MUTASI!$E$2:$E$1001,"&lt;="&amp;DATE(2026,12,31)))</f>
        <v/>
      </c>
      <c r="H43" s="19">
        <f>IF($A43="","",COUNTIFS(KEMATIAN!$C$2:$C$1001,$A43,KEMATIAN!$F$2:$F$1001,"&gt;="&amp;DATE(2026,1,1),KEMATIAN!$F$2:$F$1001,"&lt;="&amp;DATE(2026,12,31)))</f>
        <v/>
      </c>
      <c r="I43" s="19">
        <f>IF($A43="","",COUNTIFS(MUTASI!$C$2:$C$1001,$A43,MUTASI!$D$2:$D$1001,"Keluar",MUTASI!$F$2:$F$1001,"Paroki lain dalam keuskupan",MUTASI!$E$2:$E$1001,"&gt;="&amp;DATE(2026,1,1),MUTASI!$E$2:$E$1001,"&lt;="&amp;DATE(2026,12,31)))</f>
        <v/>
      </c>
      <c r="J43" s="19">
        <f>IF($A43="","",COUNTIFS(MUTASI!$C$2:$C$1001,$A43,MUTASI!$D$2:$D$1001,"Keluar",MUTASI!$F$2:$F$1001,"Keuskupan lain",MUTASI!$E$2:$E$1001,"&gt;="&amp;DATE(2026,1,1),MUTASI!$E$2:$E$1001,"&lt;="&amp;DATE(2026,12,31)))</f>
        <v/>
      </c>
      <c r="K43" s="19">
        <f>IF($A43="","",COUNTIFS('PINDAH AGAMA'!$C$2:$C$1001,$A43,'PINDAH AGAMA'!$D$2:$D$1001,"&gt;="&amp;DATE(2026,1,1),'PINDAH AGAMA'!$D$2:$D$1001,"&lt;="&amp;DATE(2026,12,31)))</f>
        <v/>
      </c>
      <c r="L43" s="19">
        <f>IF($A43="","",D43+E43+F43+G43-H43-I43-J43-K43)</f>
        <v/>
      </c>
      <c r="M43" s="19">
        <f>IF($A43="","",COUNTIFS('KOMUNI PERTAMA'!$C$2:$C$1001,$A43,'KOMUNI PERTAMA'!$E$2:$E$1001,"&gt;="&amp;DATE(2026,1,1),'KOMUNI PERTAMA'!$E$2:$E$1001,"&lt;="&amp;DATE(2026,12,31)))</f>
        <v/>
      </c>
      <c r="N43" s="19">
        <f>IF($A43="","",COUNTIFS('PERKAWINAN GEREJANI'!$C$2:$C$1001,$A43,'PERKAWINAN GEREJANI'!$D$2:$D$1001,"&gt;="&amp;DATE(2026,1,1),'PERKAWINAN GEREJANI'!$D$2:$D$1001,"&lt;="&amp;DATE(2026,12,31)))</f>
        <v/>
      </c>
      <c r="O43" s="19">
        <f>IF($A43="","",COUNTIFS(PEMBUBARAN!$C$2:$C$1001,$A43,PEMBUBARAN!$D$2:$D$1001,"&gt;="&amp;DATE(2026,1,1),PEMBUBARAN!$D$2:$D$1001,"&lt;="&amp;DATE(2026,12,31)))</f>
        <v/>
      </c>
      <c r="P43" s="19">
        <f>IF($A43="","",COUNTIFS('PERMINYAKAN SUCI'!$C$2:$C$1001,$A43,'PERMINYAKAN SUCI'!$E$2:$E$1001,"&gt;="&amp;DATE(2026,1,1),'PERMINYAKAN SUCI'!$E$2:$E$1001,"&lt;="&amp;DATE(2026,12,31)))</f>
        <v/>
      </c>
      <c r="Q43" s="19">
        <f>IF($A43="","",H43)</f>
        <v/>
      </c>
      <c r="R43" s="19">
        <f>IF($A43="","",COUNTIFS('SEMINARI BIARA'!$C$2:$C$1001,$A43,'SEMINARI BIARA'!$F$2:$F$1001,"Mulai masuk 2026",'SEMINARI BIARA'!$G$2:$G$1001,"&gt;="&amp;DATE(2026,1,1),'SEMINARI BIARA'!$G$2:$G$1001,"&lt;="&amp;DATE(2026,12,31)))</f>
        <v/>
      </c>
      <c r="S43" s="19">
        <f>IF($A43="","",COUNTIFS('SEMINARI BIARA'!$C$2:$C$1001,$A43,'SEMINARI BIARA'!$F$2:$F$1001,"Sedang belajar 2026"))</f>
        <v/>
      </c>
    </row>
    <row r="44" ht="14.25" customHeight="1" s="37">
      <c r="A44" s="18" t="n"/>
      <c r="B44" s="19">
        <f>IF($A44="","",COUNTIF('DATA KK'!$E$2:$E$501,$A44))</f>
        <v/>
      </c>
      <c r="C44" s="19">
        <f>IF($A44="","",COUNTIF('DATA UMAT'!$H$2:$H$2001,$A44))</f>
        <v/>
      </c>
      <c r="D44" s="19">
        <f>IF($A44="","",COUNTIFS(BAPTIS!$C$2:$C$1001,$A44,BAPTIS!$F$2:$F$1001,"&gt;="&amp;DATE(2026,1,1),BAPTIS!$F$2:$F$1001,"&lt;="&amp;DATE(2026,12,31)))</f>
        <v/>
      </c>
      <c r="E44" s="19">
        <f>IF($A44="","",COUNTIFS('DITERIMA MASUK'!$C$2:$C$1001,$A44,'DITERIMA MASUK'!$D$2:$D$1001,"&gt;="&amp;DATE(2026,1,1),'DITERIMA MASUK'!$D$2:$D$1001,"&lt;="&amp;DATE(2026,12,31)))</f>
        <v/>
      </c>
      <c r="F44" s="19">
        <f>IF($A44="","",COUNTIFS(MUTASI!$C$2:$C$1001,$A44,MUTASI!$D$2:$D$1001,"Masuk",MUTASI!$F$2:$F$1001,"Paroki lain dalam keuskupan",MUTASI!$E$2:$E$1001,"&gt;="&amp;DATE(2026,1,1),MUTASI!$E$2:$E$1001,"&lt;="&amp;DATE(2026,12,31)))</f>
        <v/>
      </c>
      <c r="G44" s="19">
        <f>IF($A44="","",COUNTIFS(MUTASI!$C$2:$C$1001,$A44,MUTASI!$D$2:$D$1001,"Masuk",MUTASI!$F$2:$F$1001,"Keuskupan lain",MUTASI!$E$2:$E$1001,"&gt;="&amp;DATE(2026,1,1),MUTASI!$E$2:$E$1001,"&lt;="&amp;DATE(2026,12,31)))</f>
        <v/>
      </c>
      <c r="H44" s="19">
        <f>IF($A44="","",COUNTIFS(KEMATIAN!$C$2:$C$1001,$A44,KEMATIAN!$F$2:$F$1001,"&gt;="&amp;DATE(2026,1,1),KEMATIAN!$F$2:$F$1001,"&lt;="&amp;DATE(2026,12,31)))</f>
        <v/>
      </c>
      <c r="I44" s="19">
        <f>IF($A44="","",COUNTIFS(MUTASI!$C$2:$C$1001,$A44,MUTASI!$D$2:$D$1001,"Keluar",MUTASI!$F$2:$F$1001,"Paroki lain dalam keuskupan",MUTASI!$E$2:$E$1001,"&gt;="&amp;DATE(2026,1,1),MUTASI!$E$2:$E$1001,"&lt;="&amp;DATE(2026,12,31)))</f>
        <v/>
      </c>
      <c r="J44" s="19">
        <f>IF($A44="","",COUNTIFS(MUTASI!$C$2:$C$1001,$A44,MUTASI!$D$2:$D$1001,"Keluar",MUTASI!$F$2:$F$1001,"Keuskupan lain",MUTASI!$E$2:$E$1001,"&gt;="&amp;DATE(2026,1,1),MUTASI!$E$2:$E$1001,"&lt;="&amp;DATE(2026,12,31)))</f>
        <v/>
      </c>
      <c r="K44" s="19">
        <f>IF($A44="","",COUNTIFS('PINDAH AGAMA'!$C$2:$C$1001,$A44,'PINDAH AGAMA'!$D$2:$D$1001,"&gt;="&amp;DATE(2026,1,1),'PINDAH AGAMA'!$D$2:$D$1001,"&lt;="&amp;DATE(2026,12,31)))</f>
        <v/>
      </c>
      <c r="L44" s="19">
        <f>IF($A44="","",D44+E44+F44+G44-H44-I44-J44-K44)</f>
        <v/>
      </c>
      <c r="M44" s="19">
        <f>IF($A44="","",COUNTIFS('KOMUNI PERTAMA'!$C$2:$C$1001,$A44,'KOMUNI PERTAMA'!$E$2:$E$1001,"&gt;="&amp;DATE(2026,1,1),'KOMUNI PERTAMA'!$E$2:$E$1001,"&lt;="&amp;DATE(2026,12,31)))</f>
        <v/>
      </c>
      <c r="N44" s="19">
        <f>IF($A44="","",COUNTIFS('PERKAWINAN GEREJANI'!$C$2:$C$1001,$A44,'PERKAWINAN GEREJANI'!$D$2:$D$1001,"&gt;="&amp;DATE(2026,1,1),'PERKAWINAN GEREJANI'!$D$2:$D$1001,"&lt;="&amp;DATE(2026,12,31)))</f>
        <v/>
      </c>
      <c r="O44" s="19">
        <f>IF($A44="","",COUNTIFS(PEMBUBARAN!$C$2:$C$1001,$A44,PEMBUBARAN!$D$2:$D$1001,"&gt;="&amp;DATE(2026,1,1),PEMBUBARAN!$D$2:$D$1001,"&lt;="&amp;DATE(2026,12,31)))</f>
        <v/>
      </c>
      <c r="P44" s="19">
        <f>IF($A44="","",COUNTIFS('PERMINYAKAN SUCI'!$C$2:$C$1001,$A44,'PERMINYAKAN SUCI'!$E$2:$E$1001,"&gt;="&amp;DATE(2026,1,1),'PERMINYAKAN SUCI'!$E$2:$E$1001,"&lt;="&amp;DATE(2026,12,31)))</f>
        <v/>
      </c>
      <c r="Q44" s="19">
        <f>IF($A44="","",H44)</f>
        <v/>
      </c>
      <c r="R44" s="19">
        <f>IF($A44="","",COUNTIFS('SEMINARI BIARA'!$C$2:$C$1001,$A44,'SEMINARI BIARA'!$F$2:$F$1001,"Mulai masuk 2026",'SEMINARI BIARA'!$G$2:$G$1001,"&gt;="&amp;DATE(2026,1,1),'SEMINARI BIARA'!$G$2:$G$1001,"&lt;="&amp;DATE(2026,12,31)))</f>
        <v/>
      </c>
      <c r="S44" s="19">
        <f>IF($A44="","",COUNTIFS('SEMINARI BIARA'!$C$2:$C$1001,$A44,'SEMINARI BIARA'!$F$2:$F$1001,"Sedang belajar 2026"))</f>
        <v/>
      </c>
    </row>
    <row r="45" ht="14.25" customHeight="1" s="37">
      <c r="A45" s="18" t="n"/>
      <c r="B45" s="19">
        <f>IF($A45="","",COUNTIF('DATA KK'!$E$2:$E$501,$A45))</f>
        <v/>
      </c>
      <c r="C45" s="19">
        <f>IF($A45="","",COUNTIF('DATA UMAT'!$H$2:$H$2001,$A45))</f>
        <v/>
      </c>
      <c r="D45" s="19">
        <f>IF($A45="","",COUNTIFS(BAPTIS!$C$2:$C$1001,$A45,BAPTIS!$F$2:$F$1001,"&gt;="&amp;DATE(2026,1,1),BAPTIS!$F$2:$F$1001,"&lt;="&amp;DATE(2026,12,31)))</f>
        <v/>
      </c>
      <c r="E45" s="19">
        <f>IF($A45="","",COUNTIFS('DITERIMA MASUK'!$C$2:$C$1001,$A45,'DITERIMA MASUK'!$D$2:$D$1001,"&gt;="&amp;DATE(2026,1,1),'DITERIMA MASUK'!$D$2:$D$1001,"&lt;="&amp;DATE(2026,12,31)))</f>
        <v/>
      </c>
      <c r="F45" s="19">
        <f>IF($A45="","",COUNTIFS(MUTASI!$C$2:$C$1001,$A45,MUTASI!$D$2:$D$1001,"Masuk",MUTASI!$F$2:$F$1001,"Paroki lain dalam keuskupan",MUTASI!$E$2:$E$1001,"&gt;="&amp;DATE(2026,1,1),MUTASI!$E$2:$E$1001,"&lt;="&amp;DATE(2026,12,31)))</f>
        <v/>
      </c>
      <c r="G45" s="19">
        <f>IF($A45="","",COUNTIFS(MUTASI!$C$2:$C$1001,$A45,MUTASI!$D$2:$D$1001,"Masuk",MUTASI!$F$2:$F$1001,"Keuskupan lain",MUTASI!$E$2:$E$1001,"&gt;="&amp;DATE(2026,1,1),MUTASI!$E$2:$E$1001,"&lt;="&amp;DATE(2026,12,31)))</f>
        <v/>
      </c>
      <c r="H45" s="19">
        <f>IF($A45="","",COUNTIFS(KEMATIAN!$C$2:$C$1001,$A45,KEMATIAN!$F$2:$F$1001,"&gt;="&amp;DATE(2026,1,1),KEMATIAN!$F$2:$F$1001,"&lt;="&amp;DATE(2026,12,31)))</f>
        <v/>
      </c>
      <c r="I45" s="19">
        <f>IF($A45="","",COUNTIFS(MUTASI!$C$2:$C$1001,$A45,MUTASI!$D$2:$D$1001,"Keluar",MUTASI!$F$2:$F$1001,"Paroki lain dalam keuskupan",MUTASI!$E$2:$E$1001,"&gt;="&amp;DATE(2026,1,1),MUTASI!$E$2:$E$1001,"&lt;="&amp;DATE(2026,12,31)))</f>
        <v/>
      </c>
      <c r="J45" s="19">
        <f>IF($A45="","",COUNTIFS(MUTASI!$C$2:$C$1001,$A45,MUTASI!$D$2:$D$1001,"Keluar",MUTASI!$F$2:$F$1001,"Keuskupan lain",MUTASI!$E$2:$E$1001,"&gt;="&amp;DATE(2026,1,1),MUTASI!$E$2:$E$1001,"&lt;="&amp;DATE(2026,12,31)))</f>
        <v/>
      </c>
      <c r="K45" s="19">
        <f>IF($A45="","",COUNTIFS('PINDAH AGAMA'!$C$2:$C$1001,$A45,'PINDAH AGAMA'!$D$2:$D$1001,"&gt;="&amp;DATE(2026,1,1),'PINDAH AGAMA'!$D$2:$D$1001,"&lt;="&amp;DATE(2026,12,31)))</f>
        <v/>
      </c>
      <c r="L45" s="19">
        <f>IF($A45="","",D45+E45+F45+G45-H45-I45-J45-K45)</f>
        <v/>
      </c>
      <c r="M45" s="19">
        <f>IF($A45="","",COUNTIFS('KOMUNI PERTAMA'!$C$2:$C$1001,$A45,'KOMUNI PERTAMA'!$E$2:$E$1001,"&gt;="&amp;DATE(2026,1,1),'KOMUNI PERTAMA'!$E$2:$E$1001,"&lt;="&amp;DATE(2026,12,31)))</f>
        <v/>
      </c>
      <c r="N45" s="19">
        <f>IF($A45="","",COUNTIFS('PERKAWINAN GEREJANI'!$C$2:$C$1001,$A45,'PERKAWINAN GEREJANI'!$D$2:$D$1001,"&gt;="&amp;DATE(2026,1,1),'PERKAWINAN GEREJANI'!$D$2:$D$1001,"&lt;="&amp;DATE(2026,12,31)))</f>
        <v/>
      </c>
      <c r="O45" s="19">
        <f>IF($A45="","",COUNTIFS(PEMBUBARAN!$C$2:$C$1001,$A45,PEMBUBARAN!$D$2:$D$1001,"&gt;="&amp;DATE(2026,1,1),PEMBUBARAN!$D$2:$D$1001,"&lt;="&amp;DATE(2026,12,31)))</f>
        <v/>
      </c>
      <c r="P45" s="19">
        <f>IF($A45="","",COUNTIFS('PERMINYAKAN SUCI'!$C$2:$C$1001,$A45,'PERMINYAKAN SUCI'!$E$2:$E$1001,"&gt;="&amp;DATE(2026,1,1),'PERMINYAKAN SUCI'!$E$2:$E$1001,"&lt;="&amp;DATE(2026,12,31)))</f>
        <v/>
      </c>
      <c r="Q45" s="19">
        <f>IF($A45="","",H45)</f>
        <v/>
      </c>
      <c r="R45" s="19">
        <f>IF($A45="","",COUNTIFS('SEMINARI BIARA'!$C$2:$C$1001,$A45,'SEMINARI BIARA'!$F$2:$F$1001,"Mulai masuk 2026",'SEMINARI BIARA'!$G$2:$G$1001,"&gt;="&amp;DATE(2026,1,1),'SEMINARI BIARA'!$G$2:$G$1001,"&lt;="&amp;DATE(2026,12,31)))</f>
        <v/>
      </c>
      <c r="S45" s="19">
        <f>IF($A45="","",COUNTIFS('SEMINARI BIARA'!$C$2:$C$1001,$A45,'SEMINARI BIARA'!$F$2:$F$1001,"Sedang belajar 2026"))</f>
        <v/>
      </c>
    </row>
    <row r="46" ht="14.25" customHeight="1" s="37">
      <c r="A46" s="18" t="n"/>
      <c r="B46" s="19">
        <f>IF($A46="","",COUNTIF('DATA KK'!$E$2:$E$501,$A46))</f>
        <v/>
      </c>
      <c r="C46" s="19">
        <f>IF($A46="","",COUNTIF('DATA UMAT'!$H$2:$H$2001,$A46))</f>
        <v/>
      </c>
      <c r="D46" s="19">
        <f>IF($A46="","",COUNTIFS(BAPTIS!$C$2:$C$1001,$A46,BAPTIS!$F$2:$F$1001,"&gt;="&amp;DATE(2026,1,1),BAPTIS!$F$2:$F$1001,"&lt;="&amp;DATE(2026,12,31)))</f>
        <v/>
      </c>
      <c r="E46" s="19">
        <f>IF($A46="","",COUNTIFS('DITERIMA MASUK'!$C$2:$C$1001,$A46,'DITERIMA MASUK'!$D$2:$D$1001,"&gt;="&amp;DATE(2026,1,1),'DITERIMA MASUK'!$D$2:$D$1001,"&lt;="&amp;DATE(2026,12,31)))</f>
        <v/>
      </c>
      <c r="F46" s="19">
        <f>IF($A46="","",COUNTIFS(MUTASI!$C$2:$C$1001,$A46,MUTASI!$D$2:$D$1001,"Masuk",MUTASI!$F$2:$F$1001,"Paroki lain dalam keuskupan",MUTASI!$E$2:$E$1001,"&gt;="&amp;DATE(2026,1,1),MUTASI!$E$2:$E$1001,"&lt;="&amp;DATE(2026,12,31)))</f>
        <v/>
      </c>
      <c r="G46" s="19">
        <f>IF($A46="","",COUNTIFS(MUTASI!$C$2:$C$1001,$A46,MUTASI!$D$2:$D$1001,"Masuk",MUTASI!$F$2:$F$1001,"Keuskupan lain",MUTASI!$E$2:$E$1001,"&gt;="&amp;DATE(2026,1,1),MUTASI!$E$2:$E$1001,"&lt;="&amp;DATE(2026,12,31)))</f>
        <v/>
      </c>
      <c r="H46" s="19">
        <f>IF($A46="","",COUNTIFS(KEMATIAN!$C$2:$C$1001,$A46,KEMATIAN!$F$2:$F$1001,"&gt;="&amp;DATE(2026,1,1),KEMATIAN!$F$2:$F$1001,"&lt;="&amp;DATE(2026,12,31)))</f>
        <v/>
      </c>
      <c r="I46" s="19">
        <f>IF($A46="","",COUNTIFS(MUTASI!$C$2:$C$1001,$A46,MUTASI!$D$2:$D$1001,"Keluar",MUTASI!$F$2:$F$1001,"Paroki lain dalam keuskupan",MUTASI!$E$2:$E$1001,"&gt;="&amp;DATE(2026,1,1),MUTASI!$E$2:$E$1001,"&lt;="&amp;DATE(2026,12,31)))</f>
        <v/>
      </c>
      <c r="J46" s="19">
        <f>IF($A46="","",COUNTIFS(MUTASI!$C$2:$C$1001,$A46,MUTASI!$D$2:$D$1001,"Keluar",MUTASI!$F$2:$F$1001,"Keuskupan lain",MUTASI!$E$2:$E$1001,"&gt;="&amp;DATE(2026,1,1),MUTASI!$E$2:$E$1001,"&lt;="&amp;DATE(2026,12,31)))</f>
        <v/>
      </c>
      <c r="K46" s="19">
        <f>IF($A46="","",COUNTIFS('PINDAH AGAMA'!$C$2:$C$1001,$A46,'PINDAH AGAMA'!$D$2:$D$1001,"&gt;="&amp;DATE(2026,1,1),'PINDAH AGAMA'!$D$2:$D$1001,"&lt;="&amp;DATE(2026,12,31)))</f>
        <v/>
      </c>
      <c r="L46" s="19">
        <f>IF($A46="","",D46+E46+F46+G46-H46-I46-J46-K46)</f>
        <v/>
      </c>
      <c r="M46" s="19">
        <f>IF($A46="","",COUNTIFS('KOMUNI PERTAMA'!$C$2:$C$1001,$A46,'KOMUNI PERTAMA'!$E$2:$E$1001,"&gt;="&amp;DATE(2026,1,1),'KOMUNI PERTAMA'!$E$2:$E$1001,"&lt;="&amp;DATE(2026,12,31)))</f>
        <v/>
      </c>
      <c r="N46" s="19">
        <f>IF($A46="","",COUNTIFS('PERKAWINAN GEREJANI'!$C$2:$C$1001,$A46,'PERKAWINAN GEREJANI'!$D$2:$D$1001,"&gt;="&amp;DATE(2026,1,1),'PERKAWINAN GEREJANI'!$D$2:$D$1001,"&lt;="&amp;DATE(2026,12,31)))</f>
        <v/>
      </c>
      <c r="O46" s="19">
        <f>IF($A46="","",COUNTIFS(PEMBUBARAN!$C$2:$C$1001,$A46,PEMBUBARAN!$D$2:$D$1001,"&gt;="&amp;DATE(2026,1,1),PEMBUBARAN!$D$2:$D$1001,"&lt;="&amp;DATE(2026,12,31)))</f>
        <v/>
      </c>
      <c r="P46" s="19">
        <f>IF($A46="","",COUNTIFS('PERMINYAKAN SUCI'!$C$2:$C$1001,$A46,'PERMINYAKAN SUCI'!$E$2:$E$1001,"&gt;="&amp;DATE(2026,1,1),'PERMINYAKAN SUCI'!$E$2:$E$1001,"&lt;="&amp;DATE(2026,12,31)))</f>
        <v/>
      </c>
      <c r="Q46" s="19">
        <f>IF($A46="","",H46)</f>
        <v/>
      </c>
      <c r="R46" s="19">
        <f>IF($A46="","",COUNTIFS('SEMINARI BIARA'!$C$2:$C$1001,$A46,'SEMINARI BIARA'!$F$2:$F$1001,"Mulai masuk 2026",'SEMINARI BIARA'!$G$2:$G$1001,"&gt;="&amp;DATE(2026,1,1),'SEMINARI BIARA'!$G$2:$G$1001,"&lt;="&amp;DATE(2026,12,31)))</f>
        <v/>
      </c>
      <c r="S46" s="19">
        <f>IF($A46="","",COUNTIFS('SEMINARI BIARA'!$C$2:$C$1001,$A46,'SEMINARI BIARA'!$F$2:$F$1001,"Sedang belajar 2026"))</f>
        <v/>
      </c>
    </row>
    <row r="47" ht="14.25" customHeight="1" s="37">
      <c r="A47" s="18" t="n"/>
      <c r="B47" s="19">
        <f>IF($A47="","",COUNTIF('DATA KK'!$E$2:$E$501,$A47))</f>
        <v/>
      </c>
      <c r="C47" s="19">
        <f>IF($A47="","",COUNTIF('DATA UMAT'!$H$2:$H$2001,$A47))</f>
        <v/>
      </c>
      <c r="D47" s="19">
        <f>IF($A47="","",COUNTIFS(BAPTIS!$C$2:$C$1001,$A47,BAPTIS!$F$2:$F$1001,"&gt;="&amp;DATE(2026,1,1),BAPTIS!$F$2:$F$1001,"&lt;="&amp;DATE(2026,12,31)))</f>
        <v/>
      </c>
      <c r="E47" s="19">
        <f>IF($A47="","",COUNTIFS('DITERIMA MASUK'!$C$2:$C$1001,$A47,'DITERIMA MASUK'!$D$2:$D$1001,"&gt;="&amp;DATE(2026,1,1),'DITERIMA MASUK'!$D$2:$D$1001,"&lt;="&amp;DATE(2026,12,31)))</f>
        <v/>
      </c>
      <c r="F47" s="19">
        <f>IF($A47="","",COUNTIFS(MUTASI!$C$2:$C$1001,$A47,MUTASI!$D$2:$D$1001,"Masuk",MUTASI!$F$2:$F$1001,"Paroki lain dalam keuskupan",MUTASI!$E$2:$E$1001,"&gt;="&amp;DATE(2026,1,1),MUTASI!$E$2:$E$1001,"&lt;="&amp;DATE(2026,12,31)))</f>
        <v/>
      </c>
      <c r="G47" s="19">
        <f>IF($A47="","",COUNTIFS(MUTASI!$C$2:$C$1001,$A47,MUTASI!$D$2:$D$1001,"Masuk",MUTASI!$F$2:$F$1001,"Keuskupan lain",MUTASI!$E$2:$E$1001,"&gt;="&amp;DATE(2026,1,1),MUTASI!$E$2:$E$1001,"&lt;="&amp;DATE(2026,12,31)))</f>
        <v/>
      </c>
      <c r="H47" s="19">
        <f>IF($A47="","",COUNTIFS(KEMATIAN!$C$2:$C$1001,$A47,KEMATIAN!$F$2:$F$1001,"&gt;="&amp;DATE(2026,1,1),KEMATIAN!$F$2:$F$1001,"&lt;="&amp;DATE(2026,12,31)))</f>
        <v/>
      </c>
      <c r="I47" s="19">
        <f>IF($A47="","",COUNTIFS(MUTASI!$C$2:$C$1001,$A47,MUTASI!$D$2:$D$1001,"Keluar",MUTASI!$F$2:$F$1001,"Paroki lain dalam keuskupan",MUTASI!$E$2:$E$1001,"&gt;="&amp;DATE(2026,1,1),MUTASI!$E$2:$E$1001,"&lt;="&amp;DATE(2026,12,31)))</f>
        <v/>
      </c>
      <c r="J47" s="19">
        <f>IF($A47="","",COUNTIFS(MUTASI!$C$2:$C$1001,$A47,MUTASI!$D$2:$D$1001,"Keluar",MUTASI!$F$2:$F$1001,"Keuskupan lain",MUTASI!$E$2:$E$1001,"&gt;="&amp;DATE(2026,1,1),MUTASI!$E$2:$E$1001,"&lt;="&amp;DATE(2026,12,31)))</f>
        <v/>
      </c>
      <c r="K47" s="19">
        <f>IF($A47="","",COUNTIFS('PINDAH AGAMA'!$C$2:$C$1001,$A47,'PINDAH AGAMA'!$D$2:$D$1001,"&gt;="&amp;DATE(2026,1,1),'PINDAH AGAMA'!$D$2:$D$1001,"&lt;="&amp;DATE(2026,12,31)))</f>
        <v/>
      </c>
      <c r="L47" s="19">
        <f>IF($A47="","",D47+E47+F47+G47-H47-I47-J47-K47)</f>
        <v/>
      </c>
      <c r="M47" s="19">
        <f>IF($A47="","",COUNTIFS('KOMUNI PERTAMA'!$C$2:$C$1001,$A47,'KOMUNI PERTAMA'!$E$2:$E$1001,"&gt;="&amp;DATE(2026,1,1),'KOMUNI PERTAMA'!$E$2:$E$1001,"&lt;="&amp;DATE(2026,12,31)))</f>
        <v/>
      </c>
      <c r="N47" s="19">
        <f>IF($A47="","",COUNTIFS('PERKAWINAN GEREJANI'!$C$2:$C$1001,$A47,'PERKAWINAN GEREJANI'!$D$2:$D$1001,"&gt;="&amp;DATE(2026,1,1),'PERKAWINAN GEREJANI'!$D$2:$D$1001,"&lt;="&amp;DATE(2026,12,31)))</f>
        <v/>
      </c>
      <c r="O47" s="19">
        <f>IF($A47="","",COUNTIFS(PEMBUBARAN!$C$2:$C$1001,$A47,PEMBUBARAN!$D$2:$D$1001,"&gt;="&amp;DATE(2026,1,1),PEMBUBARAN!$D$2:$D$1001,"&lt;="&amp;DATE(2026,12,31)))</f>
        <v/>
      </c>
      <c r="P47" s="19">
        <f>IF($A47="","",COUNTIFS('PERMINYAKAN SUCI'!$C$2:$C$1001,$A47,'PERMINYAKAN SUCI'!$E$2:$E$1001,"&gt;="&amp;DATE(2026,1,1),'PERMINYAKAN SUCI'!$E$2:$E$1001,"&lt;="&amp;DATE(2026,12,31)))</f>
        <v/>
      </c>
      <c r="Q47" s="19">
        <f>IF($A47="","",H47)</f>
        <v/>
      </c>
      <c r="R47" s="19">
        <f>IF($A47="","",COUNTIFS('SEMINARI BIARA'!$C$2:$C$1001,$A47,'SEMINARI BIARA'!$F$2:$F$1001,"Mulai masuk 2026",'SEMINARI BIARA'!$G$2:$G$1001,"&gt;="&amp;DATE(2026,1,1),'SEMINARI BIARA'!$G$2:$G$1001,"&lt;="&amp;DATE(2026,12,31)))</f>
        <v/>
      </c>
      <c r="S47" s="19">
        <f>IF($A47="","",COUNTIFS('SEMINARI BIARA'!$C$2:$C$1001,$A47,'SEMINARI BIARA'!$F$2:$F$1001,"Sedang belajar 2026"))</f>
        <v/>
      </c>
    </row>
    <row r="48" ht="14.25" customHeight="1" s="37">
      <c r="A48" s="18" t="n"/>
      <c r="B48" s="19">
        <f>IF($A48="","",COUNTIF('DATA KK'!$E$2:$E$501,$A48))</f>
        <v/>
      </c>
      <c r="C48" s="19">
        <f>IF($A48="","",COUNTIF('DATA UMAT'!$H$2:$H$2001,$A48))</f>
        <v/>
      </c>
      <c r="D48" s="19">
        <f>IF($A48="","",COUNTIFS(BAPTIS!$C$2:$C$1001,$A48,BAPTIS!$F$2:$F$1001,"&gt;="&amp;DATE(2026,1,1),BAPTIS!$F$2:$F$1001,"&lt;="&amp;DATE(2026,12,31)))</f>
        <v/>
      </c>
      <c r="E48" s="19">
        <f>IF($A48="","",COUNTIFS('DITERIMA MASUK'!$C$2:$C$1001,$A48,'DITERIMA MASUK'!$D$2:$D$1001,"&gt;="&amp;DATE(2026,1,1),'DITERIMA MASUK'!$D$2:$D$1001,"&lt;="&amp;DATE(2026,12,31)))</f>
        <v/>
      </c>
      <c r="F48" s="19">
        <f>IF($A48="","",COUNTIFS(MUTASI!$C$2:$C$1001,$A48,MUTASI!$D$2:$D$1001,"Masuk",MUTASI!$F$2:$F$1001,"Paroki lain dalam keuskupan",MUTASI!$E$2:$E$1001,"&gt;="&amp;DATE(2026,1,1),MUTASI!$E$2:$E$1001,"&lt;="&amp;DATE(2026,12,31)))</f>
        <v/>
      </c>
      <c r="G48" s="19">
        <f>IF($A48="","",COUNTIFS(MUTASI!$C$2:$C$1001,$A48,MUTASI!$D$2:$D$1001,"Masuk",MUTASI!$F$2:$F$1001,"Keuskupan lain",MUTASI!$E$2:$E$1001,"&gt;="&amp;DATE(2026,1,1),MUTASI!$E$2:$E$1001,"&lt;="&amp;DATE(2026,12,31)))</f>
        <v/>
      </c>
      <c r="H48" s="19">
        <f>IF($A48="","",COUNTIFS(KEMATIAN!$C$2:$C$1001,$A48,KEMATIAN!$F$2:$F$1001,"&gt;="&amp;DATE(2026,1,1),KEMATIAN!$F$2:$F$1001,"&lt;="&amp;DATE(2026,12,31)))</f>
        <v/>
      </c>
      <c r="I48" s="19">
        <f>IF($A48="","",COUNTIFS(MUTASI!$C$2:$C$1001,$A48,MUTASI!$D$2:$D$1001,"Keluar",MUTASI!$F$2:$F$1001,"Paroki lain dalam keuskupan",MUTASI!$E$2:$E$1001,"&gt;="&amp;DATE(2026,1,1),MUTASI!$E$2:$E$1001,"&lt;="&amp;DATE(2026,12,31)))</f>
        <v/>
      </c>
      <c r="J48" s="19">
        <f>IF($A48="","",COUNTIFS(MUTASI!$C$2:$C$1001,$A48,MUTASI!$D$2:$D$1001,"Keluar",MUTASI!$F$2:$F$1001,"Keuskupan lain",MUTASI!$E$2:$E$1001,"&gt;="&amp;DATE(2026,1,1),MUTASI!$E$2:$E$1001,"&lt;="&amp;DATE(2026,12,31)))</f>
        <v/>
      </c>
      <c r="K48" s="19">
        <f>IF($A48="","",COUNTIFS('PINDAH AGAMA'!$C$2:$C$1001,$A48,'PINDAH AGAMA'!$D$2:$D$1001,"&gt;="&amp;DATE(2026,1,1),'PINDAH AGAMA'!$D$2:$D$1001,"&lt;="&amp;DATE(2026,12,31)))</f>
        <v/>
      </c>
      <c r="L48" s="19">
        <f>IF($A48="","",D48+E48+F48+G48-H48-I48-J48-K48)</f>
        <v/>
      </c>
      <c r="M48" s="19">
        <f>IF($A48="","",COUNTIFS('KOMUNI PERTAMA'!$C$2:$C$1001,$A48,'KOMUNI PERTAMA'!$E$2:$E$1001,"&gt;="&amp;DATE(2026,1,1),'KOMUNI PERTAMA'!$E$2:$E$1001,"&lt;="&amp;DATE(2026,12,31)))</f>
        <v/>
      </c>
      <c r="N48" s="19">
        <f>IF($A48="","",COUNTIFS('PERKAWINAN GEREJANI'!$C$2:$C$1001,$A48,'PERKAWINAN GEREJANI'!$D$2:$D$1001,"&gt;="&amp;DATE(2026,1,1),'PERKAWINAN GEREJANI'!$D$2:$D$1001,"&lt;="&amp;DATE(2026,12,31)))</f>
        <v/>
      </c>
      <c r="O48" s="19">
        <f>IF($A48="","",COUNTIFS(PEMBUBARAN!$C$2:$C$1001,$A48,PEMBUBARAN!$D$2:$D$1001,"&gt;="&amp;DATE(2026,1,1),PEMBUBARAN!$D$2:$D$1001,"&lt;="&amp;DATE(2026,12,31)))</f>
        <v/>
      </c>
      <c r="P48" s="19">
        <f>IF($A48="","",COUNTIFS('PERMINYAKAN SUCI'!$C$2:$C$1001,$A48,'PERMINYAKAN SUCI'!$E$2:$E$1001,"&gt;="&amp;DATE(2026,1,1),'PERMINYAKAN SUCI'!$E$2:$E$1001,"&lt;="&amp;DATE(2026,12,31)))</f>
        <v/>
      </c>
      <c r="Q48" s="19">
        <f>IF($A48="","",H48)</f>
        <v/>
      </c>
      <c r="R48" s="19">
        <f>IF($A48="","",COUNTIFS('SEMINARI BIARA'!$C$2:$C$1001,$A48,'SEMINARI BIARA'!$F$2:$F$1001,"Mulai masuk 2026",'SEMINARI BIARA'!$G$2:$G$1001,"&gt;="&amp;DATE(2026,1,1),'SEMINARI BIARA'!$G$2:$G$1001,"&lt;="&amp;DATE(2026,12,31)))</f>
        <v/>
      </c>
      <c r="S48" s="19">
        <f>IF($A48="","",COUNTIFS('SEMINARI BIARA'!$C$2:$C$1001,$A48,'SEMINARI BIARA'!$F$2:$F$1001,"Sedang belajar 2026"))</f>
        <v/>
      </c>
    </row>
    <row r="49" ht="14.25" customHeight="1" s="37">
      <c r="A49" s="18" t="n"/>
      <c r="B49" s="19">
        <f>IF($A49="","",COUNTIF('DATA KK'!$E$2:$E$501,$A49))</f>
        <v/>
      </c>
      <c r="C49" s="19">
        <f>IF($A49="","",COUNTIF('DATA UMAT'!$H$2:$H$2001,$A49))</f>
        <v/>
      </c>
      <c r="D49" s="19">
        <f>IF($A49="","",COUNTIFS(BAPTIS!$C$2:$C$1001,$A49,BAPTIS!$F$2:$F$1001,"&gt;="&amp;DATE(2026,1,1),BAPTIS!$F$2:$F$1001,"&lt;="&amp;DATE(2026,12,31)))</f>
        <v/>
      </c>
      <c r="E49" s="19">
        <f>IF($A49="","",COUNTIFS('DITERIMA MASUK'!$C$2:$C$1001,$A49,'DITERIMA MASUK'!$D$2:$D$1001,"&gt;="&amp;DATE(2026,1,1),'DITERIMA MASUK'!$D$2:$D$1001,"&lt;="&amp;DATE(2026,12,31)))</f>
        <v/>
      </c>
      <c r="F49" s="19">
        <f>IF($A49="","",COUNTIFS(MUTASI!$C$2:$C$1001,$A49,MUTASI!$D$2:$D$1001,"Masuk",MUTASI!$F$2:$F$1001,"Paroki lain dalam keuskupan",MUTASI!$E$2:$E$1001,"&gt;="&amp;DATE(2026,1,1),MUTASI!$E$2:$E$1001,"&lt;="&amp;DATE(2026,12,31)))</f>
        <v/>
      </c>
      <c r="G49" s="19">
        <f>IF($A49="","",COUNTIFS(MUTASI!$C$2:$C$1001,$A49,MUTASI!$D$2:$D$1001,"Masuk",MUTASI!$F$2:$F$1001,"Keuskupan lain",MUTASI!$E$2:$E$1001,"&gt;="&amp;DATE(2026,1,1),MUTASI!$E$2:$E$1001,"&lt;="&amp;DATE(2026,12,31)))</f>
        <v/>
      </c>
      <c r="H49" s="19">
        <f>IF($A49="","",COUNTIFS(KEMATIAN!$C$2:$C$1001,$A49,KEMATIAN!$F$2:$F$1001,"&gt;="&amp;DATE(2026,1,1),KEMATIAN!$F$2:$F$1001,"&lt;="&amp;DATE(2026,12,31)))</f>
        <v/>
      </c>
      <c r="I49" s="19">
        <f>IF($A49="","",COUNTIFS(MUTASI!$C$2:$C$1001,$A49,MUTASI!$D$2:$D$1001,"Keluar",MUTASI!$F$2:$F$1001,"Paroki lain dalam keuskupan",MUTASI!$E$2:$E$1001,"&gt;="&amp;DATE(2026,1,1),MUTASI!$E$2:$E$1001,"&lt;="&amp;DATE(2026,12,31)))</f>
        <v/>
      </c>
      <c r="J49" s="19">
        <f>IF($A49="","",COUNTIFS(MUTASI!$C$2:$C$1001,$A49,MUTASI!$D$2:$D$1001,"Keluar",MUTASI!$F$2:$F$1001,"Keuskupan lain",MUTASI!$E$2:$E$1001,"&gt;="&amp;DATE(2026,1,1),MUTASI!$E$2:$E$1001,"&lt;="&amp;DATE(2026,12,31)))</f>
        <v/>
      </c>
      <c r="K49" s="19">
        <f>IF($A49="","",COUNTIFS('PINDAH AGAMA'!$C$2:$C$1001,$A49,'PINDAH AGAMA'!$D$2:$D$1001,"&gt;="&amp;DATE(2026,1,1),'PINDAH AGAMA'!$D$2:$D$1001,"&lt;="&amp;DATE(2026,12,31)))</f>
        <v/>
      </c>
      <c r="L49" s="19">
        <f>IF($A49="","",D49+E49+F49+G49-H49-I49-J49-K49)</f>
        <v/>
      </c>
      <c r="M49" s="19">
        <f>IF($A49="","",COUNTIFS('KOMUNI PERTAMA'!$C$2:$C$1001,$A49,'KOMUNI PERTAMA'!$E$2:$E$1001,"&gt;="&amp;DATE(2026,1,1),'KOMUNI PERTAMA'!$E$2:$E$1001,"&lt;="&amp;DATE(2026,12,31)))</f>
        <v/>
      </c>
      <c r="N49" s="19">
        <f>IF($A49="","",COUNTIFS('PERKAWINAN GEREJANI'!$C$2:$C$1001,$A49,'PERKAWINAN GEREJANI'!$D$2:$D$1001,"&gt;="&amp;DATE(2026,1,1),'PERKAWINAN GEREJANI'!$D$2:$D$1001,"&lt;="&amp;DATE(2026,12,31)))</f>
        <v/>
      </c>
      <c r="O49" s="19">
        <f>IF($A49="","",COUNTIFS(PEMBUBARAN!$C$2:$C$1001,$A49,PEMBUBARAN!$D$2:$D$1001,"&gt;="&amp;DATE(2026,1,1),PEMBUBARAN!$D$2:$D$1001,"&lt;="&amp;DATE(2026,12,31)))</f>
        <v/>
      </c>
      <c r="P49" s="19">
        <f>IF($A49="","",COUNTIFS('PERMINYAKAN SUCI'!$C$2:$C$1001,$A49,'PERMINYAKAN SUCI'!$E$2:$E$1001,"&gt;="&amp;DATE(2026,1,1),'PERMINYAKAN SUCI'!$E$2:$E$1001,"&lt;="&amp;DATE(2026,12,31)))</f>
        <v/>
      </c>
      <c r="Q49" s="19">
        <f>IF($A49="","",H49)</f>
        <v/>
      </c>
      <c r="R49" s="19">
        <f>IF($A49="","",COUNTIFS('SEMINARI BIARA'!$C$2:$C$1001,$A49,'SEMINARI BIARA'!$F$2:$F$1001,"Mulai masuk 2026",'SEMINARI BIARA'!$G$2:$G$1001,"&gt;="&amp;DATE(2026,1,1),'SEMINARI BIARA'!$G$2:$G$1001,"&lt;="&amp;DATE(2026,12,31)))</f>
        <v/>
      </c>
      <c r="S49" s="19">
        <f>IF($A49="","",COUNTIFS('SEMINARI BIARA'!$C$2:$C$1001,$A49,'SEMINARI BIARA'!$F$2:$F$1001,"Sedang belajar 2026"))</f>
        <v/>
      </c>
    </row>
    <row r="50" ht="14.25" customHeight="1" s="37">
      <c r="A50" s="18" t="n"/>
      <c r="B50" s="19">
        <f>IF($A50="","",COUNTIF('DATA KK'!$E$2:$E$501,$A50))</f>
        <v/>
      </c>
      <c r="C50" s="19">
        <f>IF($A50="","",COUNTIF('DATA UMAT'!$H$2:$H$2001,$A50))</f>
        <v/>
      </c>
      <c r="D50" s="19">
        <f>IF($A50="","",COUNTIFS(BAPTIS!$C$2:$C$1001,$A50,BAPTIS!$F$2:$F$1001,"&gt;="&amp;DATE(2026,1,1),BAPTIS!$F$2:$F$1001,"&lt;="&amp;DATE(2026,12,31)))</f>
        <v/>
      </c>
      <c r="E50" s="19">
        <f>IF($A50="","",COUNTIFS('DITERIMA MASUK'!$C$2:$C$1001,$A50,'DITERIMA MASUK'!$D$2:$D$1001,"&gt;="&amp;DATE(2026,1,1),'DITERIMA MASUK'!$D$2:$D$1001,"&lt;="&amp;DATE(2026,12,31)))</f>
        <v/>
      </c>
      <c r="F50" s="19">
        <f>IF($A50="","",COUNTIFS(MUTASI!$C$2:$C$1001,$A50,MUTASI!$D$2:$D$1001,"Masuk",MUTASI!$F$2:$F$1001,"Paroki lain dalam keuskupan",MUTASI!$E$2:$E$1001,"&gt;="&amp;DATE(2026,1,1),MUTASI!$E$2:$E$1001,"&lt;="&amp;DATE(2026,12,31)))</f>
        <v/>
      </c>
      <c r="G50" s="19">
        <f>IF($A50="","",COUNTIFS(MUTASI!$C$2:$C$1001,$A50,MUTASI!$D$2:$D$1001,"Masuk",MUTASI!$F$2:$F$1001,"Keuskupan lain",MUTASI!$E$2:$E$1001,"&gt;="&amp;DATE(2026,1,1),MUTASI!$E$2:$E$1001,"&lt;="&amp;DATE(2026,12,31)))</f>
        <v/>
      </c>
      <c r="H50" s="19">
        <f>IF($A50="","",COUNTIFS(KEMATIAN!$C$2:$C$1001,$A50,KEMATIAN!$F$2:$F$1001,"&gt;="&amp;DATE(2026,1,1),KEMATIAN!$F$2:$F$1001,"&lt;="&amp;DATE(2026,12,31)))</f>
        <v/>
      </c>
      <c r="I50" s="19">
        <f>IF($A50="","",COUNTIFS(MUTASI!$C$2:$C$1001,$A50,MUTASI!$D$2:$D$1001,"Keluar",MUTASI!$F$2:$F$1001,"Paroki lain dalam keuskupan",MUTASI!$E$2:$E$1001,"&gt;="&amp;DATE(2026,1,1),MUTASI!$E$2:$E$1001,"&lt;="&amp;DATE(2026,12,31)))</f>
        <v/>
      </c>
      <c r="J50" s="19">
        <f>IF($A50="","",COUNTIFS(MUTASI!$C$2:$C$1001,$A50,MUTASI!$D$2:$D$1001,"Keluar",MUTASI!$F$2:$F$1001,"Keuskupan lain",MUTASI!$E$2:$E$1001,"&gt;="&amp;DATE(2026,1,1),MUTASI!$E$2:$E$1001,"&lt;="&amp;DATE(2026,12,31)))</f>
        <v/>
      </c>
      <c r="K50" s="19">
        <f>IF($A50="","",COUNTIFS('PINDAH AGAMA'!$C$2:$C$1001,$A50,'PINDAH AGAMA'!$D$2:$D$1001,"&gt;="&amp;DATE(2026,1,1),'PINDAH AGAMA'!$D$2:$D$1001,"&lt;="&amp;DATE(2026,12,31)))</f>
        <v/>
      </c>
      <c r="L50" s="19">
        <f>IF($A50="","",D50+E50+F50+G50-H50-I50-J50-K50)</f>
        <v/>
      </c>
      <c r="M50" s="19">
        <f>IF($A50="","",COUNTIFS('KOMUNI PERTAMA'!$C$2:$C$1001,$A50,'KOMUNI PERTAMA'!$E$2:$E$1001,"&gt;="&amp;DATE(2026,1,1),'KOMUNI PERTAMA'!$E$2:$E$1001,"&lt;="&amp;DATE(2026,12,31)))</f>
        <v/>
      </c>
      <c r="N50" s="19">
        <f>IF($A50="","",COUNTIFS('PERKAWINAN GEREJANI'!$C$2:$C$1001,$A50,'PERKAWINAN GEREJANI'!$D$2:$D$1001,"&gt;="&amp;DATE(2026,1,1),'PERKAWINAN GEREJANI'!$D$2:$D$1001,"&lt;="&amp;DATE(2026,12,31)))</f>
        <v/>
      </c>
      <c r="O50" s="19">
        <f>IF($A50="","",COUNTIFS(PEMBUBARAN!$C$2:$C$1001,$A50,PEMBUBARAN!$D$2:$D$1001,"&gt;="&amp;DATE(2026,1,1),PEMBUBARAN!$D$2:$D$1001,"&lt;="&amp;DATE(2026,12,31)))</f>
        <v/>
      </c>
      <c r="P50" s="19">
        <f>IF($A50="","",COUNTIFS('PERMINYAKAN SUCI'!$C$2:$C$1001,$A50,'PERMINYAKAN SUCI'!$E$2:$E$1001,"&gt;="&amp;DATE(2026,1,1),'PERMINYAKAN SUCI'!$E$2:$E$1001,"&lt;="&amp;DATE(2026,12,31)))</f>
        <v/>
      </c>
      <c r="Q50" s="19">
        <f>IF($A50="","",H50)</f>
        <v/>
      </c>
      <c r="R50" s="19">
        <f>IF($A50="","",COUNTIFS('SEMINARI BIARA'!$C$2:$C$1001,$A50,'SEMINARI BIARA'!$F$2:$F$1001,"Mulai masuk 2026",'SEMINARI BIARA'!$G$2:$G$1001,"&gt;="&amp;DATE(2026,1,1),'SEMINARI BIARA'!$G$2:$G$1001,"&lt;="&amp;DATE(2026,12,31)))</f>
        <v/>
      </c>
      <c r="S50" s="19">
        <f>IF($A50="","",COUNTIFS('SEMINARI BIARA'!$C$2:$C$1001,$A50,'SEMINARI BIARA'!$F$2:$F$1001,"Sedang belajar 2026"))</f>
        <v/>
      </c>
    </row>
    <row r="51" ht="14.25" customHeight="1" s="37">
      <c r="A51" s="18" t="n"/>
      <c r="B51" s="19">
        <f>IF($A51="","",COUNTIF('DATA KK'!$E$2:$E$501,$A51))</f>
        <v/>
      </c>
      <c r="C51" s="19">
        <f>IF($A51="","",COUNTIF('DATA UMAT'!$H$2:$H$2001,$A51))</f>
        <v/>
      </c>
      <c r="D51" s="19">
        <f>IF($A51="","",COUNTIFS(BAPTIS!$C$2:$C$1001,$A51,BAPTIS!$F$2:$F$1001,"&gt;="&amp;DATE(2026,1,1),BAPTIS!$F$2:$F$1001,"&lt;="&amp;DATE(2026,12,31)))</f>
        <v/>
      </c>
      <c r="E51" s="19">
        <f>IF($A51="","",COUNTIFS('DITERIMA MASUK'!$C$2:$C$1001,$A51,'DITERIMA MASUK'!$D$2:$D$1001,"&gt;="&amp;DATE(2026,1,1),'DITERIMA MASUK'!$D$2:$D$1001,"&lt;="&amp;DATE(2026,12,31)))</f>
        <v/>
      </c>
      <c r="F51" s="19">
        <f>IF($A51="","",COUNTIFS(MUTASI!$C$2:$C$1001,$A51,MUTASI!$D$2:$D$1001,"Masuk",MUTASI!$F$2:$F$1001,"Paroki lain dalam keuskupan",MUTASI!$E$2:$E$1001,"&gt;="&amp;DATE(2026,1,1),MUTASI!$E$2:$E$1001,"&lt;="&amp;DATE(2026,12,31)))</f>
        <v/>
      </c>
      <c r="G51" s="19">
        <f>IF($A51="","",COUNTIFS(MUTASI!$C$2:$C$1001,$A51,MUTASI!$D$2:$D$1001,"Masuk",MUTASI!$F$2:$F$1001,"Keuskupan lain",MUTASI!$E$2:$E$1001,"&gt;="&amp;DATE(2026,1,1),MUTASI!$E$2:$E$1001,"&lt;="&amp;DATE(2026,12,31)))</f>
        <v/>
      </c>
      <c r="H51" s="19">
        <f>IF($A51="","",COUNTIFS(KEMATIAN!$C$2:$C$1001,$A51,KEMATIAN!$F$2:$F$1001,"&gt;="&amp;DATE(2026,1,1),KEMATIAN!$F$2:$F$1001,"&lt;="&amp;DATE(2026,12,31)))</f>
        <v/>
      </c>
      <c r="I51" s="19">
        <f>IF($A51="","",COUNTIFS(MUTASI!$C$2:$C$1001,$A51,MUTASI!$D$2:$D$1001,"Keluar",MUTASI!$F$2:$F$1001,"Paroki lain dalam keuskupan",MUTASI!$E$2:$E$1001,"&gt;="&amp;DATE(2026,1,1),MUTASI!$E$2:$E$1001,"&lt;="&amp;DATE(2026,12,31)))</f>
        <v/>
      </c>
      <c r="J51" s="19">
        <f>IF($A51="","",COUNTIFS(MUTASI!$C$2:$C$1001,$A51,MUTASI!$D$2:$D$1001,"Keluar",MUTASI!$F$2:$F$1001,"Keuskupan lain",MUTASI!$E$2:$E$1001,"&gt;="&amp;DATE(2026,1,1),MUTASI!$E$2:$E$1001,"&lt;="&amp;DATE(2026,12,31)))</f>
        <v/>
      </c>
      <c r="K51" s="19">
        <f>IF($A51="","",COUNTIFS('PINDAH AGAMA'!$C$2:$C$1001,$A51,'PINDAH AGAMA'!$D$2:$D$1001,"&gt;="&amp;DATE(2026,1,1),'PINDAH AGAMA'!$D$2:$D$1001,"&lt;="&amp;DATE(2026,12,31)))</f>
        <v/>
      </c>
      <c r="L51" s="19">
        <f>IF($A51="","",D51+E51+F51+G51-H51-I51-J51-K51)</f>
        <v/>
      </c>
      <c r="M51" s="19">
        <f>IF($A51="","",COUNTIFS('KOMUNI PERTAMA'!$C$2:$C$1001,$A51,'KOMUNI PERTAMA'!$E$2:$E$1001,"&gt;="&amp;DATE(2026,1,1),'KOMUNI PERTAMA'!$E$2:$E$1001,"&lt;="&amp;DATE(2026,12,31)))</f>
        <v/>
      </c>
      <c r="N51" s="19">
        <f>IF($A51="","",COUNTIFS('PERKAWINAN GEREJANI'!$C$2:$C$1001,$A51,'PERKAWINAN GEREJANI'!$D$2:$D$1001,"&gt;="&amp;DATE(2026,1,1),'PERKAWINAN GEREJANI'!$D$2:$D$1001,"&lt;="&amp;DATE(2026,12,31)))</f>
        <v/>
      </c>
      <c r="O51" s="19">
        <f>IF($A51="","",COUNTIFS(PEMBUBARAN!$C$2:$C$1001,$A51,PEMBUBARAN!$D$2:$D$1001,"&gt;="&amp;DATE(2026,1,1),PEMBUBARAN!$D$2:$D$1001,"&lt;="&amp;DATE(2026,12,31)))</f>
        <v/>
      </c>
      <c r="P51" s="19">
        <f>IF($A51="","",COUNTIFS('PERMINYAKAN SUCI'!$C$2:$C$1001,$A51,'PERMINYAKAN SUCI'!$E$2:$E$1001,"&gt;="&amp;DATE(2026,1,1),'PERMINYAKAN SUCI'!$E$2:$E$1001,"&lt;="&amp;DATE(2026,12,31)))</f>
        <v/>
      </c>
      <c r="Q51" s="19">
        <f>IF($A51="","",H51)</f>
        <v/>
      </c>
      <c r="R51" s="19">
        <f>IF($A51="","",COUNTIFS('SEMINARI BIARA'!$C$2:$C$1001,$A51,'SEMINARI BIARA'!$F$2:$F$1001,"Mulai masuk 2026",'SEMINARI BIARA'!$G$2:$G$1001,"&gt;="&amp;DATE(2026,1,1),'SEMINARI BIARA'!$G$2:$G$1001,"&lt;="&amp;DATE(2026,12,31)))</f>
        <v/>
      </c>
      <c r="S51" s="19">
        <f>IF($A51="","",COUNTIFS('SEMINARI BIARA'!$C$2:$C$1001,$A51,'SEMINARI BIARA'!$F$2:$F$1001,"Sedang belajar 2026"))</f>
        <v/>
      </c>
    </row>
    <row r="52" ht="14.25" customHeight="1" s="37">
      <c r="A52" s="18" t="n"/>
      <c r="B52" s="19">
        <f>IF($A52="","",COUNTIF('DATA KK'!$E$2:$E$501,$A52))</f>
        <v/>
      </c>
      <c r="C52" s="19">
        <f>IF($A52="","",COUNTIF('DATA UMAT'!$H$2:$H$2001,$A52))</f>
        <v/>
      </c>
      <c r="D52" s="19">
        <f>IF($A52="","",COUNTIFS(BAPTIS!$C$2:$C$1001,$A52,BAPTIS!$F$2:$F$1001,"&gt;="&amp;DATE(2026,1,1),BAPTIS!$F$2:$F$1001,"&lt;="&amp;DATE(2026,12,31)))</f>
        <v/>
      </c>
      <c r="E52" s="19">
        <f>IF($A52="","",COUNTIFS('DITERIMA MASUK'!$C$2:$C$1001,$A52,'DITERIMA MASUK'!$D$2:$D$1001,"&gt;="&amp;DATE(2026,1,1),'DITERIMA MASUK'!$D$2:$D$1001,"&lt;="&amp;DATE(2026,12,31)))</f>
        <v/>
      </c>
      <c r="F52" s="19">
        <f>IF($A52="","",COUNTIFS(MUTASI!$C$2:$C$1001,$A52,MUTASI!$D$2:$D$1001,"Masuk",MUTASI!$F$2:$F$1001,"Paroki lain dalam keuskupan",MUTASI!$E$2:$E$1001,"&gt;="&amp;DATE(2026,1,1),MUTASI!$E$2:$E$1001,"&lt;="&amp;DATE(2026,12,31)))</f>
        <v/>
      </c>
      <c r="G52" s="19">
        <f>IF($A52="","",COUNTIFS(MUTASI!$C$2:$C$1001,$A52,MUTASI!$D$2:$D$1001,"Masuk",MUTASI!$F$2:$F$1001,"Keuskupan lain",MUTASI!$E$2:$E$1001,"&gt;="&amp;DATE(2026,1,1),MUTASI!$E$2:$E$1001,"&lt;="&amp;DATE(2026,12,31)))</f>
        <v/>
      </c>
      <c r="H52" s="19">
        <f>IF($A52="","",COUNTIFS(KEMATIAN!$C$2:$C$1001,$A52,KEMATIAN!$F$2:$F$1001,"&gt;="&amp;DATE(2026,1,1),KEMATIAN!$F$2:$F$1001,"&lt;="&amp;DATE(2026,12,31)))</f>
        <v/>
      </c>
      <c r="I52" s="19">
        <f>IF($A52="","",COUNTIFS(MUTASI!$C$2:$C$1001,$A52,MUTASI!$D$2:$D$1001,"Keluar",MUTASI!$F$2:$F$1001,"Paroki lain dalam keuskupan",MUTASI!$E$2:$E$1001,"&gt;="&amp;DATE(2026,1,1),MUTASI!$E$2:$E$1001,"&lt;="&amp;DATE(2026,12,31)))</f>
        <v/>
      </c>
      <c r="J52" s="19">
        <f>IF($A52="","",COUNTIFS(MUTASI!$C$2:$C$1001,$A52,MUTASI!$D$2:$D$1001,"Keluar",MUTASI!$F$2:$F$1001,"Keuskupan lain",MUTASI!$E$2:$E$1001,"&gt;="&amp;DATE(2026,1,1),MUTASI!$E$2:$E$1001,"&lt;="&amp;DATE(2026,12,31)))</f>
        <v/>
      </c>
      <c r="K52" s="19">
        <f>IF($A52="","",COUNTIFS('PINDAH AGAMA'!$C$2:$C$1001,$A52,'PINDAH AGAMA'!$D$2:$D$1001,"&gt;="&amp;DATE(2026,1,1),'PINDAH AGAMA'!$D$2:$D$1001,"&lt;="&amp;DATE(2026,12,31)))</f>
        <v/>
      </c>
      <c r="L52" s="19">
        <f>IF($A52="","",D52+E52+F52+G52-H52-I52-J52-K52)</f>
        <v/>
      </c>
      <c r="M52" s="19">
        <f>IF($A52="","",COUNTIFS('KOMUNI PERTAMA'!$C$2:$C$1001,$A52,'KOMUNI PERTAMA'!$E$2:$E$1001,"&gt;="&amp;DATE(2026,1,1),'KOMUNI PERTAMA'!$E$2:$E$1001,"&lt;="&amp;DATE(2026,12,31)))</f>
        <v/>
      </c>
      <c r="N52" s="19">
        <f>IF($A52="","",COUNTIFS('PERKAWINAN GEREJANI'!$C$2:$C$1001,$A52,'PERKAWINAN GEREJANI'!$D$2:$D$1001,"&gt;="&amp;DATE(2026,1,1),'PERKAWINAN GEREJANI'!$D$2:$D$1001,"&lt;="&amp;DATE(2026,12,31)))</f>
        <v/>
      </c>
      <c r="O52" s="19">
        <f>IF($A52="","",COUNTIFS(PEMBUBARAN!$C$2:$C$1001,$A52,PEMBUBARAN!$D$2:$D$1001,"&gt;="&amp;DATE(2026,1,1),PEMBUBARAN!$D$2:$D$1001,"&lt;="&amp;DATE(2026,12,31)))</f>
        <v/>
      </c>
      <c r="P52" s="19">
        <f>IF($A52="","",COUNTIFS('PERMINYAKAN SUCI'!$C$2:$C$1001,$A52,'PERMINYAKAN SUCI'!$E$2:$E$1001,"&gt;="&amp;DATE(2026,1,1),'PERMINYAKAN SUCI'!$E$2:$E$1001,"&lt;="&amp;DATE(2026,12,31)))</f>
        <v/>
      </c>
      <c r="Q52" s="19">
        <f>IF($A52="","",H52)</f>
        <v/>
      </c>
      <c r="R52" s="19">
        <f>IF($A52="","",COUNTIFS('SEMINARI BIARA'!$C$2:$C$1001,$A52,'SEMINARI BIARA'!$F$2:$F$1001,"Mulai masuk 2026",'SEMINARI BIARA'!$G$2:$G$1001,"&gt;="&amp;DATE(2026,1,1),'SEMINARI BIARA'!$G$2:$G$1001,"&lt;="&amp;DATE(2026,12,31)))</f>
        <v/>
      </c>
      <c r="S52" s="19">
        <f>IF($A52="","",COUNTIFS('SEMINARI BIARA'!$C$2:$C$1001,$A52,'SEMINARI BIARA'!$F$2:$F$1001,"Sedang belajar 2026"))</f>
        <v/>
      </c>
    </row>
    <row r="53" ht="14.25" customHeight="1" s="37">
      <c r="A53" s="18" t="n"/>
      <c r="B53" s="19">
        <f>IF($A53="","",COUNTIF('DATA KK'!$E$2:$E$501,$A53))</f>
        <v/>
      </c>
      <c r="C53" s="19">
        <f>IF($A53="","",COUNTIF('DATA UMAT'!$H$2:$H$2001,$A53))</f>
        <v/>
      </c>
      <c r="D53" s="19">
        <f>IF($A53="","",COUNTIFS(BAPTIS!$C$2:$C$1001,$A53,BAPTIS!$F$2:$F$1001,"&gt;="&amp;DATE(2026,1,1),BAPTIS!$F$2:$F$1001,"&lt;="&amp;DATE(2026,12,31)))</f>
        <v/>
      </c>
      <c r="E53" s="19">
        <f>IF($A53="","",COUNTIFS('DITERIMA MASUK'!$C$2:$C$1001,$A53,'DITERIMA MASUK'!$D$2:$D$1001,"&gt;="&amp;DATE(2026,1,1),'DITERIMA MASUK'!$D$2:$D$1001,"&lt;="&amp;DATE(2026,12,31)))</f>
        <v/>
      </c>
      <c r="F53" s="19">
        <f>IF($A53="","",COUNTIFS(MUTASI!$C$2:$C$1001,$A53,MUTASI!$D$2:$D$1001,"Masuk",MUTASI!$F$2:$F$1001,"Paroki lain dalam keuskupan",MUTASI!$E$2:$E$1001,"&gt;="&amp;DATE(2026,1,1),MUTASI!$E$2:$E$1001,"&lt;="&amp;DATE(2026,12,31)))</f>
        <v/>
      </c>
      <c r="G53" s="19">
        <f>IF($A53="","",COUNTIFS(MUTASI!$C$2:$C$1001,$A53,MUTASI!$D$2:$D$1001,"Masuk",MUTASI!$F$2:$F$1001,"Keuskupan lain",MUTASI!$E$2:$E$1001,"&gt;="&amp;DATE(2026,1,1),MUTASI!$E$2:$E$1001,"&lt;="&amp;DATE(2026,12,31)))</f>
        <v/>
      </c>
      <c r="H53" s="19">
        <f>IF($A53="","",COUNTIFS(KEMATIAN!$C$2:$C$1001,$A53,KEMATIAN!$F$2:$F$1001,"&gt;="&amp;DATE(2026,1,1),KEMATIAN!$F$2:$F$1001,"&lt;="&amp;DATE(2026,12,31)))</f>
        <v/>
      </c>
      <c r="I53" s="19">
        <f>IF($A53="","",COUNTIFS(MUTASI!$C$2:$C$1001,$A53,MUTASI!$D$2:$D$1001,"Keluar",MUTASI!$F$2:$F$1001,"Paroki lain dalam keuskupan",MUTASI!$E$2:$E$1001,"&gt;="&amp;DATE(2026,1,1),MUTASI!$E$2:$E$1001,"&lt;="&amp;DATE(2026,12,31)))</f>
        <v/>
      </c>
      <c r="J53" s="19">
        <f>IF($A53="","",COUNTIFS(MUTASI!$C$2:$C$1001,$A53,MUTASI!$D$2:$D$1001,"Keluar",MUTASI!$F$2:$F$1001,"Keuskupan lain",MUTASI!$E$2:$E$1001,"&gt;="&amp;DATE(2026,1,1),MUTASI!$E$2:$E$1001,"&lt;="&amp;DATE(2026,12,31)))</f>
        <v/>
      </c>
      <c r="K53" s="19">
        <f>IF($A53="","",COUNTIFS('PINDAH AGAMA'!$C$2:$C$1001,$A53,'PINDAH AGAMA'!$D$2:$D$1001,"&gt;="&amp;DATE(2026,1,1),'PINDAH AGAMA'!$D$2:$D$1001,"&lt;="&amp;DATE(2026,12,31)))</f>
        <v/>
      </c>
      <c r="L53" s="19">
        <f>IF($A53="","",D53+E53+F53+G53-H53-I53-J53-K53)</f>
        <v/>
      </c>
      <c r="M53" s="19">
        <f>IF($A53="","",COUNTIFS('KOMUNI PERTAMA'!$C$2:$C$1001,$A53,'KOMUNI PERTAMA'!$E$2:$E$1001,"&gt;="&amp;DATE(2026,1,1),'KOMUNI PERTAMA'!$E$2:$E$1001,"&lt;="&amp;DATE(2026,12,31)))</f>
        <v/>
      </c>
      <c r="N53" s="19">
        <f>IF($A53="","",COUNTIFS('PERKAWINAN GEREJANI'!$C$2:$C$1001,$A53,'PERKAWINAN GEREJANI'!$D$2:$D$1001,"&gt;="&amp;DATE(2026,1,1),'PERKAWINAN GEREJANI'!$D$2:$D$1001,"&lt;="&amp;DATE(2026,12,31)))</f>
        <v/>
      </c>
      <c r="O53" s="19">
        <f>IF($A53="","",COUNTIFS(PEMBUBARAN!$C$2:$C$1001,$A53,PEMBUBARAN!$D$2:$D$1001,"&gt;="&amp;DATE(2026,1,1),PEMBUBARAN!$D$2:$D$1001,"&lt;="&amp;DATE(2026,12,31)))</f>
        <v/>
      </c>
      <c r="P53" s="19">
        <f>IF($A53="","",COUNTIFS('PERMINYAKAN SUCI'!$C$2:$C$1001,$A53,'PERMINYAKAN SUCI'!$E$2:$E$1001,"&gt;="&amp;DATE(2026,1,1),'PERMINYAKAN SUCI'!$E$2:$E$1001,"&lt;="&amp;DATE(2026,12,31)))</f>
        <v/>
      </c>
      <c r="Q53" s="19">
        <f>IF($A53="","",H53)</f>
        <v/>
      </c>
      <c r="R53" s="19">
        <f>IF($A53="","",COUNTIFS('SEMINARI BIARA'!$C$2:$C$1001,$A53,'SEMINARI BIARA'!$F$2:$F$1001,"Mulai masuk 2026",'SEMINARI BIARA'!$G$2:$G$1001,"&gt;="&amp;DATE(2026,1,1),'SEMINARI BIARA'!$G$2:$G$1001,"&lt;="&amp;DATE(2026,12,31)))</f>
        <v/>
      </c>
      <c r="S53" s="19">
        <f>IF($A53="","",COUNTIFS('SEMINARI BIARA'!$C$2:$C$1001,$A53,'SEMINARI BIARA'!$F$2:$F$1001,"Sedang belajar 2026"))</f>
        <v/>
      </c>
    </row>
    <row r="54" ht="14.25" customHeight="1" s="37">
      <c r="A54" s="18" t="n"/>
      <c r="B54" s="19">
        <f>IF($A54="","",COUNTIF('DATA KK'!$E$2:$E$501,$A54))</f>
        <v/>
      </c>
      <c r="C54" s="19">
        <f>IF($A54="","",COUNTIF('DATA UMAT'!$H$2:$H$2001,$A54))</f>
        <v/>
      </c>
      <c r="D54" s="19">
        <f>IF($A54="","",COUNTIFS(BAPTIS!$C$2:$C$1001,$A54,BAPTIS!$F$2:$F$1001,"&gt;="&amp;DATE(2026,1,1),BAPTIS!$F$2:$F$1001,"&lt;="&amp;DATE(2026,12,31)))</f>
        <v/>
      </c>
      <c r="E54" s="19">
        <f>IF($A54="","",COUNTIFS('DITERIMA MASUK'!$C$2:$C$1001,$A54,'DITERIMA MASUK'!$D$2:$D$1001,"&gt;="&amp;DATE(2026,1,1),'DITERIMA MASUK'!$D$2:$D$1001,"&lt;="&amp;DATE(2026,12,31)))</f>
        <v/>
      </c>
      <c r="F54" s="19">
        <f>IF($A54="","",COUNTIFS(MUTASI!$C$2:$C$1001,$A54,MUTASI!$D$2:$D$1001,"Masuk",MUTASI!$F$2:$F$1001,"Paroki lain dalam keuskupan",MUTASI!$E$2:$E$1001,"&gt;="&amp;DATE(2026,1,1),MUTASI!$E$2:$E$1001,"&lt;="&amp;DATE(2026,12,31)))</f>
        <v/>
      </c>
      <c r="G54" s="19">
        <f>IF($A54="","",COUNTIFS(MUTASI!$C$2:$C$1001,$A54,MUTASI!$D$2:$D$1001,"Masuk",MUTASI!$F$2:$F$1001,"Keuskupan lain",MUTASI!$E$2:$E$1001,"&gt;="&amp;DATE(2026,1,1),MUTASI!$E$2:$E$1001,"&lt;="&amp;DATE(2026,12,31)))</f>
        <v/>
      </c>
      <c r="H54" s="19">
        <f>IF($A54="","",COUNTIFS(KEMATIAN!$C$2:$C$1001,$A54,KEMATIAN!$F$2:$F$1001,"&gt;="&amp;DATE(2026,1,1),KEMATIAN!$F$2:$F$1001,"&lt;="&amp;DATE(2026,12,31)))</f>
        <v/>
      </c>
      <c r="I54" s="19">
        <f>IF($A54="","",COUNTIFS(MUTASI!$C$2:$C$1001,$A54,MUTASI!$D$2:$D$1001,"Keluar",MUTASI!$F$2:$F$1001,"Paroki lain dalam keuskupan",MUTASI!$E$2:$E$1001,"&gt;="&amp;DATE(2026,1,1),MUTASI!$E$2:$E$1001,"&lt;="&amp;DATE(2026,12,31)))</f>
        <v/>
      </c>
      <c r="J54" s="19">
        <f>IF($A54="","",COUNTIFS(MUTASI!$C$2:$C$1001,$A54,MUTASI!$D$2:$D$1001,"Keluar",MUTASI!$F$2:$F$1001,"Keuskupan lain",MUTASI!$E$2:$E$1001,"&gt;="&amp;DATE(2026,1,1),MUTASI!$E$2:$E$1001,"&lt;="&amp;DATE(2026,12,31)))</f>
        <v/>
      </c>
      <c r="K54" s="19">
        <f>IF($A54="","",COUNTIFS('PINDAH AGAMA'!$C$2:$C$1001,$A54,'PINDAH AGAMA'!$D$2:$D$1001,"&gt;="&amp;DATE(2026,1,1),'PINDAH AGAMA'!$D$2:$D$1001,"&lt;="&amp;DATE(2026,12,31)))</f>
        <v/>
      </c>
      <c r="L54" s="19">
        <f>IF($A54="","",D54+E54+F54+G54-H54-I54-J54-K54)</f>
        <v/>
      </c>
      <c r="M54" s="19">
        <f>IF($A54="","",COUNTIFS('KOMUNI PERTAMA'!$C$2:$C$1001,$A54,'KOMUNI PERTAMA'!$E$2:$E$1001,"&gt;="&amp;DATE(2026,1,1),'KOMUNI PERTAMA'!$E$2:$E$1001,"&lt;="&amp;DATE(2026,12,31)))</f>
        <v/>
      </c>
      <c r="N54" s="19">
        <f>IF($A54="","",COUNTIFS('PERKAWINAN GEREJANI'!$C$2:$C$1001,$A54,'PERKAWINAN GEREJANI'!$D$2:$D$1001,"&gt;="&amp;DATE(2026,1,1),'PERKAWINAN GEREJANI'!$D$2:$D$1001,"&lt;="&amp;DATE(2026,12,31)))</f>
        <v/>
      </c>
      <c r="O54" s="19">
        <f>IF($A54="","",COUNTIFS(PEMBUBARAN!$C$2:$C$1001,$A54,PEMBUBARAN!$D$2:$D$1001,"&gt;="&amp;DATE(2026,1,1),PEMBUBARAN!$D$2:$D$1001,"&lt;="&amp;DATE(2026,12,31)))</f>
        <v/>
      </c>
      <c r="P54" s="19">
        <f>IF($A54="","",COUNTIFS('PERMINYAKAN SUCI'!$C$2:$C$1001,$A54,'PERMINYAKAN SUCI'!$E$2:$E$1001,"&gt;="&amp;DATE(2026,1,1),'PERMINYAKAN SUCI'!$E$2:$E$1001,"&lt;="&amp;DATE(2026,12,31)))</f>
        <v/>
      </c>
      <c r="Q54" s="19">
        <f>IF($A54="","",H54)</f>
        <v/>
      </c>
      <c r="R54" s="19">
        <f>IF($A54="","",COUNTIFS('SEMINARI BIARA'!$C$2:$C$1001,$A54,'SEMINARI BIARA'!$F$2:$F$1001,"Mulai masuk 2026",'SEMINARI BIARA'!$G$2:$G$1001,"&gt;="&amp;DATE(2026,1,1),'SEMINARI BIARA'!$G$2:$G$1001,"&lt;="&amp;DATE(2026,12,31)))</f>
        <v/>
      </c>
      <c r="S54" s="19">
        <f>IF($A54="","",COUNTIFS('SEMINARI BIARA'!$C$2:$C$1001,$A54,'SEMINARI BIARA'!$F$2:$F$1001,"Sedang belajar 2026"))</f>
        <v/>
      </c>
    </row>
    <row r="55" ht="14.25" customHeight="1" s="37">
      <c r="A55" s="18" t="n"/>
      <c r="B55" s="19">
        <f>IF($A55="","",COUNTIF('DATA KK'!$E$2:$E$501,$A55))</f>
        <v/>
      </c>
      <c r="C55" s="19">
        <f>IF($A55="","",COUNTIF('DATA UMAT'!$H$2:$H$2001,$A55))</f>
        <v/>
      </c>
      <c r="D55" s="19">
        <f>IF($A55="","",COUNTIFS(BAPTIS!$C$2:$C$1001,$A55,BAPTIS!$F$2:$F$1001,"&gt;="&amp;DATE(2026,1,1),BAPTIS!$F$2:$F$1001,"&lt;="&amp;DATE(2026,12,31)))</f>
        <v/>
      </c>
      <c r="E55" s="19">
        <f>IF($A55="","",COUNTIFS('DITERIMA MASUK'!$C$2:$C$1001,$A55,'DITERIMA MASUK'!$D$2:$D$1001,"&gt;="&amp;DATE(2026,1,1),'DITERIMA MASUK'!$D$2:$D$1001,"&lt;="&amp;DATE(2026,12,31)))</f>
        <v/>
      </c>
      <c r="F55" s="19">
        <f>IF($A55="","",COUNTIFS(MUTASI!$C$2:$C$1001,$A55,MUTASI!$D$2:$D$1001,"Masuk",MUTASI!$F$2:$F$1001,"Paroki lain dalam keuskupan",MUTASI!$E$2:$E$1001,"&gt;="&amp;DATE(2026,1,1),MUTASI!$E$2:$E$1001,"&lt;="&amp;DATE(2026,12,31)))</f>
        <v/>
      </c>
      <c r="G55" s="19">
        <f>IF($A55="","",COUNTIFS(MUTASI!$C$2:$C$1001,$A55,MUTASI!$D$2:$D$1001,"Masuk",MUTASI!$F$2:$F$1001,"Keuskupan lain",MUTASI!$E$2:$E$1001,"&gt;="&amp;DATE(2026,1,1),MUTASI!$E$2:$E$1001,"&lt;="&amp;DATE(2026,12,31)))</f>
        <v/>
      </c>
      <c r="H55" s="19">
        <f>IF($A55="","",COUNTIFS(KEMATIAN!$C$2:$C$1001,$A55,KEMATIAN!$F$2:$F$1001,"&gt;="&amp;DATE(2026,1,1),KEMATIAN!$F$2:$F$1001,"&lt;="&amp;DATE(2026,12,31)))</f>
        <v/>
      </c>
      <c r="I55" s="19">
        <f>IF($A55="","",COUNTIFS(MUTASI!$C$2:$C$1001,$A55,MUTASI!$D$2:$D$1001,"Keluar",MUTASI!$F$2:$F$1001,"Paroki lain dalam keuskupan",MUTASI!$E$2:$E$1001,"&gt;="&amp;DATE(2026,1,1),MUTASI!$E$2:$E$1001,"&lt;="&amp;DATE(2026,12,31)))</f>
        <v/>
      </c>
      <c r="J55" s="19">
        <f>IF($A55="","",COUNTIFS(MUTASI!$C$2:$C$1001,$A55,MUTASI!$D$2:$D$1001,"Keluar",MUTASI!$F$2:$F$1001,"Keuskupan lain",MUTASI!$E$2:$E$1001,"&gt;="&amp;DATE(2026,1,1),MUTASI!$E$2:$E$1001,"&lt;="&amp;DATE(2026,12,31)))</f>
        <v/>
      </c>
      <c r="K55" s="19">
        <f>IF($A55="","",COUNTIFS('PINDAH AGAMA'!$C$2:$C$1001,$A55,'PINDAH AGAMA'!$D$2:$D$1001,"&gt;="&amp;DATE(2026,1,1),'PINDAH AGAMA'!$D$2:$D$1001,"&lt;="&amp;DATE(2026,12,31)))</f>
        <v/>
      </c>
      <c r="L55" s="19">
        <f>IF($A55="","",D55+E55+F55+G55-H55-I55-J55-K55)</f>
        <v/>
      </c>
      <c r="M55" s="19">
        <f>IF($A55="","",COUNTIFS('KOMUNI PERTAMA'!$C$2:$C$1001,$A55,'KOMUNI PERTAMA'!$E$2:$E$1001,"&gt;="&amp;DATE(2026,1,1),'KOMUNI PERTAMA'!$E$2:$E$1001,"&lt;="&amp;DATE(2026,12,31)))</f>
        <v/>
      </c>
      <c r="N55" s="19">
        <f>IF($A55="","",COUNTIFS('PERKAWINAN GEREJANI'!$C$2:$C$1001,$A55,'PERKAWINAN GEREJANI'!$D$2:$D$1001,"&gt;="&amp;DATE(2026,1,1),'PERKAWINAN GEREJANI'!$D$2:$D$1001,"&lt;="&amp;DATE(2026,12,31)))</f>
        <v/>
      </c>
      <c r="O55" s="19">
        <f>IF($A55="","",COUNTIFS(PEMBUBARAN!$C$2:$C$1001,$A55,PEMBUBARAN!$D$2:$D$1001,"&gt;="&amp;DATE(2026,1,1),PEMBUBARAN!$D$2:$D$1001,"&lt;="&amp;DATE(2026,12,31)))</f>
        <v/>
      </c>
      <c r="P55" s="19">
        <f>IF($A55="","",COUNTIFS('PERMINYAKAN SUCI'!$C$2:$C$1001,$A55,'PERMINYAKAN SUCI'!$E$2:$E$1001,"&gt;="&amp;DATE(2026,1,1),'PERMINYAKAN SUCI'!$E$2:$E$1001,"&lt;="&amp;DATE(2026,12,31)))</f>
        <v/>
      </c>
      <c r="Q55" s="19">
        <f>IF($A55="","",H55)</f>
        <v/>
      </c>
      <c r="R55" s="19">
        <f>IF($A55="","",COUNTIFS('SEMINARI BIARA'!$C$2:$C$1001,$A55,'SEMINARI BIARA'!$F$2:$F$1001,"Mulai masuk 2026",'SEMINARI BIARA'!$G$2:$G$1001,"&gt;="&amp;DATE(2026,1,1),'SEMINARI BIARA'!$G$2:$G$1001,"&lt;="&amp;DATE(2026,12,31)))</f>
        <v/>
      </c>
      <c r="S55" s="19">
        <f>IF($A55="","",COUNTIFS('SEMINARI BIARA'!$C$2:$C$1001,$A55,'SEMINARI BIARA'!$F$2:$F$1001,"Sedang belajar 2026"))</f>
        <v/>
      </c>
    </row>
    <row r="56" ht="14.25" customHeight="1" s="37">
      <c r="A56" s="18" t="n"/>
      <c r="B56" s="19">
        <f>IF($A56="","",COUNTIF('DATA KK'!$E$2:$E$501,$A56))</f>
        <v/>
      </c>
      <c r="C56" s="19">
        <f>IF($A56="","",COUNTIF('DATA UMAT'!$H$2:$H$2001,$A56))</f>
        <v/>
      </c>
      <c r="D56" s="19">
        <f>IF($A56="","",COUNTIFS(BAPTIS!$C$2:$C$1001,$A56,BAPTIS!$F$2:$F$1001,"&gt;="&amp;DATE(2026,1,1),BAPTIS!$F$2:$F$1001,"&lt;="&amp;DATE(2026,12,31)))</f>
        <v/>
      </c>
      <c r="E56" s="19">
        <f>IF($A56="","",COUNTIFS('DITERIMA MASUK'!$C$2:$C$1001,$A56,'DITERIMA MASUK'!$D$2:$D$1001,"&gt;="&amp;DATE(2026,1,1),'DITERIMA MASUK'!$D$2:$D$1001,"&lt;="&amp;DATE(2026,12,31)))</f>
        <v/>
      </c>
      <c r="F56" s="19">
        <f>IF($A56="","",COUNTIFS(MUTASI!$C$2:$C$1001,$A56,MUTASI!$D$2:$D$1001,"Masuk",MUTASI!$F$2:$F$1001,"Paroki lain dalam keuskupan",MUTASI!$E$2:$E$1001,"&gt;="&amp;DATE(2026,1,1),MUTASI!$E$2:$E$1001,"&lt;="&amp;DATE(2026,12,31)))</f>
        <v/>
      </c>
      <c r="G56" s="19">
        <f>IF($A56="","",COUNTIFS(MUTASI!$C$2:$C$1001,$A56,MUTASI!$D$2:$D$1001,"Masuk",MUTASI!$F$2:$F$1001,"Keuskupan lain",MUTASI!$E$2:$E$1001,"&gt;="&amp;DATE(2026,1,1),MUTASI!$E$2:$E$1001,"&lt;="&amp;DATE(2026,12,31)))</f>
        <v/>
      </c>
      <c r="H56" s="19">
        <f>IF($A56="","",COUNTIFS(KEMATIAN!$C$2:$C$1001,$A56,KEMATIAN!$F$2:$F$1001,"&gt;="&amp;DATE(2026,1,1),KEMATIAN!$F$2:$F$1001,"&lt;="&amp;DATE(2026,12,31)))</f>
        <v/>
      </c>
      <c r="I56" s="19">
        <f>IF($A56="","",COUNTIFS(MUTASI!$C$2:$C$1001,$A56,MUTASI!$D$2:$D$1001,"Keluar",MUTASI!$F$2:$F$1001,"Paroki lain dalam keuskupan",MUTASI!$E$2:$E$1001,"&gt;="&amp;DATE(2026,1,1),MUTASI!$E$2:$E$1001,"&lt;="&amp;DATE(2026,12,31)))</f>
        <v/>
      </c>
      <c r="J56" s="19">
        <f>IF($A56="","",COUNTIFS(MUTASI!$C$2:$C$1001,$A56,MUTASI!$D$2:$D$1001,"Keluar",MUTASI!$F$2:$F$1001,"Keuskupan lain",MUTASI!$E$2:$E$1001,"&gt;="&amp;DATE(2026,1,1),MUTASI!$E$2:$E$1001,"&lt;="&amp;DATE(2026,12,31)))</f>
        <v/>
      </c>
      <c r="K56" s="19">
        <f>IF($A56="","",COUNTIFS('PINDAH AGAMA'!$C$2:$C$1001,$A56,'PINDAH AGAMA'!$D$2:$D$1001,"&gt;="&amp;DATE(2026,1,1),'PINDAH AGAMA'!$D$2:$D$1001,"&lt;="&amp;DATE(2026,12,31)))</f>
        <v/>
      </c>
      <c r="L56" s="19">
        <f>IF($A56="","",D56+E56+F56+G56-H56-I56-J56-K56)</f>
        <v/>
      </c>
      <c r="M56" s="19">
        <f>IF($A56="","",COUNTIFS('KOMUNI PERTAMA'!$C$2:$C$1001,$A56,'KOMUNI PERTAMA'!$E$2:$E$1001,"&gt;="&amp;DATE(2026,1,1),'KOMUNI PERTAMA'!$E$2:$E$1001,"&lt;="&amp;DATE(2026,12,31)))</f>
        <v/>
      </c>
      <c r="N56" s="19">
        <f>IF($A56="","",COUNTIFS('PERKAWINAN GEREJANI'!$C$2:$C$1001,$A56,'PERKAWINAN GEREJANI'!$D$2:$D$1001,"&gt;="&amp;DATE(2026,1,1),'PERKAWINAN GEREJANI'!$D$2:$D$1001,"&lt;="&amp;DATE(2026,12,31)))</f>
        <v/>
      </c>
      <c r="O56" s="19">
        <f>IF($A56="","",COUNTIFS(PEMBUBARAN!$C$2:$C$1001,$A56,PEMBUBARAN!$D$2:$D$1001,"&gt;="&amp;DATE(2026,1,1),PEMBUBARAN!$D$2:$D$1001,"&lt;="&amp;DATE(2026,12,31)))</f>
        <v/>
      </c>
      <c r="P56" s="19">
        <f>IF($A56="","",COUNTIFS('PERMINYAKAN SUCI'!$C$2:$C$1001,$A56,'PERMINYAKAN SUCI'!$E$2:$E$1001,"&gt;="&amp;DATE(2026,1,1),'PERMINYAKAN SUCI'!$E$2:$E$1001,"&lt;="&amp;DATE(2026,12,31)))</f>
        <v/>
      </c>
      <c r="Q56" s="19">
        <f>IF($A56="","",H56)</f>
        <v/>
      </c>
      <c r="R56" s="19">
        <f>IF($A56="","",COUNTIFS('SEMINARI BIARA'!$C$2:$C$1001,$A56,'SEMINARI BIARA'!$F$2:$F$1001,"Mulai masuk 2026",'SEMINARI BIARA'!$G$2:$G$1001,"&gt;="&amp;DATE(2026,1,1),'SEMINARI BIARA'!$G$2:$G$1001,"&lt;="&amp;DATE(2026,12,31)))</f>
        <v/>
      </c>
      <c r="S56" s="19">
        <f>IF($A56="","",COUNTIFS('SEMINARI BIARA'!$C$2:$C$1001,$A56,'SEMINARI BIARA'!$F$2:$F$1001,"Sedang belajar 2026"))</f>
        <v/>
      </c>
    </row>
    <row r="57" ht="14.25" customHeight="1" s="37">
      <c r="A57" s="18" t="n"/>
      <c r="B57" s="19">
        <f>IF($A57="","",COUNTIF('DATA KK'!$E$2:$E$501,$A57))</f>
        <v/>
      </c>
      <c r="C57" s="19">
        <f>IF($A57="","",COUNTIF('DATA UMAT'!$H$2:$H$2001,$A57))</f>
        <v/>
      </c>
      <c r="D57" s="19">
        <f>IF($A57="","",COUNTIFS(BAPTIS!$C$2:$C$1001,$A57,BAPTIS!$F$2:$F$1001,"&gt;="&amp;DATE(2026,1,1),BAPTIS!$F$2:$F$1001,"&lt;="&amp;DATE(2026,12,31)))</f>
        <v/>
      </c>
      <c r="E57" s="19">
        <f>IF($A57="","",COUNTIFS('DITERIMA MASUK'!$C$2:$C$1001,$A57,'DITERIMA MASUK'!$D$2:$D$1001,"&gt;="&amp;DATE(2026,1,1),'DITERIMA MASUK'!$D$2:$D$1001,"&lt;="&amp;DATE(2026,12,31)))</f>
        <v/>
      </c>
      <c r="F57" s="19">
        <f>IF($A57="","",COUNTIFS(MUTASI!$C$2:$C$1001,$A57,MUTASI!$D$2:$D$1001,"Masuk",MUTASI!$F$2:$F$1001,"Paroki lain dalam keuskupan",MUTASI!$E$2:$E$1001,"&gt;="&amp;DATE(2026,1,1),MUTASI!$E$2:$E$1001,"&lt;="&amp;DATE(2026,12,31)))</f>
        <v/>
      </c>
      <c r="G57" s="19">
        <f>IF($A57="","",COUNTIFS(MUTASI!$C$2:$C$1001,$A57,MUTASI!$D$2:$D$1001,"Masuk",MUTASI!$F$2:$F$1001,"Keuskupan lain",MUTASI!$E$2:$E$1001,"&gt;="&amp;DATE(2026,1,1),MUTASI!$E$2:$E$1001,"&lt;="&amp;DATE(2026,12,31)))</f>
        <v/>
      </c>
      <c r="H57" s="19">
        <f>IF($A57="","",COUNTIFS(KEMATIAN!$C$2:$C$1001,$A57,KEMATIAN!$F$2:$F$1001,"&gt;="&amp;DATE(2026,1,1),KEMATIAN!$F$2:$F$1001,"&lt;="&amp;DATE(2026,12,31)))</f>
        <v/>
      </c>
      <c r="I57" s="19">
        <f>IF($A57="","",COUNTIFS(MUTASI!$C$2:$C$1001,$A57,MUTASI!$D$2:$D$1001,"Keluar",MUTASI!$F$2:$F$1001,"Paroki lain dalam keuskupan",MUTASI!$E$2:$E$1001,"&gt;="&amp;DATE(2026,1,1),MUTASI!$E$2:$E$1001,"&lt;="&amp;DATE(2026,12,31)))</f>
        <v/>
      </c>
      <c r="J57" s="19">
        <f>IF($A57="","",COUNTIFS(MUTASI!$C$2:$C$1001,$A57,MUTASI!$D$2:$D$1001,"Keluar",MUTASI!$F$2:$F$1001,"Keuskupan lain",MUTASI!$E$2:$E$1001,"&gt;="&amp;DATE(2026,1,1),MUTASI!$E$2:$E$1001,"&lt;="&amp;DATE(2026,12,31)))</f>
        <v/>
      </c>
      <c r="K57" s="19">
        <f>IF($A57="","",COUNTIFS('PINDAH AGAMA'!$C$2:$C$1001,$A57,'PINDAH AGAMA'!$D$2:$D$1001,"&gt;="&amp;DATE(2026,1,1),'PINDAH AGAMA'!$D$2:$D$1001,"&lt;="&amp;DATE(2026,12,31)))</f>
        <v/>
      </c>
      <c r="L57" s="19">
        <f>IF($A57="","",D57+E57+F57+G57-H57-I57-J57-K57)</f>
        <v/>
      </c>
      <c r="M57" s="19">
        <f>IF($A57="","",COUNTIFS('KOMUNI PERTAMA'!$C$2:$C$1001,$A57,'KOMUNI PERTAMA'!$E$2:$E$1001,"&gt;="&amp;DATE(2026,1,1),'KOMUNI PERTAMA'!$E$2:$E$1001,"&lt;="&amp;DATE(2026,12,31)))</f>
        <v/>
      </c>
      <c r="N57" s="19">
        <f>IF($A57="","",COUNTIFS('PERKAWINAN GEREJANI'!$C$2:$C$1001,$A57,'PERKAWINAN GEREJANI'!$D$2:$D$1001,"&gt;="&amp;DATE(2026,1,1),'PERKAWINAN GEREJANI'!$D$2:$D$1001,"&lt;="&amp;DATE(2026,12,31)))</f>
        <v/>
      </c>
      <c r="O57" s="19">
        <f>IF($A57="","",COUNTIFS(PEMBUBARAN!$C$2:$C$1001,$A57,PEMBUBARAN!$D$2:$D$1001,"&gt;="&amp;DATE(2026,1,1),PEMBUBARAN!$D$2:$D$1001,"&lt;="&amp;DATE(2026,12,31)))</f>
        <v/>
      </c>
      <c r="P57" s="19">
        <f>IF($A57="","",COUNTIFS('PERMINYAKAN SUCI'!$C$2:$C$1001,$A57,'PERMINYAKAN SUCI'!$E$2:$E$1001,"&gt;="&amp;DATE(2026,1,1),'PERMINYAKAN SUCI'!$E$2:$E$1001,"&lt;="&amp;DATE(2026,12,31)))</f>
        <v/>
      </c>
      <c r="Q57" s="19">
        <f>IF($A57="","",H57)</f>
        <v/>
      </c>
      <c r="R57" s="19">
        <f>IF($A57="","",COUNTIFS('SEMINARI BIARA'!$C$2:$C$1001,$A57,'SEMINARI BIARA'!$F$2:$F$1001,"Mulai masuk 2026",'SEMINARI BIARA'!$G$2:$G$1001,"&gt;="&amp;DATE(2026,1,1),'SEMINARI BIARA'!$G$2:$G$1001,"&lt;="&amp;DATE(2026,12,31)))</f>
        <v/>
      </c>
      <c r="S57" s="19">
        <f>IF($A57="","",COUNTIFS('SEMINARI BIARA'!$C$2:$C$1001,$A57,'SEMINARI BIARA'!$F$2:$F$1001,"Sedang belajar 2026"))</f>
        <v/>
      </c>
    </row>
    <row r="58" ht="14.25" customHeight="1" s="37">
      <c r="A58" s="18" t="n"/>
      <c r="B58" s="19">
        <f>IF($A58="","",COUNTIF('DATA KK'!$E$2:$E$501,$A58))</f>
        <v/>
      </c>
      <c r="C58" s="19">
        <f>IF($A58="","",COUNTIF('DATA UMAT'!$H$2:$H$2001,$A58))</f>
        <v/>
      </c>
      <c r="D58" s="19">
        <f>IF($A58="","",COUNTIFS(BAPTIS!$C$2:$C$1001,$A58,BAPTIS!$F$2:$F$1001,"&gt;="&amp;DATE(2026,1,1),BAPTIS!$F$2:$F$1001,"&lt;="&amp;DATE(2026,12,31)))</f>
        <v/>
      </c>
      <c r="E58" s="19">
        <f>IF($A58="","",COUNTIFS('DITERIMA MASUK'!$C$2:$C$1001,$A58,'DITERIMA MASUK'!$D$2:$D$1001,"&gt;="&amp;DATE(2026,1,1),'DITERIMA MASUK'!$D$2:$D$1001,"&lt;="&amp;DATE(2026,12,31)))</f>
        <v/>
      </c>
      <c r="F58" s="19">
        <f>IF($A58="","",COUNTIFS(MUTASI!$C$2:$C$1001,$A58,MUTASI!$D$2:$D$1001,"Masuk",MUTASI!$F$2:$F$1001,"Paroki lain dalam keuskupan",MUTASI!$E$2:$E$1001,"&gt;="&amp;DATE(2026,1,1),MUTASI!$E$2:$E$1001,"&lt;="&amp;DATE(2026,12,31)))</f>
        <v/>
      </c>
      <c r="G58" s="19">
        <f>IF($A58="","",COUNTIFS(MUTASI!$C$2:$C$1001,$A58,MUTASI!$D$2:$D$1001,"Masuk",MUTASI!$F$2:$F$1001,"Keuskupan lain",MUTASI!$E$2:$E$1001,"&gt;="&amp;DATE(2026,1,1),MUTASI!$E$2:$E$1001,"&lt;="&amp;DATE(2026,12,31)))</f>
        <v/>
      </c>
      <c r="H58" s="19">
        <f>IF($A58="","",COUNTIFS(KEMATIAN!$C$2:$C$1001,$A58,KEMATIAN!$F$2:$F$1001,"&gt;="&amp;DATE(2026,1,1),KEMATIAN!$F$2:$F$1001,"&lt;="&amp;DATE(2026,12,31)))</f>
        <v/>
      </c>
      <c r="I58" s="19">
        <f>IF($A58="","",COUNTIFS(MUTASI!$C$2:$C$1001,$A58,MUTASI!$D$2:$D$1001,"Keluar",MUTASI!$F$2:$F$1001,"Paroki lain dalam keuskupan",MUTASI!$E$2:$E$1001,"&gt;="&amp;DATE(2026,1,1),MUTASI!$E$2:$E$1001,"&lt;="&amp;DATE(2026,12,31)))</f>
        <v/>
      </c>
      <c r="J58" s="19">
        <f>IF($A58="","",COUNTIFS(MUTASI!$C$2:$C$1001,$A58,MUTASI!$D$2:$D$1001,"Keluar",MUTASI!$F$2:$F$1001,"Keuskupan lain",MUTASI!$E$2:$E$1001,"&gt;="&amp;DATE(2026,1,1),MUTASI!$E$2:$E$1001,"&lt;="&amp;DATE(2026,12,31)))</f>
        <v/>
      </c>
      <c r="K58" s="19">
        <f>IF($A58="","",COUNTIFS('PINDAH AGAMA'!$C$2:$C$1001,$A58,'PINDAH AGAMA'!$D$2:$D$1001,"&gt;="&amp;DATE(2026,1,1),'PINDAH AGAMA'!$D$2:$D$1001,"&lt;="&amp;DATE(2026,12,31)))</f>
        <v/>
      </c>
      <c r="L58" s="19">
        <f>IF($A58="","",D58+E58+F58+G58-H58-I58-J58-K58)</f>
        <v/>
      </c>
      <c r="M58" s="19">
        <f>IF($A58="","",COUNTIFS('KOMUNI PERTAMA'!$C$2:$C$1001,$A58,'KOMUNI PERTAMA'!$E$2:$E$1001,"&gt;="&amp;DATE(2026,1,1),'KOMUNI PERTAMA'!$E$2:$E$1001,"&lt;="&amp;DATE(2026,12,31)))</f>
        <v/>
      </c>
      <c r="N58" s="19">
        <f>IF($A58="","",COUNTIFS('PERKAWINAN GEREJANI'!$C$2:$C$1001,$A58,'PERKAWINAN GEREJANI'!$D$2:$D$1001,"&gt;="&amp;DATE(2026,1,1),'PERKAWINAN GEREJANI'!$D$2:$D$1001,"&lt;="&amp;DATE(2026,12,31)))</f>
        <v/>
      </c>
      <c r="O58" s="19">
        <f>IF($A58="","",COUNTIFS(PEMBUBARAN!$C$2:$C$1001,$A58,PEMBUBARAN!$D$2:$D$1001,"&gt;="&amp;DATE(2026,1,1),PEMBUBARAN!$D$2:$D$1001,"&lt;="&amp;DATE(2026,12,31)))</f>
        <v/>
      </c>
      <c r="P58" s="19">
        <f>IF($A58="","",COUNTIFS('PERMINYAKAN SUCI'!$C$2:$C$1001,$A58,'PERMINYAKAN SUCI'!$E$2:$E$1001,"&gt;="&amp;DATE(2026,1,1),'PERMINYAKAN SUCI'!$E$2:$E$1001,"&lt;="&amp;DATE(2026,12,31)))</f>
        <v/>
      </c>
      <c r="Q58" s="19">
        <f>IF($A58="","",H58)</f>
        <v/>
      </c>
      <c r="R58" s="19">
        <f>IF($A58="","",COUNTIFS('SEMINARI BIARA'!$C$2:$C$1001,$A58,'SEMINARI BIARA'!$F$2:$F$1001,"Mulai masuk 2026",'SEMINARI BIARA'!$G$2:$G$1001,"&gt;="&amp;DATE(2026,1,1),'SEMINARI BIARA'!$G$2:$G$1001,"&lt;="&amp;DATE(2026,12,31)))</f>
        <v/>
      </c>
      <c r="S58" s="19">
        <f>IF($A58="","",COUNTIFS('SEMINARI BIARA'!$C$2:$C$1001,$A58,'SEMINARI BIARA'!$F$2:$F$1001,"Sedang belajar 2026"))</f>
        <v/>
      </c>
    </row>
    <row r="59" ht="14.25" customHeight="1" s="37">
      <c r="A59" s="18" t="n"/>
      <c r="B59" s="19">
        <f>IF($A59="","",COUNTIF('DATA KK'!$E$2:$E$501,$A59))</f>
        <v/>
      </c>
      <c r="C59" s="19">
        <f>IF($A59="","",COUNTIF('DATA UMAT'!$H$2:$H$2001,$A59))</f>
        <v/>
      </c>
      <c r="D59" s="19">
        <f>IF($A59="","",COUNTIFS(BAPTIS!$C$2:$C$1001,$A59,BAPTIS!$F$2:$F$1001,"&gt;="&amp;DATE(2026,1,1),BAPTIS!$F$2:$F$1001,"&lt;="&amp;DATE(2026,12,31)))</f>
        <v/>
      </c>
      <c r="E59" s="19">
        <f>IF($A59="","",COUNTIFS('DITERIMA MASUK'!$C$2:$C$1001,$A59,'DITERIMA MASUK'!$D$2:$D$1001,"&gt;="&amp;DATE(2026,1,1),'DITERIMA MASUK'!$D$2:$D$1001,"&lt;="&amp;DATE(2026,12,31)))</f>
        <v/>
      </c>
      <c r="F59" s="19">
        <f>IF($A59="","",COUNTIFS(MUTASI!$C$2:$C$1001,$A59,MUTASI!$D$2:$D$1001,"Masuk",MUTASI!$F$2:$F$1001,"Paroki lain dalam keuskupan",MUTASI!$E$2:$E$1001,"&gt;="&amp;DATE(2026,1,1),MUTASI!$E$2:$E$1001,"&lt;="&amp;DATE(2026,12,31)))</f>
        <v/>
      </c>
      <c r="G59" s="19">
        <f>IF($A59="","",COUNTIFS(MUTASI!$C$2:$C$1001,$A59,MUTASI!$D$2:$D$1001,"Masuk",MUTASI!$F$2:$F$1001,"Keuskupan lain",MUTASI!$E$2:$E$1001,"&gt;="&amp;DATE(2026,1,1),MUTASI!$E$2:$E$1001,"&lt;="&amp;DATE(2026,12,31)))</f>
        <v/>
      </c>
      <c r="H59" s="19">
        <f>IF($A59="","",COUNTIFS(KEMATIAN!$C$2:$C$1001,$A59,KEMATIAN!$F$2:$F$1001,"&gt;="&amp;DATE(2026,1,1),KEMATIAN!$F$2:$F$1001,"&lt;="&amp;DATE(2026,12,31)))</f>
        <v/>
      </c>
      <c r="I59" s="19">
        <f>IF($A59="","",COUNTIFS(MUTASI!$C$2:$C$1001,$A59,MUTASI!$D$2:$D$1001,"Keluar",MUTASI!$F$2:$F$1001,"Paroki lain dalam keuskupan",MUTASI!$E$2:$E$1001,"&gt;="&amp;DATE(2026,1,1),MUTASI!$E$2:$E$1001,"&lt;="&amp;DATE(2026,12,31)))</f>
        <v/>
      </c>
      <c r="J59" s="19">
        <f>IF($A59="","",COUNTIFS(MUTASI!$C$2:$C$1001,$A59,MUTASI!$D$2:$D$1001,"Keluar",MUTASI!$F$2:$F$1001,"Keuskupan lain",MUTASI!$E$2:$E$1001,"&gt;="&amp;DATE(2026,1,1),MUTASI!$E$2:$E$1001,"&lt;="&amp;DATE(2026,12,31)))</f>
        <v/>
      </c>
      <c r="K59" s="19">
        <f>IF($A59="","",COUNTIFS('PINDAH AGAMA'!$C$2:$C$1001,$A59,'PINDAH AGAMA'!$D$2:$D$1001,"&gt;="&amp;DATE(2026,1,1),'PINDAH AGAMA'!$D$2:$D$1001,"&lt;="&amp;DATE(2026,12,31)))</f>
        <v/>
      </c>
      <c r="L59" s="19">
        <f>IF($A59="","",D59+E59+F59+G59-H59-I59-J59-K59)</f>
        <v/>
      </c>
      <c r="M59" s="19">
        <f>IF($A59="","",COUNTIFS('KOMUNI PERTAMA'!$C$2:$C$1001,$A59,'KOMUNI PERTAMA'!$E$2:$E$1001,"&gt;="&amp;DATE(2026,1,1),'KOMUNI PERTAMA'!$E$2:$E$1001,"&lt;="&amp;DATE(2026,12,31)))</f>
        <v/>
      </c>
      <c r="N59" s="19">
        <f>IF($A59="","",COUNTIFS('PERKAWINAN GEREJANI'!$C$2:$C$1001,$A59,'PERKAWINAN GEREJANI'!$D$2:$D$1001,"&gt;="&amp;DATE(2026,1,1),'PERKAWINAN GEREJANI'!$D$2:$D$1001,"&lt;="&amp;DATE(2026,12,31)))</f>
        <v/>
      </c>
      <c r="O59" s="19">
        <f>IF($A59="","",COUNTIFS(PEMBUBARAN!$C$2:$C$1001,$A59,PEMBUBARAN!$D$2:$D$1001,"&gt;="&amp;DATE(2026,1,1),PEMBUBARAN!$D$2:$D$1001,"&lt;="&amp;DATE(2026,12,31)))</f>
        <v/>
      </c>
      <c r="P59" s="19">
        <f>IF($A59="","",COUNTIFS('PERMINYAKAN SUCI'!$C$2:$C$1001,$A59,'PERMINYAKAN SUCI'!$E$2:$E$1001,"&gt;="&amp;DATE(2026,1,1),'PERMINYAKAN SUCI'!$E$2:$E$1001,"&lt;="&amp;DATE(2026,12,31)))</f>
        <v/>
      </c>
      <c r="Q59" s="19">
        <f>IF($A59="","",H59)</f>
        <v/>
      </c>
      <c r="R59" s="19">
        <f>IF($A59="","",COUNTIFS('SEMINARI BIARA'!$C$2:$C$1001,$A59,'SEMINARI BIARA'!$F$2:$F$1001,"Mulai masuk 2026",'SEMINARI BIARA'!$G$2:$G$1001,"&gt;="&amp;DATE(2026,1,1),'SEMINARI BIARA'!$G$2:$G$1001,"&lt;="&amp;DATE(2026,12,31)))</f>
        <v/>
      </c>
      <c r="S59" s="19">
        <f>IF($A59="","",COUNTIFS('SEMINARI BIARA'!$C$2:$C$1001,$A59,'SEMINARI BIARA'!$F$2:$F$1001,"Sedang belajar 2026"))</f>
        <v/>
      </c>
    </row>
    <row r="60" ht="14.25" customHeight="1" s="37">
      <c r="A60" s="18" t="n"/>
      <c r="B60" s="19">
        <f>IF($A60="","",COUNTIF('DATA KK'!$E$2:$E$501,$A60))</f>
        <v/>
      </c>
      <c r="C60" s="19">
        <f>IF($A60="","",COUNTIF('DATA UMAT'!$H$2:$H$2001,$A60))</f>
        <v/>
      </c>
      <c r="D60" s="19">
        <f>IF($A60="","",COUNTIFS(BAPTIS!$C$2:$C$1001,$A60,BAPTIS!$F$2:$F$1001,"&gt;="&amp;DATE(2026,1,1),BAPTIS!$F$2:$F$1001,"&lt;="&amp;DATE(2026,12,31)))</f>
        <v/>
      </c>
      <c r="E60" s="19">
        <f>IF($A60="","",COUNTIFS('DITERIMA MASUK'!$C$2:$C$1001,$A60,'DITERIMA MASUK'!$D$2:$D$1001,"&gt;="&amp;DATE(2026,1,1),'DITERIMA MASUK'!$D$2:$D$1001,"&lt;="&amp;DATE(2026,12,31)))</f>
        <v/>
      </c>
      <c r="F60" s="19">
        <f>IF($A60="","",COUNTIFS(MUTASI!$C$2:$C$1001,$A60,MUTASI!$D$2:$D$1001,"Masuk",MUTASI!$F$2:$F$1001,"Paroki lain dalam keuskupan",MUTASI!$E$2:$E$1001,"&gt;="&amp;DATE(2026,1,1),MUTASI!$E$2:$E$1001,"&lt;="&amp;DATE(2026,12,31)))</f>
        <v/>
      </c>
      <c r="G60" s="19">
        <f>IF($A60="","",COUNTIFS(MUTASI!$C$2:$C$1001,$A60,MUTASI!$D$2:$D$1001,"Masuk",MUTASI!$F$2:$F$1001,"Keuskupan lain",MUTASI!$E$2:$E$1001,"&gt;="&amp;DATE(2026,1,1),MUTASI!$E$2:$E$1001,"&lt;="&amp;DATE(2026,12,31)))</f>
        <v/>
      </c>
      <c r="H60" s="19">
        <f>IF($A60="","",COUNTIFS(KEMATIAN!$C$2:$C$1001,$A60,KEMATIAN!$F$2:$F$1001,"&gt;="&amp;DATE(2026,1,1),KEMATIAN!$F$2:$F$1001,"&lt;="&amp;DATE(2026,12,31)))</f>
        <v/>
      </c>
      <c r="I60" s="19">
        <f>IF($A60="","",COUNTIFS(MUTASI!$C$2:$C$1001,$A60,MUTASI!$D$2:$D$1001,"Keluar",MUTASI!$F$2:$F$1001,"Paroki lain dalam keuskupan",MUTASI!$E$2:$E$1001,"&gt;="&amp;DATE(2026,1,1),MUTASI!$E$2:$E$1001,"&lt;="&amp;DATE(2026,12,31)))</f>
        <v/>
      </c>
      <c r="J60" s="19">
        <f>IF($A60="","",COUNTIFS(MUTASI!$C$2:$C$1001,$A60,MUTASI!$D$2:$D$1001,"Keluar",MUTASI!$F$2:$F$1001,"Keuskupan lain",MUTASI!$E$2:$E$1001,"&gt;="&amp;DATE(2026,1,1),MUTASI!$E$2:$E$1001,"&lt;="&amp;DATE(2026,12,31)))</f>
        <v/>
      </c>
      <c r="K60" s="19">
        <f>IF($A60="","",COUNTIFS('PINDAH AGAMA'!$C$2:$C$1001,$A60,'PINDAH AGAMA'!$D$2:$D$1001,"&gt;="&amp;DATE(2026,1,1),'PINDAH AGAMA'!$D$2:$D$1001,"&lt;="&amp;DATE(2026,12,31)))</f>
        <v/>
      </c>
      <c r="L60" s="19">
        <f>IF($A60="","",D60+E60+F60+G60-H60-I60-J60-K60)</f>
        <v/>
      </c>
      <c r="M60" s="19">
        <f>IF($A60="","",COUNTIFS('KOMUNI PERTAMA'!$C$2:$C$1001,$A60,'KOMUNI PERTAMA'!$E$2:$E$1001,"&gt;="&amp;DATE(2026,1,1),'KOMUNI PERTAMA'!$E$2:$E$1001,"&lt;="&amp;DATE(2026,12,31)))</f>
        <v/>
      </c>
      <c r="N60" s="19">
        <f>IF($A60="","",COUNTIFS('PERKAWINAN GEREJANI'!$C$2:$C$1001,$A60,'PERKAWINAN GEREJANI'!$D$2:$D$1001,"&gt;="&amp;DATE(2026,1,1),'PERKAWINAN GEREJANI'!$D$2:$D$1001,"&lt;="&amp;DATE(2026,12,31)))</f>
        <v/>
      </c>
      <c r="O60" s="19">
        <f>IF($A60="","",COUNTIFS(PEMBUBARAN!$C$2:$C$1001,$A60,PEMBUBARAN!$D$2:$D$1001,"&gt;="&amp;DATE(2026,1,1),PEMBUBARAN!$D$2:$D$1001,"&lt;="&amp;DATE(2026,12,31)))</f>
        <v/>
      </c>
      <c r="P60" s="19">
        <f>IF($A60="","",COUNTIFS('PERMINYAKAN SUCI'!$C$2:$C$1001,$A60,'PERMINYAKAN SUCI'!$E$2:$E$1001,"&gt;="&amp;DATE(2026,1,1),'PERMINYAKAN SUCI'!$E$2:$E$1001,"&lt;="&amp;DATE(2026,12,31)))</f>
        <v/>
      </c>
      <c r="Q60" s="19">
        <f>IF($A60="","",H60)</f>
        <v/>
      </c>
      <c r="R60" s="19">
        <f>IF($A60="","",COUNTIFS('SEMINARI BIARA'!$C$2:$C$1001,$A60,'SEMINARI BIARA'!$F$2:$F$1001,"Mulai masuk 2026",'SEMINARI BIARA'!$G$2:$G$1001,"&gt;="&amp;DATE(2026,1,1),'SEMINARI BIARA'!$G$2:$G$1001,"&lt;="&amp;DATE(2026,12,31)))</f>
        <v/>
      </c>
      <c r="S60" s="19">
        <f>IF($A60="","",COUNTIFS('SEMINARI BIARA'!$C$2:$C$1001,$A60,'SEMINARI BIARA'!$F$2:$F$1001,"Sedang belajar 2026"))</f>
        <v/>
      </c>
    </row>
    <row r="61" ht="14.25" customHeight="1" s="37">
      <c r="A61" s="18" t="n"/>
      <c r="B61" s="19">
        <f>IF($A61="","",COUNTIF('DATA KK'!$E$2:$E$501,$A61))</f>
        <v/>
      </c>
      <c r="C61" s="19">
        <f>IF($A61="","",COUNTIF('DATA UMAT'!$H$2:$H$2001,$A61))</f>
        <v/>
      </c>
      <c r="D61" s="19">
        <f>IF($A61="","",COUNTIFS(BAPTIS!$C$2:$C$1001,$A61,BAPTIS!$F$2:$F$1001,"&gt;="&amp;DATE(2026,1,1),BAPTIS!$F$2:$F$1001,"&lt;="&amp;DATE(2026,12,31)))</f>
        <v/>
      </c>
      <c r="E61" s="19">
        <f>IF($A61="","",COUNTIFS('DITERIMA MASUK'!$C$2:$C$1001,$A61,'DITERIMA MASUK'!$D$2:$D$1001,"&gt;="&amp;DATE(2026,1,1),'DITERIMA MASUK'!$D$2:$D$1001,"&lt;="&amp;DATE(2026,12,31)))</f>
        <v/>
      </c>
      <c r="F61" s="19">
        <f>IF($A61="","",COUNTIFS(MUTASI!$C$2:$C$1001,$A61,MUTASI!$D$2:$D$1001,"Masuk",MUTASI!$F$2:$F$1001,"Paroki lain dalam keuskupan",MUTASI!$E$2:$E$1001,"&gt;="&amp;DATE(2026,1,1),MUTASI!$E$2:$E$1001,"&lt;="&amp;DATE(2026,12,31)))</f>
        <v/>
      </c>
      <c r="G61" s="19">
        <f>IF($A61="","",COUNTIFS(MUTASI!$C$2:$C$1001,$A61,MUTASI!$D$2:$D$1001,"Masuk",MUTASI!$F$2:$F$1001,"Keuskupan lain",MUTASI!$E$2:$E$1001,"&gt;="&amp;DATE(2026,1,1),MUTASI!$E$2:$E$1001,"&lt;="&amp;DATE(2026,12,31)))</f>
        <v/>
      </c>
      <c r="H61" s="19">
        <f>IF($A61="","",COUNTIFS(KEMATIAN!$C$2:$C$1001,$A61,KEMATIAN!$F$2:$F$1001,"&gt;="&amp;DATE(2026,1,1),KEMATIAN!$F$2:$F$1001,"&lt;="&amp;DATE(2026,12,31)))</f>
        <v/>
      </c>
      <c r="I61" s="19">
        <f>IF($A61="","",COUNTIFS(MUTASI!$C$2:$C$1001,$A61,MUTASI!$D$2:$D$1001,"Keluar",MUTASI!$F$2:$F$1001,"Paroki lain dalam keuskupan",MUTASI!$E$2:$E$1001,"&gt;="&amp;DATE(2026,1,1),MUTASI!$E$2:$E$1001,"&lt;="&amp;DATE(2026,12,31)))</f>
        <v/>
      </c>
      <c r="J61" s="19">
        <f>IF($A61="","",COUNTIFS(MUTASI!$C$2:$C$1001,$A61,MUTASI!$D$2:$D$1001,"Keluar",MUTASI!$F$2:$F$1001,"Keuskupan lain",MUTASI!$E$2:$E$1001,"&gt;="&amp;DATE(2026,1,1),MUTASI!$E$2:$E$1001,"&lt;="&amp;DATE(2026,12,31)))</f>
        <v/>
      </c>
      <c r="K61" s="19">
        <f>IF($A61="","",COUNTIFS('PINDAH AGAMA'!$C$2:$C$1001,$A61,'PINDAH AGAMA'!$D$2:$D$1001,"&gt;="&amp;DATE(2026,1,1),'PINDAH AGAMA'!$D$2:$D$1001,"&lt;="&amp;DATE(2026,12,31)))</f>
        <v/>
      </c>
      <c r="L61" s="19">
        <f>IF($A61="","",D61+E61+F61+G61-H61-I61-J61-K61)</f>
        <v/>
      </c>
      <c r="M61" s="19">
        <f>IF($A61="","",COUNTIFS('KOMUNI PERTAMA'!$C$2:$C$1001,$A61,'KOMUNI PERTAMA'!$E$2:$E$1001,"&gt;="&amp;DATE(2026,1,1),'KOMUNI PERTAMA'!$E$2:$E$1001,"&lt;="&amp;DATE(2026,12,31)))</f>
        <v/>
      </c>
      <c r="N61" s="19">
        <f>IF($A61="","",COUNTIFS('PERKAWINAN GEREJANI'!$C$2:$C$1001,$A61,'PERKAWINAN GEREJANI'!$D$2:$D$1001,"&gt;="&amp;DATE(2026,1,1),'PERKAWINAN GEREJANI'!$D$2:$D$1001,"&lt;="&amp;DATE(2026,12,31)))</f>
        <v/>
      </c>
      <c r="O61" s="19">
        <f>IF($A61="","",COUNTIFS(PEMBUBARAN!$C$2:$C$1001,$A61,PEMBUBARAN!$D$2:$D$1001,"&gt;="&amp;DATE(2026,1,1),PEMBUBARAN!$D$2:$D$1001,"&lt;="&amp;DATE(2026,12,31)))</f>
        <v/>
      </c>
      <c r="P61" s="19">
        <f>IF($A61="","",COUNTIFS('PERMINYAKAN SUCI'!$C$2:$C$1001,$A61,'PERMINYAKAN SUCI'!$E$2:$E$1001,"&gt;="&amp;DATE(2026,1,1),'PERMINYAKAN SUCI'!$E$2:$E$1001,"&lt;="&amp;DATE(2026,12,31)))</f>
        <v/>
      </c>
      <c r="Q61" s="19">
        <f>IF($A61="","",H61)</f>
        <v/>
      </c>
      <c r="R61" s="19">
        <f>IF($A61="","",COUNTIFS('SEMINARI BIARA'!$C$2:$C$1001,$A61,'SEMINARI BIARA'!$F$2:$F$1001,"Mulai masuk 2026",'SEMINARI BIARA'!$G$2:$G$1001,"&gt;="&amp;DATE(2026,1,1),'SEMINARI BIARA'!$G$2:$G$1001,"&lt;="&amp;DATE(2026,12,31)))</f>
        <v/>
      </c>
      <c r="S61" s="19">
        <f>IF($A61="","",COUNTIFS('SEMINARI BIARA'!$C$2:$C$1001,$A61,'SEMINARI BIARA'!$F$2:$F$1001,"Sedang belajar 2026"))</f>
        <v/>
      </c>
    </row>
    <row r="62" ht="14.25" customHeight="1" s="37">
      <c r="A62" s="18" t="n"/>
      <c r="B62" s="19">
        <f>IF($A62="","",COUNTIF('DATA KK'!$E$2:$E$501,$A62))</f>
        <v/>
      </c>
      <c r="C62" s="19">
        <f>IF($A62="","",COUNTIF('DATA UMAT'!$H$2:$H$2001,$A62))</f>
        <v/>
      </c>
      <c r="D62" s="19">
        <f>IF($A62="","",COUNTIFS(BAPTIS!$C$2:$C$1001,$A62,BAPTIS!$F$2:$F$1001,"&gt;="&amp;DATE(2026,1,1),BAPTIS!$F$2:$F$1001,"&lt;="&amp;DATE(2026,12,31)))</f>
        <v/>
      </c>
      <c r="E62" s="19">
        <f>IF($A62="","",COUNTIFS('DITERIMA MASUK'!$C$2:$C$1001,$A62,'DITERIMA MASUK'!$D$2:$D$1001,"&gt;="&amp;DATE(2026,1,1),'DITERIMA MASUK'!$D$2:$D$1001,"&lt;="&amp;DATE(2026,12,31)))</f>
        <v/>
      </c>
      <c r="F62" s="19">
        <f>IF($A62="","",COUNTIFS(MUTASI!$C$2:$C$1001,$A62,MUTASI!$D$2:$D$1001,"Masuk",MUTASI!$F$2:$F$1001,"Paroki lain dalam keuskupan",MUTASI!$E$2:$E$1001,"&gt;="&amp;DATE(2026,1,1),MUTASI!$E$2:$E$1001,"&lt;="&amp;DATE(2026,12,31)))</f>
        <v/>
      </c>
      <c r="G62" s="19">
        <f>IF($A62="","",COUNTIFS(MUTASI!$C$2:$C$1001,$A62,MUTASI!$D$2:$D$1001,"Masuk",MUTASI!$F$2:$F$1001,"Keuskupan lain",MUTASI!$E$2:$E$1001,"&gt;="&amp;DATE(2026,1,1),MUTASI!$E$2:$E$1001,"&lt;="&amp;DATE(2026,12,31)))</f>
        <v/>
      </c>
      <c r="H62" s="19">
        <f>IF($A62="","",COUNTIFS(KEMATIAN!$C$2:$C$1001,$A62,KEMATIAN!$F$2:$F$1001,"&gt;="&amp;DATE(2026,1,1),KEMATIAN!$F$2:$F$1001,"&lt;="&amp;DATE(2026,12,31)))</f>
        <v/>
      </c>
      <c r="I62" s="19">
        <f>IF($A62="","",COUNTIFS(MUTASI!$C$2:$C$1001,$A62,MUTASI!$D$2:$D$1001,"Keluar",MUTASI!$F$2:$F$1001,"Paroki lain dalam keuskupan",MUTASI!$E$2:$E$1001,"&gt;="&amp;DATE(2026,1,1),MUTASI!$E$2:$E$1001,"&lt;="&amp;DATE(2026,12,31)))</f>
        <v/>
      </c>
      <c r="J62" s="19">
        <f>IF($A62="","",COUNTIFS(MUTASI!$C$2:$C$1001,$A62,MUTASI!$D$2:$D$1001,"Keluar",MUTASI!$F$2:$F$1001,"Keuskupan lain",MUTASI!$E$2:$E$1001,"&gt;="&amp;DATE(2026,1,1),MUTASI!$E$2:$E$1001,"&lt;="&amp;DATE(2026,12,31)))</f>
        <v/>
      </c>
      <c r="K62" s="19">
        <f>IF($A62="","",COUNTIFS('PINDAH AGAMA'!$C$2:$C$1001,$A62,'PINDAH AGAMA'!$D$2:$D$1001,"&gt;="&amp;DATE(2026,1,1),'PINDAH AGAMA'!$D$2:$D$1001,"&lt;="&amp;DATE(2026,12,31)))</f>
        <v/>
      </c>
      <c r="L62" s="19">
        <f>IF($A62="","",D62+E62+F62+G62-H62-I62-J62-K62)</f>
        <v/>
      </c>
      <c r="M62" s="19">
        <f>IF($A62="","",COUNTIFS('KOMUNI PERTAMA'!$C$2:$C$1001,$A62,'KOMUNI PERTAMA'!$E$2:$E$1001,"&gt;="&amp;DATE(2026,1,1),'KOMUNI PERTAMA'!$E$2:$E$1001,"&lt;="&amp;DATE(2026,12,31)))</f>
        <v/>
      </c>
      <c r="N62" s="19">
        <f>IF($A62="","",COUNTIFS('PERKAWINAN GEREJANI'!$C$2:$C$1001,$A62,'PERKAWINAN GEREJANI'!$D$2:$D$1001,"&gt;="&amp;DATE(2026,1,1),'PERKAWINAN GEREJANI'!$D$2:$D$1001,"&lt;="&amp;DATE(2026,12,31)))</f>
        <v/>
      </c>
      <c r="O62" s="19">
        <f>IF($A62="","",COUNTIFS(PEMBUBARAN!$C$2:$C$1001,$A62,PEMBUBARAN!$D$2:$D$1001,"&gt;="&amp;DATE(2026,1,1),PEMBUBARAN!$D$2:$D$1001,"&lt;="&amp;DATE(2026,12,31)))</f>
        <v/>
      </c>
      <c r="P62" s="19">
        <f>IF($A62="","",COUNTIFS('PERMINYAKAN SUCI'!$C$2:$C$1001,$A62,'PERMINYAKAN SUCI'!$E$2:$E$1001,"&gt;="&amp;DATE(2026,1,1),'PERMINYAKAN SUCI'!$E$2:$E$1001,"&lt;="&amp;DATE(2026,12,31)))</f>
        <v/>
      </c>
      <c r="Q62" s="19">
        <f>IF($A62="","",H62)</f>
        <v/>
      </c>
      <c r="R62" s="19">
        <f>IF($A62="","",COUNTIFS('SEMINARI BIARA'!$C$2:$C$1001,$A62,'SEMINARI BIARA'!$F$2:$F$1001,"Mulai masuk 2026",'SEMINARI BIARA'!$G$2:$G$1001,"&gt;="&amp;DATE(2026,1,1),'SEMINARI BIARA'!$G$2:$G$1001,"&lt;="&amp;DATE(2026,12,31)))</f>
        <v/>
      </c>
      <c r="S62" s="19">
        <f>IF($A62="","",COUNTIFS('SEMINARI BIARA'!$C$2:$C$1001,$A62,'SEMINARI BIARA'!$F$2:$F$1001,"Sedang belajar 2026"))</f>
        <v/>
      </c>
    </row>
    <row r="63" ht="14.25" customHeight="1" s="37">
      <c r="A63" s="18" t="n"/>
      <c r="B63" s="19">
        <f>IF($A63="","",COUNTIF('DATA KK'!$E$2:$E$501,$A63))</f>
        <v/>
      </c>
      <c r="C63" s="19">
        <f>IF($A63="","",COUNTIF('DATA UMAT'!$H$2:$H$2001,$A63))</f>
        <v/>
      </c>
      <c r="D63" s="19">
        <f>IF($A63="","",COUNTIFS(BAPTIS!$C$2:$C$1001,$A63,BAPTIS!$F$2:$F$1001,"&gt;="&amp;DATE(2026,1,1),BAPTIS!$F$2:$F$1001,"&lt;="&amp;DATE(2026,12,31)))</f>
        <v/>
      </c>
      <c r="E63" s="19">
        <f>IF($A63="","",COUNTIFS('DITERIMA MASUK'!$C$2:$C$1001,$A63,'DITERIMA MASUK'!$D$2:$D$1001,"&gt;="&amp;DATE(2026,1,1),'DITERIMA MASUK'!$D$2:$D$1001,"&lt;="&amp;DATE(2026,12,31)))</f>
        <v/>
      </c>
      <c r="F63" s="19">
        <f>IF($A63="","",COUNTIFS(MUTASI!$C$2:$C$1001,$A63,MUTASI!$D$2:$D$1001,"Masuk",MUTASI!$F$2:$F$1001,"Paroki lain dalam keuskupan",MUTASI!$E$2:$E$1001,"&gt;="&amp;DATE(2026,1,1),MUTASI!$E$2:$E$1001,"&lt;="&amp;DATE(2026,12,31)))</f>
        <v/>
      </c>
      <c r="G63" s="19">
        <f>IF($A63="","",COUNTIFS(MUTASI!$C$2:$C$1001,$A63,MUTASI!$D$2:$D$1001,"Masuk",MUTASI!$F$2:$F$1001,"Keuskupan lain",MUTASI!$E$2:$E$1001,"&gt;="&amp;DATE(2026,1,1),MUTASI!$E$2:$E$1001,"&lt;="&amp;DATE(2026,12,31)))</f>
        <v/>
      </c>
      <c r="H63" s="19">
        <f>IF($A63="","",COUNTIFS(KEMATIAN!$C$2:$C$1001,$A63,KEMATIAN!$F$2:$F$1001,"&gt;="&amp;DATE(2026,1,1),KEMATIAN!$F$2:$F$1001,"&lt;="&amp;DATE(2026,12,31)))</f>
        <v/>
      </c>
      <c r="I63" s="19">
        <f>IF($A63="","",COUNTIFS(MUTASI!$C$2:$C$1001,$A63,MUTASI!$D$2:$D$1001,"Keluar",MUTASI!$F$2:$F$1001,"Paroki lain dalam keuskupan",MUTASI!$E$2:$E$1001,"&gt;="&amp;DATE(2026,1,1),MUTASI!$E$2:$E$1001,"&lt;="&amp;DATE(2026,12,31)))</f>
        <v/>
      </c>
      <c r="J63" s="19">
        <f>IF($A63="","",COUNTIFS(MUTASI!$C$2:$C$1001,$A63,MUTASI!$D$2:$D$1001,"Keluar",MUTASI!$F$2:$F$1001,"Keuskupan lain",MUTASI!$E$2:$E$1001,"&gt;="&amp;DATE(2026,1,1),MUTASI!$E$2:$E$1001,"&lt;="&amp;DATE(2026,12,31)))</f>
        <v/>
      </c>
      <c r="K63" s="19">
        <f>IF($A63="","",COUNTIFS('PINDAH AGAMA'!$C$2:$C$1001,$A63,'PINDAH AGAMA'!$D$2:$D$1001,"&gt;="&amp;DATE(2026,1,1),'PINDAH AGAMA'!$D$2:$D$1001,"&lt;="&amp;DATE(2026,12,31)))</f>
        <v/>
      </c>
      <c r="L63" s="19">
        <f>IF($A63="","",D63+E63+F63+G63-H63-I63-J63-K63)</f>
        <v/>
      </c>
      <c r="M63" s="19">
        <f>IF($A63="","",COUNTIFS('KOMUNI PERTAMA'!$C$2:$C$1001,$A63,'KOMUNI PERTAMA'!$E$2:$E$1001,"&gt;="&amp;DATE(2026,1,1),'KOMUNI PERTAMA'!$E$2:$E$1001,"&lt;="&amp;DATE(2026,12,31)))</f>
        <v/>
      </c>
      <c r="N63" s="19">
        <f>IF($A63="","",COUNTIFS('PERKAWINAN GEREJANI'!$C$2:$C$1001,$A63,'PERKAWINAN GEREJANI'!$D$2:$D$1001,"&gt;="&amp;DATE(2026,1,1),'PERKAWINAN GEREJANI'!$D$2:$D$1001,"&lt;="&amp;DATE(2026,12,31)))</f>
        <v/>
      </c>
      <c r="O63" s="19">
        <f>IF($A63="","",COUNTIFS(PEMBUBARAN!$C$2:$C$1001,$A63,PEMBUBARAN!$D$2:$D$1001,"&gt;="&amp;DATE(2026,1,1),PEMBUBARAN!$D$2:$D$1001,"&lt;="&amp;DATE(2026,12,31)))</f>
        <v/>
      </c>
      <c r="P63" s="19">
        <f>IF($A63="","",COUNTIFS('PERMINYAKAN SUCI'!$C$2:$C$1001,$A63,'PERMINYAKAN SUCI'!$E$2:$E$1001,"&gt;="&amp;DATE(2026,1,1),'PERMINYAKAN SUCI'!$E$2:$E$1001,"&lt;="&amp;DATE(2026,12,31)))</f>
        <v/>
      </c>
      <c r="Q63" s="19">
        <f>IF($A63="","",H63)</f>
        <v/>
      </c>
      <c r="R63" s="19">
        <f>IF($A63="","",COUNTIFS('SEMINARI BIARA'!$C$2:$C$1001,$A63,'SEMINARI BIARA'!$F$2:$F$1001,"Mulai masuk 2026",'SEMINARI BIARA'!$G$2:$G$1001,"&gt;="&amp;DATE(2026,1,1),'SEMINARI BIARA'!$G$2:$G$1001,"&lt;="&amp;DATE(2026,12,31)))</f>
        <v/>
      </c>
      <c r="S63" s="19">
        <f>IF($A63="","",COUNTIFS('SEMINARI BIARA'!$C$2:$C$1001,$A63,'SEMINARI BIARA'!$F$2:$F$1001,"Sedang belajar 2026"))</f>
        <v/>
      </c>
    </row>
    <row r="64" ht="14.25" customHeight="1" s="37">
      <c r="A64" s="18" t="n"/>
      <c r="B64" s="19">
        <f>IF($A64="","",COUNTIF('DATA KK'!$E$2:$E$501,$A64))</f>
        <v/>
      </c>
      <c r="C64" s="19">
        <f>IF($A64="","",COUNTIF('DATA UMAT'!$H$2:$H$2001,$A64))</f>
        <v/>
      </c>
      <c r="D64" s="19">
        <f>IF($A64="","",COUNTIFS(BAPTIS!$C$2:$C$1001,$A64,BAPTIS!$F$2:$F$1001,"&gt;="&amp;DATE(2026,1,1),BAPTIS!$F$2:$F$1001,"&lt;="&amp;DATE(2026,12,31)))</f>
        <v/>
      </c>
      <c r="E64" s="19">
        <f>IF($A64="","",COUNTIFS('DITERIMA MASUK'!$C$2:$C$1001,$A64,'DITERIMA MASUK'!$D$2:$D$1001,"&gt;="&amp;DATE(2026,1,1),'DITERIMA MASUK'!$D$2:$D$1001,"&lt;="&amp;DATE(2026,12,31)))</f>
        <v/>
      </c>
      <c r="F64" s="19">
        <f>IF($A64="","",COUNTIFS(MUTASI!$C$2:$C$1001,$A64,MUTASI!$D$2:$D$1001,"Masuk",MUTASI!$F$2:$F$1001,"Paroki lain dalam keuskupan",MUTASI!$E$2:$E$1001,"&gt;="&amp;DATE(2026,1,1),MUTASI!$E$2:$E$1001,"&lt;="&amp;DATE(2026,12,31)))</f>
        <v/>
      </c>
      <c r="G64" s="19">
        <f>IF($A64="","",COUNTIFS(MUTASI!$C$2:$C$1001,$A64,MUTASI!$D$2:$D$1001,"Masuk",MUTASI!$F$2:$F$1001,"Keuskupan lain",MUTASI!$E$2:$E$1001,"&gt;="&amp;DATE(2026,1,1),MUTASI!$E$2:$E$1001,"&lt;="&amp;DATE(2026,12,31)))</f>
        <v/>
      </c>
      <c r="H64" s="19">
        <f>IF($A64="","",COUNTIFS(KEMATIAN!$C$2:$C$1001,$A64,KEMATIAN!$F$2:$F$1001,"&gt;="&amp;DATE(2026,1,1),KEMATIAN!$F$2:$F$1001,"&lt;="&amp;DATE(2026,12,31)))</f>
        <v/>
      </c>
      <c r="I64" s="19">
        <f>IF($A64="","",COUNTIFS(MUTASI!$C$2:$C$1001,$A64,MUTASI!$D$2:$D$1001,"Keluar",MUTASI!$F$2:$F$1001,"Paroki lain dalam keuskupan",MUTASI!$E$2:$E$1001,"&gt;="&amp;DATE(2026,1,1),MUTASI!$E$2:$E$1001,"&lt;="&amp;DATE(2026,12,31)))</f>
        <v/>
      </c>
      <c r="J64" s="19">
        <f>IF($A64="","",COUNTIFS(MUTASI!$C$2:$C$1001,$A64,MUTASI!$D$2:$D$1001,"Keluar",MUTASI!$F$2:$F$1001,"Keuskupan lain",MUTASI!$E$2:$E$1001,"&gt;="&amp;DATE(2026,1,1),MUTASI!$E$2:$E$1001,"&lt;="&amp;DATE(2026,12,31)))</f>
        <v/>
      </c>
      <c r="K64" s="19">
        <f>IF($A64="","",COUNTIFS('PINDAH AGAMA'!$C$2:$C$1001,$A64,'PINDAH AGAMA'!$D$2:$D$1001,"&gt;="&amp;DATE(2026,1,1),'PINDAH AGAMA'!$D$2:$D$1001,"&lt;="&amp;DATE(2026,12,31)))</f>
        <v/>
      </c>
      <c r="L64" s="19">
        <f>IF($A64="","",D64+E64+F64+G64-H64-I64-J64-K64)</f>
        <v/>
      </c>
      <c r="M64" s="19">
        <f>IF($A64="","",COUNTIFS('KOMUNI PERTAMA'!$C$2:$C$1001,$A64,'KOMUNI PERTAMA'!$E$2:$E$1001,"&gt;="&amp;DATE(2026,1,1),'KOMUNI PERTAMA'!$E$2:$E$1001,"&lt;="&amp;DATE(2026,12,31)))</f>
        <v/>
      </c>
      <c r="N64" s="19">
        <f>IF($A64="","",COUNTIFS('PERKAWINAN GEREJANI'!$C$2:$C$1001,$A64,'PERKAWINAN GEREJANI'!$D$2:$D$1001,"&gt;="&amp;DATE(2026,1,1),'PERKAWINAN GEREJANI'!$D$2:$D$1001,"&lt;="&amp;DATE(2026,12,31)))</f>
        <v/>
      </c>
      <c r="O64" s="19">
        <f>IF($A64="","",COUNTIFS(PEMBUBARAN!$C$2:$C$1001,$A64,PEMBUBARAN!$D$2:$D$1001,"&gt;="&amp;DATE(2026,1,1),PEMBUBARAN!$D$2:$D$1001,"&lt;="&amp;DATE(2026,12,31)))</f>
        <v/>
      </c>
      <c r="P64" s="19">
        <f>IF($A64="","",COUNTIFS('PERMINYAKAN SUCI'!$C$2:$C$1001,$A64,'PERMINYAKAN SUCI'!$E$2:$E$1001,"&gt;="&amp;DATE(2026,1,1),'PERMINYAKAN SUCI'!$E$2:$E$1001,"&lt;="&amp;DATE(2026,12,31)))</f>
        <v/>
      </c>
      <c r="Q64" s="19">
        <f>IF($A64="","",H64)</f>
        <v/>
      </c>
      <c r="R64" s="19">
        <f>IF($A64="","",COUNTIFS('SEMINARI BIARA'!$C$2:$C$1001,$A64,'SEMINARI BIARA'!$F$2:$F$1001,"Mulai masuk 2026",'SEMINARI BIARA'!$G$2:$G$1001,"&gt;="&amp;DATE(2026,1,1),'SEMINARI BIARA'!$G$2:$G$1001,"&lt;="&amp;DATE(2026,12,31)))</f>
        <v/>
      </c>
      <c r="S64" s="19">
        <f>IF($A64="","",COUNTIFS('SEMINARI BIARA'!$C$2:$C$1001,$A64,'SEMINARI BIARA'!$F$2:$F$1001,"Sedang belajar 2026"))</f>
        <v/>
      </c>
    </row>
    <row r="65" ht="14.25" customHeight="1" s="37">
      <c r="A65" s="18" t="n"/>
      <c r="B65" s="19">
        <f>IF($A65="","",COUNTIF('DATA KK'!$E$2:$E$501,$A65))</f>
        <v/>
      </c>
      <c r="C65" s="19">
        <f>IF($A65="","",COUNTIF('DATA UMAT'!$H$2:$H$2001,$A65))</f>
        <v/>
      </c>
      <c r="D65" s="19">
        <f>IF($A65="","",COUNTIFS(BAPTIS!$C$2:$C$1001,$A65,BAPTIS!$F$2:$F$1001,"&gt;="&amp;DATE(2026,1,1),BAPTIS!$F$2:$F$1001,"&lt;="&amp;DATE(2026,12,31)))</f>
        <v/>
      </c>
      <c r="E65" s="19">
        <f>IF($A65="","",COUNTIFS('DITERIMA MASUK'!$C$2:$C$1001,$A65,'DITERIMA MASUK'!$D$2:$D$1001,"&gt;="&amp;DATE(2026,1,1),'DITERIMA MASUK'!$D$2:$D$1001,"&lt;="&amp;DATE(2026,12,31)))</f>
        <v/>
      </c>
      <c r="F65" s="19">
        <f>IF($A65="","",COUNTIFS(MUTASI!$C$2:$C$1001,$A65,MUTASI!$D$2:$D$1001,"Masuk",MUTASI!$F$2:$F$1001,"Paroki lain dalam keuskupan",MUTASI!$E$2:$E$1001,"&gt;="&amp;DATE(2026,1,1),MUTASI!$E$2:$E$1001,"&lt;="&amp;DATE(2026,12,31)))</f>
        <v/>
      </c>
      <c r="G65" s="19">
        <f>IF($A65="","",COUNTIFS(MUTASI!$C$2:$C$1001,$A65,MUTASI!$D$2:$D$1001,"Masuk",MUTASI!$F$2:$F$1001,"Keuskupan lain",MUTASI!$E$2:$E$1001,"&gt;="&amp;DATE(2026,1,1),MUTASI!$E$2:$E$1001,"&lt;="&amp;DATE(2026,12,31)))</f>
        <v/>
      </c>
      <c r="H65" s="19">
        <f>IF($A65="","",COUNTIFS(KEMATIAN!$C$2:$C$1001,$A65,KEMATIAN!$F$2:$F$1001,"&gt;="&amp;DATE(2026,1,1),KEMATIAN!$F$2:$F$1001,"&lt;="&amp;DATE(2026,12,31)))</f>
        <v/>
      </c>
      <c r="I65" s="19">
        <f>IF($A65="","",COUNTIFS(MUTASI!$C$2:$C$1001,$A65,MUTASI!$D$2:$D$1001,"Keluar",MUTASI!$F$2:$F$1001,"Paroki lain dalam keuskupan",MUTASI!$E$2:$E$1001,"&gt;="&amp;DATE(2026,1,1),MUTASI!$E$2:$E$1001,"&lt;="&amp;DATE(2026,12,31)))</f>
        <v/>
      </c>
      <c r="J65" s="19">
        <f>IF($A65="","",COUNTIFS(MUTASI!$C$2:$C$1001,$A65,MUTASI!$D$2:$D$1001,"Keluar",MUTASI!$F$2:$F$1001,"Keuskupan lain",MUTASI!$E$2:$E$1001,"&gt;="&amp;DATE(2026,1,1),MUTASI!$E$2:$E$1001,"&lt;="&amp;DATE(2026,12,31)))</f>
        <v/>
      </c>
      <c r="K65" s="19">
        <f>IF($A65="","",COUNTIFS('PINDAH AGAMA'!$C$2:$C$1001,$A65,'PINDAH AGAMA'!$D$2:$D$1001,"&gt;="&amp;DATE(2026,1,1),'PINDAH AGAMA'!$D$2:$D$1001,"&lt;="&amp;DATE(2026,12,31)))</f>
        <v/>
      </c>
      <c r="L65" s="19">
        <f>IF($A65="","",D65+E65+F65+G65-H65-I65-J65-K65)</f>
        <v/>
      </c>
      <c r="M65" s="19">
        <f>IF($A65="","",COUNTIFS('KOMUNI PERTAMA'!$C$2:$C$1001,$A65,'KOMUNI PERTAMA'!$E$2:$E$1001,"&gt;="&amp;DATE(2026,1,1),'KOMUNI PERTAMA'!$E$2:$E$1001,"&lt;="&amp;DATE(2026,12,31)))</f>
        <v/>
      </c>
      <c r="N65" s="19">
        <f>IF($A65="","",COUNTIFS('PERKAWINAN GEREJANI'!$C$2:$C$1001,$A65,'PERKAWINAN GEREJANI'!$D$2:$D$1001,"&gt;="&amp;DATE(2026,1,1),'PERKAWINAN GEREJANI'!$D$2:$D$1001,"&lt;="&amp;DATE(2026,12,31)))</f>
        <v/>
      </c>
      <c r="O65" s="19">
        <f>IF($A65="","",COUNTIFS(PEMBUBARAN!$C$2:$C$1001,$A65,PEMBUBARAN!$D$2:$D$1001,"&gt;="&amp;DATE(2026,1,1),PEMBUBARAN!$D$2:$D$1001,"&lt;="&amp;DATE(2026,12,31)))</f>
        <v/>
      </c>
      <c r="P65" s="19">
        <f>IF($A65="","",COUNTIFS('PERMINYAKAN SUCI'!$C$2:$C$1001,$A65,'PERMINYAKAN SUCI'!$E$2:$E$1001,"&gt;="&amp;DATE(2026,1,1),'PERMINYAKAN SUCI'!$E$2:$E$1001,"&lt;="&amp;DATE(2026,12,31)))</f>
        <v/>
      </c>
      <c r="Q65" s="19">
        <f>IF($A65="","",H65)</f>
        <v/>
      </c>
      <c r="R65" s="19">
        <f>IF($A65="","",COUNTIFS('SEMINARI BIARA'!$C$2:$C$1001,$A65,'SEMINARI BIARA'!$F$2:$F$1001,"Mulai masuk 2026",'SEMINARI BIARA'!$G$2:$G$1001,"&gt;="&amp;DATE(2026,1,1),'SEMINARI BIARA'!$G$2:$G$1001,"&lt;="&amp;DATE(2026,12,31)))</f>
        <v/>
      </c>
      <c r="S65" s="19">
        <f>IF($A65="","",COUNTIFS('SEMINARI BIARA'!$C$2:$C$1001,$A65,'SEMINARI BIARA'!$F$2:$F$1001,"Sedang belajar 2026"))</f>
        <v/>
      </c>
    </row>
    <row r="66" ht="14.25" customHeight="1" s="37">
      <c r="A66" s="18" t="n"/>
      <c r="B66" s="19">
        <f>IF($A66="","",COUNTIF('DATA KK'!$E$2:$E$501,$A66))</f>
        <v/>
      </c>
      <c r="C66" s="19">
        <f>IF($A66="","",COUNTIF('DATA UMAT'!$H$2:$H$2001,$A66))</f>
        <v/>
      </c>
      <c r="D66" s="19">
        <f>IF($A66="","",COUNTIFS(BAPTIS!$C$2:$C$1001,$A66,BAPTIS!$F$2:$F$1001,"&gt;="&amp;DATE(2026,1,1),BAPTIS!$F$2:$F$1001,"&lt;="&amp;DATE(2026,12,31)))</f>
        <v/>
      </c>
      <c r="E66" s="19">
        <f>IF($A66="","",COUNTIFS('DITERIMA MASUK'!$C$2:$C$1001,$A66,'DITERIMA MASUK'!$D$2:$D$1001,"&gt;="&amp;DATE(2026,1,1),'DITERIMA MASUK'!$D$2:$D$1001,"&lt;="&amp;DATE(2026,12,31)))</f>
        <v/>
      </c>
      <c r="F66" s="19">
        <f>IF($A66="","",COUNTIFS(MUTASI!$C$2:$C$1001,$A66,MUTASI!$D$2:$D$1001,"Masuk",MUTASI!$F$2:$F$1001,"Paroki lain dalam keuskupan",MUTASI!$E$2:$E$1001,"&gt;="&amp;DATE(2026,1,1),MUTASI!$E$2:$E$1001,"&lt;="&amp;DATE(2026,12,31)))</f>
        <v/>
      </c>
      <c r="G66" s="19">
        <f>IF($A66="","",COUNTIFS(MUTASI!$C$2:$C$1001,$A66,MUTASI!$D$2:$D$1001,"Masuk",MUTASI!$F$2:$F$1001,"Keuskupan lain",MUTASI!$E$2:$E$1001,"&gt;="&amp;DATE(2026,1,1),MUTASI!$E$2:$E$1001,"&lt;="&amp;DATE(2026,12,31)))</f>
        <v/>
      </c>
      <c r="H66" s="19">
        <f>IF($A66="","",COUNTIFS(KEMATIAN!$C$2:$C$1001,$A66,KEMATIAN!$F$2:$F$1001,"&gt;="&amp;DATE(2026,1,1),KEMATIAN!$F$2:$F$1001,"&lt;="&amp;DATE(2026,12,31)))</f>
        <v/>
      </c>
      <c r="I66" s="19">
        <f>IF($A66="","",COUNTIFS(MUTASI!$C$2:$C$1001,$A66,MUTASI!$D$2:$D$1001,"Keluar",MUTASI!$F$2:$F$1001,"Paroki lain dalam keuskupan",MUTASI!$E$2:$E$1001,"&gt;="&amp;DATE(2026,1,1),MUTASI!$E$2:$E$1001,"&lt;="&amp;DATE(2026,12,31)))</f>
        <v/>
      </c>
      <c r="J66" s="19">
        <f>IF($A66="","",COUNTIFS(MUTASI!$C$2:$C$1001,$A66,MUTASI!$D$2:$D$1001,"Keluar",MUTASI!$F$2:$F$1001,"Keuskupan lain",MUTASI!$E$2:$E$1001,"&gt;="&amp;DATE(2026,1,1),MUTASI!$E$2:$E$1001,"&lt;="&amp;DATE(2026,12,31)))</f>
        <v/>
      </c>
      <c r="K66" s="19">
        <f>IF($A66="","",COUNTIFS('PINDAH AGAMA'!$C$2:$C$1001,$A66,'PINDAH AGAMA'!$D$2:$D$1001,"&gt;="&amp;DATE(2026,1,1),'PINDAH AGAMA'!$D$2:$D$1001,"&lt;="&amp;DATE(2026,12,31)))</f>
        <v/>
      </c>
      <c r="L66" s="19">
        <f>IF($A66="","",D66+E66+F66+G66-H66-I66-J66-K66)</f>
        <v/>
      </c>
      <c r="M66" s="19">
        <f>IF($A66="","",COUNTIFS('KOMUNI PERTAMA'!$C$2:$C$1001,$A66,'KOMUNI PERTAMA'!$E$2:$E$1001,"&gt;="&amp;DATE(2026,1,1),'KOMUNI PERTAMA'!$E$2:$E$1001,"&lt;="&amp;DATE(2026,12,31)))</f>
        <v/>
      </c>
      <c r="N66" s="19">
        <f>IF($A66="","",COUNTIFS('PERKAWINAN GEREJANI'!$C$2:$C$1001,$A66,'PERKAWINAN GEREJANI'!$D$2:$D$1001,"&gt;="&amp;DATE(2026,1,1),'PERKAWINAN GEREJANI'!$D$2:$D$1001,"&lt;="&amp;DATE(2026,12,31)))</f>
        <v/>
      </c>
      <c r="O66" s="19">
        <f>IF($A66="","",COUNTIFS(PEMBUBARAN!$C$2:$C$1001,$A66,PEMBUBARAN!$D$2:$D$1001,"&gt;="&amp;DATE(2026,1,1),PEMBUBARAN!$D$2:$D$1001,"&lt;="&amp;DATE(2026,12,31)))</f>
        <v/>
      </c>
      <c r="P66" s="19">
        <f>IF($A66="","",COUNTIFS('PERMINYAKAN SUCI'!$C$2:$C$1001,$A66,'PERMINYAKAN SUCI'!$E$2:$E$1001,"&gt;="&amp;DATE(2026,1,1),'PERMINYAKAN SUCI'!$E$2:$E$1001,"&lt;="&amp;DATE(2026,12,31)))</f>
        <v/>
      </c>
      <c r="Q66" s="19">
        <f>IF($A66="","",H66)</f>
        <v/>
      </c>
      <c r="R66" s="19">
        <f>IF($A66="","",COUNTIFS('SEMINARI BIARA'!$C$2:$C$1001,$A66,'SEMINARI BIARA'!$F$2:$F$1001,"Mulai masuk 2026",'SEMINARI BIARA'!$G$2:$G$1001,"&gt;="&amp;DATE(2026,1,1),'SEMINARI BIARA'!$G$2:$G$1001,"&lt;="&amp;DATE(2026,12,31)))</f>
        <v/>
      </c>
      <c r="S66" s="19">
        <f>IF($A66="","",COUNTIFS('SEMINARI BIARA'!$C$2:$C$1001,$A66,'SEMINARI BIARA'!$F$2:$F$1001,"Sedang belajar 2026"))</f>
        <v/>
      </c>
    </row>
    <row r="67" ht="14.25" customHeight="1" s="37">
      <c r="A67" s="18" t="n"/>
      <c r="B67" s="19">
        <f>IF($A67="","",COUNTIF('DATA KK'!$E$2:$E$501,$A67))</f>
        <v/>
      </c>
      <c r="C67" s="19">
        <f>IF($A67="","",COUNTIF('DATA UMAT'!$H$2:$H$2001,$A67))</f>
        <v/>
      </c>
      <c r="D67" s="19">
        <f>IF($A67="","",COUNTIFS(BAPTIS!$C$2:$C$1001,$A67,BAPTIS!$F$2:$F$1001,"&gt;="&amp;DATE(2026,1,1),BAPTIS!$F$2:$F$1001,"&lt;="&amp;DATE(2026,12,31)))</f>
        <v/>
      </c>
      <c r="E67" s="19">
        <f>IF($A67="","",COUNTIFS('DITERIMA MASUK'!$C$2:$C$1001,$A67,'DITERIMA MASUK'!$D$2:$D$1001,"&gt;="&amp;DATE(2026,1,1),'DITERIMA MASUK'!$D$2:$D$1001,"&lt;="&amp;DATE(2026,12,31)))</f>
        <v/>
      </c>
      <c r="F67" s="19">
        <f>IF($A67="","",COUNTIFS(MUTASI!$C$2:$C$1001,$A67,MUTASI!$D$2:$D$1001,"Masuk",MUTASI!$F$2:$F$1001,"Paroki lain dalam keuskupan",MUTASI!$E$2:$E$1001,"&gt;="&amp;DATE(2026,1,1),MUTASI!$E$2:$E$1001,"&lt;="&amp;DATE(2026,12,31)))</f>
        <v/>
      </c>
      <c r="G67" s="19">
        <f>IF($A67="","",COUNTIFS(MUTASI!$C$2:$C$1001,$A67,MUTASI!$D$2:$D$1001,"Masuk",MUTASI!$F$2:$F$1001,"Keuskupan lain",MUTASI!$E$2:$E$1001,"&gt;="&amp;DATE(2026,1,1),MUTASI!$E$2:$E$1001,"&lt;="&amp;DATE(2026,12,31)))</f>
        <v/>
      </c>
      <c r="H67" s="19">
        <f>IF($A67="","",COUNTIFS(KEMATIAN!$C$2:$C$1001,$A67,KEMATIAN!$F$2:$F$1001,"&gt;="&amp;DATE(2026,1,1),KEMATIAN!$F$2:$F$1001,"&lt;="&amp;DATE(2026,12,31)))</f>
        <v/>
      </c>
      <c r="I67" s="19">
        <f>IF($A67="","",COUNTIFS(MUTASI!$C$2:$C$1001,$A67,MUTASI!$D$2:$D$1001,"Keluar",MUTASI!$F$2:$F$1001,"Paroki lain dalam keuskupan",MUTASI!$E$2:$E$1001,"&gt;="&amp;DATE(2026,1,1),MUTASI!$E$2:$E$1001,"&lt;="&amp;DATE(2026,12,31)))</f>
        <v/>
      </c>
      <c r="J67" s="19">
        <f>IF($A67="","",COUNTIFS(MUTASI!$C$2:$C$1001,$A67,MUTASI!$D$2:$D$1001,"Keluar",MUTASI!$F$2:$F$1001,"Keuskupan lain",MUTASI!$E$2:$E$1001,"&gt;="&amp;DATE(2026,1,1),MUTASI!$E$2:$E$1001,"&lt;="&amp;DATE(2026,12,31)))</f>
        <v/>
      </c>
      <c r="K67" s="19">
        <f>IF($A67="","",COUNTIFS('PINDAH AGAMA'!$C$2:$C$1001,$A67,'PINDAH AGAMA'!$D$2:$D$1001,"&gt;="&amp;DATE(2026,1,1),'PINDAH AGAMA'!$D$2:$D$1001,"&lt;="&amp;DATE(2026,12,31)))</f>
        <v/>
      </c>
      <c r="L67" s="19">
        <f>IF($A67="","",D67+E67+F67+G67-H67-I67-J67-K67)</f>
        <v/>
      </c>
      <c r="M67" s="19">
        <f>IF($A67="","",COUNTIFS('KOMUNI PERTAMA'!$C$2:$C$1001,$A67,'KOMUNI PERTAMA'!$E$2:$E$1001,"&gt;="&amp;DATE(2026,1,1),'KOMUNI PERTAMA'!$E$2:$E$1001,"&lt;="&amp;DATE(2026,12,31)))</f>
        <v/>
      </c>
      <c r="N67" s="19">
        <f>IF($A67="","",COUNTIFS('PERKAWINAN GEREJANI'!$C$2:$C$1001,$A67,'PERKAWINAN GEREJANI'!$D$2:$D$1001,"&gt;="&amp;DATE(2026,1,1),'PERKAWINAN GEREJANI'!$D$2:$D$1001,"&lt;="&amp;DATE(2026,12,31)))</f>
        <v/>
      </c>
      <c r="O67" s="19">
        <f>IF($A67="","",COUNTIFS(PEMBUBARAN!$C$2:$C$1001,$A67,PEMBUBARAN!$D$2:$D$1001,"&gt;="&amp;DATE(2026,1,1),PEMBUBARAN!$D$2:$D$1001,"&lt;="&amp;DATE(2026,12,31)))</f>
        <v/>
      </c>
      <c r="P67" s="19">
        <f>IF($A67="","",COUNTIFS('PERMINYAKAN SUCI'!$C$2:$C$1001,$A67,'PERMINYAKAN SUCI'!$E$2:$E$1001,"&gt;="&amp;DATE(2026,1,1),'PERMINYAKAN SUCI'!$E$2:$E$1001,"&lt;="&amp;DATE(2026,12,31)))</f>
        <v/>
      </c>
      <c r="Q67" s="19">
        <f>IF($A67="","",H67)</f>
        <v/>
      </c>
      <c r="R67" s="19">
        <f>IF($A67="","",COUNTIFS('SEMINARI BIARA'!$C$2:$C$1001,$A67,'SEMINARI BIARA'!$F$2:$F$1001,"Mulai masuk 2026",'SEMINARI BIARA'!$G$2:$G$1001,"&gt;="&amp;DATE(2026,1,1),'SEMINARI BIARA'!$G$2:$G$1001,"&lt;="&amp;DATE(2026,12,31)))</f>
        <v/>
      </c>
      <c r="S67" s="19">
        <f>IF($A67="","",COUNTIFS('SEMINARI BIARA'!$C$2:$C$1001,$A67,'SEMINARI BIARA'!$F$2:$F$1001,"Sedang belajar 2026"))</f>
        <v/>
      </c>
    </row>
    <row r="68" ht="14.25" customHeight="1" s="37">
      <c r="A68" s="18" t="n"/>
      <c r="B68" s="19">
        <f>IF($A68="","",COUNTIF('DATA KK'!$E$2:$E$501,$A68))</f>
        <v/>
      </c>
      <c r="C68" s="19">
        <f>IF($A68="","",COUNTIF('DATA UMAT'!$H$2:$H$2001,$A68))</f>
        <v/>
      </c>
      <c r="D68" s="19">
        <f>IF($A68="","",COUNTIFS(BAPTIS!$C$2:$C$1001,$A68,BAPTIS!$F$2:$F$1001,"&gt;="&amp;DATE(2026,1,1),BAPTIS!$F$2:$F$1001,"&lt;="&amp;DATE(2026,12,31)))</f>
        <v/>
      </c>
      <c r="E68" s="19">
        <f>IF($A68="","",COUNTIFS('DITERIMA MASUK'!$C$2:$C$1001,$A68,'DITERIMA MASUK'!$D$2:$D$1001,"&gt;="&amp;DATE(2026,1,1),'DITERIMA MASUK'!$D$2:$D$1001,"&lt;="&amp;DATE(2026,12,31)))</f>
        <v/>
      </c>
      <c r="F68" s="19">
        <f>IF($A68="","",COUNTIFS(MUTASI!$C$2:$C$1001,$A68,MUTASI!$D$2:$D$1001,"Masuk",MUTASI!$F$2:$F$1001,"Paroki lain dalam keuskupan",MUTASI!$E$2:$E$1001,"&gt;="&amp;DATE(2026,1,1),MUTASI!$E$2:$E$1001,"&lt;="&amp;DATE(2026,12,31)))</f>
        <v/>
      </c>
      <c r="G68" s="19">
        <f>IF($A68="","",COUNTIFS(MUTASI!$C$2:$C$1001,$A68,MUTASI!$D$2:$D$1001,"Masuk",MUTASI!$F$2:$F$1001,"Keuskupan lain",MUTASI!$E$2:$E$1001,"&gt;="&amp;DATE(2026,1,1),MUTASI!$E$2:$E$1001,"&lt;="&amp;DATE(2026,12,31)))</f>
        <v/>
      </c>
      <c r="H68" s="19">
        <f>IF($A68="","",COUNTIFS(KEMATIAN!$C$2:$C$1001,$A68,KEMATIAN!$F$2:$F$1001,"&gt;="&amp;DATE(2026,1,1),KEMATIAN!$F$2:$F$1001,"&lt;="&amp;DATE(2026,12,31)))</f>
        <v/>
      </c>
      <c r="I68" s="19">
        <f>IF($A68="","",COUNTIFS(MUTASI!$C$2:$C$1001,$A68,MUTASI!$D$2:$D$1001,"Keluar",MUTASI!$F$2:$F$1001,"Paroki lain dalam keuskupan",MUTASI!$E$2:$E$1001,"&gt;="&amp;DATE(2026,1,1),MUTASI!$E$2:$E$1001,"&lt;="&amp;DATE(2026,12,31)))</f>
        <v/>
      </c>
      <c r="J68" s="19">
        <f>IF($A68="","",COUNTIFS(MUTASI!$C$2:$C$1001,$A68,MUTASI!$D$2:$D$1001,"Keluar",MUTASI!$F$2:$F$1001,"Keuskupan lain",MUTASI!$E$2:$E$1001,"&gt;="&amp;DATE(2026,1,1),MUTASI!$E$2:$E$1001,"&lt;="&amp;DATE(2026,12,31)))</f>
        <v/>
      </c>
      <c r="K68" s="19">
        <f>IF($A68="","",COUNTIFS('PINDAH AGAMA'!$C$2:$C$1001,$A68,'PINDAH AGAMA'!$D$2:$D$1001,"&gt;="&amp;DATE(2026,1,1),'PINDAH AGAMA'!$D$2:$D$1001,"&lt;="&amp;DATE(2026,12,31)))</f>
        <v/>
      </c>
      <c r="L68" s="19">
        <f>IF($A68="","",D68+E68+F68+G68-H68-I68-J68-K68)</f>
        <v/>
      </c>
      <c r="M68" s="19">
        <f>IF($A68="","",COUNTIFS('KOMUNI PERTAMA'!$C$2:$C$1001,$A68,'KOMUNI PERTAMA'!$E$2:$E$1001,"&gt;="&amp;DATE(2026,1,1),'KOMUNI PERTAMA'!$E$2:$E$1001,"&lt;="&amp;DATE(2026,12,31)))</f>
        <v/>
      </c>
      <c r="N68" s="19">
        <f>IF($A68="","",COUNTIFS('PERKAWINAN GEREJANI'!$C$2:$C$1001,$A68,'PERKAWINAN GEREJANI'!$D$2:$D$1001,"&gt;="&amp;DATE(2026,1,1),'PERKAWINAN GEREJANI'!$D$2:$D$1001,"&lt;="&amp;DATE(2026,12,31)))</f>
        <v/>
      </c>
      <c r="O68" s="19">
        <f>IF($A68="","",COUNTIFS(PEMBUBARAN!$C$2:$C$1001,$A68,PEMBUBARAN!$D$2:$D$1001,"&gt;="&amp;DATE(2026,1,1),PEMBUBARAN!$D$2:$D$1001,"&lt;="&amp;DATE(2026,12,31)))</f>
        <v/>
      </c>
      <c r="P68" s="19">
        <f>IF($A68="","",COUNTIFS('PERMINYAKAN SUCI'!$C$2:$C$1001,$A68,'PERMINYAKAN SUCI'!$E$2:$E$1001,"&gt;="&amp;DATE(2026,1,1),'PERMINYAKAN SUCI'!$E$2:$E$1001,"&lt;="&amp;DATE(2026,12,31)))</f>
        <v/>
      </c>
      <c r="Q68" s="19">
        <f>IF($A68="","",H68)</f>
        <v/>
      </c>
      <c r="R68" s="19">
        <f>IF($A68="","",COUNTIFS('SEMINARI BIARA'!$C$2:$C$1001,$A68,'SEMINARI BIARA'!$F$2:$F$1001,"Mulai masuk 2026",'SEMINARI BIARA'!$G$2:$G$1001,"&gt;="&amp;DATE(2026,1,1),'SEMINARI BIARA'!$G$2:$G$1001,"&lt;="&amp;DATE(2026,12,31)))</f>
        <v/>
      </c>
      <c r="S68" s="19">
        <f>IF($A68="","",COUNTIFS('SEMINARI BIARA'!$C$2:$C$1001,$A68,'SEMINARI BIARA'!$F$2:$F$1001,"Sedang belajar 2026"))</f>
        <v/>
      </c>
    </row>
    <row r="69" ht="14.25" customHeight="1" s="37">
      <c r="A69" s="18" t="n"/>
      <c r="B69" s="19">
        <f>IF($A69="","",COUNTIF('DATA KK'!$E$2:$E$501,$A69))</f>
        <v/>
      </c>
      <c r="C69" s="19">
        <f>IF($A69="","",COUNTIF('DATA UMAT'!$H$2:$H$2001,$A69))</f>
        <v/>
      </c>
      <c r="D69" s="19">
        <f>IF($A69="","",COUNTIFS(BAPTIS!$C$2:$C$1001,$A69,BAPTIS!$F$2:$F$1001,"&gt;="&amp;DATE(2026,1,1),BAPTIS!$F$2:$F$1001,"&lt;="&amp;DATE(2026,12,31)))</f>
        <v/>
      </c>
      <c r="E69" s="19">
        <f>IF($A69="","",COUNTIFS('DITERIMA MASUK'!$C$2:$C$1001,$A69,'DITERIMA MASUK'!$D$2:$D$1001,"&gt;="&amp;DATE(2026,1,1),'DITERIMA MASUK'!$D$2:$D$1001,"&lt;="&amp;DATE(2026,12,31)))</f>
        <v/>
      </c>
      <c r="F69" s="19">
        <f>IF($A69="","",COUNTIFS(MUTASI!$C$2:$C$1001,$A69,MUTASI!$D$2:$D$1001,"Masuk",MUTASI!$F$2:$F$1001,"Paroki lain dalam keuskupan",MUTASI!$E$2:$E$1001,"&gt;="&amp;DATE(2026,1,1),MUTASI!$E$2:$E$1001,"&lt;="&amp;DATE(2026,12,31)))</f>
        <v/>
      </c>
      <c r="G69" s="19">
        <f>IF($A69="","",COUNTIFS(MUTASI!$C$2:$C$1001,$A69,MUTASI!$D$2:$D$1001,"Masuk",MUTASI!$F$2:$F$1001,"Keuskupan lain",MUTASI!$E$2:$E$1001,"&gt;="&amp;DATE(2026,1,1),MUTASI!$E$2:$E$1001,"&lt;="&amp;DATE(2026,12,31)))</f>
        <v/>
      </c>
      <c r="H69" s="19">
        <f>IF($A69="","",COUNTIFS(KEMATIAN!$C$2:$C$1001,$A69,KEMATIAN!$F$2:$F$1001,"&gt;="&amp;DATE(2026,1,1),KEMATIAN!$F$2:$F$1001,"&lt;="&amp;DATE(2026,12,31)))</f>
        <v/>
      </c>
      <c r="I69" s="19">
        <f>IF($A69="","",COUNTIFS(MUTASI!$C$2:$C$1001,$A69,MUTASI!$D$2:$D$1001,"Keluar",MUTASI!$F$2:$F$1001,"Paroki lain dalam keuskupan",MUTASI!$E$2:$E$1001,"&gt;="&amp;DATE(2026,1,1),MUTASI!$E$2:$E$1001,"&lt;="&amp;DATE(2026,12,31)))</f>
        <v/>
      </c>
      <c r="J69" s="19">
        <f>IF($A69="","",COUNTIFS(MUTASI!$C$2:$C$1001,$A69,MUTASI!$D$2:$D$1001,"Keluar",MUTASI!$F$2:$F$1001,"Keuskupan lain",MUTASI!$E$2:$E$1001,"&gt;="&amp;DATE(2026,1,1),MUTASI!$E$2:$E$1001,"&lt;="&amp;DATE(2026,12,31)))</f>
        <v/>
      </c>
      <c r="K69" s="19">
        <f>IF($A69="","",COUNTIFS('PINDAH AGAMA'!$C$2:$C$1001,$A69,'PINDAH AGAMA'!$D$2:$D$1001,"&gt;="&amp;DATE(2026,1,1),'PINDAH AGAMA'!$D$2:$D$1001,"&lt;="&amp;DATE(2026,12,31)))</f>
        <v/>
      </c>
      <c r="L69" s="19">
        <f>IF($A69="","",D69+E69+F69+G69-H69-I69-J69-K69)</f>
        <v/>
      </c>
      <c r="M69" s="19">
        <f>IF($A69="","",COUNTIFS('KOMUNI PERTAMA'!$C$2:$C$1001,$A69,'KOMUNI PERTAMA'!$E$2:$E$1001,"&gt;="&amp;DATE(2026,1,1),'KOMUNI PERTAMA'!$E$2:$E$1001,"&lt;="&amp;DATE(2026,12,31)))</f>
        <v/>
      </c>
      <c r="N69" s="19">
        <f>IF($A69="","",COUNTIFS('PERKAWINAN GEREJANI'!$C$2:$C$1001,$A69,'PERKAWINAN GEREJANI'!$D$2:$D$1001,"&gt;="&amp;DATE(2026,1,1),'PERKAWINAN GEREJANI'!$D$2:$D$1001,"&lt;="&amp;DATE(2026,12,31)))</f>
        <v/>
      </c>
      <c r="O69" s="19">
        <f>IF($A69="","",COUNTIFS(PEMBUBARAN!$C$2:$C$1001,$A69,PEMBUBARAN!$D$2:$D$1001,"&gt;="&amp;DATE(2026,1,1),PEMBUBARAN!$D$2:$D$1001,"&lt;="&amp;DATE(2026,12,31)))</f>
        <v/>
      </c>
      <c r="P69" s="19">
        <f>IF($A69="","",COUNTIFS('PERMINYAKAN SUCI'!$C$2:$C$1001,$A69,'PERMINYAKAN SUCI'!$E$2:$E$1001,"&gt;="&amp;DATE(2026,1,1),'PERMINYAKAN SUCI'!$E$2:$E$1001,"&lt;="&amp;DATE(2026,12,31)))</f>
        <v/>
      </c>
      <c r="Q69" s="19">
        <f>IF($A69="","",H69)</f>
        <v/>
      </c>
      <c r="R69" s="19">
        <f>IF($A69="","",COUNTIFS('SEMINARI BIARA'!$C$2:$C$1001,$A69,'SEMINARI BIARA'!$F$2:$F$1001,"Mulai masuk 2026",'SEMINARI BIARA'!$G$2:$G$1001,"&gt;="&amp;DATE(2026,1,1),'SEMINARI BIARA'!$G$2:$G$1001,"&lt;="&amp;DATE(2026,12,31)))</f>
        <v/>
      </c>
      <c r="S69" s="19">
        <f>IF($A69="","",COUNTIFS('SEMINARI BIARA'!$C$2:$C$1001,$A69,'SEMINARI BIARA'!$F$2:$F$1001,"Sedang belajar 2026"))</f>
        <v/>
      </c>
    </row>
    <row r="70" ht="14.25" customHeight="1" s="37">
      <c r="A70" s="18" t="n"/>
      <c r="B70" s="19">
        <f>IF($A70="","",COUNTIF('DATA KK'!$E$2:$E$501,$A70))</f>
        <v/>
      </c>
      <c r="C70" s="19">
        <f>IF($A70="","",COUNTIF('DATA UMAT'!$H$2:$H$2001,$A70))</f>
        <v/>
      </c>
      <c r="D70" s="19">
        <f>IF($A70="","",COUNTIFS(BAPTIS!$C$2:$C$1001,$A70,BAPTIS!$F$2:$F$1001,"&gt;="&amp;DATE(2026,1,1),BAPTIS!$F$2:$F$1001,"&lt;="&amp;DATE(2026,12,31)))</f>
        <v/>
      </c>
      <c r="E70" s="19">
        <f>IF($A70="","",COUNTIFS('DITERIMA MASUK'!$C$2:$C$1001,$A70,'DITERIMA MASUK'!$D$2:$D$1001,"&gt;="&amp;DATE(2026,1,1),'DITERIMA MASUK'!$D$2:$D$1001,"&lt;="&amp;DATE(2026,12,31)))</f>
        <v/>
      </c>
      <c r="F70" s="19">
        <f>IF($A70="","",COUNTIFS(MUTASI!$C$2:$C$1001,$A70,MUTASI!$D$2:$D$1001,"Masuk",MUTASI!$F$2:$F$1001,"Paroki lain dalam keuskupan",MUTASI!$E$2:$E$1001,"&gt;="&amp;DATE(2026,1,1),MUTASI!$E$2:$E$1001,"&lt;="&amp;DATE(2026,12,31)))</f>
        <v/>
      </c>
      <c r="G70" s="19">
        <f>IF($A70="","",COUNTIFS(MUTASI!$C$2:$C$1001,$A70,MUTASI!$D$2:$D$1001,"Masuk",MUTASI!$F$2:$F$1001,"Keuskupan lain",MUTASI!$E$2:$E$1001,"&gt;="&amp;DATE(2026,1,1),MUTASI!$E$2:$E$1001,"&lt;="&amp;DATE(2026,12,31)))</f>
        <v/>
      </c>
      <c r="H70" s="19">
        <f>IF($A70="","",COUNTIFS(KEMATIAN!$C$2:$C$1001,$A70,KEMATIAN!$F$2:$F$1001,"&gt;="&amp;DATE(2026,1,1),KEMATIAN!$F$2:$F$1001,"&lt;="&amp;DATE(2026,12,31)))</f>
        <v/>
      </c>
      <c r="I70" s="19">
        <f>IF($A70="","",COUNTIFS(MUTASI!$C$2:$C$1001,$A70,MUTASI!$D$2:$D$1001,"Keluar",MUTASI!$F$2:$F$1001,"Paroki lain dalam keuskupan",MUTASI!$E$2:$E$1001,"&gt;="&amp;DATE(2026,1,1),MUTASI!$E$2:$E$1001,"&lt;="&amp;DATE(2026,12,31)))</f>
        <v/>
      </c>
      <c r="J70" s="19">
        <f>IF($A70="","",COUNTIFS(MUTASI!$C$2:$C$1001,$A70,MUTASI!$D$2:$D$1001,"Keluar",MUTASI!$F$2:$F$1001,"Keuskupan lain",MUTASI!$E$2:$E$1001,"&gt;="&amp;DATE(2026,1,1),MUTASI!$E$2:$E$1001,"&lt;="&amp;DATE(2026,12,31)))</f>
        <v/>
      </c>
      <c r="K70" s="19">
        <f>IF($A70="","",COUNTIFS('PINDAH AGAMA'!$C$2:$C$1001,$A70,'PINDAH AGAMA'!$D$2:$D$1001,"&gt;="&amp;DATE(2026,1,1),'PINDAH AGAMA'!$D$2:$D$1001,"&lt;="&amp;DATE(2026,12,31)))</f>
        <v/>
      </c>
      <c r="L70" s="19">
        <f>IF($A70="","",D70+E70+F70+G70-H70-I70-J70-K70)</f>
        <v/>
      </c>
      <c r="M70" s="19">
        <f>IF($A70="","",COUNTIFS('KOMUNI PERTAMA'!$C$2:$C$1001,$A70,'KOMUNI PERTAMA'!$E$2:$E$1001,"&gt;="&amp;DATE(2026,1,1),'KOMUNI PERTAMA'!$E$2:$E$1001,"&lt;="&amp;DATE(2026,12,31)))</f>
        <v/>
      </c>
      <c r="N70" s="19">
        <f>IF($A70="","",COUNTIFS('PERKAWINAN GEREJANI'!$C$2:$C$1001,$A70,'PERKAWINAN GEREJANI'!$D$2:$D$1001,"&gt;="&amp;DATE(2026,1,1),'PERKAWINAN GEREJANI'!$D$2:$D$1001,"&lt;="&amp;DATE(2026,12,31)))</f>
        <v/>
      </c>
      <c r="O70" s="19">
        <f>IF($A70="","",COUNTIFS(PEMBUBARAN!$C$2:$C$1001,$A70,PEMBUBARAN!$D$2:$D$1001,"&gt;="&amp;DATE(2026,1,1),PEMBUBARAN!$D$2:$D$1001,"&lt;="&amp;DATE(2026,12,31)))</f>
        <v/>
      </c>
      <c r="P70" s="19">
        <f>IF($A70="","",COUNTIFS('PERMINYAKAN SUCI'!$C$2:$C$1001,$A70,'PERMINYAKAN SUCI'!$E$2:$E$1001,"&gt;="&amp;DATE(2026,1,1),'PERMINYAKAN SUCI'!$E$2:$E$1001,"&lt;="&amp;DATE(2026,12,31)))</f>
        <v/>
      </c>
      <c r="Q70" s="19">
        <f>IF($A70="","",H70)</f>
        <v/>
      </c>
      <c r="R70" s="19">
        <f>IF($A70="","",COUNTIFS('SEMINARI BIARA'!$C$2:$C$1001,$A70,'SEMINARI BIARA'!$F$2:$F$1001,"Mulai masuk 2026",'SEMINARI BIARA'!$G$2:$G$1001,"&gt;="&amp;DATE(2026,1,1),'SEMINARI BIARA'!$G$2:$G$1001,"&lt;="&amp;DATE(2026,12,31)))</f>
        <v/>
      </c>
      <c r="S70" s="19">
        <f>IF($A70="","",COUNTIFS('SEMINARI BIARA'!$C$2:$C$1001,$A70,'SEMINARI BIARA'!$F$2:$F$1001,"Sedang belajar 2026"))</f>
        <v/>
      </c>
    </row>
    <row r="71" ht="14.25" customHeight="1" s="37">
      <c r="A71" s="18" t="n"/>
      <c r="B71" s="19">
        <f>IF($A71="","",COUNTIF('DATA KK'!$E$2:$E$501,$A71))</f>
        <v/>
      </c>
      <c r="C71" s="19">
        <f>IF($A71="","",COUNTIF('DATA UMAT'!$H$2:$H$2001,$A71))</f>
        <v/>
      </c>
      <c r="D71" s="19">
        <f>IF($A71="","",COUNTIFS(BAPTIS!$C$2:$C$1001,$A71,BAPTIS!$F$2:$F$1001,"&gt;="&amp;DATE(2026,1,1),BAPTIS!$F$2:$F$1001,"&lt;="&amp;DATE(2026,12,31)))</f>
        <v/>
      </c>
      <c r="E71" s="19">
        <f>IF($A71="","",COUNTIFS('DITERIMA MASUK'!$C$2:$C$1001,$A71,'DITERIMA MASUK'!$D$2:$D$1001,"&gt;="&amp;DATE(2026,1,1),'DITERIMA MASUK'!$D$2:$D$1001,"&lt;="&amp;DATE(2026,12,31)))</f>
        <v/>
      </c>
      <c r="F71" s="19">
        <f>IF($A71="","",COUNTIFS(MUTASI!$C$2:$C$1001,$A71,MUTASI!$D$2:$D$1001,"Masuk",MUTASI!$F$2:$F$1001,"Paroki lain dalam keuskupan",MUTASI!$E$2:$E$1001,"&gt;="&amp;DATE(2026,1,1),MUTASI!$E$2:$E$1001,"&lt;="&amp;DATE(2026,12,31)))</f>
        <v/>
      </c>
      <c r="G71" s="19">
        <f>IF($A71="","",COUNTIFS(MUTASI!$C$2:$C$1001,$A71,MUTASI!$D$2:$D$1001,"Masuk",MUTASI!$F$2:$F$1001,"Keuskupan lain",MUTASI!$E$2:$E$1001,"&gt;="&amp;DATE(2026,1,1),MUTASI!$E$2:$E$1001,"&lt;="&amp;DATE(2026,12,31)))</f>
        <v/>
      </c>
      <c r="H71" s="19">
        <f>IF($A71="","",COUNTIFS(KEMATIAN!$C$2:$C$1001,$A71,KEMATIAN!$F$2:$F$1001,"&gt;="&amp;DATE(2026,1,1),KEMATIAN!$F$2:$F$1001,"&lt;="&amp;DATE(2026,12,31)))</f>
        <v/>
      </c>
      <c r="I71" s="19">
        <f>IF($A71="","",COUNTIFS(MUTASI!$C$2:$C$1001,$A71,MUTASI!$D$2:$D$1001,"Keluar",MUTASI!$F$2:$F$1001,"Paroki lain dalam keuskupan",MUTASI!$E$2:$E$1001,"&gt;="&amp;DATE(2026,1,1),MUTASI!$E$2:$E$1001,"&lt;="&amp;DATE(2026,12,31)))</f>
        <v/>
      </c>
      <c r="J71" s="19">
        <f>IF($A71="","",COUNTIFS(MUTASI!$C$2:$C$1001,$A71,MUTASI!$D$2:$D$1001,"Keluar",MUTASI!$F$2:$F$1001,"Keuskupan lain",MUTASI!$E$2:$E$1001,"&gt;="&amp;DATE(2026,1,1),MUTASI!$E$2:$E$1001,"&lt;="&amp;DATE(2026,12,31)))</f>
        <v/>
      </c>
      <c r="K71" s="19">
        <f>IF($A71="","",COUNTIFS('PINDAH AGAMA'!$C$2:$C$1001,$A71,'PINDAH AGAMA'!$D$2:$D$1001,"&gt;="&amp;DATE(2026,1,1),'PINDAH AGAMA'!$D$2:$D$1001,"&lt;="&amp;DATE(2026,12,31)))</f>
        <v/>
      </c>
      <c r="L71" s="19">
        <f>IF($A71="","",D71+E71+F71+G71-H71-I71-J71-K71)</f>
        <v/>
      </c>
      <c r="M71" s="19">
        <f>IF($A71="","",COUNTIFS('KOMUNI PERTAMA'!$C$2:$C$1001,$A71,'KOMUNI PERTAMA'!$E$2:$E$1001,"&gt;="&amp;DATE(2026,1,1),'KOMUNI PERTAMA'!$E$2:$E$1001,"&lt;="&amp;DATE(2026,12,31)))</f>
        <v/>
      </c>
      <c r="N71" s="19">
        <f>IF($A71="","",COUNTIFS('PERKAWINAN GEREJANI'!$C$2:$C$1001,$A71,'PERKAWINAN GEREJANI'!$D$2:$D$1001,"&gt;="&amp;DATE(2026,1,1),'PERKAWINAN GEREJANI'!$D$2:$D$1001,"&lt;="&amp;DATE(2026,12,31)))</f>
        <v/>
      </c>
      <c r="O71" s="19">
        <f>IF($A71="","",COUNTIFS(PEMBUBARAN!$C$2:$C$1001,$A71,PEMBUBARAN!$D$2:$D$1001,"&gt;="&amp;DATE(2026,1,1),PEMBUBARAN!$D$2:$D$1001,"&lt;="&amp;DATE(2026,12,31)))</f>
        <v/>
      </c>
      <c r="P71" s="19">
        <f>IF($A71="","",COUNTIFS('PERMINYAKAN SUCI'!$C$2:$C$1001,$A71,'PERMINYAKAN SUCI'!$E$2:$E$1001,"&gt;="&amp;DATE(2026,1,1),'PERMINYAKAN SUCI'!$E$2:$E$1001,"&lt;="&amp;DATE(2026,12,31)))</f>
        <v/>
      </c>
      <c r="Q71" s="19">
        <f>IF($A71="","",H71)</f>
        <v/>
      </c>
      <c r="R71" s="19">
        <f>IF($A71="","",COUNTIFS('SEMINARI BIARA'!$C$2:$C$1001,$A71,'SEMINARI BIARA'!$F$2:$F$1001,"Mulai masuk 2026",'SEMINARI BIARA'!$G$2:$G$1001,"&gt;="&amp;DATE(2026,1,1),'SEMINARI BIARA'!$G$2:$G$1001,"&lt;="&amp;DATE(2026,12,31)))</f>
        <v/>
      </c>
      <c r="S71" s="19">
        <f>IF($A71="","",COUNTIFS('SEMINARI BIARA'!$C$2:$C$1001,$A71,'SEMINARI BIARA'!$F$2:$F$1001,"Sedang belajar 2026"))</f>
        <v/>
      </c>
    </row>
    <row r="72" ht="14.25" customHeight="1" s="37">
      <c r="A72" s="18" t="n"/>
      <c r="B72" s="19">
        <f>IF($A72="","",COUNTIF('DATA KK'!$E$2:$E$501,$A72))</f>
        <v/>
      </c>
      <c r="C72" s="19">
        <f>IF($A72="","",COUNTIF('DATA UMAT'!$H$2:$H$2001,$A72))</f>
        <v/>
      </c>
      <c r="D72" s="19">
        <f>IF($A72="","",COUNTIFS(BAPTIS!$C$2:$C$1001,$A72,BAPTIS!$F$2:$F$1001,"&gt;="&amp;DATE(2026,1,1),BAPTIS!$F$2:$F$1001,"&lt;="&amp;DATE(2026,12,31)))</f>
        <v/>
      </c>
      <c r="E72" s="19">
        <f>IF($A72="","",COUNTIFS('DITERIMA MASUK'!$C$2:$C$1001,$A72,'DITERIMA MASUK'!$D$2:$D$1001,"&gt;="&amp;DATE(2026,1,1),'DITERIMA MASUK'!$D$2:$D$1001,"&lt;="&amp;DATE(2026,12,31)))</f>
        <v/>
      </c>
      <c r="F72" s="19">
        <f>IF($A72="","",COUNTIFS(MUTASI!$C$2:$C$1001,$A72,MUTASI!$D$2:$D$1001,"Masuk",MUTASI!$F$2:$F$1001,"Paroki lain dalam keuskupan",MUTASI!$E$2:$E$1001,"&gt;="&amp;DATE(2026,1,1),MUTASI!$E$2:$E$1001,"&lt;="&amp;DATE(2026,12,31)))</f>
        <v/>
      </c>
      <c r="G72" s="19">
        <f>IF($A72="","",COUNTIFS(MUTASI!$C$2:$C$1001,$A72,MUTASI!$D$2:$D$1001,"Masuk",MUTASI!$F$2:$F$1001,"Keuskupan lain",MUTASI!$E$2:$E$1001,"&gt;="&amp;DATE(2026,1,1),MUTASI!$E$2:$E$1001,"&lt;="&amp;DATE(2026,12,31)))</f>
        <v/>
      </c>
      <c r="H72" s="19">
        <f>IF($A72="","",COUNTIFS(KEMATIAN!$C$2:$C$1001,$A72,KEMATIAN!$F$2:$F$1001,"&gt;="&amp;DATE(2026,1,1),KEMATIAN!$F$2:$F$1001,"&lt;="&amp;DATE(2026,12,31)))</f>
        <v/>
      </c>
      <c r="I72" s="19">
        <f>IF($A72="","",COUNTIFS(MUTASI!$C$2:$C$1001,$A72,MUTASI!$D$2:$D$1001,"Keluar",MUTASI!$F$2:$F$1001,"Paroki lain dalam keuskupan",MUTASI!$E$2:$E$1001,"&gt;="&amp;DATE(2026,1,1),MUTASI!$E$2:$E$1001,"&lt;="&amp;DATE(2026,12,31)))</f>
        <v/>
      </c>
      <c r="J72" s="19">
        <f>IF($A72="","",COUNTIFS(MUTASI!$C$2:$C$1001,$A72,MUTASI!$D$2:$D$1001,"Keluar",MUTASI!$F$2:$F$1001,"Keuskupan lain",MUTASI!$E$2:$E$1001,"&gt;="&amp;DATE(2026,1,1),MUTASI!$E$2:$E$1001,"&lt;="&amp;DATE(2026,12,31)))</f>
        <v/>
      </c>
      <c r="K72" s="19">
        <f>IF($A72="","",COUNTIFS('PINDAH AGAMA'!$C$2:$C$1001,$A72,'PINDAH AGAMA'!$D$2:$D$1001,"&gt;="&amp;DATE(2026,1,1),'PINDAH AGAMA'!$D$2:$D$1001,"&lt;="&amp;DATE(2026,12,31)))</f>
        <v/>
      </c>
      <c r="L72" s="19">
        <f>IF($A72="","",D72+E72+F72+G72-H72-I72-J72-K72)</f>
        <v/>
      </c>
      <c r="M72" s="19">
        <f>IF($A72="","",COUNTIFS('KOMUNI PERTAMA'!$C$2:$C$1001,$A72,'KOMUNI PERTAMA'!$E$2:$E$1001,"&gt;="&amp;DATE(2026,1,1),'KOMUNI PERTAMA'!$E$2:$E$1001,"&lt;="&amp;DATE(2026,12,31)))</f>
        <v/>
      </c>
      <c r="N72" s="19">
        <f>IF($A72="","",COUNTIFS('PERKAWINAN GEREJANI'!$C$2:$C$1001,$A72,'PERKAWINAN GEREJANI'!$D$2:$D$1001,"&gt;="&amp;DATE(2026,1,1),'PERKAWINAN GEREJANI'!$D$2:$D$1001,"&lt;="&amp;DATE(2026,12,31)))</f>
        <v/>
      </c>
      <c r="O72" s="19">
        <f>IF($A72="","",COUNTIFS(PEMBUBARAN!$C$2:$C$1001,$A72,PEMBUBARAN!$D$2:$D$1001,"&gt;="&amp;DATE(2026,1,1),PEMBUBARAN!$D$2:$D$1001,"&lt;="&amp;DATE(2026,12,31)))</f>
        <v/>
      </c>
      <c r="P72" s="19">
        <f>IF($A72="","",COUNTIFS('PERMINYAKAN SUCI'!$C$2:$C$1001,$A72,'PERMINYAKAN SUCI'!$E$2:$E$1001,"&gt;="&amp;DATE(2026,1,1),'PERMINYAKAN SUCI'!$E$2:$E$1001,"&lt;="&amp;DATE(2026,12,31)))</f>
        <v/>
      </c>
      <c r="Q72" s="19">
        <f>IF($A72="","",H72)</f>
        <v/>
      </c>
      <c r="R72" s="19">
        <f>IF($A72="","",COUNTIFS('SEMINARI BIARA'!$C$2:$C$1001,$A72,'SEMINARI BIARA'!$F$2:$F$1001,"Mulai masuk 2026",'SEMINARI BIARA'!$G$2:$G$1001,"&gt;="&amp;DATE(2026,1,1),'SEMINARI BIARA'!$G$2:$G$1001,"&lt;="&amp;DATE(2026,12,31)))</f>
        <v/>
      </c>
      <c r="S72" s="19">
        <f>IF($A72="","",COUNTIFS('SEMINARI BIARA'!$C$2:$C$1001,$A72,'SEMINARI BIARA'!$F$2:$F$1001,"Sedang belajar 2026"))</f>
        <v/>
      </c>
    </row>
    <row r="73" ht="14.25" customHeight="1" s="37">
      <c r="A73" s="18" t="n"/>
      <c r="B73" s="19">
        <f>IF($A73="","",COUNTIF('DATA KK'!$E$2:$E$501,$A73))</f>
        <v/>
      </c>
      <c r="C73" s="19">
        <f>IF($A73="","",COUNTIF('DATA UMAT'!$H$2:$H$2001,$A73))</f>
        <v/>
      </c>
      <c r="D73" s="19">
        <f>IF($A73="","",COUNTIFS(BAPTIS!$C$2:$C$1001,$A73,BAPTIS!$F$2:$F$1001,"&gt;="&amp;DATE(2026,1,1),BAPTIS!$F$2:$F$1001,"&lt;="&amp;DATE(2026,12,31)))</f>
        <v/>
      </c>
      <c r="E73" s="19">
        <f>IF($A73="","",COUNTIFS('DITERIMA MASUK'!$C$2:$C$1001,$A73,'DITERIMA MASUK'!$D$2:$D$1001,"&gt;="&amp;DATE(2026,1,1),'DITERIMA MASUK'!$D$2:$D$1001,"&lt;="&amp;DATE(2026,12,31)))</f>
        <v/>
      </c>
      <c r="F73" s="19">
        <f>IF($A73="","",COUNTIFS(MUTASI!$C$2:$C$1001,$A73,MUTASI!$D$2:$D$1001,"Masuk",MUTASI!$F$2:$F$1001,"Paroki lain dalam keuskupan",MUTASI!$E$2:$E$1001,"&gt;="&amp;DATE(2026,1,1),MUTASI!$E$2:$E$1001,"&lt;="&amp;DATE(2026,12,31)))</f>
        <v/>
      </c>
      <c r="G73" s="19">
        <f>IF($A73="","",COUNTIFS(MUTASI!$C$2:$C$1001,$A73,MUTASI!$D$2:$D$1001,"Masuk",MUTASI!$F$2:$F$1001,"Keuskupan lain",MUTASI!$E$2:$E$1001,"&gt;="&amp;DATE(2026,1,1),MUTASI!$E$2:$E$1001,"&lt;="&amp;DATE(2026,12,31)))</f>
        <v/>
      </c>
      <c r="H73" s="19">
        <f>IF($A73="","",COUNTIFS(KEMATIAN!$C$2:$C$1001,$A73,KEMATIAN!$F$2:$F$1001,"&gt;="&amp;DATE(2026,1,1),KEMATIAN!$F$2:$F$1001,"&lt;="&amp;DATE(2026,12,31)))</f>
        <v/>
      </c>
      <c r="I73" s="19">
        <f>IF($A73="","",COUNTIFS(MUTASI!$C$2:$C$1001,$A73,MUTASI!$D$2:$D$1001,"Keluar",MUTASI!$F$2:$F$1001,"Paroki lain dalam keuskupan",MUTASI!$E$2:$E$1001,"&gt;="&amp;DATE(2026,1,1),MUTASI!$E$2:$E$1001,"&lt;="&amp;DATE(2026,12,31)))</f>
        <v/>
      </c>
      <c r="J73" s="19">
        <f>IF($A73="","",COUNTIFS(MUTASI!$C$2:$C$1001,$A73,MUTASI!$D$2:$D$1001,"Keluar",MUTASI!$F$2:$F$1001,"Keuskupan lain",MUTASI!$E$2:$E$1001,"&gt;="&amp;DATE(2026,1,1),MUTASI!$E$2:$E$1001,"&lt;="&amp;DATE(2026,12,31)))</f>
        <v/>
      </c>
      <c r="K73" s="19">
        <f>IF($A73="","",COUNTIFS('PINDAH AGAMA'!$C$2:$C$1001,$A73,'PINDAH AGAMA'!$D$2:$D$1001,"&gt;="&amp;DATE(2026,1,1),'PINDAH AGAMA'!$D$2:$D$1001,"&lt;="&amp;DATE(2026,12,31)))</f>
        <v/>
      </c>
      <c r="L73" s="19">
        <f>IF($A73="","",D73+E73+F73+G73-H73-I73-J73-K73)</f>
        <v/>
      </c>
      <c r="M73" s="19">
        <f>IF($A73="","",COUNTIFS('KOMUNI PERTAMA'!$C$2:$C$1001,$A73,'KOMUNI PERTAMA'!$E$2:$E$1001,"&gt;="&amp;DATE(2026,1,1),'KOMUNI PERTAMA'!$E$2:$E$1001,"&lt;="&amp;DATE(2026,12,31)))</f>
        <v/>
      </c>
      <c r="N73" s="19">
        <f>IF($A73="","",COUNTIFS('PERKAWINAN GEREJANI'!$C$2:$C$1001,$A73,'PERKAWINAN GEREJANI'!$D$2:$D$1001,"&gt;="&amp;DATE(2026,1,1),'PERKAWINAN GEREJANI'!$D$2:$D$1001,"&lt;="&amp;DATE(2026,12,31)))</f>
        <v/>
      </c>
      <c r="O73" s="19">
        <f>IF($A73="","",COUNTIFS(PEMBUBARAN!$C$2:$C$1001,$A73,PEMBUBARAN!$D$2:$D$1001,"&gt;="&amp;DATE(2026,1,1),PEMBUBARAN!$D$2:$D$1001,"&lt;="&amp;DATE(2026,12,31)))</f>
        <v/>
      </c>
      <c r="P73" s="19">
        <f>IF($A73="","",COUNTIFS('PERMINYAKAN SUCI'!$C$2:$C$1001,$A73,'PERMINYAKAN SUCI'!$E$2:$E$1001,"&gt;="&amp;DATE(2026,1,1),'PERMINYAKAN SUCI'!$E$2:$E$1001,"&lt;="&amp;DATE(2026,12,31)))</f>
        <v/>
      </c>
      <c r="Q73" s="19">
        <f>IF($A73="","",H73)</f>
        <v/>
      </c>
      <c r="R73" s="19">
        <f>IF($A73="","",COUNTIFS('SEMINARI BIARA'!$C$2:$C$1001,$A73,'SEMINARI BIARA'!$F$2:$F$1001,"Mulai masuk 2026",'SEMINARI BIARA'!$G$2:$G$1001,"&gt;="&amp;DATE(2026,1,1),'SEMINARI BIARA'!$G$2:$G$1001,"&lt;="&amp;DATE(2026,12,31)))</f>
        <v/>
      </c>
      <c r="S73" s="19">
        <f>IF($A73="","",COUNTIFS('SEMINARI BIARA'!$C$2:$C$1001,$A73,'SEMINARI BIARA'!$F$2:$F$1001,"Sedang belajar 2026"))</f>
        <v/>
      </c>
    </row>
    <row r="74" ht="14.25" customHeight="1" s="37">
      <c r="A74" s="18" t="n"/>
      <c r="B74" s="19">
        <f>IF($A74="","",COUNTIF('DATA KK'!$E$2:$E$501,$A74))</f>
        <v/>
      </c>
      <c r="C74" s="19">
        <f>IF($A74="","",COUNTIF('DATA UMAT'!$H$2:$H$2001,$A74))</f>
        <v/>
      </c>
      <c r="D74" s="19">
        <f>IF($A74="","",COUNTIFS(BAPTIS!$C$2:$C$1001,$A74,BAPTIS!$F$2:$F$1001,"&gt;="&amp;DATE(2026,1,1),BAPTIS!$F$2:$F$1001,"&lt;="&amp;DATE(2026,12,31)))</f>
        <v/>
      </c>
      <c r="E74" s="19">
        <f>IF($A74="","",COUNTIFS('DITERIMA MASUK'!$C$2:$C$1001,$A74,'DITERIMA MASUK'!$D$2:$D$1001,"&gt;="&amp;DATE(2026,1,1),'DITERIMA MASUK'!$D$2:$D$1001,"&lt;="&amp;DATE(2026,12,31)))</f>
        <v/>
      </c>
      <c r="F74" s="19">
        <f>IF($A74="","",COUNTIFS(MUTASI!$C$2:$C$1001,$A74,MUTASI!$D$2:$D$1001,"Masuk",MUTASI!$F$2:$F$1001,"Paroki lain dalam keuskupan",MUTASI!$E$2:$E$1001,"&gt;="&amp;DATE(2026,1,1),MUTASI!$E$2:$E$1001,"&lt;="&amp;DATE(2026,12,31)))</f>
        <v/>
      </c>
      <c r="G74" s="19">
        <f>IF($A74="","",COUNTIFS(MUTASI!$C$2:$C$1001,$A74,MUTASI!$D$2:$D$1001,"Masuk",MUTASI!$F$2:$F$1001,"Keuskupan lain",MUTASI!$E$2:$E$1001,"&gt;="&amp;DATE(2026,1,1),MUTASI!$E$2:$E$1001,"&lt;="&amp;DATE(2026,12,31)))</f>
        <v/>
      </c>
      <c r="H74" s="19">
        <f>IF($A74="","",COUNTIFS(KEMATIAN!$C$2:$C$1001,$A74,KEMATIAN!$F$2:$F$1001,"&gt;="&amp;DATE(2026,1,1),KEMATIAN!$F$2:$F$1001,"&lt;="&amp;DATE(2026,12,31)))</f>
        <v/>
      </c>
      <c r="I74" s="19">
        <f>IF($A74="","",COUNTIFS(MUTASI!$C$2:$C$1001,$A74,MUTASI!$D$2:$D$1001,"Keluar",MUTASI!$F$2:$F$1001,"Paroki lain dalam keuskupan",MUTASI!$E$2:$E$1001,"&gt;="&amp;DATE(2026,1,1),MUTASI!$E$2:$E$1001,"&lt;="&amp;DATE(2026,12,31)))</f>
        <v/>
      </c>
      <c r="J74" s="19">
        <f>IF($A74="","",COUNTIFS(MUTASI!$C$2:$C$1001,$A74,MUTASI!$D$2:$D$1001,"Keluar",MUTASI!$F$2:$F$1001,"Keuskupan lain",MUTASI!$E$2:$E$1001,"&gt;="&amp;DATE(2026,1,1),MUTASI!$E$2:$E$1001,"&lt;="&amp;DATE(2026,12,31)))</f>
        <v/>
      </c>
      <c r="K74" s="19">
        <f>IF($A74="","",COUNTIFS('PINDAH AGAMA'!$C$2:$C$1001,$A74,'PINDAH AGAMA'!$D$2:$D$1001,"&gt;="&amp;DATE(2026,1,1),'PINDAH AGAMA'!$D$2:$D$1001,"&lt;="&amp;DATE(2026,12,31)))</f>
        <v/>
      </c>
      <c r="L74" s="19">
        <f>IF($A74="","",D74+E74+F74+G74-H74-I74-J74-K74)</f>
        <v/>
      </c>
      <c r="M74" s="19">
        <f>IF($A74="","",COUNTIFS('KOMUNI PERTAMA'!$C$2:$C$1001,$A74,'KOMUNI PERTAMA'!$E$2:$E$1001,"&gt;="&amp;DATE(2026,1,1),'KOMUNI PERTAMA'!$E$2:$E$1001,"&lt;="&amp;DATE(2026,12,31)))</f>
        <v/>
      </c>
      <c r="N74" s="19">
        <f>IF($A74="","",COUNTIFS('PERKAWINAN GEREJANI'!$C$2:$C$1001,$A74,'PERKAWINAN GEREJANI'!$D$2:$D$1001,"&gt;="&amp;DATE(2026,1,1),'PERKAWINAN GEREJANI'!$D$2:$D$1001,"&lt;="&amp;DATE(2026,12,31)))</f>
        <v/>
      </c>
      <c r="O74" s="19">
        <f>IF($A74="","",COUNTIFS(PEMBUBARAN!$C$2:$C$1001,$A74,PEMBUBARAN!$D$2:$D$1001,"&gt;="&amp;DATE(2026,1,1),PEMBUBARAN!$D$2:$D$1001,"&lt;="&amp;DATE(2026,12,31)))</f>
        <v/>
      </c>
      <c r="P74" s="19">
        <f>IF($A74="","",COUNTIFS('PERMINYAKAN SUCI'!$C$2:$C$1001,$A74,'PERMINYAKAN SUCI'!$E$2:$E$1001,"&gt;="&amp;DATE(2026,1,1),'PERMINYAKAN SUCI'!$E$2:$E$1001,"&lt;="&amp;DATE(2026,12,31)))</f>
        <v/>
      </c>
      <c r="Q74" s="19">
        <f>IF($A74="","",H74)</f>
        <v/>
      </c>
      <c r="R74" s="19">
        <f>IF($A74="","",COUNTIFS('SEMINARI BIARA'!$C$2:$C$1001,$A74,'SEMINARI BIARA'!$F$2:$F$1001,"Mulai masuk 2026",'SEMINARI BIARA'!$G$2:$G$1001,"&gt;="&amp;DATE(2026,1,1),'SEMINARI BIARA'!$G$2:$G$1001,"&lt;="&amp;DATE(2026,12,31)))</f>
        <v/>
      </c>
      <c r="S74" s="19">
        <f>IF($A74="","",COUNTIFS('SEMINARI BIARA'!$C$2:$C$1001,$A74,'SEMINARI BIARA'!$F$2:$F$1001,"Sedang belajar 2026"))</f>
        <v/>
      </c>
    </row>
    <row r="75" ht="14.25" customHeight="1" s="37">
      <c r="A75" s="18" t="n"/>
      <c r="B75" s="19">
        <f>IF($A75="","",COUNTIF('DATA KK'!$E$2:$E$501,$A75))</f>
        <v/>
      </c>
      <c r="C75" s="19">
        <f>IF($A75="","",COUNTIF('DATA UMAT'!$H$2:$H$2001,$A75))</f>
        <v/>
      </c>
      <c r="D75" s="19">
        <f>IF($A75="","",COUNTIFS(BAPTIS!$C$2:$C$1001,$A75,BAPTIS!$F$2:$F$1001,"&gt;="&amp;DATE(2026,1,1),BAPTIS!$F$2:$F$1001,"&lt;="&amp;DATE(2026,12,31)))</f>
        <v/>
      </c>
      <c r="E75" s="19">
        <f>IF($A75="","",COUNTIFS('DITERIMA MASUK'!$C$2:$C$1001,$A75,'DITERIMA MASUK'!$D$2:$D$1001,"&gt;="&amp;DATE(2026,1,1),'DITERIMA MASUK'!$D$2:$D$1001,"&lt;="&amp;DATE(2026,12,31)))</f>
        <v/>
      </c>
      <c r="F75" s="19">
        <f>IF($A75="","",COUNTIFS(MUTASI!$C$2:$C$1001,$A75,MUTASI!$D$2:$D$1001,"Masuk",MUTASI!$F$2:$F$1001,"Paroki lain dalam keuskupan",MUTASI!$E$2:$E$1001,"&gt;="&amp;DATE(2026,1,1),MUTASI!$E$2:$E$1001,"&lt;="&amp;DATE(2026,12,31)))</f>
        <v/>
      </c>
      <c r="G75" s="19">
        <f>IF($A75="","",COUNTIFS(MUTASI!$C$2:$C$1001,$A75,MUTASI!$D$2:$D$1001,"Masuk",MUTASI!$F$2:$F$1001,"Keuskupan lain",MUTASI!$E$2:$E$1001,"&gt;="&amp;DATE(2026,1,1),MUTASI!$E$2:$E$1001,"&lt;="&amp;DATE(2026,12,31)))</f>
        <v/>
      </c>
      <c r="H75" s="19">
        <f>IF($A75="","",COUNTIFS(KEMATIAN!$C$2:$C$1001,$A75,KEMATIAN!$F$2:$F$1001,"&gt;="&amp;DATE(2026,1,1),KEMATIAN!$F$2:$F$1001,"&lt;="&amp;DATE(2026,12,31)))</f>
        <v/>
      </c>
      <c r="I75" s="19">
        <f>IF($A75="","",COUNTIFS(MUTASI!$C$2:$C$1001,$A75,MUTASI!$D$2:$D$1001,"Keluar",MUTASI!$F$2:$F$1001,"Paroki lain dalam keuskupan",MUTASI!$E$2:$E$1001,"&gt;="&amp;DATE(2026,1,1),MUTASI!$E$2:$E$1001,"&lt;="&amp;DATE(2026,12,31)))</f>
        <v/>
      </c>
      <c r="J75" s="19">
        <f>IF($A75="","",COUNTIFS(MUTASI!$C$2:$C$1001,$A75,MUTASI!$D$2:$D$1001,"Keluar",MUTASI!$F$2:$F$1001,"Keuskupan lain",MUTASI!$E$2:$E$1001,"&gt;="&amp;DATE(2026,1,1),MUTASI!$E$2:$E$1001,"&lt;="&amp;DATE(2026,12,31)))</f>
        <v/>
      </c>
      <c r="K75" s="19">
        <f>IF($A75="","",COUNTIFS('PINDAH AGAMA'!$C$2:$C$1001,$A75,'PINDAH AGAMA'!$D$2:$D$1001,"&gt;="&amp;DATE(2026,1,1),'PINDAH AGAMA'!$D$2:$D$1001,"&lt;="&amp;DATE(2026,12,31)))</f>
        <v/>
      </c>
      <c r="L75" s="19">
        <f>IF($A75="","",D75+E75+F75+G75-H75-I75-J75-K75)</f>
        <v/>
      </c>
      <c r="M75" s="19">
        <f>IF($A75="","",COUNTIFS('KOMUNI PERTAMA'!$C$2:$C$1001,$A75,'KOMUNI PERTAMA'!$E$2:$E$1001,"&gt;="&amp;DATE(2026,1,1),'KOMUNI PERTAMA'!$E$2:$E$1001,"&lt;="&amp;DATE(2026,12,31)))</f>
        <v/>
      </c>
      <c r="N75" s="19">
        <f>IF($A75="","",COUNTIFS('PERKAWINAN GEREJANI'!$C$2:$C$1001,$A75,'PERKAWINAN GEREJANI'!$D$2:$D$1001,"&gt;="&amp;DATE(2026,1,1),'PERKAWINAN GEREJANI'!$D$2:$D$1001,"&lt;="&amp;DATE(2026,12,31)))</f>
        <v/>
      </c>
      <c r="O75" s="19">
        <f>IF($A75="","",COUNTIFS(PEMBUBARAN!$C$2:$C$1001,$A75,PEMBUBARAN!$D$2:$D$1001,"&gt;="&amp;DATE(2026,1,1),PEMBUBARAN!$D$2:$D$1001,"&lt;="&amp;DATE(2026,12,31)))</f>
        <v/>
      </c>
      <c r="P75" s="19">
        <f>IF($A75="","",COUNTIFS('PERMINYAKAN SUCI'!$C$2:$C$1001,$A75,'PERMINYAKAN SUCI'!$E$2:$E$1001,"&gt;="&amp;DATE(2026,1,1),'PERMINYAKAN SUCI'!$E$2:$E$1001,"&lt;="&amp;DATE(2026,12,31)))</f>
        <v/>
      </c>
      <c r="Q75" s="19">
        <f>IF($A75="","",H75)</f>
        <v/>
      </c>
      <c r="R75" s="19">
        <f>IF($A75="","",COUNTIFS('SEMINARI BIARA'!$C$2:$C$1001,$A75,'SEMINARI BIARA'!$F$2:$F$1001,"Mulai masuk 2026",'SEMINARI BIARA'!$G$2:$G$1001,"&gt;="&amp;DATE(2026,1,1),'SEMINARI BIARA'!$G$2:$G$1001,"&lt;="&amp;DATE(2026,12,31)))</f>
        <v/>
      </c>
      <c r="S75" s="19">
        <f>IF($A75="","",COUNTIFS('SEMINARI BIARA'!$C$2:$C$1001,$A75,'SEMINARI BIARA'!$F$2:$F$1001,"Sedang belajar 2026"))</f>
        <v/>
      </c>
    </row>
    <row r="76" ht="14.25" customHeight="1" s="37">
      <c r="A76" s="18" t="n"/>
      <c r="B76" s="19">
        <f>IF($A76="","",COUNTIF('DATA KK'!$E$2:$E$501,$A76))</f>
        <v/>
      </c>
      <c r="C76" s="19">
        <f>IF($A76="","",COUNTIF('DATA UMAT'!$H$2:$H$2001,$A76))</f>
        <v/>
      </c>
      <c r="D76" s="19">
        <f>IF($A76="","",COUNTIFS(BAPTIS!$C$2:$C$1001,$A76,BAPTIS!$F$2:$F$1001,"&gt;="&amp;DATE(2026,1,1),BAPTIS!$F$2:$F$1001,"&lt;="&amp;DATE(2026,12,31)))</f>
        <v/>
      </c>
      <c r="E76" s="19">
        <f>IF($A76="","",COUNTIFS('DITERIMA MASUK'!$C$2:$C$1001,$A76,'DITERIMA MASUK'!$D$2:$D$1001,"&gt;="&amp;DATE(2026,1,1),'DITERIMA MASUK'!$D$2:$D$1001,"&lt;="&amp;DATE(2026,12,31)))</f>
        <v/>
      </c>
      <c r="F76" s="19">
        <f>IF($A76="","",COUNTIFS(MUTASI!$C$2:$C$1001,$A76,MUTASI!$D$2:$D$1001,"Masuk",MUTASI!$F$2:$F$1001,"Paroki lain dalam keuskupan",MUTASI!$E$2:$E$1001,"&gt;="&amp;DATE(2026,1,1),MUTASI!$E$2:$E$1001,"&lt;="&amp;DATE(2026,12,31)))</f>
        <v/>
      </c>
      <c r="G76" s="19">
        <f>IF($A76="","",COUNTIFS(MUTASI!$C$2:$C$1001,$A76,MUTASI!$D$2:$D$1001,"Masuk",MUTASI!$F$2:$F$1001,"Keuskupan lain",MUTASI!$E$2:$E$1001,"&gt;="&amp;DATE(2026,1,1),MUTASI!$E$2:$E$1001,"&lt;="&amp;DATE(2026,12,31)))</f>
        <v/>
      </c>
      <c r="H76" s="19">
        <f>IF($A76="","",COUNTIFS(KEMATIAN!$C$2:$C$1001,$A76,KEMATIAN!$F$2:$F$1001,"&gt;="&amp;DATE(2026,1,1),KEMATIAN!$F$2:$F$1001,"&lt;="&amp;DATE(2026,12,31)))</f>
        <v/>
      </c>
      <c r="I76" s="19">
        <f>IF($A76="","",COUNTIFS(MUTASI!$C$2:$C$1001,$A76,MUTASI!$D$2:$D$1001,"Keluar",MUTASI!$F$2:$F$1001,"Paroki lain dalam keuskupan",MUTASI!$E$2:$E$1001,"&gt;="&amp;DATE(2026,1,1),MUTASI!$E$2:$E$1001,"&lt;="&amp;DATE(2026,12,31)))</f>
        <v/>
      </c>
      <c r="J76" s="19">
        <f>IF($A76="","",COUNTIFS(MUTASI!$C$2:$C$1001,$A76,MUTASI!$D$2:$D$1001,"Keluar",MUTASI!$F$2:$F$1001,"Keuskupan lain",MUTASI!$E$2:$E$1001,"&gt;="&amp;DATE(2026,1,1),MUTASI!$E$2:$E$1001,"&lt;="&amp;DATE(2026,12,31)))</f>
        <v/>
      </c>
      <c r="K76" s="19">
        <f>IF($A76="","",COUNTIFS('PINDAH AGAMA'!$C$2:$C$1001,$A76,'PINDAH AGAMA'!$D$2:$D$1001,"&gt;="&amp;DATE(2026,1,1),'PINDAH AGAMA'!$D$2:$D$1001,"&lt;="&amp;DATE(2026,12,31)))</f>
        <v/>
      </c>
      <c r="L76" s="19">
        <f>IF($A76="","",D76+E76+F76+G76-H76-I76-J76-K76)</f>
        <v/>
      </c>
      <c r="M76" s="19">
        <f>IF($A76="","",COUNTIFS('KOMUNI PERTAMA'!$C$2:$C$1001,$A76,'KOMUNI PERTAMA'!$E$2:$E$1001,"&gt;="&amp;DATE(2026,1,1),'KOMUNI PERTAMA'!$E$2:$E$1001,"&lt;="&amp;DATE(2026,12,31)))</f>
        <v/>
      </c>
      <c r="N76" s="19">
        <f>IF($A76="","",COUNTIFS('PERKAWINAN GEREJANI'!$C$2:$C$1001,$A76,'PERKAWINAN GEREJANI'!$D$2:$D$1001,"&gt;="&amp;DATE(2026,1,1),'PERKAWINAN GEREJANI'!$D$2:$D$1001,"&lt;="&amp;DATE(2026,12,31)))</f>
        <v/>
      </c>
      <c r="O76" s="19">
        <f>IF($A76="","",COUNTIFS(PEMBUBARAN!$C$2:$C$1001,$A76,PEMBUBARAN!$D$2:$D$1001,"&gt;="&amp;DATE(2026,1,1),PEMBUBARAN!$D$2:$D$1001,"&lt;="&amp;DATE(2026,12,31)))</f>
        <v/>
      </c>
      <c r="P76" s="19">
        <f>IF($A76="","",COUNTIFS('PERMINYAKAN SUCI'!$C$2:$C$1001,$A76,'PERMINYAKAN SUCI'!$E$2:$E$1001,"&gt;="&amp;DATE(2026,1,1),'PERMINYAKAN SUCI'!$E$2:$E$1001,"&lt;="&amp;DATE(2026,12,31)))</f>
        <v/>
      </c>
      <c r="Q76" s="19">
        <f>IF($A76="","",H76)</f>
        <v/>
      </c>
      <c r="R76" s="19">
        <f>IF($A76="","",COUNTIFS('SEMINARI BIARA'!$C$2:$C$1001,$A76,'SEMINARI BIARA'!$F$2:$F$1001,"Mulai masuk 2026",'SEMINARI BIARA'!$G$2:$G$1001,"&gt;="&amp;DATE(2026,1,1),'SEMINARI BIARA'!$G$2:$G$1001,"&lt;="&amp;DATE(2026,12,31)))</f>
        <v/>
      </c>
      <c r="S76" s="19">
        <f>IF($A76="","",COUNTIFS('SEMINARI BIARA'!$C$2:$C$1001,$A76,'SEMINARI BIARA'!$F$2:$F$1001,"Sedang belajar 2026"))</f>
        <v/>
      </c>
    </row>
    <row r="77" ht="14.25" customHeight="1" s="37">
      <c r="A77" s="18" t="n"/>
      <c r="B77" s="19">
        <f>IF($A77="","",COUNTIF('DATA KK'!$E$2:$E$501,$A77))</f>
        <v/>
      </c>
      <c r="C77" s="19">
        <f>IF($A77="","",COUNTIF('DATA UMAT'!$H$2:$H$2001,$A77))</f>
        <v/>
      </c>
      <c r="D77" s="19">
        <f>IF($A77="","",COUNTIFS(BAPTIS!$C$2:$C$1001,$A77,BAPTIS!$F$2:$F$1001,"&gt;="&amp;DATE(2026,1,1),BAPTIS!$F$2:$F$1001,"&lt;="&amp;DATE(2026,12,31)))</f>
        <v/>
      </c>
      <c r="E77" s="19">
        <f>IF($A77="","",COUNTIFS('DITERIMA MASUK'!$C$2:$C$1001,$A77,'DITERIMA MASUK'!$D$2:$D$1001,"&gt;="&amp;DATE(2026,1,1),'DITERIMA MASUK'!$D$2:$D$1001,"&lt;="&amp;DATE(2026,12,31)))</f>
        <v/>
      </c>
      <c r="F77" s="19">
        <f>IF($A77="","",COUNTIFS(MUTASI!$C$2:$C$1001,$A77,MUTASI!$D$2:$D$1001,"Masuk",MUTASI!$F$2:$F$1001,"Paroki lain dalam keuskupan",MUTASI!$E$2:$E$1001,"&gt;="&amp;DATE(2026,1,1),MUTASI!$E$2:$E$1001,"&lt;="&amp;DATE(2026,12,31)))</f>
        <v/>
      </c>
      <c r="G77" s="19">
        <f>IF($A77="","",COUNTIFS(MUTASI!$C$2:$C$1001,$A77,MUTASI!$D$2:$D$1001,"Masuk",MUTASI!$F$2:$F$1001,"Keuskupan lain",MUTASI!$E$2:$E$1001,"&gt;="&amp;DATE(2026,1,1),MUTASI!$E$2:$E$1001,"&lt;="&amp;DATE(2026,12,31)))</f>
        <v/>
      </c>
      <c r="H77" s="19">
        <f>IF($A77="","",COUNTIFS(KEMATIAN!$C$2:$C$1001,$A77,KEMATIAN!$F$2:$F$1001,"&gt;="&amp;DATE(2026,1,1),KEMATIAN!$F$2:$F$1001,"&lt;="&amp;DATE(2026,12,31)))</f>
        <v/>
      </c>
      <c r="I77" s="19">
        <f>IF($A77="","",COUNTIFS(MUTASI!$C$2:$C$1001,$A77,MUTASI!$D$2:$D$1001,"Keluar",MUTASI!$F$2:$F$1001,"Paroki lain dalam keuskupan",MUTASI!$E$2:$E$1001,"&gt;="&amp;DATE(2026,1,1),MUTASI!$E$2:$E$1001,"&lt;="&amp;DATE(2026,12,31)))</f>
        <v/>
      </c>
      <c r="J77" s="19">
        <f>IF($A77="","",COUNTIFS(MUTASI!$C$2:$C$1001,$A77,MUTASI!$D$2:$D$1001,"Keluar",MUTASI!$F$2:$F$1001,"Keuskupan lain",MUTASI!$E$2:$E$1001,"&gt;="&amp;DATE(2026,1,1),MUTASI!$E$2:$E$1001,"&lt;="&amp;DATE(2026,12,31)))</f>
        <v/>
      </c>
      <c r="K77" s="19">
        <f>IF($A77="","",COUNTIFS('PINDAH AGAMA'!$C$2:$C$1001,$A77,'PINDAH AGAMA'!$D$2:$D$1001,"&gt;="&amp;DATE(2026,1,1),'PINDAH AGAMA'!$D$2:$D$1001,"&lt;="&amp;DATE(2026,12,31)))</f>
        <v/>
      </c>
      <c r="L77" s="19">
        <f>IF($A77="","",D77+E77+F77+G77-H77-I77-J77-K77)</f>
        <v/>
      </c>
      <c r="M77" s="19">
        <f>IF($A77="","",COUNTIFS('KOMUNI PERTAMA'!$C$2:$C$1001,$A77,'KOMUNI PERTAMA'!$E$2:$E$1001,"&gt;="&amp;DATE(2026,1,1),'KOMUNI PERTAMA'!$E$2:$E$1001,"&lt;="&amp;DATE(2026,12,31)))</f>
        <v/>
      </c>
      <c r="N77" s="19">
        <f>IF($A77="","",COUNTIFS('PERKAWINAN GEREJANI'!$C$2:$C$1001,$A77,'PERKAWINAN GEREJANI'!$D$2:$D$1001,"&gt;="&amp;DATE(2026,1,1),'PERKAWINAN GEREJANI'!$D$2:$D$1001,"&lt;="&amp;DATE(2026,12,31)))</f>
        <v/>
      </c>
      <c r="O77" s="19">
        <f>IF($A77="","",COUNTIFS(PEMBUBARAN!$C$2:$C$1001,$A77,PEMBUBARAN!$D$2:$D$1001,"&gt;="&amp;DATE(2026,1,1),PEMBUBARAN!$D$2:$D$1001,"&lt;="&amp;DATE(2026,12,31)))</f>
        <v/>
      </c>
      <c r="P77" s="19">
        <f>IF($A77="","",COUNTIFS('PERMINYAKAN SUCI'!$C$2:$C$1001,$A77,'PERMINYAKAN SUCI'!$E$2:$E$1001,"&gt;="&amp;DATE(2026,1,1),'PERMINYAKAN SUCI'!$E$2:$E$1001,"&lt;="&amp;DATE(2026,12,31)))</f>
        <v/>
      </c>
      <c r="Q77" s="19">
        <f>IF($A77="","",H77)</f>
        <v/>
      </c>
      <c r="R77" s="19">
        <f>IF($A77="","",COUNTIFS('SEMINARI BIARA'!$C$2:$C$1001,$A77,'SEMINARI BIARA'!$F$2:$F$1001,"Mulai masuk 2026",'SEMINARI BIARA'!$G$2:$G$1001,"&gt;="&amp;DATE(2026,1,1),'SEMINARI BIARA'!$G$2:$G$1001,"&lt;="&amp;DATE(2026,12,31)))</f>
        <v/>
      </c>
      <c r="S77" s="19">
        <f>IF($A77="","",COUNTIFS('SEMINARI BIARA'!$C$2:$C$1001,$A77,'SEMINARI BIARA'!$F$2:$F$1001,"Sedang belajar 2026"))</f>
        <v/>
      </c>
    </row>
    <row r="78" ht="14.25" customHeight="1" s="37">
      <c r="A78" s="18" t="n"/>
      <c r="B78" s="19">
        <f>IF($A78="","",COUNTIF('DATA KK'!$E$2:$E$501,$A78))</f>
        <v/>
      </c>
      <c r="C78" s="19">
        <f>IF($A78="","",COUNTIF('DATA UMAT'!$H$2:$H$2001,$A78))</f>
        <v/>
      </c>
      <c r="D78" s="19">
        <f>IF($A78="","",COUNTIFS(BAPTIS!$C$2:$C$1001,$A78,BAPTIS!$F$2:$F$1001,"&gt;="&amp;DATE(2026,1,1),BAPTIS!$F$2:$F$1001,"&lt;="&amp;DATE(2026,12,31)))</f>
        <v/>
      </c>
      <c r="E78" s="19">
        <f>IF($A78="","",COUNTIFS('DITERIMA MASUK'!$C$2:$C$1001,$A78,'DITERIMA MASUK'!$D$2:$D$1001,"&gt;="&amp;DATE(2026,1,1),'DITERIMA MASUK'!$D$2:$D$1001,"&lt;="&amp;DATE(2026,12,31)))</f>
        <v/>
      </c>
      <c r="F78" s="19">
        <f>IF($A78="","",COUNTIFS(MUTASI!$C$2:$C$1001,$A78,MUTASI!$D$2:$D$1001,"Masuk",MUTASI!$F$2:$F$1001,"Paroki lain dalam keuskupan",MUTASI!$E$2:$E$1001,"&gt;="&amp;DATE(2026,1,1),MUTASI!$E$2:$E$1001,"&lt;="&amp;DATE(2026,12,31)))</f>
        <v/>
      </c>
      <c r="G78" s="19">
        <f>IF($A78="","",COUNTIFS(MUTASI!$C$2:$C$1001,$A78,MUTASI!$D$2:$D$1001,"Masuk",MUTASI!$F$2:$F$1001,"Keuskupan lain",MUTASI!$E$2:$E$1001,"&gt;="&amp;DATE(2026,1,1),MUTASI!$E$2:$E$1001,"&lt;="&amp;DATE(2026,12,31)))</f>
        <v/>
      </c>
      <c r="H78" s="19">
        <f>IF($A78="","",COUNTIFS(KEMATIAN!$C$2:$C$1001,$A78,KEMATIAN!$F$2:$F$1001,"&gt;="&amp;DATE(2026,1,1),KEMATIAN!$F$2:$F$1001,"&lt;="&amp;DATE(2026,12,31)))</f>
        <v/>
      </c>
      <c r="I78" s="19">
        <f>IF($A78="","",COUNTIFS(MUTASI!$C$2:$C$1001,$A78,MUTASI!$D$2:$D$1001,"Keluar",MUTASI!$F$2:$F$1001,"Paroki lain dalam keuskupan",MUTASI!$E$2:$E$1001,"&gt;="&amp;DATE(2026,1,1),MUTASI!$E$2:$E$1001,"&lt;="&amp;DATE(2026,12,31)))</f>
        <v/>
      </c>
      <c r="J78" s="19">
        <f>IF($A78="","",COUNTIFS(MUTASI!$C$2:$C$1001,$A78,MUTASI!$D$2:$D$1001,"Keluar",MUTASI!$F$2:$F$1001,"Keuskupan lain",MUTASI!$E$2:$E$1001,"&gt;="&amp;DATE(2026,1,1),MUTASI!$E$2:$E$1001,"&lt;="&amp;DATE(2026,12,31)))</f>
        <v/>
      </c>
      <c r="K78" s="19">
        <f>IF($A78="","",COUNTIFS('PINDAH AGAMA'!$C$2:$C$1001,$A78,'PINDAH AGAMA'!$D$2:$D$1001,"&gt;="&amp;DATE(2026,1,1),'PINDAH AGAMA'!$D$2:$D$1001,"&lt;="&amp;DATE(2026,12,31)))</f>
        <v/>
      </c>
      <c r="L78" s="19">
        <f>IF($A78="","",D78+E78+F78+G78-H78-I78-J78-K78)</f>
        <v/>
      </c>
      <c r="M78" s="19">
        <f>IF($A78="","",COUNTIFS('KOMUNI PERTAMA'!$C$2:$C$1001,$A78,'KOMUNI PERTAMA'!$E$2:$E$1001,"&gt;="&amp;DATE(2026,1,1),'KOMUNI PERTAMA'!$E$2:$E$1001,"&lt;="&amp;DATE(2026,12,31)))</f>
        <v/>
      </c>
      <c r="N78" s="19">
        <f>IF($A78="","",COUNTIFS('PERKAWINAN GEREJANI'!$C$2:$C$1001,$A78,'PERKAWINAN GEREJANI'!$D$2:$D$1001,"&gt;="&amp;DATE(2026,1,1),'PERKAWINAN GEREJANI'!$D$2:$D$1001,"&lt;="&amp;DATE(2026,12,31)))</f>
        <v/>
      </c>
      <c r="O78" s="19">
        <f>IF($A78="","",COUNTIFS(PEMBUBARAN!$C$2:$C$1001,$A78,PEMBUBARAN!$D$2:$D$1001,"&gt;="&amp;DATE(2026,1,1),PEMBUBARAN!$D$2:$D$1001,"&lt;="&amp;DATE(2026,12,31)))</f>
        <v/>
      </c>
      <c r="P78" s="19">
        <f>IF($A78="","",COUNTIFS('PERMINYAKAN SUCI'!$C$2:$C$1001,$A78,'PERMINYAKAN SUCI'!$E$2:$E$1001,"&gt;="&amp;DATE(2026,1,1),'PERMINYAKAN SUCI'!$E$2:$E$1001,"&lt;="&amp;DATE(2026,12,31)))</f>
        <v/>
      </c>
      <c r="Q78" s="19">
        <f>IF($A78="","",H78)</f>
        <v/>
      </c>
      <c r="R78" s="19">
        <f>IF($A78="","",COUNTIFS('SEMINARI BIARA'!$C$2:$C$1001,$A78,'SEMINARI BIARA'!$F$2:$F$1001,"Mulai masuk 2026",'SEMINARI BIARA'!$G$2:$G$1001,"&gt;="&amp;DATE(2026,1,1),'SEMINARI BIARA'!$G$2:$G$1001,"&lt;="&amp;DATE(2026,12,31)))</f>
        <v/>
      </c>
      <c r="S78" s="19">
        <f>IF($A78="","",COUNTIFS('SEMINARI BIARA'!$C$2:$C$1001,$A78,'SEMINARI BIARA'!$F$2:$F$1001,"Sedang belajar 2026"))</f>
        <v/>
      </c>
    </row>
    <row r="79" ht="14.25" customHeight="1" s="37">
      <c r="A79" s="18" t="n"/>
      <c r="B79" s="19">
        <f>IF($A79="","",COUNTIF('DATA KK'!$E$2:$E$501,$A79))</f>
        <v/>
      </c>
      <c r="C79" s="19">
        <f>IF($A79="","",COUNTIF('DATA UMAT'!$H$2:$H$2001,$A79))</f>
        <v/>
      </c>
      <c r="D79" s="19">
        <f>IF($A79="","",COUNTIFS(BAPTIS!$C$2:$C$1001,$A79,BAPTIS!$F$2:$F$1001,"&gt;="&amp;DATE(2026,1,1),BAPTIS!$F$2:$F$1001,"&lt;="&amp;DATE(2026,12,31)))</f>
        <v/>
      </c>
      <c r="E79" s="19">
        <f>IF($A79="","",COUNTIFS('DITERIMA MASUK'!$C$2:$C$1001,$A79,'DITERIMA MASUK'!$D$2:$D$1001,"&gt;="&amp;DATE(2026,1,1),'DITERIMA MASUK'!$D$2:$D$1001,"&lt;="&amp;DATE(2026,12,31)))</f>
        <v/>
      </c>
      <c r="F79" s="19">
        <f>IF($A79="","",COUNTIFS(MUTASI!$C$2:$C$1001,$A79,MUTASI!$D$2:$D$1001,"Masuk",MUTASI!$F$2:$F$1001,"Paroki lain dalam keuskupan",MUTASI!$E$2:$E$1001,"&gt;="&amp;DATE(2026,1,1),MUTASI!$E$2:$E$1001,"&lt;="&amp;DATE(2026,12,31)))</f>
        <v/>
      </c>
      <c r="G79" s="19">
        <f>IF($A79="","",COUNTIFS(MUTASI!$C$2:$C$1001,$A79,MUTASI!$D$2:$D$1001,"Masuk",MUTASI!$F$2:$F$1001,"Keuskupan lain",MUTASI!$E$2:$E$1001,"&gt;="&amp;DATE(2026,1,1),MUTASI!$E$2:$E$1001,"&lt;="&amp;DATE(2026,12,31)))</f>
        <v/>
      </c>
      <c r="H79" s="19">
        <f>IF($A79="","",COUNTIFS(KEMATIAN!$C$2:$C$1001,$A79,KEMATIAN!$F$2:$F$1001,"&gt;="&amp;DATE(2026,1,1),KEMATIAN!$F$2:$F$1001,"&lt;="&amp;DATE(2026,12,31)))</f>
        <v/>
      </c>
      <c r="I79" s="19">
        <f>IF($A79="","",COUNTIFS(MUTASI!$C$2:$C$1001,$A79,MUTASI!$D$2:$D$1001,"Keluar",MUTASI!$F$2:$F$1001,"Paroki lain dalam keuskupan",MUTASI!$E$2:$E$1001,"&gt;="&amp;DATE(2026,1,1),MUTASI!$E$2:$E$1001,"&lt;="&amp;DATE(2026,12,31)))</f>
        <v/>
      </c>
      <c r="J79" s="19">
        <f>IF($A79="","",COUNTIFS(MUTASI!$C$2:$C$1001,$A79,MUTASI!$D$2:$D$1001,"Keluar",MUTASI!$F$2:$F$1001,"Keuskupan lain",MUTASI!$E$2:$E$1001,"&gt;="&amp;DATE(2026,1,1),MUTASI!$E$2:$E$1001,"&lt;="&amp;DATE(2026,12,31)))</f>
        <v/>
      </c>
      <c r="K79" s="19">
        <f>IF($A79="","",COUNTIFS('PINDAH AGAMA'!$C$2:$C$1001,$A79,'PINDAH AGAMA'!$D$2:$D$1001,"&gt;="&amp;DATE(2026,1,1),'PINDAH AGAMA'!$D$2:$D$1001,"&lt;="&amp;DATE(2026,12,31)))</f>
        <v/>
      </c>
      <c r="L79" s="19">
        <f>IF($A79="","",D79+E79+F79+G79-H79-I79-J79-K79)</f>
        <v/>
      </c>
      <c r="M79" s="19">
        <f>IF($A79="","",COUNTIFS('KOMUNI PERTAMA'!$C$2:$C$1001,$A79,'KOMUNI PERTAMA'!$E$2:$E$1001,"&gt;="&amp;DATE(2026,1,1),'KOMUNI PERTAMA'!$E$2:$E$1001,"&lt;="&amp;DATE(2026,12,31)))</f>
        <v/>
      </c>
      <c r="N79" s="19">
        <f>IF($A79="","",COUNTIFS('PERKAWINAN GEREJANI'!$C$2:$C$1001,$A79,'PERKAWINAN GEREJANI'!$D$2:$D$1001,"&gt;="&amp;DATE(2026,1,1),'PERKAWINAN GEREJANI'!$D$2:$D$1001,"&lt;="&amp;DATE(2026,12,31)))</f>
        <v/>
      </c>
      <c r="O79" s="19">
        <f>IF($A79="","",COUNTIFS(PEMBUBARAN!$C$2:$C$1001,$A79,PEMBUBARAN!$D$2:$D$1001,"&gt;="&amp;DATE(2026,1,1),PEMBUBARAN!$D$2:$D$1001,"&lt;="&amp;DATE(2026,12,31)))</f>
        <v/>
      </c>
      <c r="P79" s="19">
        <f>IF($A79="","",COUNTIFS('PERMINYAKAN SUCI'!$C$2:$C$1001,$A79,'PERMINYAKAN SUCI'!$E$2:$E$1001,"&gt;="&amp;DATE(2026,1,1),'PERMINYAKAN SUCI'!$E$2:$E$1001,"&lt;="&amp;DATE(2026,12,31)))</f>
        <v/>
      </c>
      <c r="Q79" s="19">
        <f>IF($A79="","",H79)</f>
        <v/>
      </c>
      <c r="R79" s="19">
        <f>IF($A79="","",COUNTIFS('SEMINARI BIARA'!$C$2:$C$1001,$A79,'SEMINARI BIARA'!$F$2:$F$1001,"Mulai masuk 2026",'SEMINARI BIARA'!$G$2:$G$1001,"&gt;="&amp;DATE(2026,1,1),'SEMINARI BIARA'!$G$2:$G$1001,"&lt;="&amp;DATE(2026,12,31)))</f>
        <v/>
      </c>
      <c r="S79" s="19">
        <f>IF($A79="","",COUNTIFS('SEMINARI BIARA'!$C$2:$C$1001,$A79,'SEMINARI BIARA'!$F$2:$F$1001,"Sedang belajar 2026"))</f>
        <v/>
      </c>
    </row>
    <row r="80" ht="14.25" customHeight="1" s="37">
      <c r="A80" s="18" t="n"/>
      <c r="B80" s="19">
        <f>IF($A80="","",COUNTIF('DATA KK'!$E$2:$E$501,$A80))</f>
        <v/>
      </c>
      <c r="C80" s="19">
        <f>IF($A80="","",COUNTIF('DATA UMAT'!$H$2:$H$2001,$A80))</f>
        <v/>
      </c>
      <c r="D80" s="19">
        <f>IF($A80="","",COUNTIFS(BAPTIS!$C$2:$C$1001,$A80,BAPTIS!$F$2:$F$1001,"&gt;="&amp;DATE(2026,1,1),BAPTIS!$F$2:$F$1001,"&lt;="&amp;DATE(2026,12,31)))</f>
        <v/>
      </c>
      <c r="E80" s="19">
        <f>IF($A80="","",COUNTIFS('DITERIMA MASUK'!$C$2:$C$1001,$A80,'DITERIMA MASUK'!$D$2:$D$1001,"&gt;="&amp;DATE(2026,1,1),'DITERIMA MASUK'!$D$2:$D$1001,"&lt;="&amp;DATE(2026,12,31)))</f>
        <v/>
      </c>
      <c r="F80" s="19">
        <f>IF($A80="","",COUNTIFS(MUTASI!$C$2:$C$1001,$A80,MUTASI!$D$2:$D$1001,"Masuk",MUTASI!$F$2:$F$1001,"Paroki lain dalam keuskupan",MUTASI!$E$2:$E$1001,"&gt;="&amp;DATE(2026,1,1),MUTASI!$E$2:$E$1001,"&lt;="&amp;DATE(2026,12,31)))</f>
        <v/>
      </c>
      <c r="G80" s="19">
        <f>IF($A80="","",COUNTIFS(MUTASI!$C$2:$C$1001,$A80,MUTASI!$D$2:$D$1001,"Masuk",MUTASI!$F$2:$F$1001,"Keuskupan lain",MUTASI!$E$2:$E$1001,"&gt;="&amp;DATE(2026,1,1),MUTASI!$E$2:$E$1001,"&lt;="&amp;DATE(2026,12,31)))</f>
        <v/>
      </c>
      <c r="H80" s="19">
        <f>IF($A80="","",COUNTIFS(KEMATIAN!$C$2:$C$1001,$A80,KEMATIAN!$F$2:$F$1001,"&gt;="&amp;DATE(2026,1,1),KEMATIAN!$F$2:$F$1001,"&lt;="&amp;DATE(2026,12,31)))</f>
        <v/>
      </c>
      <c r="I80" s="19">
        <f>IF($A80="","",COUNTIFS(MUTASI!$C$2:$C$1001,$A80,MUTASI!$D$2:$D$1001,"Keluar",MUTASI!$F$2:$F$1001,"Paroki lain dalam keuskupan",MUTASI!$E$2:$E$1001,"&gt;="&amp;DATE(2026,1,1),MUTASI!$E$2:$E$1001,"&lt;="&amp;DATE(2026,12,31)))</f>
        <v/>
      </c>
      <c r="J80" s="19">
        <f>IF($A80="","",COUNTIFS(MUTASI!$C$2:$C$1001,$A80,MUTASI!$D$2:$D$1001,"Keluar",MUTASI!$F$2:$F$1001,"Keuskupan lain",MUTASI!$E$2:$E$1001,"&gt;="&amp;DATE(2026,1,1),MUTASI!$E$2:$E$1001,"&lt;="&amp;DATE(2026,12,31)))</f>
        <v/>
      </c>
      <c r="K80" s="19">
        <f>IF($A80="","",COUNTIFS('PINDAH AGAMA'!$C$2:$C$1001,$A80,'PINDAH AGAMA'!$D$2:$D$1001,"&gt;="&amp;DATE(2026,1,1),'PINDAH AGAMA'!$D$2:$D$1001,"&lt;="&amp;DATE(2026,12,31)))</f>
        <v/>
      </c>
      <c r="L80" s="19">
        <f>IF($A80="","",D80+E80+F80+G80-H80-I80-J80-K80)</f>
        <v/>
      </c>
      <c r="M80" s="19">
        <f>IF($A80="","",COUNTIFS('KOMUNI PERTAMA'!$C$2:$C$1001,$A80,'KOMUNI PERTAMA'!$E$2:$E$1001,"&gt;="&amp;DATE(2026,1,1),'KOMUNI PERTAMA'!$E$2:$E$1001,"&lt;="&amp;DATE(2026,12,31)))</f>
        <v/>
      </c>
      <c r="N80" s="19">
        <f>IF($A80="","",COUNTIFS('PERKAWINAN GEREJANI'!$C$2:$C$1001,$A80,'PERKAWINAN GEREJANI'!$D$2:$D$1001,"&gt;="&amp;DATE(2026,1,1),'PERKAWINAN GEREJANI'!$D$2:$D$1001,"&lt;="&amp;DATE(2026,12,31)))</f>
        <v/>
      </c>
      <c r="O80" s="19">
        <f>IF($A80="","",COUNTIFS(PEMBUBARAN!$C$2:$C$1001,$A80,PEMBUBARAN!$D$2:$D$1001,"&gt;="&amp;DATE(2026,1,1),PEMBUBARAN!$D$2:$D$1001,"&lt;="&amp;DATE(2026,12,31)))</f>
        <v/>
      </c>
      <c r="P80" s="19">
        <f>IF($A80="","",COUNTIFS('PERMINYAKAN SUCI'!$C$2:$C$1001,$A80,'PERMINYAKAN SUCI'!$E$2:$E$1001,"&gt;="&amp;DATE(2026,1,1),'PERMINYAKAN SUCI'!$E$2:$E$1001,"&lt;="&amp;DATE(2026,12,31)))</f>
        <v/>
      </c>
      <c r="Q80" s="19">
        <f>IF($A80="","",H80)</f>
        <v/>
      </c>
      <c r="R80" s="19">
        <f>IF($A80="","",COUNTIFS('SEMINARI BIARA'!$C$2:$C$1001,$A80,'SEMINARI BIARA'!$F$2:$F$1001,"Mulai masuk 2026",'SEMINARI BIARA'!$G$2:$G$1001,"&gt;="&amp;DATE(2026,1,1),'SEMINARI BIARA'!$G$2:$G$1001,"&lt;="&amp;DATE(2026,12,31)))</f>
        <v/>
      </c>
      <c r="S80" s="19">
        <f>IF($A80="","",COUNTIFS('SEMINARI BIARA'!$C$2:$C$1001,$A80,'SEMINARI BIARA'!$F$2:$F$1001,"Sedang belajar 2026"))</f>
        <v/>
      </c>
    </row>
    <row r="81" ht="14.25" customHeight="1" s="37">
      <c r="A81" s="18" t="n"/>
      <c r="B81" s="19">
        <f>IF($A81="","",COUNTIF('DATA KK'!$E$2:$E$501,$A81))</f>
        <v/>
      </c>
      <c r="C81" s="19">
        <f>IF($A81="","",COUNTIF('DATA UMAT'!$H$2:$H$2001,$A81))</f>
        <v/>
      </c>
      <c r="D81" s="19">
        <f>IF($A81="","",COUNTIFS(BAPTIS!$C$2:$C$1001,$A81,BAPTIS!$F$2:$F$1001,"&gt;="&amp;DATE(2026,1,1),BAPTIS!$F$2:$F$1001,"&lt;="&amp;DATE(2026,12,31)))</f>
        <v/>
      </c>
      <c r="E81" s="19">
        <f>IF($A81="","",COUNTIFS('DITERIMA MASUK'!$C$2:$C$1001,$A81,'DITERIMA MASUK'!$D$2:$D$1001,"&gt;="&amp;DATE(2026,1,1),'DITERIMA MASUK'!$D$2:$D$1001,"&lt;="&amp;DATE(2026,12,31)))</f>
        <v/>
      </c>
      <c r="F81" s="19">
        <f>IF($A81="","",COUNTIFS(MUTASI!$C$2:$C$1001,$A81,MUTASI!$D$2:$D$1001,"Masuk",MUTASI!$F$2:$F$1001,"Paroki lain dalam keuskupan",MUTASI!$E$2:$E$1001,"&gt;="&amp;DATE(2026,1,1),MUTASI!$E$2:$E$1001,"&lt;="&amp;DATE(2026,12,31)))</f>
        <v/>
      </c>
      <c r="G81" s="19">
        <f>IF($A81="","",COUNTIFS(MUTASI!$C$2:$C$1001,$A81,MUTASI!$D$2:$D$1001,"Masuk",MUTASI!$F$2:$F$1001,"Keuskupan lain",MUTASI!$E$2:$E$1001,"&gt;="&amp;DATE(2026,1,1),MUTASI!$E$2:$E$1001,"&lt;="&amp;DATE(2026,12,31)))</f>
        <v/>
      </c>
      <c r="H81" s="19">
        <f>IF($A81="","",COUNTIFS(KEMATIAN!$C$2:$C$1001,$A81,KEMATIAN!$F$2:$F$1001,"&gt;="&amp;DATE(2026,1,1),KEMATIAN!$F$2:$F$1001,"&lt;="&amp;DATE(2026,12,31)))</f>
        <v/>
      </c>
      <c r="I81" s="19">
        <f>IF($A81="","",COUNTIFS(MUTASI!$C$2:$C$1001,$A81,MUTASI!$D$2:$D$1001,"Keluar",MUTASI!$F$2:$F$1001,"Paroki lain dalam keuskupan",MUTASI!$E$2:$E$1001,"&gt;="&amp;DATE(2026,1,1),MUTASI!$E$2:$E$1001,"&lt;="&amp;DATE(2026,12,31)))</f>
        <v/>
      </c>
      <c r="J81" s="19">
        <f>IF($A81="","",COUNTIFS(MUTASI!$C$2:$C$1001,$A81,MUTASI!$D$2:$D$1001,"Keluar",MUTASI!$F$2:$F$1001,"Keuskupan lain",MUTASI!$E$2:$E$1001,"&gt;="&amp;DATE(2026,1,1),MUTASI!$E$2:$E$1001,"&lt;="&amp;DATE(2026,12,31)))</f>
        <v/>
      </c>
      <c r="K81" s="19">
        <f>IF($A81="","",COUNTIFS('PINDAH AGAMA'!$C$2:$C$1001,$A81,'PINDAH AGAMA'!$D$2:$D$1001,"&gt;="&amp;DATE(2026,1,1),'PINDAH AGAMA'!$D$2:$D$1001,"&lt;="&amp;DATE(2026,12,31)))</f>
        <v/>
      </c>
      <c r="L81" s="19">
        <f>IF($A81="","",D81+E81+F81+G81-H81-I81-J81-K81)</f>
        <v/>
      </c>
      <c r="M81" s="19">
        <f>IF($A81="","",COUNTIFS('KOMUNI PERTAMA'!$C$2:$C$1001,$A81,'KOMUNI PERTAMA'!$E$2:$E$1001,"&gt;="&amp;DATE(2026,1,1),'KOMUNI PERTAMA'!$E$2:$E$1001,"&lt;="&amp;DATE(2026,12,31)))</f>
        <v/>
      </c>
      <c r="N81" s="19">
        <f>IF($A81="","",COUNTIFS('PERKAWINAN GEREJANI'!$C$2:$C$1001,$A81,'PERKAWINAN GEREJANI'!$D$2:$D$1001,"&gt;="&amp;DATE(2026,1,1),'PERKAWINAN GEREJANI'!$D$2:$D$1001,"&lt;="&amp;DATE(2026,12,31)))</f>
        <v/>
      </c>
      <c r="O81" s="19">
        <f>IF($A81="","",COUNTIFS(PEMBUBARAN!$C$2:$C$1001,$A81,PEMBUBARAN!$D$2:$D$1001,"&gt;="&amp;DATE(2026,1,1),PEMBUBARAN!$D$2:$D$1001,"&lt;="&amp;DATE(2026,12,31)))</f>
        <v/>
      </c>
      <c r="P81" s="19">
        <f>IF($A81="","",COUNTIFS('PERMINYAKAN SUCI'!$C$2:$C$1001,$A81,'PERMINYAKAN SUCI'!$E$2:$E$1001,"&gt;="&amp;DATE(2026,1,1),'PERMINYAKAN SUCI'!$E$2:$E$1001,"&lt;="&amp;DATE(2026,12,31)))</f>
        <v/>
      </c>
      <c r="Q81" s="19">
        <f>IF($A81="","",H81)</f>
        <v/>
      </c>
      <c r="R81" s="19">
        <f>IF($A81="","",COUNTIFS('SEMINARI BIARA'!$C$2:$C$1001,$A81,'SEMINARI BIARA'!$F$2:$F$1001,"Mulai masuk 2026",'SEMINARI BIARA'!$G$2:$G$1001,"&gt;="&amp;DATE(2026,1,1),'SEMINARI BIARA'!$G$2:$G$1001,"&lt;="&amp;DATE(2026,12,31)))</f>
        <v/>
      </c>
      <c r="S81" s="19">
        <f>IF($A81="","",COUNTIFS('SEMINARI BIARA'!$C$2:$C$1001,$A81,'SEMINARI BIARA'!$F$2:$F$1001,"Sedang belajar 2026"))</f>
        <v/>
      </c>
    </row>
    <row r="82" ht="14.25" customHeight="1" s="37">
      <c r="A82" s="18" t="n"/>
      <c r="B82" s="19">
        <f>IF($A82="","",COUNTIF('DATA KK'!$E$2:$E$501,$A82))</f>
        <v/>
      </c>
      <c r="C82" s="19">
        <f>IF($A82="","",COUNTIF('DATA UMAT'!$H$2:$H$2001,$A82))</f>
        <v/>
      </c>
      <c r="D82" s="19">
        <f>IF($A82="","",COUNTIFS(BAPTIS!$C$2:$C$1001,$A82,BAPTIS!$F$2:$F$1001,"&gt;="&amp;DATE(2026,1,1),BAPTIS!$F$2:$F$1001,"&lt;="&amp;DATE(2026,12,31)))</f>
        <v/>
      </c>
      <c r="E82" s="19">
        <f>IF($A82="","",COUNTIFS('DITERIMA MASUK'!$C$2:$C$1001,$A82,'DITERIMA MASUK'!$D$2:$D$1001,"&gt;="&amp;DATE(2026,1,1),'DITERIMA MASUK'!$D$2:$D$1001,"&lt;="&amp;DATE(2026,12,31)))</f>
        <v/>
      </c>
      <c r="F82" s="19">
        <f>IF($A82="","",COUNTIFS(MUTASI!$C$2:$C$1001,$A82,MUTASI!$D$2:$D$1001,"Masuk",MUTASI!$F$2:$F$1001,"Paroki lain dalam keuskupan",MUTASI!$E$2:$E$1001,"&gt;="&amp;DATE(2026,1,1),MUTASI!$E$2:$E$1001,"&lt;="&amp;DATE(2026,12,31)))</f>
        <v/>
      </c>
      <c r="G82" s="19">
        <f>IF($A82="","",COUNTIFS(MUTASI!$C$2:$C$1001,$A82,MUTASI!$D$2:$D$1001,"Masuk",MUTASI!$F$2:$F$1001,"Keuskupan lain",MUTASI!$E$2:$E$1001,"&gt;="&amp;DATE(2026,1,1),MUTASI!$E$2:$E$1001,"&lt;="&amp;DATE(2026,12,31)))</f>
        <v/>
      </c>
      <c r="H82" s="19">
        <f>IF($A82="","",COUNTIFS(KEMATIAN!$C$2:$C$1001,$A82,KEMATIAN!$F$2:$F$1001,"&gt;="&amp;DATE(2026,1,1),KEMATIAN!$F$2:$F$1001,"&lt;="&amp;DATE(2026,12,31)))</f>
        <v/>
      </c>
      <c r="I82" s="19">
        <f>IF($A82="","",COUNTIFS(MUTASI!$C$2:$C$1001,$A82,MUTASI!$D$2:$D$1001,"Keluar",MUTASI!$F$2:$F$1001,"Paroki lain dalam keuskupan",MUTASI!$E$2:$E$1001,"&gt;="&amp;DATE(2026,1,1),MUTASI!$E$2:$E$1001,"&lt;="&amp;DATE(2026,12,31)))</f>
        <v/>
      </c>
      <c r="J82" s="19">
        <f>IF($A82="","",COUNTIFS(MUTASI!$C$2:$C$1001,$A82,MUTASI!$D$2:$D$1001,"Keluar",MUTASI!$F$2:$F$1001,"Keuskupan lain",MUTASI!$E$2:$E$1001,"&gt;="&amp;DATE(2026,1,1),MUTASI!$E$2:$E$1001,"&lt;="&amp;DATE(2026,12,31)))</f>
        <v/>
      </c>
      <c r="K82" s="19">
        <f>IF($A82="","",COUNTIFS('PINDAH AGAMA'!$C$2:$C$1001,$A82,'PINDAH AGAMA'!$D$2:$D$1001,"&gt;="&amp;DATE(2026,1,1),'PINDAH AGAMA'!$D$2:$D$1001,"&lt;="&amp;DATE(2026,12,31)))</f>
        <v/>
      </c>
      <c r="L82" s="19">
        <f>IF($A82="","",D82+E82+F82+G82-H82-I82-J82-K82)</f>
        <v/>
      </c>
      <c r="M82" s="19">
        <f>IF($A82="","",COUNTIFS('KOMUNI PERTAMA'!$C$2:$C$1001,$A82,'KOMUNI PERTAMA'!$E$2:$E$1001,"&gt;="&amp;DATE(2026,1,1),'KOMUNI PERTAMA'!$E$2:$E$1001,"&lt;="&amp;DATE(2026,12,31)))</f>
        <v/>
      </c>
      <c r="N82" s="19">
        <f>IF($A82="","",COUNTIFS('PERKAWINAN GEREJANI'!$C$2:$C$1001,$A82,'PERKAWINAN GEREJANI'!$D$2:$D$1001,"&gt;="&amp;DATE(2026,1,1),'PERKAWINAN GEREJANI'!$D$2:$D$1001,"&lt;="&amp;DATE(2026,12,31)))</f>
        <v/>
      </c>
      <c r="O82" s="19">
        <f>IF($A82="","",COUNTIFS(PEMBUBARAN!$C$2:$C$1001,$A82,PEMBUBARAN!$D$2:$D$1001,"&gt;="&amp;DATE(2026,1,1),PEMBUBARAN!$D$2:$D$1001,"&lt;="&amp;DATE(2026,12,31)))</f>
        <v/>
      </c>
      <c r="P82" s="19">
        <f>IF($A82="","",COUNTIFS('PERMINYAKAN SUCI'!$C$2:$C$1001,$A82,'PERMINYAKAN SUCI'!$E$2:$E$1001,"&gt;="&amp;DATE(2026,1,1),'PERMINYAKAN SUCI'!$E$2:$E$1001,"&lt;="&amp;DATE(2026,12,31)))</f>
        <v/>
      </c>
      <c r="Q82" s="19">
        <f>IF($A82="","",H82)</f>
        <v/>
      </c>
      <c r="R82" s="19">
        <f>IF($A82="","",COUNTIFS('SEMINARI BIARA'!$C$2:$C$1001,$A82,'SEMINARI BIARA'!$F$2:$F$1001,"Mulai masuk 2026",'SEMINARI BIARA'!$G$2:$G$1001,"&gt;="&amp;DATE(2026,1,1),'SEMINARI BIARA'!$G$2:$G$1001,"&lt;="&amp;DATE(2026,12,31)))</f>
        <v/>
      </c>
      <c r="S82" s="19">
        <f>IF($A82="","",COUNTIFS('SEMINARI BIARA'!$C$2:$C$1001,$A82,'SEMINARI BIARA'!$F$2:$F$1001,"Sedang belajar 2026"))</f>
        <v/>
      </c>
    </row>
    <row r="83" ht="14.25" customHeight="1" s="37">
      <c r="A83" s="18" t="n"/>
      <c r="B83" s="19">
        <f>IF($A83="","",COUNTIF('DATA KK'!$E$2:$E$501,$A83))</f>
        <v/>
      </c>
      <c r="C83" s="19">
        <f>IF($A83="","",COUNTIF('DATA UMAT'!$H$2:$H$2001,$A83))</f>
        <v/>
      </c>
      <c r="D83" s="19">
        <f>IF($A83="","",COUNTIFS(BAPTIS!$C$2:$C$1001,$A83,BAPTIS!$F$2:$F$1001,"&gt;="&amp;DATE(2026,1,1),BAPTIS!$F$2:$F$1001,"&lt;="&amp;DATE(2026,12,31)))</f>
        <v/>
      </c>
      <c r="E83" s="19">
        <f>IF($A83="","",COUNTIFS('DITERIMA MASUK'!$C$2:$C$1001,$A83,'DITERIMA MASUK'!$D$2:$D$1001,"&gt;="&amp;DATE(2026,1,1),'DITERIMA MASUK'!$D$2:$D$1001,"&lt;="&amp;DATE(2026,12,31)))</f>
        <v/>
      </c>
      <c r="F83" s="19">
        <f>IF($A83="","",COUNTIFS(MUTASI!$C$2:$C$1001,$A83,MUTASI!$D$2:$D$1001,"Masuk",MUTASI!$F$2:$F$1001,"Paroki lain dalam keuskupan",MUTASI!$E$2:$E$1001,"&gt;="&amp;DATE(2026,1,1),MUTASI!$E$2:$E$1001,"&lt;="&amp;DATE(2026,12,31)))</f>
        <v/>
      </c>
      <c r="G83" s="19">
        <f>IF($A83="","",COUNTIFS(MUTASI!$C$2:$C$1001,$A83,MUTASI!$D$2:$D$1001,"Masuk",MUTASI!$F$2:$F$1001,"Keuskupan lain",MUTASI!$E$2:$E$1001,"&gt;="&amp;DATE(2026,1,1),MUTASI!$E$2:$E$1001,"&lt;="&amp;DATE(2026,12,31)))</f>
        <v/>
      </c>
      <c r="H83" s="19">
        <f>IF($A83="","",COUNTIFS(KEMATIAN!$C$2:$C$1001,$A83,KEMATIAN!$F$2:$F$1001,"&gt;="&amp;DATE(2026,1,1),KEMATIAN!$F$2:$F$1001,"&lt;="&amp;DATE(2026,12,31)))</f>
        <v/>
      </c>
      <c r="I83" s="19">
        <f>IF($A83="","",COUNTIFS(MUTASI!$C$2:$C$1001,$A83,MUTASI!$D$2:$D$1001,"Keluar",MUTASI!$F$2:$F$1001,"Paroki lain dalam keuskupan",MUTASI!$E$2:$E$1001,"&gt;="&amp;DATE(2026,1,1),MUTASI!$E$2:$E$1001,"&lt;="&amp;DATE(2026,12,31)))</f>
        <v/>
      </c>
      <c r="J83" s="19">
        <f>IF($A83="","",COUNTIFS(MUTASI!$C$2:$C$1001,$A83,MUTASI!$D$2:$D$1001,"Keluar",MUTASI!$F$2:$F$1001,"Keuskupan lain",MUTASI!$E$2:$E$1001,"&gt;="&amp;DATE(2026,1,1),MUTASI!$E$2:$E$1001,"&lt;="&amp;DATE(2026,12,31)))</f>
        <v/>
      </c>
      <c r="K83" s="19">
        <f>IF($A83="","",COUNTIFS('PINDAH AGAMA'!$C$2:$C$1001,$A83,'PINDAH AGAMA'!$D$2:$D$1001,"&gt;="&amp;DATE(2026,1,1),'PINDAH AGAMA'!$D$2:$D$1001,"&lt;="&amp;DATE(2026,12,31)))</f>
        <v/>
      </c>
      <c r="L83" s="19">
        <f>IF($A83="","",D83+E83+F83+G83-H83-I83-J83-K83)</f>
        <v/>
      </c>
      <c r="M83" s="19">
        <f>IF($A83="","",COUNTIFS('KOMUNI PERTAMA'!$C$2:$C$1001,$A83,'KOMUNI PERTAMA'!$E$2:$E$1001,"&gt;="&amp;DATE(2026,1,1),'KOMUNI PERTAMA'!$E$2:$E$1001,"&lt;="&amp;DATE(2026,12,31)))</f>
        <v/>
      </c>
      <c r="N83" s="19">
        <f>IF($A83="","",COUNTIFS('PERKAWINAN GEREJANI'!$C$2:$C$1001,$A83,'PERKAWINAN GEREJANI'!$D$2:$D$1001,"&gt;="&amp;DATE(2026,1,1),'PERKAWINAN GEREJANI'!$D$2:$D$1001,"&lt;="&amp;DATE(2026,12,31)))</f>
        <v/>
      </c>
      <c r="O83" s="19">
        <f>IF($A83="","",COUNTIFS(PEMBUBARAN!$C$2:$C$1001,$A83,PEMBUBARAN!$D$2:$D$1001,"&gt;="&amp;DATE(2026,1,1),PEMBUBARAN!$D$2:$D$1001,"&lt;="&amp;DATE(2026,12,31)))</f>
        <v/>
      </c>
      <c r="P83" s="19">
        <f>IF($A83="","",COUNTIFS('PERMINYAKAN SUCI'!$C$2:$C$1001,$A83,'PERMINYAKAN SUCI'!$E$2:$E$1001,"&gt;="&amp;DATE(2026,1,1),'PERMINYAKAN SUCI'!$E$2:$E$1001,"&lt;="&amp;DATE(2026,12,31)))</f>
        <v/>
      </c>
      <c r="Q83" s="19">
        <f>IF($A83="","",H83)</f>
        <v/>
      </c>
      <c r="R83" s="19">
        <f>IF($A83="","",COUNTIFS('SEMINARI BIARA'!$C$2:$C$1001,$A83,'SEMINARI BIARA'!$F$2:$F$1001,"Mulai masuk 2026",'SEMINARI BIARA'!$G$2:$G$1001,"&gt;="&amp;DATE(2026,1,1),'SEMINARI BIARA'!$G$2:$G$1001,"&lt;="&amp;DATE(2026,12,31)))</f>
        <v/>
      </c>
      <c r="S83" s="19">
        <f>IF($A83="","",COUNTIFS('SEMINARI BIARA'!$C$2:$C$1001,$A83,'SEMINARI BIARA'!$F$2:$F$1001,"Sedang belajar 2026"))</f>
        <v/>
      </c>
    </row>
    <row r="84" ht="14.25" customHeight="1" s="37">
      <c r="A84" s="18" t="n"/>
      <c r="B84" s="19">
        <f>IF($A84="","",COUNTIF('DATA KK'!$E$2:$E$501,$A84))</f>
        <v/>
      </c>
      <c r="C84" s="19">
        <f>IF($A84="","",COUNTIF('DATA UMAT'!$H$2:$H$2001,$A84))</f>
        <v/>
      </c>
      <c r="D84" s="19">
        <f>IF($A84="","",COUNTIFS(BAPTIS!$C$2:$C$1001,$A84,BAPTIS!$F$2:$F$1001,"&gt;="&amp;DATE(2026,1,1),BAPTIS!$F$2:$F$1001,"&lt;="&amp;DATE(2026,12,31)))</f>
        <v/>
      </c>
      <c r="E84" s="19">
        <f>IF($A84="","",COUNTIFS('DITERIMA MASUK'!$C$2:$C$1001,$A84,'DITERIMA MASUK'!$D$2:$D$1001,"&gt;="&amp;DATE(2026,1,1),'DITERIMA MASUK'!$D$2:$D$1001,"&lt;="&amp;DATE(2026,12,31)))</f>
        <v/>
      </c>
      <c r="F84" s="19">
        <f>IF($A84="","",COUNTIFS(MUTASI!$C$2:$C$1001,$A84,MUTASI!$D$2:$D$1001,"Masuk",MUTASI!$F$2:$F$1001,"Paroki lain dalam keuskupan",MUTASI!$E$2:$E$1001,"&gt;="&amp;DATE(2026,1,1),MUTASI!$E$2:$E$1001,"&lt;="&amp;DATE(2026,12,31)))</f>
        <v/>
      </c>
      <c r="G84" s="19">
        <f>IF($A84="","",COUNTIFS(MUTASI!$C$2:$C$1001,$A84,MUTASI!$D$2:$D$1001,"Masuk",MUTASI!$F$2:$F$1001,"Keuskupan lain",MUTASI!$E$2:$E$1001,"&gt;="&amp;DATE(2026,1,1),MUTASI!$E$2:$E$1001,"&lt;="&amp;DATE(2026,12,31)))</f>
        <v/>
      </c>
      <c r="H84" s="19">
        <f>IF($A84="","",COUNTIFS(KEMATIAN!$C$2:$C$1001,$A84,KEMATIAN!$F$2:$F$1001,"&gt;="&amp;DATE(2026,1,1),KEMATIAN!$F$2:$F$1001,"&lt;="&amp;DATE(2026,12,31)))</f>
        <v/>
      </c>
      <c r="I84" s="19">
        <f>IF($A84="","",COUNTIFS(MUTASI!$C$2:$C$1001,$A84,MUTASI!$D$2:$D$1001,"Keluar",MUTASI!$F$2:$F$1001,"Paroki lain dalam keuskupan",MUTASI!$E$2:$E$1001,"&gt;="&amp;DATE(2026,1,1),MUTASI!$E$2:$E$1001,"&lt;="&amp;DATE(2026,12,31)))</f>
        <v/>
      </c>
      <c r="J84" s="19">
        <f>IF($A84="","",COUNTIFS(MUTASI!$C$2:$C$1001,$A84,MUTASI!$D$2:$D$1001,"Keluar",MUTASI!$F$2:$F$1001,"Keuskupan lain",MUTASI!$E$2:$E$1001,"&gt;="&amp;DATE(2026,1,1),MUTASI!$E$2:$E$1001,"&lt;="&amp;DATE(2026,12,31)))</f>
        <v/>
      </c>
      <c r="K84" s="19">
        <f>IF($A84="","",COUNTIFS('PINDAH AGAMA'!$C$2:$C$1001,$A84,'PINDAH AGAMA'!$D$2:$D$1001,"&gt;="&amp;DATE(2026,1,1),'PINDAH AGAMA'!$D$2:$D$1001,"&lt;="&amp;DATE(2026,12,31)))</f>
        <v/>
      </c>
      <c r="L84" s="19">
        <f>IF($A84="","",D84+E84+F84+G84-H84-I84-J84-K84)</f>
        <v/>
      </c>
      <c r="M84" s="19">
        <f>IF($A84="","",COUNTIFS('KOMUNI PERTAMA'!$C$2:$C$1001,$A84,'KOMUNI PERTAMA'!$E$2:$E$1001,"&gt;="&amp;DATE(2026,1,1),'KOMUNI PERTAMA'!$E$2:$E$1001,"&lt;="&amp;DATE(2026,12,31)))</f>
        <v/>
      </c>
      <c r="N84" s="19">
        <f>IF($A84="","",COUNTIFS('PERKAWINAN GEREJANI'!$C$2:$C$1001,$A84,'PERKAWINAN GEREJANI'!$D$2:$D$1001,"&gt;="&amp;DATE(2026,1,1),'PERKAWINAN GEREJANI'!$D$2:$D$1001,"&lt;="&amp;DATE(2026,12,31)))</f>
        <v/>
      </c>
      <c r="O84" s="19">
        <f>IF($A84="","",COUNTIFS(PEMBUBARAN!$C$2:$C$1001,$A84,PEMBUBARAN!$D$2:$D$1001,"&gt;="&amp;DATE(2026,1,1),PEMBUBARAN!$D$2:$D$1001,"&lt;="&amp;DATE(2026,12,31)))</f>
        <v/>
      </c>
      <c r="P84" s="19">
        <f>IF($A84="","",COUNTIFS('PERMINYAKAN SUCI'!$C$2:$C$1001,$A84,'PERMINYAKAN SUCI'!$E$2:$E$1001,"&gt;="&amp;DATE(2026,1,1),'PERMINYAKAN SUCI'!$E$2:$E$1001,"&lt;="&amp;DATE(2026,12,31)))</f>
        <v/>
      </c>
      <c r="Q84" s="19">
        <f>IF($A84="","",H84)</f>
        <v/>
      </c>
      <c r="R84" s="19">
        <f>IF($A84="","",COUNTIFS('SEMINARI BIARA'!$C$2:$C$1001,$A84,'SEMINARI BIARA'!$F$2:$F$1001,"Mulai masuk 2026",'SEMINARI BIARA'!$G$2:$G$1001,"&gt;="&amp;DATE(2026,1,1),'SEMINARI BIARA'!$G$2:$G$1001,"&lt;="&amp;DATE(2026,12,31)))</f>
        <v/>
      </c>
      <c r="S84" s="19">
        <f>IF($A84="","",COUNTIFS('SEMINARI BIARA'!$C$2:$C$1001,$A84,'SEMINARI BIARA'!$F$2:$F$1001,"Sedang belajar 2026"))</f>
        <v/>
      </c>
    </row>
    <row r="85" ht="14.25" customHeight="1" s="37">
      <c r="A85" s="18" t="n"/>
      <c r="B85" s="19">
        <f>IF($A85="","",COUNTIF('DATA KK'!$E$2:$E$501,$A85))</f>
        <v/>
      </c>
      <c r="C85" s="19">
        <f>IF($A85="","",COUNTIF('DATA UMAT'!$H$2:$H$2001,$A85))</f>
        <v/>
      </c>
      <c r="D85" s="19">
        <f>IF($A85="","",COUNTIFS(BAPTIS!$C$2:$C$1001,$A85,BAPTIS!$F$2:$F$1001,"&gt;="&amp;DATE(2026,1,1),BAPTIS!$F$2:$F$1001,"&lt;="&amp;DATE(2026,12,31)))</f>
        <v/>
      </c>
      <c r="E85" s="19">
        <f>IF($A85="","",COUNTIFS('DITERIMA MASUK'!$C$2:$C$1001,$A85,'DITERIMA MASUK'!$D$2:$D$1001,"&gt;="&amp;DATE(2026,1,1),'DITERIMA MASUK'!$D$2:$D$1001,"&lt;="&amp;DATE(2026,12,31)))</f>
        <v/>
      </c>
      <c r="F85" s="19">
        <f>IF($A85="","",COUNTIFS(MUTASI!$C$2:$C$1001,$A85,MUTASI!$D$2:$D$1001,"Masuk",MUTASI!$F$2:$F$1001,"Paroki lain dalam keuskupan",MUTASI!$E$2:$E$1001,"&gt;="&amp;DATE(2026,1,1),MUTASI!$E$2:$E$1001,"&lt;="&amp;DATE(2026,12,31)))</f>
        <v/>
      </c>
      <c r="G85" s="19">
        <f>IF($A85="","",COUNTIFS(MUTASI!$C$2:$C$1001,$A85,MUTASI!$D$2:$D$1001,"Masuk",MUTASI!$F$2:$F$1001,"Keuskupan lain",MUTASI!$E$2:$E$1001,"&gt;="&amp;DATE(2026,1,1),MUTASI!$E$2:$E$1001,"&lt;="&amp;DATE(2026,12,31)))</f>
        <v/>
      </c>
      <c r="H85" s="19">
        <f>IF($A85="","",COUNTIFS(KEMATIAN!$C$2:$C$1001,$A85,KEMATIAN!$F$2:$F$1001,"&gt;="&amp;DATE(2026,1,1),KEMATIAN!$F$2:$F$1001,"&lt;="&amp;DATE(2026,12,31)))</f>
        <v/>
      </c>
      <c r="I85" s="19">
        <f>IF($A85="","",COUNTIFS(MUTASI!$C$2:$C$1001,$A85,MUTASI!$D$2:$D$1001,"Keluar",MUTASI!$F$2:$F$1001,"Paroki lain dalam keuskupan",MUTASI!$E$2:$E$1001,"&gt;="&amp;DATE(2026,1,1),MUTASI!$E$2:$E$1001,"&lt;="&amp;DATE(2026,12,31)))</f>
        <v/>
      </c>
      <c r="J85" s="19">
        <f>IF($A85="","",COUNTIFS(MUTASI!$C$2:$C$1001,$A85,MUTASI!$D$2:$D$1001,"Keluar",MUTASI!$F$2:$F$1001,"Keuskupan lain",MUTASI!$E$2:$E$1001,"&gt;="&amp;DATE(2026,1,1),MUTASI!$E$2:$E$1001,"&lt;="&amp;DATE(2026,12,31)))</f>
        <v/>
      </c>
      <c r="K85" s="19">
        <f>IF($A85="","",COUNTIFS('PINDAH AGAMA'!$C$2:$C$1001,$A85,'PINDAH AGAMA'!$D$2:$D$1001,"&gt;="&amp;DATE(2026,1,1),'PINDAH AGAMA'!$D$2:$D$1001,"&lt;="&amp;DATE(2026,12,31)))</f>
        <v/>
      </c>
      <c r="L85" s="19">
        <f>IF($A85="","",D85+E85+F85+G85-H85-I85-J85-K85)</f>
        <v/>
      </c>
      <c r="M85" s="19">
        <f>IF($A85="","",COUNTIFS('KOMUNI PERTAMA'!$C$2:$C$1001,$A85,'KOMUNI PERTAMA'!$E$2:$E$1001,"&gt;="&amp;DATE(2026,1,1),'KOMUNI PERTAMA'!$E$2:$E$1001,"&lt;="&amp;DATE(2026,12,31)))</f>
        <v/>
      </c>
      <c r="N85" s="19">
        <f>IF($A85="","",COUNTIFS('PERKAWINAN GEREJANI'!$C$2:$C$1001,$A85,'PERKAWINAN GEREJANI'!$D$2:$D$1001,"&gt;="&amp;DATE(2026,1,1),'PERKAWINAN GEREJANI'!$D$2:$D$1001,"&lt;="&amp;DATE(2026,12,31)))</f>
        <v/>
      </c>
      <c r="O85" s="19">
        <f>IF($A85="","",COUNTIFS(PEMBUBARAN!$C$2:$C$1001,$A85,PEMBUBARAN!$D$2:$D$1001,"&gt;="&amp;DATE(2026,1,1),PEMBUBARAN!$D$2:$D$1001,"&lt;="&amp;DATE(2026,12,31)))</f>
        <v/>
      </c>
      <c r="P85" s="19">
        <f>IF($A85="","",COUNTIFS('PERMINYAKAN SUCI'!$C$2:$C$1001,$A85,'PERMINYAKAN SUCI'!$E$2:$E$1001,"&gt;="&amp;DATE(2026,1,1),'PERMINYAKAN SUCI'!$E$2:$E$1001,"&lt;="&amp;DATE(2026,12,31)))</f>
        <v/>
      </c>
      <c r="Q85" s="19">
        <f>IF($A85="","",H85)</f>
        <v/>
      </c>
      <c r="R85" s="19">
        <f>IF($A85="","",COUNTIFS('SEMINARI BIARA'!$C$2:$C$1001,$A85,'SEMINARI BIARA'!$F$2:$F$1001,"Mulai masuk 2026",'SEMINARI BIARA'!$G$2:$G$1001,"&gt;="&amp;DATE(2026,1,1),'SEMINARI BIARA'!$G$2:$G$1001,"&lt;="&amp;DATE(2026,12,31)))</f>
        <v/>
      </c>
      <c r="S85" s="19">
        <f>IF($A85="","",COUNTIFS('SEMINARI BIARA'!$C$2:$C$1001,$A85,'SEMINARI BIARA'!$F$2:$F$1001,"Sedang belajar 2026"))</f>
        <v/>
      </c>
    </row>
    <row r="86" ht="14.25" customHeight="1" s="37">
      <c r="A86" s="18" t="n"/>
      <c r="B86" s="19">
        <f>IF($A86="","",COUNTIF('DATA KK'!$E$2:$E$501,$A86))</f>
        <v/>
      </c>
      <c r="C86" s="19">
        <f>IF($A86="","",COUNTIF('DATA UMAT'!$H$2:$H$2001,$A86))</f>
        <v/>
      </c>
      <c r="D86" s="19">
        <f>IF($A86="","",COUNTIFS(BAPTIS!$C$2:$C$1001,$A86,BAPTIS!$F$2:$F$1001,"&gt;="&amp;DATE(2026,1,1),BAPTIS!$F$2:$F$1001,"&lt;="&amp;DATE(2026,12,31)))</f>
        <v/>
      </c>
      <c r="E86" s="19">
        <f>IF($A86="","",COUNTIFS('DITERIMA MASUK'!$C$2:$C$1001,$A86,'DITERIMA MASUK'!$D$2:$D$1001,"&gt;="&amp;DATE(2026,1,1),'DITERIMA MASUK'!$D$2:$D$1001,"&lt;="&amp;DATE(2026,12,31)))</f>
        <v/>
      </c>
      <c r="F86" s="19">
        <f>IF($A86="","",COUNTIFS(MUTASI!$C$2:$C$1001,$A86,MUTASI!$D$2:$D$1001,"Masuk",MUTASI!$F$2:$F$1001,"Paroki lain dalam keuskupan",MUTASI!$E$2:$E$1001,"&gt;="&amp;DATE(2026,1,1),MUTASI!$E$2:$E$1001,"&lt;="&amp;DATE(2026,12,31)))</f>
        <v/>
      </c>
      <c r="G86" s="19">
        <f>IF($A86="","",COUNTIFS(MUTASI!$C$2:$C$1001,$A86,MUTASI!$D$2:$D$1001,"Masuk",MUTASI!$F$2:$F$1001,"Keuskupan lain",MUTASI!$E$2:$E$1001,"&gt;="&amp;DATE(2026,1,1),MUTASI!$E$2:$E$1001,"&lt;="&amp;DATE(2026,12,31)))</f>
        <v/>
      </c>
      <c r="H86" s="19">
        <f>IF($A86="","",COUNTIFS(KEMATIAN!$C$2:$C$1001,$A86,KEMATIAN!$F$2:$F$1001,"&gt;="&amp;DATE(2026,1,1),KEMATIAN!$F$2:$F$1001,"&lt;="&amp;DATE(2026,12,31)))</f>
        <v/>
      </c>
      <c r="I86" s="19">
        <f>IF($A86="","",COUNTIFS(MUTASI!$C$2:$C$1001,$A86,MUTASI!$D$2:$D$1001,"Keluar",MUTASI!$F$2:$F$1001,"Paroki lain dalam keuskupan",MUTASI!$E$2:$E$1001,"&gt;="&amp;DATE(2026,1,1),MUTASI!$E$2:$E$1001,"&lt;="&amp;DATE(2026,12,31)))</f>
        <v/>
      </c>
      <c r="J86" s="19">
        <f>IF($A86="","",COUNTIFS(MUTASI!$C$2:$C$1001,$A86,MUTASI!$D$2:$D$1001,"Keluar",MUTASI!$F$2:$F$1001,"Keuskupan lain",MUTASI!$E$2:$E$1001,"&gt;="&amp;DATE(2026,1,1),MUTASI!$E$2:$E$1001,"&lt;="&amp;DATE(2026,12,31)))</f>
        <v/>
      </c>
      <c r="K86" s="19">
        <f>IF($A86="","",COUNTIFS('PINDAH AGAMA'!$C$2:$C$1001,$A86,'PINDAH AGAMA'!$D$2:$D$1001,"&gt;="&amp;DATE(2026,1,1),'PINDAH AGAMA'!$D$2:$D$1001,"&lt;="&amp;DATE(2026,12,31)))</f>
        <v/>
      </c>
      <c r="L86" s="19">
        <f>IF($A86="","",D86+E86+F86+G86-H86-I86-J86-K86)</f>
        <v/>
      </c>
      <c r="M86" s="19">
        <f>IF($A86="","",COUNTIFS('KOMUNI PERTAMA'!$C$2:$C$1001,$A86,'KOMUNI PERTAMA'!$E$2:$E$1001,"&gt;="&amp;DATE(2026,1,1),'KOMUNI PERTAMA'!$E$2:$E$1001,"&lt;="&amp;DATE(2026,12,31)))</f>
        <v/>
      </c>
      <c r="N86" s="19">
        <f>IF($A86="","",COUNTIFS('PERKAWINAN GEREJANI'!$C$2:$C$1001,$A86,'PERKAWINAN GEREJANI'!$D$2:$D$1001,"&gt;="&amp;DATE(2026,1,1),'PERKAWINAN GEREJANI'!$D$2:$D$1001,"&lt;="&amp;DATE(2026,12,31)))</f>
        <v/>
      </c>
      <c r="O86" s="19">
        <f>IF($A86="","",COUNTIFS(PEMBUBARAN!$C$2:$C$1001,$A86,PEMBUBARAN!$D$2:$D$1001,"&gt;="&amp;DATE(2026,1,1),PEMBUBARAN!$D$2:$D$1001,"&lt;="&amp;DATE(2026,12,31)))</f>
        <v/>
      </c>
      <c r="P86" s="19">
        <f>IF($A86="","",COUNTIFS('PERMINYAKAN SUCI'!$C$2:$C$1001,$A86,'PERMINYAKAN SUCI'!$E$2:$E$1001,"&gt;="&amp;DATE(2026,1,1),'PERMINYAKAN SUCI'!$E$2:$E$1001,"&lt;="&amp;DATE(2026,12,31)))</f>
        <v/>
      </c>
      <c r="Q86" s="19">
        <f>IF($A86="","",H86)</f>
        <v/>
      </c>
      <c r="R86" s="19">
        <f>IF($A86="","",COUNTIFS('SEMINARI BIARA'!$C$2:$C$1001,$A86,'SEMINARI BIARA'!$F$2:$F$1001,"Mulai masuk 2026",'SEMINARI BIARA'!$G$2:$G$1001,"&gt;="&amp;DATE(2026,1,1),'SEMINARI BIARA'!$G$2:$G$1001,"&lt;="&amp;DATE(2026,12,31)))</f>
        <v/>
      </c>
      <c r="S86" s="19">
        <f>IF($A86="","",COUNTIFS('SEMINARI BIARA'!$C$2:$C$1001,$A86,'SEMINARI BIARA'!$F$2:$F$1001,"Sedang belajar 2026"))</f>
        <v/>
      </c>
    </row>
    <row r="87" ht="14.25" customHeight="1" s="37">
      <c r="A87" s="18" t="n"/>
      <c r="B87" s="19">
        <f>IF($A87="","",COUNTIF('DATA KK'!$E$2:$E$501,$A87))</f>
        <v/>
      </c>
      <c r="C87" s="19">
        <f>IF($A87="","",COUNTIF('DATA UMAT'!$H$2:$H$2001,$A87))</f>
        <v/>
      </c>
      <c r="D87" s="19">
        <f>IF($A87="","",COUNTIFS(BAPTIS!$C$2:$C$1001,$A87,BAPTIS!$F$2:$F$1001,"&gt;="&amp;DATE(2026,1,1),BAPTIS!$F$2:$F$1001,"&lt;="&amp;DATE(2026,12,31)))</f>
        <v/>
      </c>
      <c r="E87" s="19">
        <f>IF($A87="","",COUNTIFS('DITERIMA MASUK'!$C$2:$C$1001,$A87,'DITERIMA MASUK'!$D$2:$D$1001,"&gt;="&amp;DATE(2026,1,1),'DITERIMA MASUK'!$D$2:$D$1001,"&lt;="&amp;DATE(2026,12,31)))</f>
        <v/>
      </c>
      <c r="F87" s="19">
        <f>IF($A87="","",COUNTIFS(MUTASI!$C$2:$C$1001,$A87,MUTASI!$D$2:$D$1001,"Masuk",MUTASI!$F$2:$F$1001,"Paroki lain dalam keuskupan",MUTASI!$E$2:$E$1001,"&gt;="&amp;DATE(2026,1,1),MUTASI!$E$2:$E$1001,"&lt;="&amp;DATE(2026,12,31)))</f>
        <v/>
      </c>
      <c r="G87" s="19">
        <f>IF($A87="","",COUNTIFS(MUTASI!$C$2:$C$1001,$A87,MUTASI!$D$2:$D$1001,"Masuk",MUTASI!$F$2:$F$1001,"Keuskupan lain",MUTASI!$E$2:$E$1001,"&gt;="&amp;DATE(2026,1,1),MUTASI!$E$2:$E$1001,"&lt;="&amp;DATE(2026,12,31)))</f>
        <v/>
      </c>
      <c r="H87" s="19">
        <f>IF($A87="","",COUNTIFS(KEMATIAN!$C$2:$C$1001,$A87,KEMATIAN!$F$2:$F$1001,"&gt;="&amp;DATE(2026,1,1),KEMATIAN!$F$2:$F$1001,"&lt;="&amp;DATE(2026,12,31)))</f>
        <v/>
      </c>
      <c r="I87" s="19">
        <f>IF($A87="","",COUNTIFS(MUTASI!$C$2:$C$1001,$A87,MUTASI!$D$2:$D$1001,"Keluar",MUTASI!$F$2:$F$1001,"Paroki lain dalam keuskupan",MUTASI!$E$2:$E$1001,"&gt;="&amp;DATE(2026,1,1),MUTASI!$E$2:$E$1001,"&lt;="&amp;DATE(2026,12,31)))</f>
        <v/>
      </c>
      <c r="J87" s="19">
        <f>IF($A87="","",COUNTIFS(MUTASI!$C$2:$C$1001,$A87,MUTASI!$D$2:$D$1001,"Keluar",MUTASI!$F$2:$F$1001,"Keuskupan lain",MUTASI!$E$2:$E$1001,"&gt;="&amp;DATE(2026,1,1),MUTASI!$E$2:$E$1001,"&lt;="&amp;DATE(2026,12,31)))</f>
        <v/>
      </c>
      <c r="K87" s="19">
        <f>IF($A87="","",COUNTIFS('PINDAH AGAMA'!$C$2:$C$1001,$A87,'PINDAH AGAMA'!$D$2:$D$1001,"&gt;="&amp;DATE(2026,1,1),'PINDAH AGAMA'!$D$2:$D$1001,"&lt;="&amp;DATE(2026,12,31)))</f>
        <v/>
      </c>
      <c r="L87" s="19">
        <f>IF($A87="","",D87+E87+F87+G87-H87-I87-J87-K87)</f>
        <v/>
      </c>
      <c r="M87" s="19">
        <f>IF($A87="","",COUNTIFS('KOMUNI PERTAMA'!$C$2:$C$1001,$A87,'KOMUNI PERTAMA'!$E$2:$E$1001,"&gt;="&amp;DATE(2026,1,1),'KOMUNI PERTAMA'!$E$2:$E$1001,"&lt;="&amp;DATE(2026,12,31)))</f>
        <v/>
      </c>
      <c r="N87" s="19">
        <f>IF($A87="","",COUNTIFS('PERKAWINAN GEREJANI'!$C$2:$C$1001,$A87,'PERKAWINAN GEREJANI'!$D$2:$D$1001,"&gt;="&amp;DATE(2026,1,1),'PERKAWINAN GEREJANI'!$D$2:$D$1001,"&lt;="&amp;DATE(2026,12,31)))</f>
        <v/>
      </c>
      <c r="O87" s="19">
        <f>IF($A87="","",COUNTIFS(PEMBUBARAN!$C$2:$C$1001,$A87,PEMBUBARAN!$D$2:$D$1001,"&gt;="&amp;DATE(2026,1,1),PEMBUBARAN!$D$2:$D$1001,"&lt;="&amp;DATE(2026,12,31)))</f>
        <v/>
      </c>
      <c r="P87" s="19">
        <f>IF($A87="","",COUNTIFS('PERMINYAKAN SUCI'!$C$2:$C$1001,$A87,'PERMINYAKAN SUCI'!$E$2:$E$1001,"&gt;="&amp;DATE(2026,1,1),'PERMINYAKAN SUCI'!$E$2:$E$1001,"&lt;="&amp;DATE(2026,12,31)))</f>
        <v/>
      </c>
      <c r="Q87" s="19">
        <f>IF($A87="","",H87)</f>
        <v/>
      </c>
      <c r="R87" s="19">
        <f>IF($A87="","",COUNTIFS('SEMINARI BIARA'!$C$2:$C$1001,$A87,'SEMINARI BIARA'!$F$2:$F$1001,"Mulai masuk 2026",'SEMINARI BIARA'!$G$2:$G$1001,"&gt;="&amp;DATE(2026,1,1),'SEMINARI BIARA'!$G$2:$G$1001,"&lt;="&amp;DATE(2026,12,31)))</f>
        <v/>
      </c>
      <c r="S87" s="19">
        <f>IF($A87="","",COUNTIFS('SEMINARI BIARA'!$C$2:$C$1001,$A87,'SEMINARI BIARA'!$F$2:$F$1001,"Sedang belajar 2026"))</f>
        <v/>
      </c>
    </row>
    <row r="88" ht="14.25" customHeight="1" s="37">
      <c r="A88" s="18" t="n"/>
      <c r="B88" s="19">
        <f>IF($A88="","",COUNTIF('DATA KK'!$E$2:$E$501,$A88))</f>
        <v/>
      </c>
      <c r="C88" s="19">
        <f>IF($A88="","",COUNTIF('DATA UMAT'!$H$2:$H$2001,$A88))</f>
        <v/>
      </c>
      <c r="D88" s="19">
        <f>IF($A88="","",COUNTIFS(BAPTIS!$C$2:$C$1001,$A88,BAPTIS!$F$2:$F$1001,"&gt;="&amp;DATE(2026,1,1),BAPTIS!$F$2:$F$1001,"&lt;="&amp;DATE(2026,12,31)))</f>
        <v/>
      </c>
      <c r="E88" s="19">
        <f>IF($A88="","",COUNTIFS('DITERIMA MASUK'!$C$2:$C$1001,$A88,'DITERIMA MASUK'!$D$2:$D$1001,"&gt;="&amp;DATE(2026,1,1),'DITERIMA MASUK'!$D$2:$D$1001,"&lt;="&amp;DATE(2026,12,31)))</f>
        <v/>
      </c>
      <c r="F88" s="19">
        <f>IF($A88="","",COUNTIFS(MUTASI!$C$2:$C$1001,$A88,MUTASI!$D$2:$D$1001,"Masuk",MUTASI!$F$2:$F$1001,"Paroki lain dalam keuskupan",MUTASI!$E$2:$E$1001,"&gt;="&amp;DATE(2026,1,1),MUTASI!$E$2:$E$1001,"&lt;="&amp;DATE(2026,12,31)))</f>
        <v/>
      </c>
      <c r="G88" s="19">
        <f>IF($A88="","",COUNTIFS(MUTASI!$C$2:$C$1001,$A88,MUTASI!$D$2:$D$1001,"Masuk",MUTASI!$F$2:$F$1001,"Keuskupan lain",MUTASI!$E$2:$E$1001,"&gt;="&amp;DATE(2026,1,1),MUTASI!$E$2:$E$1001,"&lt;="&amp;DATE(2026,12,31)))</f>
        <v/>
      </c>
      <c r="H88" s="19">
        <f>IF($A88="","",COUNTIFS(KEMATIAN!$C$2:$C$1001,$A88,KEMATIAN!$F$2:$F$1001,"&gt;="&amp;DATE(2026,1,1),KEMATIAN!$F$2:$F$1001,"&lt;="&amp;DATE(2026,12,31)))</f>
        <v/>
      </c>
      <c r="I88" s="19">
        <f>IF($A88="","",COUNTIFS(MUTASI!$C$2:$C$1001,$A88,MUTASI!$D$2:$D$1001,"Keluar",MUTASI!$F$2:$F$1001,"Paroki lain dalam keuskupan",MUTASI!$E$2:$E$1001,"&gt;="&amp;DATE(2026,1,1),MUTASI!$E$2:$E$1001,"&lt;="&amp;DATE(2026,12,31)))</f>
        <v/>
      </c>
      <c r="J88" s="19">
        <f>IF($A88="","",COUNTIFS(MUTASI!$C$2:$C$1001,$A88,MUTASI!$D$2:$D$1001,"Keluar",MUTASI!$F$2:$F$1001,"Keuskupan lain",MUTASI!$E$2:$E$1001,"&gt;="&amp;DATE(2026,1,1),MUTASI!$E$2:$E$1001,"&lt;="&amp;DATE(2026,12,31)))</f>
        <v/>
      </c>
      <c r="K88" s="19">
        <f>IF($A88="","",COUNTIFS('PINDAH AGAMA'!$C$2:$C$1001,$A88,'PINDAH AGAMA'!$D$2:$D$1001,"&gt;="&amp;DATE(2026,1,1),'PINDAH AGAMA'!$D$2:$D$1001,"&lt;="&amp;DATE(2026,12,31)))</f>
        <v/>
      </c>
      <c r="L88" s="19">
        <f>IF($A88="","",D88+E88+F88+G88-H88-I88-J88-K88)</f>
        <v/>
      </c>
      <c r="M88" s="19">
        <f>IF($A88="","",COUNTIFS('KOMUNI PERTAMA'!$C$2:$C$1001,$A88,'KOMUNI PERTAMA'!$E$2:$E$1001,"&gt;="&amp;DATE(2026,1,1),'KOMUNI PERTAMA'!$E$2:$E$1001,"&lt;="&amp;DATE(2026,12,31)))</f>
        <v/>
      </c>
      <c r="N88" s="19">
        <f>IF($A88="","",COUNTIFS('PERKAWINAN GEREJANI'!$C$2:$C$1001,$A88,'PERKAWINAN GEREJANI'!$D$2:$D$1001,"&gt;="&amp;DATE(2026,1,1),'PERKAWINAN GEREJANI'!$D$2:$D$1001,"&lt;="&amp;DATE(2026,12,31)))</f>
        <v/>
      </c>
      <c r="O88" s="19">
        <f>IF($A88="","",COUNTIFS(PEMBUBARAN!$C$2:$C$1001,$A88,PEMBUBARAN!$D$2:$D$1001,"&gt;="&amp;DATE(2026,1,1),PEMBUBARAN!$D$2:$D$1001,"&lt;="&amp;DATE(2026,12,31)))</f>
        <v/>
      </c>
      <c r="P88" s="19">
        <f>IF($A88="","",COUNTIFS('PERMINYAKAN SUCI'!$C$2:$C$1001,$A88,'PERMINYAKAN SUCI'!$E$2:$E$1001,"&gt;="&amp;DATE(2026,1,1),'PERMINYAKAN SUCI'!$E$2:$E$1001,"&lt;="&amp;DATE(2026,12,31)))</f>
        <v/>
      </c>
      <c r="Q88" s="19">
        <f>IF($A88="","",H88)</f>
        <v/>
      </c>
      <c r="R88" s="19">
        <f>IF($A88="","",COUNTIFS('SEMINARI BIARA'!$C$2:$C$1001,$A88,'SEMINARI BIARA'!$F$2:$F$1001,"Mulai masuk 2026",'SEMINARI BIARA'!$G$2:$G$1001,"&gt;="&amp;DATE(2026,1,1),'SEMINARI BIARA'!$G$2:$G$1001,"&lt;="&amp;DATE(2026,12,31)))</f>
        <v/>
      </c>
      <c r="S88" s="19">
        <f>IF($A88="","",COUNTIFS('SEMINARI BIARA'!$C$2:$C$1001,$A88,'SEMINARI BIARA'!$F$2:$F$1001,"Sedang belajar 2026"))</f>
        <v/>
      </c>
    </row>
    <row r="89" ht="14.25" customHeight="1" s="37">
      <c r="A89" s="18" t="n"/>
      <c r="B89" s="19">
        <f>IF($A89="","",COUNTIF('DATA KK'!$E$2:$E$501,$A89))</f>
        <v/>
      </c>
      <c r="C89" s="19">
        <f>IF($A89="","",COUNTIF('DATA UMAT'!$H$2:$H$2001,$A89))</f>
        <v/>
      </c>
      <c r="D89" s="19">
        <f>IF($A89="","",COUNTIFS(BAPTIS!$C$2:$C$1001,$A89,BAPTIS!$F$2:$F$1001,"&gt;="&amp;DATE(2026,1,1),BAPTIS!$F$2:$F$1001,"&lt;="&amp;DATE(2026,12,31)))</f>
        <v/>
      </c>
      <c r="E89" s="19">
        <f>IF($A89="","",COUNTIFS('DITERIMA MASUK'!$C$2:$C$1001,$A89,'DITERIMA MASUK'!$D$2:$D$1001,"&gt;="&amp;DATE(2026,1,1),'DITERIMA MASUK'!$D$2:$D$1001,"&lt;="&amp;DATE(2026,12,31)))</f>
        <v/>
      </c>
      <c r="F89" s="19">
        <f>IF($A89="","",COUNTIFS(MUTASI!$C$2:$C$1001,$A89,MUTASI!$D$2:$D$1001,"Masuk",MUTASI!$F$2:$F$1001,"Paroki lain dalam keuskupan",MUTASI!$E$2:$E$1001,"&gt;="&amp;DATE(2026,1,1),MUTASI!$E$2:$E$1001,"&lt;="&amp;DATE(2026,12,31)))</f>
        <v/>
      </c>
      <c r="G89" s="19">
        <f>IF($A89="","",COUNTIFS(MUTASI!$C$2:$C$1001,$A89,MUTASI!$D$2:$D$1001,"Masuk",MUTASI!$F$2:$F$1001,"Keuskupan lain",MUTASI!$E$2:$E$1001,"&gt;="&amp;DATE(2026,1,1),MUTASI!$E$2:$E$1001,"&lt;="&amp;DATE(2026,12,31)))</f>
        <v/>
      </c>
      <c r="H89" s="19">
        <f>IF($A89="","",COUNTIFS(KEMATIAN!$C$2:$C$1001,$A89,KEMATIAN!$F$2:$F$1001,"&gt;="&amp;DATE(2026,1,1),KEMATIAN!$F$2:$F$1001,"&lt;="&amp;DATE(2026,12,31)))</f>
        <v/>
      </c>
      <c r="I89" s="19">
        <f>IF($A89="","",COUNTIFS(MUTASI!$C$2:$C$1001,$A89,MUTASI!$D$2:$D$1001,"Keluar",MUTASI!$F$2:$F$1001,"Paroki lain dalam keuskupan",MUTASI!$E$2:$E$1001,"&gt;="&amp;DATE(2026,1,1),MUTASI!$E$2:$E$1001,"&lt;="&amp;DATE(2026,12,31)))</f>
        <v/>
      </c>
      <c r="J89" s="19">
        <f>IF($A89="","",COUNTIFS(MUTASI!$C$2:$C$1001,$A89,MUTASI!$D$2:$D$1001,"Keluar",MUTASI!$F$2:$F$1001,"Keuskupan lain",MUTASI!$E$2:$E$1001,"&gt;="&amp;DATE(2026,1,1),MUTASI!$E$2:$E$1001,"&lt;="&amp;DATE(2026,12,31)))</f>
        <v/>
      </c>
      <c r="K89" s="19">
        <f>IF($A89="","",COUNTIFS('PINDAH AGAMA'!$C$2:$C$1001,$A89,'PINDAH AGAMA'!$D$2:$D$1001,"&gt;="&amp;DATE(2026,1,1),'PINDAH AGAMA'!$D$2:$D$1001,"&lt;="&amp;DATE(2026,12,31)))</f>
        <v/>
      </c>
      <c r="L89" s="19">
        <f>IF($A89="","",D89+E89+F89+G89-H89-I89-J89-K89)</f>
        <v/>
      </c>
      <c r="M89" s="19">
        <f>IF($A89="","",COUNTIFS('KOMUNI PERTAMA'!$C$2:$C$1001,$A89,'KOMUNI PERTAMA'!$E$2:$E$1001,"&gt;="&amp;DATE(2026,1,1),'KOMUNI PERTAMA'!$E$2:$E$1001,"&lt;="&amp;DATE(2026,12,31)))</f>
        <v/>
      </c>
      <c r="N89" s="19">
        <f>IF($A89="","",COUNTIFS('PERKAWINAN GEREJANI'!$C$2:$C$1001,$A89,'PERKAWINAN GEREJANI'!$D$2:$D$1001,"&gt;="&amp;DATE(2026,1,1),'PERKAWINAN GEREJANI'!$D$2:$D$1001,"&lt;="&amp;DATE(2026,12,31)))</f>
        <v/>
      </c>
      <c r="O89" s="19">
        <f>IF($A89="","",COUNTIFS(PEMBUBARAN!$C$2:$C$1001,$A89,PEMBUBARAN!$D$2:$D$1001,"&gt;="&amp;DATE(2026,1,1),PEMBUBARAN!$D$2:$D$1001,"&lt;="&amp;DATE(2026,12,31)))</f>
        <v/>
      </c>
      <c r="P89" s="19">
        <f>IF($A89="","",COUNTIFS('PERMINYAKAN SUCI'!$C$2:$C$1001,$A89,'PERMINYAKAN SUCI'!$E$2:$E$1001,"&gt;="&amp;DATE(2026,1,1),'PERMINYAKAN SUCI'!$E$2:$E$1001,"&lt;="&amp;DATE(2026,12,31)))</f>
        <v/>
      </c>
      <c r="Q89" s="19">
        <f>IF($A89="","",H89)</f>
        <v/>
      </c>
      <c r="R89" s="19">
        <f>IF($A89="","",COUNTIFS('SEMINARI BIARA'!$C$2:$C$1001,$A89,'SEMINARI BIARA'!$F$2:$F$1001,"Mulai masuk 2026",'SEMINARI BIARA'!$G$2:$G$1001,"&gt;="&amp;DATE(2026,1,1),'SEMINARI BIARA'!$G$2:$G$1001,"&lt;="&amp;DATE(2026,12,31)))</f>
        <v/>
      </c>
      <c r="S89" s="19">
        <f>IF($A89="","",COUNTIFS('SEMINARI BIARA'!$C$2:$C$1001,$A89,'SEMINARI BIARA'!$F$2:$F$1001,"Sedang belajar 2026"))</f>
        <v/>
      </c>
    </row>
    <row r="90" ht="14.25" customHeight="1" s="37">
      <c r="A90" s="18" t="n"/>
      <c r="B90" s="19">
        <f>IF($A90="","",COUNTIF('DATA KK'!$E$2:$E$501,$A90))</f>
        <v/>
      </c>
      <c r="C90" s="19">
        <f>IF($A90="","",COUNTIF('DATA UMAT'!$H$2:$H$2001,$A90))</f>
        <v/>
      </c>
      <c r="D90" s="19">
        <f>IF($A90="","",COUNTIFS(BAPTIS!$C$2:$C$1001,$A90,BAPTIS!$F$2:$F$1001,"&gt;="&amp;DATE(2026,1,1),BAPTIS!$F$2:$F$1001,"&lt;="&amp;DATE(2026,12,31)))</f>
        <v/>
      </c>
      <c r="E90" s="19">
        <f>IF($A90="","",COUNTIFS('DITERIMA MASUK'!$C$2:$C$1001,$A90,'DITERIMA MASUK'!$D$2:$D$1001,"&gt;="&amp;DATE(2026,1,1),'DITERIMA MASUK'!$D$2:$D$1001,"&lt;="&amp;DATE(2026,12,31)))</f>
        <v/>
      </c>
      <c r="F90" s="19">
        <f>IF($A90="","",COUNTIFS(MUTASI!$C$2:$C$1001,$A90,MUTASI!$D$2:$D$1001,"Masuk",MUTASI!$F$2:$F$1001,"Paroki lain dalam keuskupan",MUTASI!$E$2:$E$1001,"&gt;="&amp;DATE(2026,1,1),MUTASI!$E$2:$E$1001,"&lt;="&amp;DATE(2026,12,31)))</f>
        <v/>
      </c>
      <c r="G90" s="19">
        <f>IF($A90="","",COUNTIFS(MUTASI!$C$2:$C$1001,$A90,MUTASI!$D$2:$D$1001,"Masuk",MUTASI!$F$2:$F$1001,"Keuskupan lain",MUTASI!$E$2:$E$1001,"&gt;="&amp;DATE(2026,1,1),MUTASI!$E$2:$E$1001,"&lt;="&amp;DATE(2026,12,31)))</f>
        <v/>
      </c>
      <c r="H90" s="19">
        <f>IF($A90="","",COUNTIFS(KEMATIAN!$C$2:$C$1001,$A90,KEMATIAN!$F$2:$F$1001,"&gt;="&amp;DATE(2026,1,1),KEMATIAN!$F$2:$F$1001,"&lt;="&amp;DATE(2026,12,31)))</f>
        <v/>
      </c>
      <c r="I90" s="19">
        <f>IF($A90="","",COUNTIFS(MUTASI!$C$2:$C$1001,$A90,MUTASI!$D$2:$D$1001,"Keluar",MUTASI!$F$2:$F$1001,"Paroki lain dalam keuskupan",MUTASI!$E$2:$E$1001,"&gt;="&amp;DATE(2026,1,1),MUTASI!$E$2:$E$1001,"&lt;="&amp;DATE(2026,12,31)))</f>
        <v/>
      </c>
      <c r="J90" s="19">
        <f>IF($A90="","",COUNTIFS(MUTASI!$C$2:$C$1001,$A90,MUTASI!$D$2:$D$1001,"Keluar",MUTASI!$F$2:$F$1001,"Keuskupan lain",MUTASI!$E$2:$E$1001,"&gt;="&amp;DATE(2026,1,1),MUTASI!$E$2:$E$1001,"&lt;="&amp;DATE(2026,12,31)))</f>
        <v/>
      </c>
      <c r="K90" s="19">
        <f>IF($A90="","",COUNTIFS('PINDAH AGAMA'!$C$2:$C$1001,$A90,'PINDAH AGAMA'!$D$2:$D$1001,"&gt;="&amp;DATE(2026,1,1),'PINDAH AGAMA'!$D$2:$D$1001,"&lt;="&amp;DATE(2026,12,31)))</f>
        <v/>
      </c>
      <c r="L90" s="19">
        <f>IF($A90="","",D90+E90+F90+G90-H90-I90-J90-K90)</f>
        <v/>
      </c>
      <c r="M90" s="19">
        <f>IF($A90="","",COUNTIFS('KOMUNI PERTAMA'!$C$2:$C$1001,$A90,'KOMUNI PERTAMA'!$E$2:$E$1001,"&gt;="&amp;DATE(2026,1,1),'KOMUNI PERTAMA'!$E$2:$E$1001,"&lt;="&amp;DATE(2026,12,31)))</f>
        <v/>
      </c>
      <c r="N90" s="19">
        <f>IF($A90="","",COUNTIFS('PERKAWINAN GEREJANI'!$C$2:$C$1001,$A90,'PERKAWINAN GEREJANI'!$D$2:$D$1001,"&gt;="&amp;DATE(2026,1,1),'PERKAWINAN GEREJANI'!$D$2:$D$1001,"&lt;="&amp;DATE(2026,12,31)))</f>
        <v/>
      </c>
      <c r="O90" s="19">
        <f>IF($A90="","",COUNTIFS(PEMBUBARAN!$C$2:$C$1001,$A90,PEMBUBARAN!$D$2:$D$1001,"&gt;="&amp;DATE(2026,1,1),PEMBUBARAN!$D$2:$D$1001,"&lt;="&amp;DATE(2026,12,31)))</f>
        <v/>
      </c>
      <c r="P90" s="19">
        <f>IF($A90="","",COUNTIFS('PERMINYAKAN SUCI'!$C$2:$C$1001,$A90,'PERMINYAKAN SUCI'!$E$2:$E$1001,"&gt;="&amp;DATE(2026,1,1),'PERMINYAKAN SUCI'!$E$2:$E$1001,"&lt;="&amp;DATE(2026,12,31)))</f>
        <v/>
      </c>
      <c r="Q90" s="19">
        <f>IF($A90="","",H90)</f>
        <v/>
      </c>
      <c r="R90" s="19">
        <f>IF($A90="","",COUNTIFS('SEMINARI BIARA'!$C$2:$C$1001,$A90,'SEMINARI BIARA'!$F$2:$F$1001,"Mulai masuk 2026",'SEMINARI BIARA'!$G$2:$G$1001,"&gt;="&amp;DATE(2026,1,1),'SEMINARI BIARA'!$G$2:$G$1001,"&lt;="&amp;DATE(2026,12,31)))</f>
        <v/>
      </c>
      <c r="S90" s="19">
        <f>IF($A90="","",COUNTIFS('SEMINARI BIARA'!$C$2:$C$1001,$A90,'SEMINARI BIARA'!$F$2:$F$1001,"Sedang belajar 2026"))</f>
        <v/>
      </c>
    </row>
    <row r="91" ht="14.25" customHeight="1" s="37">
      <c r="A91" s="18" t="n"/>
      <c r="B91" s="19">
        <f>IF($A91="","",COUNTIF('DATA KK'!$E$2:$E$501,$A91))</f>
        <v/>
      </c>
      <c r="C91" s="19">
        <f>IF($A91="","",COUNTIF('DATA UMAT'!$H$2:$H$2001,$A91))</f>
        <v/>
      </c>
      <c r="D91" s="19">
        <f>IF($A91="","",COUNTIFS(BAPTIS!$C$2:$C$1001,$A91,BAPTIS!$F$2:$F$1001,"&gt;="&amp;DATE(2026,1,1),BAPTIS!$F$2:$F$1001,"&lt;="&amp;DATE(2026,12,31)))</f>
        <v/>
      </c>
      <c r="E91" s="19">
        <f>IF($A91="","",COUNTIFS('DITERIMA MASUK'!$C$2:$C$1001,$A91,'DITERIMA MASUK'!$D$2:$D$1001,"&gt;="&amp;DATE(2026,1,1),'DITERIMA MASUK'!$D$2:$D$1001,"&lt;="&amp;DATE(2026,12,31)))</f>
        <v/>
      </c>
      <c r="F91" s="19">
        <f>IF($A91="","",COUNTIFS(MUTASI!$C$2:$C$1001,$A91,MUTASI!$D$2:$D$1001,"Masuk",MUTASI!$F$2:$F$1001,"Paroki lain dalam keuskupan",MUTASI!$E$2:$E$1001,"&gt;="&amp;DATE(2026,1,1),MUTASI!$E$2:$E$1001,"&lt;="&amp;DATE(2026,12,31)))</f>
        <v/>
      </c>
      <c r="G91" s="19">
        <f>IF($A91="","",COUNTIFS(MUTASI!$C$2:$C$1001,$A91,MUTASI!$D$2:$D$1001,"Masuk",MUTASI!$F$2:$F$1001,"Keuskupan lain",MUTASI!$E$2:$E$1001,"&gt;="&amp;DATE(2026,1,1),MUTASI!$E$2:$E$1001,"&lt;="&amp;DATE(2026,12,31)))</f>
        <v/>
      </c>
      <c r="H91" s="19">
        <f>IF($A91="","",COUNTIFS(KEMATIAN!$C$2:$C$1001,$A91,KEMATIAN!$F$2:$F$1001,"&gt;="&amp;DATE(2026,1,1),KEMATIAN!$F$2:$F$1001,"&lt;="&amp;DATE(2026,12,31)))</f>
        <v/>
      </c>
      <c r="I91" s="19">
        <f>IF($A91="","",COUNTIFS(MUTASI!$C$2:$C$1001,$A91,MUTASI!$D$2:$D$1001,"Keluar",MUTASI!$F$2:$F$1001,"Paroki lain dalam keuskupan",MUTASI!$E$2:$E$1001,"&gt;="&amp;DATE(2026,1,1),MUTASI!$E$2:$E$1001,"&lt;="&amp;DATE(2026,12,31)))</f>
        <v/>
      </c>
      <c r="J91" s="19">
        <f>IF($A91="","",COUNTIFS(MUTASI!$C$2:$C$1001,$A91,MUTASI!$D$2:$D$1001,"Keluar",MUTASI!$F$2:$F$1001,"Keuskupan lain",MUTASI!$E$2:$E$1001,"&gt;="&amp;DATE(2026,1,1),MUTASI!$E$2:$E$1001,"&lt;="&amp;DATE(2026,12,31)))</f>
        <v/>
      </c>
      <c r="K91" s="19">
        <f>IF($A91="","",COUNTIFS('PINDAH AGAMA'!$C$2:$C$1001,$A91,'PINDAH AGAMA'!$D$2:$D$1001,"&gt;="&amp;DATE(2026,1,1),'PINDAH AGAMA'!$D$2:$D$1001,"&lt;="&amp;DATE(2026,12,31)))</f>
        <v/>
      </c>
      <c r="L91" s="19">
        <f>IF($A91="","",D91+E91+F91+G91-H91-I91-J91-K91)</f>
        <v/>
      </c>
      <c r="M91" s="19">
        <f>IF($A91="","",COUNTIFS('KOMUNI PERTAMA'!$C$2:$C$1001,$A91,'KOMUNI PERTAMA'!$E$2:$E$1001,"&gt;="&amp;DATE(2026,1,1),'KOMUNI PERTAMA'!$E$2:$E$1001,"&lt;="&amp;DATE(2026,12,31)))</f>
        <v/>
      </c>
      <c r="N91" s="19">
        <f>IF($A91="","",COUNTIFS('PERKAWINAN GEREJANI'!$C$2:$C$1001,$A91,'PERKAWINAN GEREJANI'!$D$2:$D$1001,"&gt;="&amp;DATE(2026,1,1),'PERKAWINAN GEREJANI'!$D$2:$D$1001,"&lt;="&amp;DATE(2026,12,31)))</f>
        <v/>
      </c>
      <c r="O91" s="19">
        <f>IF($A91="","",COUNTIFS(PEMBUBARAN!$C$2:$C$1001,$A91,PEMBUBARAN!$D$2:$D$1001,"&gt;="&amp;DATE(2026,1,1),PEMBUBARAN!$D$2:$D$1001,"&lt;="&amp;DATE(2026,12,31)))</f>
        <v/>
      </c>
      <c r="P91" s="19">
        <f>IF($A91="","",COUNTIFS('PERMINYAKAN SUCI'!$C$2:$C$1001,$A91,'PERMINYAKAN SUCI'!$E$2:$E$1001,"&gt;="&amp;DATE(2026,1,1),'PERMINYAKAN SUCI'!$E$2:$E$1001,"&lt;="&amp;DATE(2026,12,31)))</f>
        <v/>
      </c>
      <c r="Q91" s="19">
        <f>IF($A91="","",H91)</f>
        <v/>
      </c>
      <c r="R91" s="19">
        <f>IF($A91="","",COUNTIFS('SEMINARI BIARA'!$C$2:$C$1001,$A91,'SEMINARI BIARA'!$F$2:$F$1001,"Mulai masuk 2026",'SEMINARI BIARA'!$G$2:$G$1001,"&gt;="&amp;DATE(2026,1,1),'SEMINARI BIARA'!$G$2:$G$1001,"&lt;="&amp;DATE(2026,12,31)))</f>
        <v/>
      </c>
      <c r="S91" s="19">
        <f>IF($A91="","",COUNTIFS('SEMINARI BIARA'!$C$2:$C$1001,$A91,'SEMINARI BIARA'!$F$2:$F$1001,"Sedang belajar 2026"))</f>
        <v/>
      </c>
    </row>
    <row r="92" ht="14.25" customHeight="1" s="37">
      <c r="A92" s="18" t="n"/>
      <c r="B92" s="19">
        <f>IF($A92="","",COUNTIF('DATA KK'!$E$2:$E$501,$A92))</f>
        <v/>
      </c>
      <c r="C92" s="19">
        <f>IF($A92="","",COUNTIF('DATA UMAT'!$H$2:$H$2001,$A92))</f>
        <v/>
      </c>
      <c r="D92" s="19">
        <f>IF($A92="","",COUNTIFS(BAPTIS!$C$2:$C$1001,$A92,BAPTIS!$F$2:$F$1001,"&gt;="&amp;DATE(2026,1,1),BAPTIS!$F$2:$F$1001,"&lt;="&amp;DATE(2026,12,31)))</f>
        <v/>
      </c>
      <c r="E92" s="19">
        <f>IF($A92="","",COUNTIFS('DITERIMA MASUK'!$C$2:$C$1001,$A92,'DITERIMA MASUK'!$D$2:$D$1001,"&gt;="&amp;DATE(2026,1,1),'DITERIMA MASUK'!$D$2:$D$1001,"&lt;="&amp;DATE(2026,12,31)))</f>
        <v/>
      </c>
      <c r="F92" s="19">
        <f>IF($A92="","",COUNTIFS(MUTASI!$C$2:$C$1001,$A92,MUTASI!$D$2:$D$1001,"Masuk",MUTASI!$F$2:$F$1001,"Paroki lain dalam keuskupan",MUTASI!$E$2:$E$1001,"&gt;="&amp;DATE(2026,1,1),MUTASI!$E$2:$E$1001,"&lt;="&amp;DATE(2026,12,31)))</f>
        <v/>
      </c>
      <c r="G92" s="19">
        <f>IF($A92="","",COUNTIFS(MUTASI!$C$2:$C$1001,$A92,MUTASI!$D$2:$D$1001,"Masuk",MUTASI!$F$2:$F$1001,"Keuskupan lain",MUTASI!$E$2:$E$1001,"&gt;="&amp;DATE(2026,1,1),MUTASI!$E$2:$E$1001,"&lt;="&amp;DATE(2026,12,31)))</f>
        <v/>
      </c>
      <c r="H92" s="19">
        <f>IF($A92="","",COUNTIFS(KEMATIAN!$C$2:$C$1001,$A92,KEMATIAN!$F$2:$F$1001,"&gt;="&amp;DATE(2026,1,1),KEMATIAN!$F$2:$F$1001,"&lt;="&amp;DATE(2026,12,31)))</f>
        <v/>
      </c>
      <c r="I92" s="19">
        <f>IF($A92="","",COUNTIFS(MUTASI!$C$2:$C$1001,$A92,MUTASI!$D$2:$D$1001,"Keluar",MUTASI!$F$2:$F$1001,"Paroki lain dalam keuskupan",MUTASI!$E$2:$E$1001,"&gt;="&amp;DATE(2026,1,1),MUTASI!$E$2:$E$1001,"&lt;="&amp;DATE(2026,12,31)))</f>
        <v/>
      </c>
      <c r="J92" s="19">
        <f>IF($A92="","",COUNTIFS(MUTASI!$C$2:$C$1001,$A92,MUTASI!$D$2:$D$1001,"Keluar",MUTASI!$F$2:$F$1001,"Keuskupan lain",MUTASI!$E$2:$E$1001,"&gt;="&amp;DATE(2026,1,1),MUTASI!$E$2:$E$1001,"&lt;="&amp;DATE(2026,12,31)))</f>
        <v/>
      </c>
      <c r="K92" s="19">
        <f>IF($A92="","",COUNTIFS('PINDAH AGAMA'!$C$2:$C$1001,$A92,'PINDAH AGAMA'!$D$2:$D$1001,"&gt;="&amp;DATE(2026,1,1),'PINDAH AGAMA'!$D$2:$D$1001,"&lt;="&amp;DATE(2026,12,31)))</f>
        <v/>
      </c>
      <c r="L92" s="19">
        <f>IF($A92="","",D92+E92+F92+G92-H92-I92-J92-K92)</f>
        <v/>
      </c>
      <c r="M92" s="19">
        <f>IF($A92="","",COUNTIFS('KOMUNI PERTAMA'!$C$2:$C$1001,$A92,'KOMUNI PERTAMA'!$E$2:$E$1001,"&gt;="&amp;DATE(2026,1,1),'KOMUNI PERTAMA'!$E$2:$E$1001,"&lt;="&amp;DATE(2026,12,31)))</f>
        <v/>
      </c>
      <c r="N92" s="19">
        <f>IF($A92="","",COUNTIFS('PERKAWINAN GEREJANI'!$C$2:$C$1001,$A92,'PERKAWINAN GEREJANI'!$D$2:$D$1001,"&gt;="&amp;DATE(2026,1,1),'PERKAWINAN GEREJANI'!$D$2:$D$1001,"&lt;="&amp;DATE(2026,12,31)))</f>
        <v/>
      </c>
      <c r="O92" s="19">
        <f>IF($A92="","",COUNTIFS(PEMBUBARAN!$C$2:$C$1001,$A92,PEMBUBARAN!$D$2:$D$1001,"&gt;="&amp;DATE(2026,1,1),PEMBUBARAN!$D$2:$D$1001,"&lt;="&amp;DATE(2026,12,31)))</f>
        <v/>
      </c>
      <c r="P92" s="19">
        <f>IF($A92="","",COUNTIFS('PERMINYAKAN SUCI'!$C$2:$C$1001,$A92,'PERMINYAKAN SUCI'!$E$2:$E$1001,"&gt;="&amp;DATE(2026,1,1),'PERMINYAKAN SUCI'!$E$2:$E$1001,"&lt;="&amp;DATE(2026,12,31)))</f>
        <v/>
      </c>
      <c r="Q92" s="19">
        <f>IF($A92="","",H92)</f>
        <v/>
      </c>
      <c r="R92" s="19">
        <f>IF($A92="","",COUNTIFS('SEMINARI BIARA'!$C$2:$C$1001,$A92,'SEMINARI BIARA'!$F$2:$F$1001,"Mulai masuk 2026",'SEMINARI BIARA'!$G$2:$G$1001,"&gt;="&amp;DATE(2026,1,1),'SEMINARI BIARA'!$G$2:$G$1001,"&lt;="&amp;DATE(2026,12,31)))</f>
        <v/>
      </c>
      <c r="S92" s="19">
        <f>IF($A92="","",COUNTIFS('SEMINARI BIARA'!$C$2:$C$1001,$A92,'SEMINARI BIARA'!$F$2:$F$1001,"Sedang belajar 2026"))</f>
        <v/>
      </c>
    </row>
    <row r="93" ht="14.25" customHeight="1" s="37">
      <c r="A93" s="18" t="n"/>
      <c r="B93" s="19">
        <f>IF($A93="","",COUNTIF('DATA KK'!$E$2:$E$501,$A93))</f>
        <v/>
      </c>
      <c r="C93" s="19">
        <f>IF($A93="","",COUNTIF('DATA UMAT'!$H$2:$H$2001,$A93))</f>
        <v/>
      </c>
      <c r="D93" s="19">
        <f>IF($A93="","",COUNTIFS(BAPTIS!$C$2:$C$1001,$A93,BAPTIS!$F$2:$F$1001,"&gt;="&amp;DATE(2026,1,1),BAPTIS!$F$2:$F$1001,"&lt;="&amp;DATE(2026,12,31)))</f>
        <v/>
      </c>
      <c r="E93" s="19">
        <f>IF($A93="","",COUNTIFS('DITERIMA MASUK'!$C$2:$C$1001,$A93,'DITERIMA MASUK'!$D$2:$D$1001,"&gt;="&amp;DATE(2026,1,1),'DITERIMA MASUK'!$D$2:$D$1001,"&lt;="&amp;DATE(2026,12,31)))</f>
        <v/>
      </c>
      <c r="F93" s="19">
        <f>IF($A93="","",COUNTIFS(MUTASI!$C$2:$C$1001,$A93,MUTASI!$D$2:$D$1001,"Masuk",MUTASI!$F$2:$F$1001,"Paroki lain dalam keuskupan",MUTASI!$E$2:$E$1001,"&gt;="&amp;DATE(2026,1,1),MUTASI!$E$2:$E$1001,"&lt;="&amp;DATE(2026,12,31)))</f>
        <v/>
      </c>
      <c r="G93" s="19">
        <f>IF($A93="","",COUNTIFS(MUTASI!$C$2:$C$1001,$A93,MUTASI!$D$2:$D$1001,"Masuk",MUTASI!$F$2:$F$1001,"Keuskupan lain",MUTASI!$E$2:$E$1001,"&gt;="&amp;DATE(2026,1,1),MUTASI!$E$2:$E$1001,"&lt;="&amp;DATE(2026,12,31)))</f>
        <v/>
      </c>
      <c r="H93" s="19">
        <f>IF($A93="","",COUNTIFS(KEMATIAN!$C$2:$C$1001,$A93,KEMATIAN!$F$2:$F$1001,"&gt;="&amp;DATE(2026,1,1),KEMATIAN!$F$2:$F$1001,"&lt;="&amp;DATE(2026,12,31)))</f>
        <v/>
      </c>
      <c r="I93" s="19">
        <f>IF($A93="","",COUNTIFS(MUTASI!$C$2:$C$1001,$A93,MUTASI!$D$2:$D$1001,"Keluar",MUTASI!$F$2:$F$1001,"Paroki lain dalam keuskupan",MUTASI!$E$2:$E$1001,"&gt;="&amp;DATE(2026,1,1),MUTASI!$E$2:$E$1001,"&lt;="&amp;DATE(2026,12,31)))</f>
        <v/>
      </c>
      <c r="J93" s="19">
        <f>IF($A93="","",COUNTIFS(MUTASI!$C$2:$C$1001,$A93,MUTASI!$D$2:$D$1001,"Keluar",MUTASI!$F$2:$F$1001,"Keuskupan lain",MUTASI!$E$2:$E$1001,"&gt;="&amp;DATE(2026,1,1),MUTASI!$E$2:$E$1001,"&lt;="&amp;DATE(2026,12,31)))</f>
        <v/>
      </c>
      <c r="K93" s="19">
        <f>IF($A93="","",COUNTIFS('PINDAH AGAMA'!$C$2:$C$1001,$A93,'PINDAH AGAMA'!$D$2:$D$1001,"&gt;="&amp;DATE(2026,1,1),'PINDAH AGAMA'!$D$2:$D$1001,"&lt;="&amp;DATE(2026,12,31)))</f>
        <v/>
      </c>
      <c r="L93" s="19">
        <f>IF($A93="","",D93+E93+F93+G93-H93-I93-J93-K93)</f>
        <v/>
      </c>
      <c r="M93" s="19">
        <f>IF($A93="","",COUNTIFS('KOMUNI PERTAMA'!$C$2:$C$1001,$A93,'KOMUNI PERTAMA'!$E$2:$E$1001,"&gt;="&amp;DATE(2026,1,1),'KOMUNI PERTAMA'!$E$2:$E$1001,"&lt;="&amp;DATE(2026,12,31)))</f>
        <v/>
      </c>
      <c r="N93" s="19">
        <f>IF($A93="","",COUNTIFS('PERKAWINAN GEREJANI'!$C$2:$C$1001,$A93,'PERKAWINAN GEREJANI'!$D$2:$D$1001,"&gt;="&amp;DATE(2026,1,1),'PERKAWINAN GEREJANI'!$D$2:$D$1001,"&lt;="&amp;DATE(2026,12,31)))</f>
        <v/>
      </c>
      <c r="O93" s="19">
        <f>IF($A93="","",COUNTIFS(PEMBUBARAN!$C$2:$C$1001,$A93,PEMBUBARAN!$D$2:$D$1001,"&gt;="&amp;DATE(2026,1,1),PEMBUBARAN!$D$2:$D$1001,"&lt;="&amp;DATE(2026,12,31)))</f>
        <v/>
      </c>
      <c r="P93" s="19">
        <f>IF($A93="","",COUNTIFS('PERMINYAKAN SUCI'!$C$2:$C$1001,$A93,'PERMINYAKAN SUCI'!$E$2:$E$1001,"&gt;="&amp;DATE(2026,1,1),'PERMINYAKAN SUCI'!$E$2:$E$1001,"&lt;="&amp;DATE(2026,12,31)))</f>
        <v/>
      </c>
      <c r="Q93" s="19">
        <f>IF($A93="","",H93)</f>
        <v/>
      </c>
      <c r="R93" s="19">
        <f>IF($A93="","",COUNTIFS('SEMINARI BIARA'!$C$2:$C$1001,$A93,'SEMINARI BIARA'!$F$2:$F$1001,"Mulai masuk 2026",'SEMINARI BIARA'!$G$2:$G$1001,"&gt;="&amp;DATE(2026,1,1),'SEMINARI BIARA'!$G$2:$G$1001,"&lt;="&amp;DATE(2026,12,31)))</f>
        <v/>
      </c>
      <c r="S93" s="19">
        <f>IF($A93="","",COUNTIFS('SEMINARI BIARA'!$C$2:$C$1001,$A93,'SEMINARI BIARA'!$F$2:$F$1001,"Sedang belajar 2026"))</f>
        <v/>
      </c>
    </row>
    <row r="94" ht="14.25" customHeight="1" s="37">
      <c r="A94" s="18" t="n"/>
      <c r="B94" s="19">
        <f>IF($A94="","",COUNTIF('DATA KK'!$E$2:$E$501,$A94))</f>
        <v/>
      </c>
      <c r="C94" s="19">
        <f>IF($A94="","",COUNTIF('DATA UMAT'!$H$2:$H$2001,$A94))</f>
        <v/>
      </c>
      <c r="D94" s="19">
        <f>IF($A94="","",COUNTIFS(BAPTIS!$C$2:$C$1001,$A94,BAPTIS!$F$2:$F$1001,"&gt;="&amp;DATE(2026,1,1),BAPTIS!$F$2:$F$1001,"&lt;="&amp;DATE(2026,12,31)))</f>
        <v/>
      </c>
      <c r="E94" s="19">
        <f>IF($A94="","",COUNTIFS('DITERIMA MASUK'!$C$2:$C$1001,$A94,'DITERIMA MASUK'!$D$2:$D$1001,"&gt;="&amp;DATE(2026,1,1),'DITERIMA MASUK'!$D$2:$D$1001,"&lt;="&amp;DATE(2026,12,31)))</f>
        <v/>
      </c>
      <c r="F94" s="19">
        <f>IF($A94="","",COUNTIFS(MUTASI!$C$2:$C$1001,$A94,MUTASI!$D$2:$D$1001,"Masuk",MUTASI!$F$2:$F$1001,"Paroki lain dalam keuskupan",MUTASI!$E$2:$E$1001,"&gt;="&amp;DATE(2026,1,1),MUTASI!$E$2:$E$1001,"&lt;="&amp;DATE(2026,12,31)))</f>
        <v/>
      </c>
      <c r="G94" s="19">
        <f>IF($A94="","",COUNTIFS(MUTASI!$C$2:$C$1001,$A94,MUTASI!$D$2:$D$1001,"Masuk",MUTASI!$F$2:$F$1001,"Keuskupan lain",MUTASI!$E$2:$E$1001,"&gt;="&amp;DATE(2026,1,1),MUTASI!$E$2:$E$1001,"&lt;="&amp;DATE(2026,12,31)))</f>
        <v/>
      </c>
      <c r="H94" s="19">
        <f>IF($A94="","",COUNTIFS(KEMATIAN!$C$2:$C$1001,$A94,KEMATIAN!$F$2:$F$1001,"&gt;="&amp;DATE(2026,1,1),KEMATIAN!$F$2:$F$1001,"&lt;="&amp;DATE(2026,12,31)))</f>
        <v/>
      </c>
      <c r="I94" s="19">
        <f>IF($A94="","",COUNTIFS(MUTASI!$C$2:$C$1001,$A94,MUTASI!$D$2:$D$1001,"Keluar",MUTASI!$F$2:$F$1001,"Paroki lain dalam keuskupan",MUTASI!$E$2:$E$1001,"&gt;="&amp;DATE(2026,1,1),MUTASI!$E$2:$E$1001,"&lt;="&amp;DATE(2026,12,31)))</f>
        <v/>
      </c>
      <c r="J94" s="19">
        <f>IF($A94="","",COUNTIFS(MUTASI!$C$2:$C$1001,$A94,MUTASI!$D$2:$D$1001,"Keluar",MUTASI!$F$2:$F$1001,"Keuskupan lain",MUTASI!$E$2:$E$1001,"&gt;="&amp;DATE(2026,1,1),MUTASI!$E$2:$E$1001,"&lt;="&amp;DATE(2026,12,31)))</f>
        <v/>
      </c>
      <c r="K94" s="19">
        <f>IF($A94="","",COUNTIFS('PINDAH AGAMA'!$C$2:$C$1001,$A94,'PINDAH AGAMA'!$D$2:$D$1001,"&gt;="&amp;DATE(2026,1,1),'PINDAH AGAMA'!$D$2:$D$1001,"&lt;="&amp;DATE(2026,12,31)))</f>
        <v/>
      </c>
      <c r="L94" s="19">
        <f>IF($A94="","",D94+E94+F94+G94-H94-I94-J94-K94)</f>
        <v/>
      </c>
      <c r="M94" s="19">
        <f>IF($A94="","",COUNTIFS('KOMUNI PERTAMA'!$C$2:$C$1001,$A94,'KOMUNI PERTAMA'!$E$2:$E$1001,"&gt;="&amp;DATE(2026,1,1),'KOMUNI PERTAMA'!$E$2:$E$1001,"&lt;="&amp;DATE(2026,12,31)))</f>
        <v/>
      </c>
      <c r="N94" s="19">
        <f>IF($A94="","",COUNTIFS('PERKAWINAN GEREJANI'!$C$2:$C$1001,$A94,'PERKAWINAN GEREJANI'!$D$2:$D$1001,"&gt;="&amp;DATE(2026,1,1),'PERKAWINAN GEREJANI'!$D$2:$D$1001,"&lt;="&amp;DATE(2026,12,31)))</f>
        <v/>
      </c>
      <c r="O94" s="19">
        <f>IF($A94="","",COUNTIFS(PEMBUBARAN!$C$2:$C$1001,$A94,PEMBUBARAN!$D$2:$D$1001,"&gt;="&amp;DATE(2026,1,1),PEMBUBARAN!$D$2:$D$1001,"&lt;="&amp;DATE(2026,12,31)))</f>
        <v/>
      </c>
      <c r="P94" s="19">
        <f>IF($A94="","",COUNTIFS('PERMINYAKAN SUCI'!$C$2:$C$1001,$A94,'PERMINYAKAN SUCI'!$E$2:$E$1001,"&gt;="&amp;DATE(2026,1,1),'PERMINYAKAN SUCI'!$E$2:$E$1001,"&lt;="&amp;DATE(2026,12,31)))</f>
        <v/>
      </c>
      <c r="Q94" s="19">
        <f>IF($A94="","",H94)</f>
        <v/>
      </c>
      <c r="R94" s="19">
        <f>IF($A94="","",COUNTIFS('SEMINARI BIARA'!$C$2:$C$1001,$A94,'SEMINARI BIARA'!$F$2:$F$1001,"Mulai masuk 2026",'SEMINARI BIARA'!$G$2:$G$1001,"&gt;="&amp;DATE(2026,1,1),'SEMINARI BIARA'!$G$2:$G$1001,"&lt;="&amp;DATE(2026,12,31)))</f>
        <v/>
      </c>
      <c r="S94" s="19">
        <f>IF($A94="","",COUNTIFS('SEMINARI BIARA'!$C$2:$C$1001,$A94,'SEMINARI BIARA'!$F$2:$F$1001,"Sedang belajar 2026"))</f>
        <v/>
      </c>
    </row>
    <row r="95" ht="14.25" customHeight="1" s="37">
      <c r="A95" s="18" t="n"/>
      <c r="B95" s="19">
        <f>IF($A95="","",COUNTIF('DATA KK'!$E$2:$E$501,$A95))</f>
        <v/>
      </c>
      <c r="C95" s="19">
        <f>IF($A95="","",COUNTIF('DATA UMAT'!$H$2:$H$2001,$A95))</f>
        <v/>
      </c>
      <c r="D95" s="19">
        <f>IF($A95="","",COUNTIFS(BAPTIS!$C$2:$C$1001,$A95,BAPTIS!$F$2:$F$1001,"&gt;="&amp;DATE(2026,1,1),BAPTIS!$F$2:$F$1001,"&lt;="&amp;DATE(2026,12,31)))</f>
        <v/>
      </c>
      <c r="E95" s="19">
        <f>IF($A95="","",COUNTIFS('DITERIMA MASUK'!$C$2:$C$1001,$A95,'DITERIMA MASUK'!$D$2:$D$1001,"&gt;="&amp;DATE(2026,1,1),'DITERIMA MASUK'!$D$2:$D$1001,"&lt;="&amp;DATE(2026,12,31)))</f>
        <v/>
      </c>
      <c r="F95" s="19">
        <f>IF($A95="","",COUNTIFS(MUTASI!$C$2:$C$1001,$A95,MUTASI!$D$2:$D$1001,"Masuk",MUTASI!$F$2:$F$1001,"Paroki lain dalam keuskupan",MUTASI!$E$2:$E$1001,"&gt;="&amp;DATE(2026,1,1),MUTASI!$E$2:$E$1001,"&lt;="&amp;DATE(2026,12,31)))</f>
        <v/>
      </c>
      <c r="G95" s="19">
        <f>IF($A95="","",COUNTIFS(MUTASI!$C$2:$C$1001,$A95,MUTASI!$D$2:$D$1001,"Masuk",MUTASI!$F$2:$F$1001,"Keuskupan lain",MUTASI!$E$2:$E$1001,"&gt;="&amp;DATE(2026,1,1),MUTASI!$E$2:$E$1001,"&lt;="&amp;DATE(2026,12,31)))</f>
        <v/>
      </c>
      <c r="H95" s="19">
        <f>IF($A95="","",COUNTIFS(KEMATIAN!$C$2:$C$1001,$A95,KEMATIAN!$F$2:$F$1001,"&gt;="&amp;DATE(2026,1,1),KEMATIAN!$F$2:$F$1001,"&lt;="&amp;DATE(2026,12,31)))</f>
        <v/>
      </c>
      <c r="I95" s="19">
        <f>IF($A95="","",COUNTIFS(MUTASI!$C$2:$C$1001,$A95,MUTASI!$D$2:$D$1001,"Keluar",MUTASI!$F$2:$F$1001,"Paroki lain dalam keuskupan",MUTASI!$E$2:$E$1001,"&gt;="&amp;DATE(2026,1,1),MUTASI!$E$2:$E$1001,"&lt;="&amp;DATE(2026,12,31)))</f>
        <v/>
      </c>
      <c r="J95" s="19">
        <f>IF($A95="","",COUNTIFS(MUTASI!$C$2:$C$1001,$A95,MUTASI!$D$2:$D$1001,"Keluar",MUTASI!$F$2:$F$1001,"Keuskupan lain",MUTASI!$E$2:$E$1001,"&gt;="&amp;DATE(2026,1,1),MUTASI!$E$2:$E$1001,"&lt;="&amp;DATE(2026,12,31)))</f>
        <v/>
      </c>
      <c r="K95" s="19">
        <f>IF($A95="","",COUNTIFS('PINDAH AGAMA'!$C$2:$C$1001,$A95,'PINDAH AGAMA'!$D$2:$D$1001,"&gt;="&amp;DATE(2026,1,1),'PINDAH AGAMA'!$D$2:$D$1001,"&lt;="&amp;DATE(2026,12,31)))</f>
        <v/>
      </c>
      <c r="L95" s="19">
        <f>IF($A95="","",D95+E95+F95+G95-H95-I95-J95-K95)</f>
        <v/>
      </c>
      <c r="M95" s="19">
        <f>IF($A95="","",COUNTIFS('KOMUNI PERTAMA'!$C$2:$C$1001,$A95,'KOMUNI PERTAMA'!$E$2:$E$1001,"&gt;="&amp;DATE(2026,1,1),'KOMUNI PERTAMA'!$E$2:$E$1001,"&lt;="&amp;DATE(2026,12,31)))</f>
        <v/>
      </c>
      <c r="N95" s="19">
        <f>IF($A95="","",COUNTIFS('PERKAWINAN GEREJANI'!$C$2:$C$1001,$A95,'PERKAWINAN GEREJANI'!$D$2:$D$1001,"&gt;="&amp;DATE(2026,1,1),'PERKAWINAN GEREJANI'!$D$2:$D$1001,"&lt;="&amp;DATE(2026,12,31)))</f>
        <v/>
      </c>
      <c r="O95" s="19">
        <f>IF($A95="","",COUNTIFS(PEMBUBARAN!$C$2:$C$1001,$A95,PEMBUBARAN!$D$2:$D$1001,"&gt;="&amp;DATE(2026,1,1),PEMBUBARAN!$D$2:$D$1001,"&lt;="&amp;DATE(2026,12,31)))</f>
        <v/>
      </c>
      <c r="P95" s="19">
        <f>IF($A95="","",COUNTIFS('PERMINYAKAN SUCI'!$C$2:$C$1001,$A95,'PERMINYAKAN SUCI'!$E$2:$E$1001,"&gt;="&amp;DATE(2026,1,1),'PERMINYAKAN SUCI'!$E$2:$E$1001,"&lt;="&amp;DATE(2026,12,31)))</f>
        <v/>
      </c>
      <c r="Q95" s="19">
        <f>IF($A95="","",H95)</f>
        <v/>
      </c>
      <c r="R95" s="19">
        <f>IF($A95="","",COUNTIFS('SEMINARI BIARA'!$C$2:$C$1001,$A95,'SEMINARI BIARA'!$F$2:$F$1001,"Mulai masuk 2026",'SEMINARI BIARA'!$G$2:$G$1001,"&gt;="&amp;DATE(2026,1,1),'SEMINARI BIARA'!$G$2:$G$1001,"&lt;="&amp;DATE(2026,12,31)))</f>
        <v/>
      </c>
      <c r="S95" s="19">
        <f>IF($A95="","",COUNTIFS('SEMINARI BIARA'!$C$2:$C$1001,$A95,'SEMINARI BIARA'!$F$2:$F$1001,"Sedang belajar 2026"))</f>
        <v/>
      </c>
    </row>
    <row r="96" ht="14.25" customHeight="1" s="37">
      <c r="A96" s="18" t="n"/>
      <c r="B96" s="19">
        <f>IF($A96="","",COUNTIF('DATA KK'!$E$2:$E$501,$A96))</f>
        <v/>
      </c>
      <c r="C96" s="19">
        <f>IF($A96="","",COUNTIF('DATA UMAT'!$H$2:$H$2001,$A96))</f>
        <v/>
      </c>
      <c r="D96" s="19">
        <f>IF($A96="","",COUNTIFS(BAPTIS!$C$2:$C$1001,$A96,BAPTIS!$F$2:$F$1001,"&gt;="&amp;DATE(2026,1,1),BAPTIS!$F$2:$F$1001,"&lt;="&amp;DATE(2026,12,31)))</f>
        <v/>
      </c>
      <c r="E96" s="19">
        <f>IF($A96="","",COUNTIFS('DITERIMA MASUK'!$C$2:$C$1001,$A96,'DITERIMA MASUK'!$D$2:$D$1001,"&gt;="&amp;DATE(2026,1,1),'DITERIMA MASUK'!$D$2:$D$1001,"&lt;="&amp;DATE(2026,12,31)))</f>
        <v/>
      </c>
      <c r="F96" s="19">
        <f>IF($A96="","",COUNTIFS(MUTASI!$C$2:$C$1001,$A96,MUTASI!$D$2:$D$1001,"Masuk",MUTASI!$F$2:$F$1001,"Paroki lain dalam keuskupan",MUTASI!$E$2:$E$1001,"&gt;="&amp;DATE(2026,1,1),MUTASI!$E$2:$E$1001,"&lt;="&amp;DATE(2026,12,31)))</f>
        <v/>
      </c>
      <c r="G96" s="19">
        <f>IF($A96="","",COUNTIFS(MUTASI!$C$2:$C$1001,$A96,MUTASI!$D$2:$D$1001,"Masuk",MUTASI!$F$2:$F$1001,"Keuskupan lain",MUTASI!$E$2:$E$1001,"&gt;="&amp;DATE(2026,1,1),MUTASI!$E$2:$E$1001,"&lt;="&amp;DATE(2026,12,31)))</f>
        <v/>
      </c>
      <c r="H96" s="19">
        <f>IF($A96="","",COUNTIFS(KEMATIAN!$C$2:$C$1001,$A96,KEMATIAN!$F$2:$F$1001,"&gt;="&amp;DATE(2026,1,1),KEMATIAN!$F$2:$F$1001,"&lt;="&amp;DATE(2026,12,31)))</f>
        <v/>
      </c>
      <c r="I96" s="19">
        <f>IF($A96="","",COUNTIFS(MUTASI!$C$2:$C$1001,$A96,MUTASI!$D$2:$D$1001,"Keluar",MUTASI!$F$2:$F$1001,"Paroki lain dalam keuskupan",MUTASI!$E$2:$E$1001,"&gt;="&amp;DATE(2026,1,1),MUTASI!$E$2:$E$1001,"&lt;="&amp;DATE(2026,12,31)))</f>
        <v/>
      </c>
      <c r="J96" s="19">
        <f>IF($A96="","",COUNTIFS(MUTASI!$C$2:$C$1001,$A96,MUTASI!$D$2:$D$1001,"Keluar",MUTASI!$F$2:$F$1001,"Keuskupan lain",MUTASI!$E$2:$E$1001,"&gt;="&amp;DATE(2026,1,1),MUTASI!$E$2:$E$1001,"&lt;="&amp;DATE(2026,12,31)))</f>
        <v/>
      </c>
      <c r="K96" s="19">
        <f>IF($A96="","",COUNTIFS('PINDAH AGAMA'!$C$2:$C$1001,$A96,'PINDAH AGAMA'!$D$2:$D$1001,"&gt;="&amp;DATE(2026,1,1),'PINDAH AGAMA'!$D$2:$D$1001,"&lt;="&amp;DATE(2026,12,31)))</f>
        <v/>
      </c>
      <c r="L96" s="19">
        <f>IF($A96="","",D96+E96+F96+G96-H96-I96-J96-K96)</f>
        <v/>
      </c>
      <c r="M96" s="19">
        <f>IF($A96="","",COUNTIFS('KOMUNI PERTAMA'!$C$2:$C$1001,$A96,'KOMUNI PERTAMA'!$E$2:$E$1001,"&gt;="&amp;DATE(2026,1,1),'KOMUNI PERTAMA'!$E$2:$E$1001,"&lt;="&amp;DATE(2026,12,31)))</f>
        <v/>
      </c>
      <c r="N96" s="19">
        <f>IF($A96="","",COUNTIFS('PERKAWINAN GEREJANI'!$C$2:$C$1001,$A96,'PERKAWINAN GEREJANI'!$D$2:$D$1001,"&gt;="&amp;DATE(2026,1,1),'PERKAWINAN GEREJANI'!$D$2:$D$1001,"&lt;="&amp;DATE(2026,12,31)))</f>
        <v/>
      </c>
      <c r="O96" s="19">
        <f>IF($A96="","",COUNTIFS(PEMBUBARAN!$C$2:$C$1001,$A96,PEMBUBARAN!$D$2:$D$1001,"&gt;="&amp;DATE(2026,1,1),PEMBUBARAN!$D$2:$D$1001,"&lt;="&amp;DATE(2026,12,31)))</f>
        <v/>
      </c>
      <c r="P96" s="19">
        <f>IF($A96="","",COUNTIFS('PERMINYAKAN SUCI'!$C$2:$C$1001,$A96,'PERMINYAKAN SUCI'!$E$2:$E$1001,"&gt;="&amp;DATE(2026,1,1),'PERMINYAKAN SUCI'!$E$2:$E$1001,"&lt;="&amp;DATE(2026,12,31)))</f>
        <v/>
      </c>
      <c r="Q96" s="19">
        <f>IF($A96="","",H96)</f>
        <v/>
      </c>
      <c r="R96" s="19">
        <f>IF($A96="","",COUNTIFS('SEMINARI BIARA'!$C$2:$C$1001,$A96,'SEMINARI BIARA'!$F$2:$F$1001,"Mulai masuk 2026",'SEMINARI BIARA'!$G$2:$G$1001,"&gt;="&amp;DATE(2026,1,1),'SEMINARI BIARA'!$G$2:$G$1001,"&lt;="&amp;DATE(2026,12,31)))</f>
        <v/>
      </c>
      <c r="S96" s="19">
        <f>IF($A96="","",COUNTIFS('SEMINARI BIARA'!$C$2:$C$1001,$A96,'SEMINARI BIARA'!$F$2:$F$1001,"Sedang belajar 2026"))</f>
        <v/>
      </c>
    </row>
    <row r="97" ht="14.25" customHeight="1" s="37">
      <c r="A97" s="18" t="n"/>
      <c r="B97" s="19">
        <f>IF($A97="","",COUNTIF('DATA KK'!$E$2:$E$501,$A97))</f>
        <v/>
      </c>
      <c r="C97" s="19">
        <f>IF($A97="","",COUNTIF('DATA UMAT'!$H$2:$H$2001,$A97))</f>
        <v/>
      </c>
      <c r="D97" s="19">
        <f>IF($A97="","",COUNTIFS(BAPTIS!$C$2:$C$1001,$A97,BAPTIS!$F$2:$F$1001,"&gt;="&amp;DATE(2026,1,1),BAPTIS!$F$2:$F$1001,"&lt;="&amp;DATE(2026,12,31)))</f>
        <v/>
      </c>
      <c r="E97" s="19">
        <f>IF($A97="","",COUNTIFS('DITERIMA MASUK'!$C$2:$C$1001,$A97,'DITERIMA MASUK'!$D$2:$D$1001,"&gt;="&amp;DATE(2026,1,1),'DITERIMA MASUK'!$D$2:$D$1001,"&lt;="&amp;DATE(2026,12,31)))</f>
        <v/>
      </c>
      <c r="F97" s="19">
        <f>IF($A97="","",COUNTIFS(MUTASI!$C$2:$C$1001,$A97,MUTASI!$D$2:$D$1001,"Masuk",MUTASI!$F$2:$F$1001,"Paroki lain dalam keuskupan",MUTASI!$E$2:$E$1001,"&gt;="&amp;DATE(2026,1,1),MUTASI!$E$2:$E$1001,"&lt;="&amp;DATE(2026,12,31)))</f>
        <v/>
      </c>
      <c r="G97" s="19">
        <f>IF($A97="","",COUNTIFS(MUTASI!$C$2:$C$1001,$A97,MUTASI!$D$2:$D$1001,"Masuk",MUTASI!$F$2:$F$1001,"Keuskupan lain",MUTASI!$E$2:$E$1001,"&gt;="&amp;DATE(2026,1,1),MUTASI!$E$2:$E$1001,"&lt;="&amp;DATE(2026,12,31)))</f>
        <v/>
      </c>
      <c r="H97" s="19">
        <f>IF($A97="","",COUNTIFS(KEMATIAN!$C$2:$C$1001,$A97,KEMATIAN!$F$2:$F$1001,"&gt;="&amp;DATE(2026,1,1),KEMATIAN!$F$2:$F$1001,"&lt;="&amp;DATE(2026,12,31)))</f>
        <v/>
      </c>
      <c r="I97" s="19">
        <f>IF($A97="","",COUNTIFS(MUTASI!$C$2:$C$1001,$A97,MUTASI!$D$2:$D$1001,"Keluar",MUTASI!$F$2:$F$1001,"Paroki lain dalam keuskupan",MUTASI!$E$2:$E$1001,"&gt;="&amp;DATE(2026,1,1),MUTASI!$E$2:$E$1001,"&lt;="&amp;DATE(2026,12,31)))</f>
        <v/>
      </c>
      <c r="J97" s="19">
        <f>IF($A97="","",COUNTIFS(MUTASI!$C$2:$C$1001,$A97,MUTASI!$D$2:$D$1001,"Keluar",MUTASI!$F$2:$F$1001,"Keuskupan lain",MUTASI!$E$2:$E$1001,"&gt;="&amp;DATE(2026,1,1),MUTASI!$E$2:$E$1001,"&lt;="&amp;DATE(2026,12,31)))</f>
        <v/>
      </c>
      <c r="K97" s="19">
        <f>IF($A97="","",COUNTIFS('PINDAH AGAMA'!$C$2:$C$1001,$A97,'PINDAH AGAMA'!$D$2:$D$1001,"&gt;="&amp;DATE(2026,1,1),'PINDAH AGAMA'!$D$2:$D$1001,"&lt;="&amp;DATE(2026,12,31)))</f>
        <v/>
      </c>
      <c r="L97" s="19">
        <f>IF($A97="","",D97+E97+F97+G97-H97-I97-J97-K97)</f>
        <v/>
      </c>
      <c r="M97" s="19">
        <f>IF($A97="","",COUNTIFS('KOMUNI PERTAMA'!$C$2:$C$1001,$A97,'KOMUNI PERTAMA'!$E$2:$E$1001,"&gt;="&amp;DATE(2026,1,1),'KOMUNI PERTAMA'!$E$2:$E$1001,"&lt;="&amp;DATE(2026,12,31)))</f>
        <v/>
      </c>
      <c r="N97" s="19">
        <f>IF($A97="","",COUNTIFS('PERKAWINAN GEREJANI'!$C$2:$C$1001,$A97,'PERKAWINAN GEREJANI'!$D$2:$D$1001,"&gt;="&amp;DATE(2026,1,1),'PERKAWINAN GEREJANI'!$D$2:$D$1001,"&lt;="&amp;DATE(2026,12,31)))</f>
        <v/>
      </c>
      <c r="O97" s="19">
        <f>IF($A97="","",COUNTIFS(PEMBUBARAN!$C$2:$C$1001,$A97,PEMBUBARAN!$D$2:$D$1001,"&gt;="&amp;DATE(2026,1,1),PEMBUBARAN!$D$2:$D$1001,"&lt;="&amp;DATE(2026,12,31)))</f>
        <v/>
      </c>
      <c r="P97" s="19">
        <f>IF($A97="","",COUNTIFS('PERMINYAKAN SUCI'!$C$2:$C$1001,$A97,'PERMINYAKAN SUCI'!$E$2:$E$1001,"&gt;="&amp;DATE(2026,1,1),'PERMINYAKAN SUCI'!$E$2:$E$1001,"&lt;="&amp;DATE(2026,12,31)))</f>
        <v/>
      </c>
      <c r="Q97" s="19">
        <f>IF($A97="","",H97)</f>
        <v/>
      </c>
      <c r="R97" s="19">
        <f>IF($A97="","",COUNTIFS('SEMINARI BIARA'!$C$2:$C$1001,$A97,'SEMINARI BIARA'!$F$2:$F$1001,"Mulai masuk 2026",'SEMINARI BIARA'!$G$2:$G$1001,"&gt;="&amp;DATE(2026,1,1),'SEMINARI BIARA'!$G$2:$G$1001,"&lt;="&amp;DATE(2026,12,31)))</f>
        <v/>
      </c>
      <c r="S97" s="19">
        <f>IF($A97="","",COUNTIFS('SEMINARI BIARA'!$C$2:$C$1001,$A97,'SEMINARI BIARA'!$F$2:$F$1001,"Sedang belajar 2026"))</f>
        <v/>
      </c>
    </row>
    <row r="98" ht="14.25" customHeight="1" s="37">
      <c r="A98" s="18" t="n"/>
      <c r="B98" s="19">
        <f>IF($A98="","",COUNTIF('DATA KK'!$E$2:$E$501,$A98))</f>
        <v/>
      </c>
      <c r="C98" s="19">
        <f>IF($A98="","",COUNTIF('DATA UMAT'!$H$2:$H$2001,$A98))</f>
        <v/>
      </c>
      <c r="D98" s="19">
        <f>IF($A98="","",COUNTIFS(BAPTIS!$C$2:$C$1001,$A98,BAPTIS!$F$2:$F$1001,"&gt;="&amp;DATE(2026,1,1),BAPTIS!$F$2:$F$1001,"&lt;="&amp;DATE(2026,12,31)))</f>
        <v/>
      </c>
      <c r="E98" s="19">
        <f>IF($A98="","",COUNTIFS('DITERIMA MASUK'!$C$2:$C$1001,$A98,'DITERIMA MASUK'!$D$2:$D$1001,"&gt;="&amp;DATE(2026,1,1),'DITERIMA MASUK'!$D$2:$D$1001,"&lt;="&amp;DATE(2026,12,31)))</f>
        <v/>
      </c>
      <c r="F98" s="19">
        <f>IF($A98="","",COUNTIFS(MUTASI!$C$2:$C$1001,$A98,MUTASI!$D$2:$D$1001,"Masuk",MUTASI!$F$2:$F$1001,"Paroki lain dalam keuskupan",MUTASI!$E$2:$E$1001,"&gt;="&amp;DATE(2026,1,1),MUTASI!$E$2:$E$1001,"&lt;="&amp;DATE(2026,12,31)))</f>
        <v/>
      </c>
      <c r="G98" s="19">
        <f>IF($A98="","",COUNTIFS(MUTASI!$C$2:$C$1001,$A98,MUTASI!$D$2:$D$1001,"Masuk",MUTASI!$F$2:$F$1001,"Keuskupan lain",MUTASI!$E$2:$E$1001,"&gt;="&amp;DATE(2026,1,1),MUTASI!$E$2:$E$1001,"&lt;="&amp;DATE(2026,12,31)))</f>
        <v/>
      </c>
      <c r="H98" s="19">
        <f>IF($A98="","",COUNTIFS(KEMATIAN!$C$2:$C$1001,$A98,KEMATIAN!$F$2:$F$1001,"&gt;="&amp;DATE(2026,1,1),KEMATIAN!$F$2:$F$1001,"&lt;="&amp;DATE(2026,12,31)))</f>
        <v/>
      </c>
      <c r="I98" s="19">
        <f>IF($A98="","",COUNTIFS(MUTASI!$C$2:$C$1001,$A98,MUTASI!$D$2:$D$1001,"Keluar",MUTASI!$F$2:$F$1001,"Paroki lain dalam keuskupan",MUTASI!$E$2:$E$1001,"&gt;="&amp;DATE(2026,1,1),MUTASI!$E$2:$E$1001,"&lt;="&amp;DATE(2026,12,31)))</f>
        <v/>
      </c>
      <c r="J98" s="19">
        <f>IF($A98="","",COUNTIFS(MUTASI!$C$2:$C$1001,$A98,MUTASI!$D$2:$D$1001,"Keluar",MUTASI!$F$2:$F$1001,"Keuskupan lain",MUTASI!$E$2:$E$1001,"&gt;="&amp;DATE(2026,1,1),MUTASI!$E$2:$E$1001,"&lt;="&amp;DATE(2026,12,31)))</f>
        <v/>
      </c>
      <c r="K98" s="19">
        <f>IF($A98="","",COUNTIFS('PINDAH AGAMA'!$C$2:$C$1001,$A98,'PINDAH AGAMA'!$D$2:$D$1001,"&gt;="&amp;DATE(2026,1,1),'PINDAH AGAMA'!$D$2:$D$1001,"&lt;="&amp;DATE(2026,12,31)))</f>
        <v/>
      </c>
      <c r="L98" s="19">
        <f>IF($A98="","",D98+E98+F98+G98-H98-I98-J98-K98)</f>
        <v/>
      </c>
      <c r="M98" s="19">
        <f>IF($A98="","",COUNTIFS('KOMUNI PERTAMA'!$C$2:$C$1001,$A98,'KOMUNI PERTAMA'!$E$2:$E$1001,"&gt;="&amp;DATE(2026,1,1),'KOMUNI PERTAMA'!$E$2:$E$1001,"&lt;="&amp;DATE(2026,12,31)))</f>
        <v/>
      </c>
      <c r="N98" s="19">
        <f>IF($A98="","",COUNTIFS('PERKAWINAN GEREJANI'!$C$2:$C$1001,$A98,'PERKAWINAN GEREJANI'!$D$2:$D$1001,"&gt;="&amp;DATE(2026,1,1),'PERKAWINAN GEREJANI'!$D$2:$D$1001,"&lt;="&amp;DATE(2026,12,31)))</f>
        <v/>
      </c>
      <c r="O98" s="19">
        <f>IF($A98="","",COUNTIFS(PEMBUBARAN!$C$2:$C$1001,$A98,PEMBUBARAN!$D$2:$D$1001,"&gt;="&amp;DATE(2026,1,1),PEMBUBARAN!$D$2:$D$1001,"&lt;="&amp;DATE(2026,12,31)))</f>
        <v/>
      </c>
      <c r="P98" s="19">
        <f>IF($A98="","",COUNTIFS('PERMINYAKAN SUCI'!$C$2:$C$1001,$A98,'PERMINYAKAN SUCI'!$E$2:$E$1001,"&gt;="&amp;DATE(2026,1,1),'PERMINYAKAN SUCI'!$E$2:$E$1001,"&lt;="&amp;DATE(2026,12,31)))</f>
        <v/>
      </c>
      <c r="Q98" s="19">
        <f>IF($A98="","",H98)</f>
        <v/>
      </c>
      <c r="R98" s="19">
        <f>IF($A98="","",COUNTIFS('SEMINARI BIARA'!$C$2:$C$1001,$A98,'SEMINARI BIARA'!$F$2:$F$1001,"Mulai masuk 2026",'SEMINARI BIARA'!$G$2:$G$1001,"&gt;="&amp;DATE(2026,1,1),'SEMINARI BIARA'!$G$2:$G$1001,"&lt;="&amp;DATE(2026,12,31)))</f>
        <v/>
      </c>
      <c r="S98" s="19">
        <f>IF($A98="","",COUNTIFS('SEMINARI BIARA'!$C$2:$C$1001,$A98,'SEMINARI BIARA'!$F$2:$F$1001,"Sedang belajar 2026"))</f>
        <v/>
      </c>
    </row>
    <row r="99" ht="14.25" customHeight="1" s="37">
      <c r="A99" s="18" t="n"/>
      <c r="B99" s="19">
        <f>IF($A99="","",COUNTIF('DATA KK'!$E$2:$E$501,$A99))</f>
        <v/>
      </c>
      <c r="C99" s="19">
        <f>IF($A99="","",COUNTIF('DATA UMAT'!$H$2:$H$2001,$A99))</f>
        <v/>
      </c>
      <c r="D99" s="19">
        <f>IF($A99="","",COUNTIFS(BAPTIS!$C$2:$C$1001,$A99,BAPTIS!$F$2:$F$1001,"&gt;="&amp;DATE(2026,1,1),BAPTIS!$F$2:$F$1001,"&lt;="&amp;DATE(2026,12,31)))</f>
        <v/>
      </c>
      <c r="E99" s="19">
        <f>IF($A99="","",COUNTIFS('DITERIMA MASUK'!$C$2:$C$1001,$A99,'DITERIMA MASUK'!$D$2:$D$1001,"&gt;="&amp;DATE(2026,1,1),'DITERIMA MASUK'!$D$2:$D$1001,"&lt;="&amp;DATE(2026,12,31)))</f>
        <v/>
      </c>
      <c r="F99" s="19">
        <f>IF($A99="","",COUNTIFS(MUTASI!$C$2:$C$1001,$A99,MUTASI!$D$2:$D$1001,"Masuk",MUTASI!$F$2:$F$1001,"Paroki lain dalam keuskupan",MUTASI!$E$2:$E$1001,"&gt;="&amp;DATE(2026,1,1),MUTASI!$E$2:$E$1001,"&lt;="&amp;DATE(2026,12,31)))</f>
        <v/>
      </c>
      <c r="G99" s="19">
        <f>IF($A99="","",COUNTIFS(MUTASI!$C$2:$C$1001,$A99,MUTASI!$D$2:$D$1001,"Masuk",MUTASI!$F$2:$F$1001,"Keuskupan lain",MUTASI!$E$2:$E$1001,"&gt;="&amp;DATE(2026,1,1),MUTASI!$E$2:$E$1001,"&lt;="&amp;DATE(2026,12,31)))</f>
        <v/>
      </c>
      <c r="H99" s="19">
        <f>IF($A99="","",COUNTIFS(KEMATIAN!$C$2:$C$1001,$A99,KEMATIAN!$F$2:$F$1001,"&gt;="&amp;DATE(2026,1,1),KEMATIAN!$F$2:$F$1001,"&lt;="&amp;DATE(2026,12,31)))</f>
        <v/>
      </c>
      <c r="I99" s="19">
        <f>IF($A99="","",COUNTIFS(MUTASI!$C$2:$C$1001,$A99,MUTASI!$D$2:$D$1001,"Keluar",MUTASI!$F$2:$F$1001,"Paroki lain dalam keuskupan",MUTASI!$E$2:$E$1001,"&gt;="&amp;DATE(2026,1,1),MUTASI!$E$2:$E$1001,"&lt;="&amp;DATE(2026,12,31)))</f>
        <v/>
      </c>
      <c r="J99" s="19">
        <f>IF($A99="","",COUNTIFS(MUTASI!$C$2:$C$1001,$A99,MUTASI!$D$2:$D$1001,"Keluar",MUTASI!$F$2:$F$1001,"Keuskupan lain",MUTASI!$E$2:$E$1001,"&gt;="&amp;DATE(2026,1,1),MUTASI!$E$2:$E$1001,"&lt;="&amp;DATE(2026,12,31)))</f>
        <v/>
      </c>
      <c r="K99" s="19">
        <f>IF($A99="","",COUNTIFS('PINDAH AGAMA'!$C$2:$C$1001,$A99,'PINDAH AGAMA'!$D$2:$D$1001,"&gt;="&amp;DATE(2026,1,1),'PINDAH AGAMA'!$D$2:$D$1001,"&lt;="&amp;DATE(2026,12,31)))</f>
        <v/>
      </c>
      <c r="L99" s="19">
        <f>IF($A99="","",D99+E99+F99+G99-H99-I99-J99-K99)</f>
        <v/>
      </c>
      <c r="M99" s="19">
        <f>IF($A99="","",COUNTIFS('KOMUNI PERTAMA'!$C$2:$C$1001,$A99,'KOMUNI PERTAMA'!$E$2:$E$1001,"&gt;="&amp;DATE(2026,1,1),'KOMUNI PERTAMA'!$E$2:$E$1001,"&lt;="&amp;DATE(2026,12,31)))</f>
        <v/>
      </c>
      <c r="N99" s="19">
        <f>IF($A99="","",COUNTIFS('PERKAWINAN GEREJANI'!$C$2:$C$1001,$A99,'PERKAWINAN GEREJANI'!$D$2:$D$1001,"&gt;="&amp;DATE(2026,1,1),'PERKAWINAN GEREJANI'!$D$2:$D$1001,"&lt;="&amp;DATE(2026,12,31)))</f>
        <v/>
      </c>
      <c r="O99" s="19">
        <f>IF($A99="","",COUNTIFS(PEMBUBARAN!$C$2:$C$1001,$A99,PEMBUBARAN!$D$2:$D$1001,"&gt;="&amp;DATE(2026,1,1),PEMBUBARAN!$D$2:$D$1001,"&lt;="&amp;DATE(2026,12,31)))</f>
        <v/>
      </c>
      <c r="P99" s="19">
        <f>IF($A99="","",COUNTIFS('PERMINYAKAN SUCI'!$C$2:$C$1001,$A99,'PERMINYAKAN SUCI'!$E$2:$E$1001,"&gt;="&amp;DATE(2026,1,1),'PERMINYAKAN SUCI'!$E$2:$E$1001,"&lt;="&amp;DATE(2026,12,31)))</f>
        <v/>
      </c>
      <c r="Q99" s="19">
        <f>IF($A99="","",H99)</f>
        <v/>
      </c>
      <c r="R99" s="19">
        <f>IF($A99="","",COUNTIFS('SEMINARI BIARA'!$C$2:$C$1001,$A99,'SEMINARI BIARA'!$F$2:$F$1001,"Mulai masuk 2026",'SEMINARI BIARA'!$G$2:$G$1001,"&gt;="&amp;DATE(2026,1,1),'SEMINARI BIARA'!$G$2:$G$1001,"&lt;="&amp;DATE(2026,12,31)))</f>
        <v/>
      </c>
      <c r="S99" s="19">
        <f>IF($A99="","",COUNTIFS('SEMINARI BIARA'!$C$2:$C$1001,$A99,'SEMINARI BIARA'!$F$2:$F$1001,"Sedang belajar 2026"))</f>
        <v/>
      </c>
    </row>
    <row r="100" ht="14.25" customHeight="1" s="37">
      <c r="A100" s="18" t="n"/>
      <c r="B100" s="19">
        <f>IF($A100="","",COUNTIF('DATA KK'!$E$2:$E$501,$A100))</f>
        <v/>
      </c>
      <c r="C100" s="19">
        <f>IF($A100="","",COUNTIF('DATA UMAT'!$H$2:$H$2001,$A100))</f>
        <v/>
      </c>
      <c r="D100" s="19">
        <f>IF($A100="","",COUNTIFS(BAPTIS!$C$2:$C$1001,$A100,BAPTIS!$F$2:$F$1001,"&gt;="&amp;DATE(2026,1,1),BAPTIS!$F$2:$F$1001,"&lt;="&amp;DATE(2026,12,31)))</f>
        <v/>
      </c>
      <c r="E100" s="19">
        <f>IF($A100="","",COUNTIFS('DITERIMA MASUK'!$C$2:$C$1001,$A100,'DITERIMA MASUK'!$D$2:$D$1001,"&gt;="&amp;DATE(2026,1,1),'DITERIMA MASUK'!$D$2:$D$1001,"&lt;="&amp;DATE(2026,12,31)))</f>
        <v/>
      </c>
      <c r="F100" s="19">
        <f>IF($A100="","",COUNTIFS(MUTASI!$C$2:$C$1001,$A100,MUTASI!$D$2:$D$1001,"Masuk",MUTASI!$F$2:$F$1001,"Paroki lain dalam keuskupan",MUTASI!$E$2:$E$1001,"&gt;="&amp;DATE(2026,1,1),MUTASI!$E$2:$E$1001,"&lt;="&amp;DATE(2026,12,31)))</f>
        <v/>
      </c>
      <c r="G100" s="19">
        <f>IF($A100="","",COUNTIFS(MUTASI!$C$2:$C$1001,$A100,MUTASI!$D$2:$D$1001,"Masuk",MUTASI!$F$2:$F$1001,"Keuskupan lain",MUTASI!$E$2:$E$1001,"&gt;="&amp;DATE(2026,1,1),MUTASI!$E$2:$E$1001,"&lt;="&amp;DATE(2026,12,31)))</f>
        <v/>
      </c>
      <c r="H100" s="19">
        <f>IF($A100="","",COUNTIFS(KEMATIAN!$C$2:$C$1001,$A100,KEMATIAN!$F$2:$F$1001,"&gt;="&amp;DATE(2026,1,1),KEMATIAN!$F$2:$F$1001,"&lt;="&amp;DATE(2026,12,31)))</f>
        <v/>
      </c>
      <c r="I100" s="19">
        <f>IF($A100="","",COUNTIFS(MUTASI!$C$2:$C$1001,$A100,MUTASI!$D$2:$D$1001,"Keluar",MUTASI!$F$2:$F$1001,"Paroki lain dalam keuskupan",MUTASI!$E$2:$E$1001,"&gt;="&amp;DATE(2026,1,1),MUTASI!$E$2:$E$1001,"&lt;="&amp;DATE(2026,12,31)))</f>
        <v/>
      </c>
      <c r="J100" s="19">
        <f>IF($A100="","",COUNTIFS(MUTASI!$C$2:$C$1001,$A100,MUTASI!$D$2:$D$1001,"Keluar",MUTASI!$F$2:$F$1001,"Keuskupan lain",MUTASI!$E$2:$E$1001,"&gt;="&amp;DATE(2026,1,1),MUTASI!$E$2:$E$1001,"&lt;="&amp;DATE(2026,12,31)))</f>
        <v/>
      </c>
      <c r="K100" s="19">
        <f>IF($A100="","",COUNTIFS('PINDAH AGAMA'!$C$2:$C$1001,$A100,'PINDAH AGAMA'!$D$2:$D$1001,"&gt;="&amp;DATE(2026,1,1),'PINDAH AGAMA'!$D$2:$D$1001,"&lt;="&amp;DATE(2026,12,31)))</f>
        <v/>
      </c>
      <c r="L100" s="19">
        <f>IF($A100="","",D100+E100+F100+G100-H100-I100-J100-K100)</f>
        <v/>
      </c>
      <c r="M100" s="19">
        <f>IF($A100="","",COUNTIFS('KOMUNI PERTAMA'!$C$2:$C$1001,$A100,'KOMUNI PERTAMA'!$E$2:$E$1001,"&gt;="&amp;DATE(2026,1,1),'KOMUNI PERTAMA'!$E$2:$E$1001,"&lt;="&amp;DATE(2026,12,31)))</f>
        <v/>
      </c>
      <c r="N100" s="19">
        <f>IF($A100="","",COUNTIFS('PERKAWINAN GEREJANI'!$C$2:$C$1001,$A100,'PERKAWINAN GEREJANI'!$D$2:$D$1001,"&gt;="&amp;DATE(2026,1,1),'PERKAWINAN GEREJANI'!$D$2:$D$1001,"&lt;="&amp;DATE(2026,12,31)))</f>
        <v/>
      </c>
      <c r="O100" s="19">
        <f>IF($A100="","",COUNTIFS(PEMBUBARAN!$C$2:$C$1001,$A100,PEMBUBARAN!$D$2:$D$1001,"&gt;="&amp;DATE(2026,1,1),PEMBUBARAN!$D$2:$D$1001,"&lt;="&amp;DATE(2026,12,31)))</f>
        <v/>
      </c>
      <c r="P100" s="19">
        <f>IF($A100="","",COUNTIFS('PERMINYAKAN SUCI'!$C$2:$C$1001,$A100,'PERMINYAKAN SUCI'!$E$2:$E$1001,"&gt;="&amp;DATE(2026,1,1),'PERMINYAKAN SUCI'!$E$2:$E$1001,"&lt;="&amp;DATE(2026,12,31)))</f>
        <v/>
      </c>
      <c r="Q100" s="19">
        <f>IF($A100="","",H100)</f>
        <v/>
      </c>
      <c r="R100" s="19">
        <f>IF($A100="","",COUNTIFS('SEMINARI BIARA'!$C$2:$C$1001,$A100,'SEMINARI BIARA'!$F$2:$F$1001,"Mulai masuk 2026",'SEMINARI BIARA'!$G$2:$G$1001,"&gt;="&amp;DATE(2026,1,1),'SEMINARI BIARA'!$G$2:$G$1001,"&lt;="&amp;DATE(2026,12,31)))</f>
        <v/>
      </c>
      <c r="S100" s="19">
        <f>IF($A100="","",COUNTIFS('SEMINARI BIARA'!$C$2:$C$1001,$A100,'SEMINARI BIARA'!$F$2:$F$1001,"Sedang belajar 2026"))</f>
        <v/>
      </c>
    </row>
    <row r="101" ht="14.25" customHeight="1" s="37">
      <c r="A101" s="18" t="n"/>
      <c r="B101" s="19">
        <f>IF($A101="","",COUNTIF('DATA KK'!$E$2:$E$501,$A101))</f>
        <v/>
      </c>
      <c r="C101" s="19">
        <f>IF($A101="","",COUNTIF('DATA UMAT'!$H$2:$H$2001,$A101))</f>
        <v/>
      </c>
      <c r="D101" s="19">
        <f>IF($A101="","",COUNTIFS(BAPTIS!$C$2:$C$1001,$A101,BAPTIS!$F$2:$F$1001,"&gt;="&amp;DATE(2026,1,1),BAPTIS!$F$2:$F$1001,"&lt;="&amp;DATE(2026,12,31)))</f>
        <v/>
      </c>
      <c r="E101" s="19">
        <f>IF($A101="","",COUNTIFS('DITERIMA MASUK'!$C$2:$C$1001,$A101,'DITERIMA MASUK'!$D$2:$D$1001,"&gt;="&amp;DATE(2026,1,1),'DITERIMA MASUK'!$D$2:$D$1001,"&lt;="&amp;DATE(2026,12,31)))</f>
        <v/>
      </c>
      <c r="F101" s="19">
        <f>IF($A101="","",COUNTIFS(MUTASI!$C$2:$C$1001,$A101,MUTASI!$D$2:$D$1001,"Masuk",MUTASI!$F$2:$F$1001,"Paroki lain dalam keuskupan",MUTASI!$E$2:$E$1001,"&gt;="&amp;DATE(2026,1,1),MUTASI!$E$2:$E$1001,"&lt;="&amp;DATE(2026,12,31)))</f>
        <v/>
      </c>
      <c r="G101" s="19">
        <f>IF($A101="","",COUNTIFS(MUTASI!$C$2:$C$1001,$A101,MUTASI!$D$2:$D$1001,"Masuk",MUTASI!$F$2:$F$1001,"Keuskupan lain",MUTASI!$E$2:$E$1001,"&gt;="&amp;DATE(2026,1,1),MUTASI!$E$2:$E$1001,"&lt;="&amp;DATE(2026,12,31)))</f>
        <v/>
      </c>
      <c r="H101" s="19">
        <f>IF($A101="","",COUNTIFS(KEMATIAN!$C$2:$C$1001,$A101,KEMATIAN!$F$2:$F$1001,"&gt;="&amp;DATE(2026,1,1),KEMATIAN!$F$2:$F$1001,"&lt;="&amp;DATE(2026,12,31)))</f>
        <v/>
      </c>
      <c r="I101" s="19">
        <f>IF($A101="","",COUNTIFS(MUTASI!$C$2:$C$1001,$A101,MUTASI!$D$2:$D$1001,"Keluar",MUTASI!$F$2:$F$1001,"Paroki lain dalam keuskupan",MUTASI!$E$2:$E$1001,"&gt;="&amp;DATE(2026,1,1),MUTASI!$E$2:$E$1001,"&lt;="&amp;DATE(2026,12,31)))</f>
        <v/>
      </c>
      <c r="J101" s="19">
        <f>IF($A101="","",COUNTIFS(MUTASI!$C$2:$C$1001,$A101,MUTASI!$D$2:$D$1001,"Keluar",MUTASI!$F$2:$F$1001,"Keuskupan lain",MUTASI!$E$2:$E$1001,"&gt;="&amp;DATE(2026,1,1),MUTASI!$E$2:$E$1001,"&lt;="&amp;DATE(2026,12,31)))</f>
        <v/>
      </c>
      <c r="K101" s="19">
        <f>IF($A101="","",COUNTIFS('PINDAH AGAMA'!$C$2:$C$1001,$A101,'PINDAH AGAMA'!$D$2:$D$1001,"&gt;="&amp;DATE(2026,1,1),'PINDAH AGAMA'!$D$2:$D$1001,"&lt;="&amp;DATE(2026,12,31)))</f>
        <v/>
      </c>
      <c r="L101" s="19">
        <f>IF($A101="","",D101+E101+F101+G101-H101-I101-J101-K101)</f>
        <v/>
      </c>
      <c r="M101" s="19">
        <f>IF($A101="","",COUNTIFS('KOMUNI PERTAMA'!$C$2:$C$1001,$A101,'KOMUNI PERTAMA'!$E$2:$E$1001,"&gt;="&amp;DATE(2026,1,1),'KOMUNI PERTAMA'!$E$2:$E$1001,"&lt;="&amp;DATE(2026,12,31)))</f>
        <v/>
      </c>
      <c r="N101" s="19">
        <f>IF($A101="","",COUNTIFS('PERKAWINAN GEREJANI'!$C$2:$C$1001,$A101,'PERKAWINAN GEREJANI'!$D$2:$D$1001,"&gt;="&amp;DATE(2026,1,1),'PERKAWINAN GEREJANI'!$D$2:$D$1001,"&lt;="&amp;DATE(2026,12,31)))</f>
        <v/>
      </c>
      <c r="O101" s="19">
        <f>IF($A101="","",COUNTIFS(PEMBUBARAN!$C$2:$C$1001,$A101,PEMBUBARAN!$D$2:$D$1001,"&gt;="&amp;DATE(2026,1,1),PEMBUBARAN!$D$2:$D$1001,"&lt;="&amp;DATE(2026,12,31)))</f>
        <v/>
      </c>
      <c r="P101" s="19">
        <f>IF($A101="","",COUNTIFS('PERMINYAKAN SUCI'!$C$2:$C$1001,$A101,'PERMINYAKAN SUCI'!$E$2:$E$1001,"&gt;="&amp;DATE(2026,1,1),'PERMINYAKAN SUCI'!$E$2:$E$1001,"&lt;="&amp;DATE(2026,12,31)))</f>
        <v/>
      </c>
      <c r="Q101" s="19">
        <f>IF($A101="","",H101)</f>
        <v/>
      </c>
      <c r="R101" s="19">
        <f>IF($A101="","",COUNTIFS('SEMINARI BIARA'!$C$2:$C$1001,$A101,'SEMINARI BIARA'!$F$2:$F$1001,"Mulai masuk 2026",'SEMINARI BIARA'!$G$2:$G$1001,"&gt;="&amp;DATE(2026,1,1),'SEMINARI BIARA'!$G$2:$G$1001,"&lt;="&amp;DATE(2026,12,31)))</f>
        <v/>
      </c>
      <c r="S101" s="19">
        <f>IF($A101="","",COUNTIFS('SEMINARI BIARA'!$C$2:$C$1001,$A101,'SEMINARI BIARA'!$F$2:$F$1001,"Sedang belajar 2026"))</f>
        <v/>
      </c>
    </row>
    <row r="102" ht="14.25" customHeight="1" s="37">
      <c r="A102" s="18" t="n"/>
      <c r="B102" s="19">
        <f>IF($A102="","",COUNTIF('DATA KK'!$E$2:$E$501,$A102))</f>
        <v/>
      </c>
      <c r="C102" s="19">
        <f>IF($A102="","",COUNTIF('DATA UMAT'!$H$2:$H$2001,$A102))</f>
        <v/>
      </c>
      <c r="D102" s="19">
        <f>IF($A102="","",COUNTIFS(BAPTIS!$C$2:$C$1001,$A102,BAPTIS!$F$2:$F$1001,"&gt;="&amp;DATE(2026,1,1),BAPTIS!$F$2:$F$1001,"&lt;="&amp;DATE(2026,12,31)))</f>
        <v/>
      </c>
      <c r="E102" s="19">
        <f>IF($A102="","",COUNTIFS('DITERIMA MASUK'!$C$2:$C$1001,$A102,'DITERIMA MASUK'!$D$2:$D$1001,"&gt;="&amp;DATE(2026,1,1),'DITERIMA MASUK'!$D$2:$D$1001,"&lt;="&amp;DATE(2026,12,31)))</f>
        <v/>
      </c>
      <c r="F102" s="19">
        <f>IF($A102="","",COUNTIFS(MUTASI!$C$2:$C$1001,$A102,MUTASI!$D$2:$D$1001,"Masuk",MUTASI!$F$2:$F$1001,"Paroki lain dalam keuskupan",MUTASI!$E$2:$E$1001,"&gt;="&amp;DATE(2026,1,1),MUTASI!$E$2:$E$1001,"&lt;="&amp;DATE(2026,12,31)))</f>
        <v/>
      </c>
      <c r="G102" s="19">
        <f>IF($A102="","",COUNTIFS(MUTASI!$C$2:$C$1001,$A102,MUTASI!$D$2:$D$1001,"Masuk",MUTASI!$F$2:$F$1001,"Keuskupan lain",MUTASI!$E$2:$E$1001,"&gt;="&amp;DATE(2026,1,1),MUTASI!$E$2:$E$1001,"&lt;="&amp;DATE(2026,12,31)))</f>
        <v/>
      </c>
      <c r="H102" s="19">
        <f>IF($A102="","",COUNTIFS(KEMATIAN!$C$2:$C$1001,$A102,KEMATIAN!$F$2:$F$1001,"&gt;="&amp;DATE(2026,1,1),KEMATIAN!$F$2:$F$1001,"&lt;="&amp;DATE(2026,12,31)))</f>
        <v/>
      </c>
      <c r="I102" s="19">
        <f>IF($A102="","",COUNTIFS(MUTASI!$C$2:$C$1001,$A102,MUTASI!$D$2:$D$1001,"Keluar",MUTASI!$F$2:$F$1001,"Paroki lain dalam keuskupan",MUTASI!$E$2:$E$1001,"&gt;="&amp;DATE(2026,1,1),MUTASI!$E$2:$E$1001,"&lt;="&amp;DATE(2026,12,31)))</f>
        <v/>
      </c>
      <c r="J102" s="19">
        <f>IF($A102="","",COUNTIFS(MUTASI!$C$2:$C$1001,$A102,MUTASI!$D$2:$D$1001,"Keluar",MUTASI!$F$2:$F$1001,"Keuskupan lain",MUTASI!$E$2:$E$1001,"&gt;="&amp;DATE(2026,1,1),MUTASI!$E$2:$E$1001,"&lt;="&amp;DATE(2026,12,31)))</f>
        <v/>
      </c>
      <c r="K102" s="19">
        <f>IF($A102="","",COUNTIFS('PINDAH AGAMA'!$C$2:$C$1001,$A102,'PINDAH AGAMA'!$D$2:$D$1001,"&gt;="&amp;DATE(2026,1,1),'PINDAH AGAMA'!$D$2:$D$1001,"&lt;="&amp;DATE(2026,12,31)))</f>
        <v/>
      </c>
      <c r="L102" s="19">
        <f>IF($A102="","",D102+E102+F102+G102-H102-I102-J102-K102)</f>
        <v/>
      </c>
      <c r="M102" s="19">
        <f>IF($A102="","",COUNTIFS('KOMUNI PERTAMA'!$C$2:$C$1001,$A102,'KOMUNI PERTAMA'!$E$2:$E$1001,"&gt;="&amp;DATE(2026,1,1),'KOMUNI PERTAMA'!$E$2:$E$1001,"&lt;="&amp;DATE(2026,12,31)))</f>
        <v/>
      </c>
      <c r="N102" s="19">
        <f>IF($A102="","",COUNTIFS('PERKAWINAN GEREJANI'!$C$2:$C$1001,$A102,'PERKAWINAN GEREJANI'!$D$2:$D$1001,"&gt;="&amp;DATE(2026,1,1),'PERKAWINAN GEREJANI'!$D$2:$D$1001,"&lt;="&amp;DATE(2026,12,31)))</f>
        <v/>
      </c>
      <c r="O102" s="19">
        <f>IF($A102="","",COUNTIFS(PEMBUBARAN!$C$2:$C$1001,$A102,PEMBUBARAN!$D$2:$D$1001,"&gt;="&amp;DATE(2026,1,1),PEMBUBARAN!$D$2:$D$1001,"&lt;="&amp;DATE(2026,12,31)))</f>
        <v/>
      </c>
      <c r="P102" s="19">
        <f>IF($A102="","",COUNTIFS('PERMINYAKAN SUCI'!$C$2:$C$1001,$A102,'PERMINYAKAN SUCI'!$E$2:$E$1001,"&gt;="&amp;DATE(2026,1,1),'PERMINYAKAN SUCI'!$E$2:$E$1001,"&lt;="&amp;DATE(2026,12,31)))</f>
        <v/>
      </c>
      <c r="Q102" s="19">
        <f>IF($A102="","",H102)</f>
        <v/>
      </c>
      <c r="R102" s="19">
        <f>IF($A102="","",COUNTIFS('SEMINARI BIARA'!$C$2:$C$1001,$A102,'SEMINARI BIARA'!$F$2:$F$1001,"Mulai masuk 2026",'SEMINARI BIARA'!$G$2:$G$1001,"&gt;="&amp;DATE(2026,1,1),'SEMINARI BIARA'!$G$2:$G$1001,"&lt;="&amp;DATE(2026,12,31)))</f>
        <v/>
      </c>
      <c r="S102" s="19">
        <f>IF($A102="","",COUNTIFS('SEMINARI BIARA'!$C$2:$C$1001,$A102,'SEMINARI BIARA'!$F$2:$F$1001,"Sedang belajar 2026"))</f>
        <v/>
      </c>
    </row>
    <row r="103" ht="14.25" customHeight="1" s="37">
      <c r="A103" s="18" t="n"/>
      <c r="B103" s="19">
        <f>IF($A103="","",COUNTIF('DATA KK'!$E$2:$E$501,$A103))</f>
        <v/>
      </c>
      <c r="C103" s="19">
        <f>IF($A103="","",COUNTIF('DATA UMAT'!$H$2:$H$2001,$A103))</f>
        <v/>
      </c>
      <c r="D103" s="19">
        <f>IF($A103="","",COUNTIFS(BAPTIS!$C$2:$C$1001,$A103,BAPTIS!$F$2:$F$1001,"&gt;="&amp;DATE(2026,1,1),BAPTIS!$F$2:$F$1001,"&lt;="&amp;DATE(2026,12,31)))</f>
        <v/>
      </c>
      <c r="E103" s="19">
        <f>IF($A103="","",COUNTIFS('DITERIMA MASUK'!$C$2:$C$1001,$A103,'DITERIMA MASUK'!$D$2:$D$1001,"&gt;="&amp;DATE(2026,1,1),'DITERIMA MASUK'!$D$2:$D$1001,"&lt;="&amp;DATE(2026,12,31)))</f>
        <v/>
      </c>
      <c r="F103" s="19">
        <f>IF($A103="","",COUNTIFS(MUTASI!$C$2:$C$1001,$A103,MUTASI!$D$2:$D$1001,"Masuk",MUTASI!$F$2:$F$1001,"Paroki lain dalam keuskupan",MUTASI!$E$2:$E$1001,"&gt;="&amp;DATE(2026,1,1),MUTASI!$E$2:$E$1001,"&lt;="&amp;DATE(2026,12,31)))</f>
        <v/>
      </c>
      <c r="G103" s="19">
        <f>IF($A103="","",COUNTIFS(MUTASI!$C$2:$C$1001,$A103,MUTASI!$D$2:$D$1001,"Masuk",MUTASI!$F$2:$F$1001,"Keuskupan lain",MUTASI!$E$2:$E$1001,"&gt;="&amp;DATE(2026,1,1),MUTASI!$E$2:$E$1001,"&lt;="&amp;DATE(2026,12,31)))</f>
        <v/>
      </c>
      <c r="H103" s="19">
        <f>IF($A103="","",COUNTIFS(KEMATIAN!$C$2:$C$1001,$A103,KEMATIAN!$F$2:$F$1001,"&gt;="&amp;DATE(2026,1,1),KEMATIAN!$F$2:$F$1001,"&lt;="&amp;DATE(2026,12,31)))</f>
        <v/>
      </c>
      <c r="I103" s="19">
        <f>IF($A103="","",COUNTIFS(MUTASI!$C$2:$C$1001,$A103,MUTASI!$D$2:$D$1001,"Keluar",MUTASI!$F$2:$F$1001,"Paroki lain dalam keuskupan",MUTASI!$E$2:$E$1001,"&gt;="&amp;DATE(2026,1,1),MUTASI!$E$2:$E$1001,"&lt;="&amp;DATE(2026,12,31)))</f>
        <v/>
      </c>
      <c r="J103" s="19">
        <f>IF($A103="","",COUNTIFS(MUTASI!$C$2:$C$1001,$A103,MUTASI!$D$2:$D$1001,"Keluar",MUTASI!$F$2:$F$1001,"Keuskupan lain",MUTASI!$E$2:$E$1001,"&gt;="&amp;DATE(2026,1,1),MUTASI!$E$2:$E$1001,"&lt;="&amp;DATE(2026,12,31)))</f>
        <v/>
      </c>
      <c r="K103" s="19">
        <f>IF($A103="","",COUNTIFS('PINDAH AGAMA'!$C$2:$C$1001,$A103,'PINDAH AGAMA'!$D$2:$D$1001,"&gt;="&amp;DATE(2026,1,1),'PINDAH AGAMA'!$D$2:$D$1001,"&lt;="&amp;DATE(2026,12,31)))</f>
        <v/>
      </c>
      <c r="L103" s="19">
        <f>IF($A103="","",D103+E103+F103+G103-H103-I103-J103-K103)</f>
        <v/>
      </c>
      <c r="M103" s="19">
        <f>IF($A103="","",COUNTIFS('KOMUNI PERTAMA'!$C$2:$C$1001,$A103,'KOMUNI PERTAMA'!$E$2:$E$1001,"&gt;="&amp;DATE(2026,1,1),'KOMUNI PERTAMA'!$E$2:$E$1001,"&lt;="&amp;DATE(2026,12,31)))</f>
        <v/>
      </c>
      <c r="N103" s="19">
        <f>IF($A103="","",COUNTIFS('PERKAWINAN GEREJANI'!$C$2:$C$1001,$A103,'PERKAWINAN GEREJANI'!$D$2:$D$1001,"&gt;="&amp;DATE(2026,1,1),'PERKAWINAN GEREJANI'!$D$2:$D$1001,"&lt;="&amp;DATE(2026,12,31)))</f>
        <v/>
      </c>
      <c r="O103" s="19">
        <f>IF($A103="","",COUNTIFS(PEMBUBARAN!$C$2:$C$1001,$A103,PEMBUBARAN!$D$2:$D$1001,"&gt;="&amp;DATE(2026,1,1),PEMBUBARAN!$D$2:$D$1001,"&lt;="&amp;DATE(2026,12,31)))</f>
        <v/>
      </c>
      <c r="P103" s="19">
        <f>IF($A103="","",COUNTIFS('PERMINYAKAN SUCI'!$C$2:$C$1001,$A103,'PERMINYAKAN SUCI'!$E$2:$E$1001,"&gt;="&amp;DATE(2026,1,1),'PERMINYAKAN SUCI'!$E$2:$E$1001,"&lt;="&amp;DATE(2026,12,31)))</f>
        <v/>
      </c>
      <c r="Q103" s="19">
        <f>IF($A103="","",H103)</f>
        <v/>
      </c>
      <c r="R103" s="19">
        <f>IF($A103="","",COUNTIFS('SEMINARI BIARA'!$C$2:$C$1001,$A103,'SEMINARI BIARA'!$F$2:$F$1001,"Mulai masuk 2026",'SEMINARI BIARA'!$G$2:$G$1001,"&gt;="&amp;DATE(2026,1,1),'SEMINARI BIARA'!$G$2:$G$1001,"&lt;="&amp;DATE(2026,12,31)))</f>
        <v/>
      </c>
      <c r="S103" s="19">
        <f>IF($A103="","",COUNTIFS('SEMINARI BIARA'!$C$2:$C$1001,$A103,'SEMINARI BIARA'!$F$2:$F$1001,"Sedang belajar 2026"))</f>
        <v/>
      </c>
    </row>
    <row r="104" ht="14.25" customHeight="1" s="37">
      <c r="A104" s="18" t="n"/>
      <c r="B104" s="19">
        <f>IF($A104="","",COUNTIF('DATA KK'!$E$2:$E$501,$A104))</f>
        <v/>
      </c>
      <c r="C104" s="19">
        <f>IF($A104="","",COUNTIF('DATA UMAT'!$H$2:$H$2001,$A104))</f>
        <v/>
      </c>
      <c r="D104" s="19">
        <f>IF($A104="","",COUNTIFS(BAPTIS!$C$2:$C$1001,$A104,BAPTIS!$F$2:$F$1001,"&gt;="&amp;DATE(2026,1,1),BAPTIS!$F$2:$F$1001,"&lt;="&amp;DATE(2026,12,31)))</f>
        <v/>
      </c>
      <c r="E104" s="19">
        <f>IF($A104="","",COUNTIFS('DITERIMA MASUK'!$C$2:$C$1001,$A104,'DITERIMA MASUK'!$D$2:$D$1001,"&gt;="&amp;DATE(2026,1,1),'DITERIMA MASUK'!$D$2:$D$1001,"&lt;="&amp;DATE(2026,12,31)))</f>
        <v/>
      </c>
      <c r="F104" s="19">
        <f>IF($A104="","",COUNTIFS(MUTASI!$C$2:$C$1001,$A104,MUTASI!$D$2:$D$1001,"Masuk",MUTASI!$F$2:$F$1001,"Paroki lain dalam keuskupan",MUTASI!$E$2:$E$1001,"&gt;="&amp;DATE(2026,1,1),MUTASI!$E$2:$E$1001,"&lt;="&amp;DATE(2026,12,31)))</f>
        <v/>
      </c>
      <c r="G104" s="19">
        <f>IF($A104="","",COUNTIFS(MUTASI!$C$2:$C$1001,$A104,MUTASI!$D$2:$D$1001,"Masuk",MUTASI!$F$2:$F$1001,"Keuskupan lain",MUTASI!$E$2:$E$1001,"&gt;="&amp;DATE(2026,1,1),MUTASI!$E$2:$E$1001,"&lt;="&amp;DATE(2026,12,31)))</f>
        <v/>
      </c>
      <c r="H104" s="19">
        <f>IF($A104="","",COUNTIFS(KEMATIAN!$C$2:$C$1001,$A104,KEMATIAN!$F$2:$F$1001,"&gt;="&amp;DATE(2026,1,1),KEMATIAN!$F$2:$F$1001,"&lt;="&amp;DATE(2026,12,31)))</f>
        <v/>
      </c>
      <c r="I104" s="19">
        <f>IF($A104="","",COUNTIFS(MUTASI!$C$2:$C$1001,$A104,MUTASI!$D$2:$D$1001,"Keluar",MUTASI!$F$2:$F$1001,"Paroki lain dalam keuskupan",MUTASI!$E$2:$E$1001,"&gt;="&amp;DATE(2026,1,1),MUTASI!$E$2:$E$1001,"&lt;="&amp;DATE(2026,12,31)))</f>
        <v/>
      </c>
      <c r="J104" s="19">
        <f>IF($A104="","",COUNTIFS(MUTASI!$C$2:$C$1001,$A104,MUTASI!$D$2:$D$1001,"Keluar",MUTASI!$F$2:$F$1001,"Keuskupan lain",MUTASI!$E$2:$E$1001,"&gt;="&amp;DATE(2026,1,1),MUTASI!$E$2:$E$1001,"&lt;="&amp;DATE(2026,12,31)))</f>
        <v/>
      </c>
      <c r="K104" s="19">
        <f>IF($A104="","",COUNTIFS('PINDAH AGAMA'!$C$2:$C$1001,$A104,'PINDAH AGAMA'!$D$2:$D$1001,"&gt;="&amp;DATE(2026,1,1),'PINDAH AGAMA'!$D$2:$D$1001,"&lt;="&amp;DATE(2026,12,31)))</f>
        <v/>
      </c>
      <c r="L104" s="19">
        <f>IF($A104="","",D104+E104+F104+G104-H104-I104-J104-K104)</f>
        <v/>
      </c>
      <c r="M104" s="19">
        <f>IF($A104="","",COUNTIFS('KOMUNI PERTAMA'!$C$2:$C$1001,$A104,'KOMUNI PERTAMA'!$E$2:$E$1001,"&gt;="&amp;DATE(2026,1,1),'KOMUNI PERTAMA'!$E$2:$E$1001,"&lt;="&amp;DATE(2026,12,31)))</f>
        <v/>
      </c>
      <c r="N104" s="19">
        <f>IF($A104="","",COUNTIFS('PERKAWINAN GEREJANI'!$C$2:$C$1001,$A104,'PERKAWINAN GEREJANI'!$D$2:$D$1001,"&gt;="&amp;DATE(2026,1,1),'PERKAWINAN GEREJANI'!$D$2:$D$1001,"&lt;="&amp;DATE(2026,12,31)))</f>
        <v/>
      </c>
      <c r="O104" s="19">
        <f>IF($A104="","",COUNTIFS(PEMBUBARAN!$C$2:$C$1001,$A104,PEMBUBARAN!$D$2:$D$1001,"&gt;="&amp;DATE(2026,1,1),PEMBUBARAN!$D$2:$D$1001,"&lt;="&amp;DATE(2026,12,31)))</f>
        <v/>
      </c>
      <c r="P104" s="19">
        <f>IF($A104="","",COUNTIFS('PERMINYAKAN SUCI'!$C$2:$C$1001,$A104,'PERMINYAKAN SUCI'!$E$2:$E$1001,"&gt;="&amp;DATE(2026,1,1),'PERMINYAKAN SUCI'!$E$2:$E$1001,"&lt;="&amp;DATE(2026,12,31)))</f>
        <v/>
      </c>
      <c r="Q104" s="19">
        <f>IF($A104="","",H104)</f>
        <v/>
      </c>
      <c r="R104" s="19">
        <f>IF($A104="","",COUNTIFS('SEMINARI BIARA'!$C$2:$C$1001,$A104,'SEMINARI BIARA'!$F$2:$F$1001,"Mulai masuk 2026",'SEMINARI BIARA'!$G$2:$G$1001,"&gt;="&amp;DATE(2026,1,1),'SEMINARI BIARA'!$G$2:$G$1001,"&lt;="&amp;DATE(2026,12,31)))</f>
        <v/>
      </c>
      <c r="S104" s="19">
        <f>IF($A104="","",COUNTIFS('SEMINARI BIARA'!$C$2:$C$1001,$A104,'SEMINARI BIARA'!$F$2:$F$1001,"Sedang belajar 2026"))</f>
        <v/>
      </c>
    </row>
    <row r="105" ht="14.25" customHeight="1" s="37">
      <c r="A105" s="36" t="inlineStr">
        <is>
          <t>TOTAL PAROKI</t>
        </is>
      </c>
      <c r="B105" s="36">
        <f>SUM(B5:B104)</f>
        <v/>
      </c>
      <c r="C105" s="36">
        <f>SUM(C5:C104)</f>
        <v/>
      </c>
      <c r="D105" s="36">
        <f>SUM(D5:D104)</f>
        <v/>
      </c>
      <c r="E105" s="36">
        <f>SUM(E5:E104)</f>
        <v/>
      </c>
      <c r="F105" s="36">
        <f>SUM(F5:F104)</f>
        <v/>
      </c>
      <c r="G105" s="36">
        <f>SUM(G5:G104)</f>
        <v/>
      </c>
      <c r="H105" s="36">
        <f>SUM(H5:H104)</f>
        <v/>
      </c>
      <c r="I105" s="36">
        <f>SUM(I5:I104)</f>
        <v/>
      </c>
      <c r="J105" s="36">
        <f>SUM(J5:J104)</f>
        <v/>
      </c>
      <c r="K105" s="36">
        <f>SUM(K5:K104)</f>
        <v/>
      </c>
      <c r="L105" s="36">
        <f>SUM(L5:L104)</f>
        <v/>
      </c>
      <c r="M105" s="36">
        <f>SUM(M5:M104)</f>
        <v/>
      </c>
      <c r="N105" s="36">
        <f>SUM(N5:N104)</f>
        <v/>
      </c>
      <c r="O105" s="36">
        <f>SUM(O5:O104)</f>
        <v/>
      </c>
      <c r="P105" s="36">
        <f>SUM(P5:P104)</f>
        <v/>
      </c>
      <c r="Q105" s="36">
        <f>SUM(Q5:Q104)</f>
        <v/>
      </c>
      <c r="R105" s="36">
        <f>SUM(R5:R104)</f>
        <v/>
      </c>
      <c r="S105" s="36">
        <f>SUM(S5:S104)</f>
        <v/>
      </c>
    </row>
    <row r="106" ht="14.25" customHeight="1" s="37"/>
    <row r="107" ht="14.25" customHeight="1" s="37"/>
    <row r="108" ht="14.25" customHeight="1" s="37"/>
    <row r="109" ht="14.25" customHeight="1" s="37"/>
    <row r="110" ht="14.25" customHeight="1" s="37"/>
    <row r="111" ht="14.25" customHeight="1" s="37"/>
    <row r="112" ht="14.25" customHeight="1" s="37"/>
    <row r="113" ht="14.25" customHeight="1" s="37"/>
    <row r="114" ht="14.25" customHeight="1" s="37"/>
    <row r="115" ht="14.25" customHeight="1" s="37"/>
    <row r="116" ht="14.25" customHeight="1" s="37"/>
    <row r="117" ht="14.25" customHeight="1" s="37"/>
    <row r="118" ht="14.25" customHeight="1" s="37"/>
    <row r="119" ht="14.25" customHeight="1" s="37"/>
    <row r="120" ht="14.25" customHeight="1" s="37"/>
    <row r="121" ht="14.25" customHeight="1" s="37"/>
    <row r="122" ht="14.25" customHeight="1" s="37"/>
    <row r="123" ht="14.25" customHeight="1" s="37"/>
    <row r="124" ht="14.25" customHeight="1" s="37"/>
    <row r="125" ht="14.25" customHeight="1" s="37"/>
    <row r="126" ht="14.25" customHeight="1" s="37"/>
    <row r="127" ht="14.25" customHeight="1" s="37"/>
    <row r="128" ht="14.25" customHeight="1" s="37"/>
    <row r="129" ht="14.25" customHeight="1" s="37"/>
    <row r="130" ht="14.25" customHeight="1" s="37"/>
    <row r="131" ht="14.25" customHeight="1" s="37"/>
    <row r="132" ht="14.25" customHeight="1" s="37"/>
    <row r="133" ht="14.25" customHeight="1" s="37"/>
    <row r="134" ht="14.25" customHeight="1" s="37"/>
    <row r="135" ht="14.25" customHeight="1" s="37"/>
    <row r="136" ht="14.25" customHeight="1" s="37"/>
    <row r="137" ht="14.25" customHeight="1" s="37"/>
    <row r="138" ht="14.25" customHeight="1" s="37"/>
    <row r="139" ht="14.25" customHeight="1" s="37"/>
    <row r="140" ht="14.25" customHeight="1" s="37"/>
    <row r="141" ht="14.25" customHeight="1" s="37"/>
    <row r="142" ht="14.25" customHeight="1" s="37"/>
    <row r="143" ht="14.25" customHeight="1" s="37"/>
    <row r="144" ht="14.25" customHeight="1" s="37"/>
    <row r="145" ht="14.25" customHeight="1" s="37"/>
    <row r="146" ht="14.25" customHeight="1" s="37"/>
    <row r="147" ht="14.25" customHeight="1" s="37"/>
    <row r="148" ht="14.25" customHeight="1" s="37"/>
    <row r="149" ht="14.25" customHeight="1" s="37"/>
    <row r="150" ht="14.25" customHeight="1" s="37"/>
    <row r="151" ht="14.25" customHeight="1" s="37"/>
    <row r="152" ht="14.25" customHeight="1" s="37"/>
    <row r="153" ht="14.25" customHeight="1" s="37"/>
    <row r="154" ht="14.25" customHeight="1" s="37"/>
    <row r="155" ht="14.25" customHeight="1" s="37"/>
    <row r="156" ht="14.25" customHeight="1" s="37"/>
    <row r="157" ht="14.25" customHeight="1" s="37"/>
    <row r="158" ht="14.25" customHeight="1" s="37"/>
    <row r="159" ht="14.25" customHeight="1" s="37"/>
    <row r="160" ht="14.25" customHeight="1" s="37"/>
    <row r="161" ht="14.25" customHeight="1" s="37"/>
    <row r="162" ht="14.25" customHeight="1" s="37"/>
    <row r="163" ht="14.25" customHeight="1" s="37"/>
    <row r="164" ht="14.25" customHeight="1" s="37"/>
    <row r="165" ht="14.25" customHeight="1" s="37"/>
    <row r="166" ht="14.25" customHeight="1" s="37"/>
    <row r="167" ht="14.25" customHeight="1" s="37"/>
    <row r="168" ht="14.25" customHeight="1" s="37"/>
    <row r="169" ht="14.25" customHeight="1" s="37"/>
    <row r="170" ht="14.25" customHeight="1" s="37"/>
    <row r="171" ht="14.25" customHeight="1" s="37"/>
    <row r="172" ht="14.25" customHeight="1" s="37"/>
    <row r="173" ht="14.25" customHeight="1" s="37"/>
    <row r="174" ht="14.25" customHeight="1" s="37"/>
    <row r="175" ht="14.25" customHeight="1" s="37"/>
    <row r="176" ht="14.25" customHeight="1" s="37"/>
    <row r="177" ht="14.25" customHeight="1" s="37"/>
    <row r="178" ht="14.25" customHeight="1" s="37"/>
    <row r="179" ht="14.25" customHeight="1" s="37"/>
    <row r="180" ht="14.25" customHeight="1" s="37"/>
    <row r="181" ht="14.25" customHeight="1" s="37"/>
    <row r="182" ht="14.25" customHeight="1" s="37"/>
    <row r="183" ht="14.25" customHeight="1" s="37"/>
    <row r="184" ht="14.25" customHeight="1" s="37"/>
    <row r="185" ht="14.25" customHeight="1" s="37"/>
    <row r="186" ht="14.25" customHeight="1" s="37"/>
    <row r="187" ht="14.25" customHeight="1" s="37"/>
    <row r="188" ht="14.25" customHeight="1" s="37"/>
    <row r="189" ht="14.25" customHeight="1" s="37"/>
    <row r="190" ht="14.25" customHeight="1" s="37"/>
    <row r="191" ht="14.25" customHeight="1" s="37"/>
    <row r="192" ht="14.25" customHeight="1" s="37"/>
    <row r="193" ht="14.25" customHeight="1" s="37"/>
    <row r="194" ht="14.25" customHeight="1" s="37"/>
    <row r="195" ht="14.25" customHeight="1" s="37"/>
    <row r="196" ht="14.25" customHeight="1" s="37"/>
    <row r="197" ht="14.25" customHeight="1" s="37"/>
    <row r="198" ht="14.25" customHeight="1" s="37"/>
    <row r="199" ht="14.25" customHeight="1" s="37"/>
    <row r="200" ht="14.25" customHeight="1" s="37"/>
    <row r="201" ht="14.25" customHeight="1" s="37"/>
    <row r="202" ht="14.25" customHeight="1" s="37"/>
    <row r="203" ht="14.25" customHeight="1" s="37"/>
    <row r="204" ht="14.25" customHeight="1" s="37"/>
    <row r="205" ht="14.25" customHeight="1" s="37"/>
    <row r="206" ht="14.25" customHeight="1" s="37"/>
    <row r="207" ht="14.25" customHeight="1" s="37"/>
    <row r="208" ht="14.25" customHeight="1" s="37"/>
    <row r="209" ht="14.25" customHeight="1" s="37"/>
    <row r="210" ht="14.25" customHeight="1" s="37"/>
    <row r="211" ht="14.25" customHeight="1" s="37"/>
    <row r="212" ht="14.25" customHeight="1" s="37"/>
    <row r="213" ht="14.25" customHeight="1" s="37"/>
    <row r="214" ht="14.25" customHeight="1" s="37"/>
    <row r="215" ht="14.25" customHeight="1" s="37"/>
    <row r="216" ht="14.25" customHeight="1" s="37"/>
    <row r="217" ht="14.25" customHeight="1" s="37"/>
    <row r="218" ht="14.25" customHeight="1" s="37"/>
    <row r="219" ht="14.25" customHeight="1" s="37"/>
    <row r="220" ht="14.25" customHeight="1" s="37"/>
    <row r="221" ht="14.25" customHeight="1" s="37"/>
    <row r="222" ht="14.25" customHeight="1" s="37"/>
    <row r="223" ht="14.25" customHeight="1" s="37"/>
    <row r="224" ht="14.25" customHeight="1" s="37"/>
    <row r="225" ht="14.25" customHeight="1" s="37"/>
    <row r="226" ht="14.25" customHeight="1" s="37"/>
    <row r="227" ht="14.25" customHeight="1" s="37"/>
    <row r="228" ht="14.25" customHeight="1" s="37"/>
    <row r="229" ht="14.25" customHeight="1" s="37"/>
    <row r="230" ht="14.25" customHeight="1" s="37"/>
    <row r="231" ht="14.25" customHeight="1" s="37"/>
    <row r="232" ht="14.25" customHeight="1" s="37"/>
    <row r="233" ht="14.25" customHeight="1" s="37"/>
    <row r="234" ht="14.25" customHeight="1" s="37"/>
    <row r="235" ht="14.25" customHeight="1" s="37"/>
    <row r="236" ht="14.25" customHeight="1" s="37"/>
    <row r="237" ht="14.25" customHeight="1" s="37"/>
    <row r="238" ht="14.25" customHeight="1" s="37"/>
    <row r="239" ht="14.25" customHeight="1" s="37"/>
    <row r="240" ht="14.25" customHeight="1" s="37"/>
    <row r="241" ht="14.25" customHeight="1" s="37"/>
    <row r="242" ht="14.25" customHeight="1" s="37"/>
    <row r="243" ht="14.25" customHeight="1" s="37"/>
    <row r="244" ht="14.25" customHeight="1" s="37"/>
    <row r="245" ht="14.25" customHeight="1" s="37"/>
    <row r="246" ht="14.25" customHeight="1" s="37"/>
    <row r="247" ht="14.25" customHeight="1" s="37"/>
    <row r="248" ht="14.25" customHeight="1" s="37"/>
    <row r="249" ht="14.25" customHeight="1" s="37"/>
    <row r="250" ht="14.25" customHeight="1" s="37"/>
    <row r="251" ht="14.25" customHeight="1" s="37"/>
    <row r="252" ht="14.25" customHeight="1" s="37"/>
    <row r="253" ht="14.25" customHeight="1" s="37"/>
    <row r="254" ht="14.25" customHeight="1" s="37"/>
    <row r="255" ht="14.25" customHeight="1" s="37"/>
    <row r="256" ht="14.25" customHeight="1" s="37"/>
    <row r="257" ht="14.25" customHeight="1" s="37"/>
    <row r="258" ht="14.25" customHeight="1" s="37"/>
    <row r="259" ht="14.25" customHeight="1" s="37"/>
    <row r="260" ht="14.25" customHeight="1" s="37"/>
    <row r="261" ht="14.25" customHeight="1" s="37"/>
    <row r="262" ht="14.25" customHeight="1" s="37"/>
    <row r="263" ht="14.25" customHeight="1" s="37"/>
    <row r="264" ht="14.25" customHeight="1" s="37"/>
    <row r="265" ht="14.25" customHeight="1" s="37"/>
    <row r="266" ht="14.25" customHeight="1" s="37"/>
    <row r="267" ht="14.25" customHeight="1" s="37"/>
    <row r="268" ht="14.25" customHeight="1" s="37"/>
    <row r="269" ht="14.25" customHeight="1" s="37"/>
    <row r="270" ht="14.25" customHeight="1" s="37"/>
    <row r="271" ht="14.25" customHeight="1" s="37"/>
    <row r="272" ht="14.25" customHeight="1" s="37"/>
    <row r="273" ht="14.25" customHeight="1" s="37"/>
    <row r="274" ht="14.25" customHeight="1" s="37"/>
    <row r="275" ht="14.25" customHeight="1" s="37"/>
    <row r="276" ht="14.25" customHeight="1" s="37"/>
    <row r="277" ht="14.25" customHeight="1" s="37"/>
    <row r="278" ht="14.25" customHeight="1" s="37"/>
    <row r="279" ht="14.25" customHeight="1" s="37"/>
    <row r="280" ht="14.25" customHeight="1" s="37"/>
    <row r="281" ht="14.25" customHeight="1" s="37"/>
    <row r="282" ht="14.25" customHeight="1" s="37"/>
    <row r="283" ht="14.25" customHeight="1" s="37"/>
    <row r="284" ht="14.25" customHeight="1" s="37"/>
    <row r="285" ht="14.25" customHeight="1" s="37"/>
    <row r="286" ht="14.25" customHeight="1" s="37"/>
    <row r="287" ht="14.25" customHeight="1" s="37"/>
    <row r="288" ht="14.25" customHeight="1" s="37"/>
    <row r="289" ht="14.25" customHeight="1" s="37"/>
    <row r="290" ht="14.25" customHeight="1" s="37"/>
    <row r="291" ht="14.25" customHeight="1" s="37"/>
    <row r="292" ht="14.25" customHeight="1" s="37"/>
    <row r="293" ht="14.25" customHeight="1" s="37"/>
    <row r="294" ht="14.25" customHeight="1" s="37"/>
    <row r="295" ht="14.25" customHeight="1" s="37"/>
    <row r="296" ht="14.25" customHeight="1" s="37"/>
    <row r="297" ht="14.25" customHeight="1" s="37"/>
    <row r="298" ht="14.25" customHeight="1" s="37"/>
    <row r="299" ht="14.25" customHeight="1" s="37"/>
    <row r="300" ht="14.25" customHeight="1" s="37"/>
    <row r="301" ht="14.25" customHeight="1" s="37"/>
    <row r="302" ht="14.25" customHeight="1" s="37"/>
    <row r="303" ht="14.25" customHeight="1" s="37"/>
    <row r="304" ht="14.25" customHeight="1" s="37"/>
    <row r="305" ht="14.25" customHeight="1" s="37"/>
    <row r="306" ht="14.25" customHeight="1" s="37"/>
    <row r="307" ht="14.25" customHeight="1" s="37"/>
    <row r="308" ht="14.25" customHeight="1" s="37"/>
    <row r="309" ht="14.25" customHeight="1" s="37"/>
    <row r="310" ht="14.25" customHeight="1" s="37"/>
    <row r="311" ht="14.25" customHeight="1" s="37"/>
    <row r="312" ht="14.25" customHeight="1" s="37"/>
    <row r="313" ht="14.25" customHeight="1" s="37"/>
    <row r="314" ht="14.25" customHeight="1" s="37"/>
    <row r="315" ht="14.25" customHeight="1" s="37"/>
    <row r="316" ht="14.25" customHeight="1" s="37"/>
    <row r="317" ht="14.25" customHeight="1" s="37"/>
    <row r="318" ht="14.25" customHeight="1" s="37"/>
    <row r="319" ht="14.25" customHeight="1" s="37"/>
    <row r="320" ht="14.25" customHeight="1" s="37"/>
    <row r="321" ht="14.25" customHeight="1" s="37"/>
    <row r="322" ht="14.25" customHeight="1" s="37"/>
    <row r="323" ht="14.25" customHeight="1" s="37"/>
    <row r="324" ht="14.25" customHeight="1" s="37"/>
    <row r="325" ht="14.25" customHeight="1" s="37"/>
    <row r="326" ht="14.25" customHeight="1" s="37"/>
    <row r="327" ht="14.25" customHeight="1" s="37"/>
    <row r="328" ht="14.25" customHeight="1" s="37"/>
    <row r="329" ht="14.25" customHeight="1" s="37"/>
    <row r="330" ht="14.25" customHeight="1" s="37"/>
    <row r="331" ht="14.25" customHeight="1" s="37"/>
    <row r="332" ht="14.25" customHeight="1" s="37"/>
    <row r="333" ht="14.25" customHeight="1" s="37"/>
    <row r="334" ht="14.25" customHeight="1" s="37"/>
    <row r="335" ht="14.25" customHeight="1" s="37"/>
    <row r="336" ht="14.25" customHeight="1" s="37"/>
    <row r="337" ht="14.25" customHeight="1" s="37"/>
    <row r="338" ht="14.25" customHeight="1" s="37"/>
    <row r="339" ht="14.25" customHeight="1" s="37"/>
    <row r="340" ht="14.25" customHeight="1" s="37"/>
    <row r="341" ht="14.25" customHeight="1" s="37"/>
    <row r="342" ht="14.25" customHeight="1" s="37"/>
    <row r="343" ht="14.25" customHeight="1" s="37"/>
    <row r="344" ht="14.25" customHeight="1" s="37"/>
    <row r="345" ht="14.25" customHeight="1" s="37"/>
    <row r="346" ht="14.25" customHeight="1" s="37"/>
    <row r="347" ht="14.25" customHeight="1" s="37"/>
    <row r="348" ht="14.25" customHeight="1" s="37"/>
    <row r="349" ht="14.25" customHeight="1" s="37"/>
    <row r="350" ht="14.25" customHeight="1" s="37"/>
    <row r="351" ht="14.25" customHeight="1" s="37"/>
    <row r="352" ht="14.25" customHeight="1" s="37"/>
    <row r="353" ht="14.25" customHeight="1" s="37"/>
    <row r="354" ht="14.25" customHeight="1" s="37"/>
    <row r="355" ht="14.25" customHeight="1" s="37"/>
    <row r="356" ht="14.25" customHeight="1" s="37"/>
    <row r="357" ht="14.25" customHeight="1" s="37"/>
    <row r="358" ht="14.25" customHeight="1" s="37"/>
    <row r="359" ht="14.25" customHeight="1" s="37"/>
    <row r="360" ht="14.25" customHeight="1" s="37"/>
    <row r="361" ht="14.25" customHeight="1" s="37"/>
    <row r="362" ht="14.25" customHeight="1" s="37"/>
    <row r="363" ht="14.25" customHeight="1" s="37"/>
    <row r="364" ht="14.25" customHeight="1" s="37"/>
    <row r="365" ht="14.25" customHeight="1" s="37"/>
    <row r="366" ht="14.25" customHeight="1" s="37"/>
    <row r="367" ht="14.25" customHeight="1" s="37"/>
    <row r="368" ht="14.25" customHeight="1" s="37"/>
    <row r="369" ht="14.25" customHeight="1" s="37"/>
    <row r="370" ht="14.25" customHeight="1" s="37"/>
    <row r="371" ht="14.25" customHeight="1" s="37"/>
    <row r="372" ht="14.25" customHeight="1" s="37"/>
    <row r="373" ht="14.25" customHeight="1" s="37"/>
    <row r="374" ht="14.25" customHeight="1" s="37"/>
    <row r="375" ht="14.25" customHeight="1" s="37"/>
    <row r="376" ht="14.25" customHeight="1" s="37"/>
    <row r="377" ht="14.25" customHeight="1" s="37"/>
    <row r="378" ht="14.25" customHeight="1" s="37"/>
    <row r="379" ht="14.25" customHeight="1" s="37"/>
    <row r="380" ht="14.25" customHeight="1" s="37"/>
    <row r="381" ht="14.25" customHeight="1" s="37"/>
    <row r="382" ht="14.25" customHeight="1" s="37"/>
    <row r="383" ht="14.25" customHeight="1" s="37"/>
    <row r="384" ht="14.25" customHeight="1" s="37"/>
    <row r="385" ht="14.25" customHeight="1" s="37"/>
    <row r="386" ht="14.25" customHeight="1" s="37"/>
    <row r="387" ht="14.25" customHeight="1" s="37"/>
    <row r="388" ht="14.25" customHeight="1" s="37"/>
    <row r="389" ht="14.25" customHeight="1" s="37"/>
    <row r="390" ht="14.25" customHeight="1" s="37"/>
    <row r="391" ht="14.25" customHeight="1" s="37"/>
    <row r="392" ht="14.25" customHeight="1" s="37"/>
    <row r="393" ht="14.25" customHeight="1" s="37"/>
    <row r="394" ht="14.25" customHeight="1" s="37"/>
    <row r="395" ht="14.25" customHeight="1" s="37"/>
    <row r="396" ht="14.25" customHeight="1" s="37"/>
    <row r="397" ht="14.25" customHeight="1" s="37"/>
    <row r="398" ht="14.25" customHeight="1" s="37"/>
    <row r="399" ht="14.25" customHeight="1" s="37"/>
    <row r="400" ht="14.25" customHeight="1" s="37"/>
    <row r="401" ht="14.25" customHeight="1" s="37"/>
    <row r="402" ht="14.25" customHeight="1" s="37"/>
    <row r="403" ht="14.25" customHeight="1" s="37"/>
    <row r="404" ht="14.25" customHeight="1" s="37"/>
    <row r="405" ht="14.25" customHeight="1" s="37"/>
    <row r="406" ht="14.25" customHeight="1" s="37"/>
    <row r="407" ht="14.25" customHeight="1" s="37"/>
    <row r="408" ht="14.25" customHeight="1" s="37"/>
    <row r="409" ht="14.25" customHeight="1" s="37"/>
    <row r="410" ht="14.25" customHeight="1" s="37"/>
    <row r="411" ht="14.25" customHeight="1" s="37"/>
    <row r="412" ht="14.25" customHeight="1" s="37"/>
    <row r="413" ht="14.25" customHeight="1" s="37"/>
    <row r="414" ht="14.25" customHeight="1" s="37"/>
    <row r="415" ht="14.25" customHeight="1" s="37"/>
    <row r="416" ht="14.25" customHeight="1" s="37"/>
    <row r="417" ht="14.25" customHeight="1" s="37"/>
    <row r="418" ht="14.25" customHeight="1" s="37"/>
    <row r="419" ht="14.25" customHeight="1" s="37"/>
    <row r="420" ht="14.25" customHeight="1" s="37"/>
    <row r="421" ht="14.25" customHeight="1" s="37"/>
    <row r="422" ht="14.25" customHeight="1" s="37"/>
    <row r="423" ht="14.25" customHeight="1" s="37"/>
    <row r="424" ht="14.25" customHeight="1" s="37"/>
    <row r="425" ht="14.25" customHeight="1" s="37"/>
    <row r="426" ht="14.25" customHeight="1" s="37"/>
    <row r="427" ht="14.25" customHeight="1" s="37"/>
    <row r="428" ht="14.25" customHeight="1" s="37"/>
    <row r="429" ht="14.25" customHeight="1" s="37"/>
    <row r="430" ht="14.25" customHeight="1" s="37"/>
    <row r="431" ht="14.25" customHeight="1" s="37"/>
    <row r="432" ht="14.25" customHeight="1" s="37"/>
    <row r="433" ht="14.25" customHeight="1" s="37"/>
    <row r="434" ht="14.25" customHeight="1" s="37"/>
    <row r="435" ht="14.25" customHeight="1" s="37"/>
    <row r="436" ht="14.25" customHeight="1" s="37"/>
    <row r="437" ht="14.25" customHeight="1" s="37"/>
    <row r="438" ht="14.25" customHeight="1" s="37"/>
    <row r="439" ht="14.25" customHeight="1" s="37"/>
    <row r="440" ht="14.25" customHeight="1" s="37"/>
    <row r="441" ht="14.25" customHeight="1" s="37"/>
    <row r="442" ht="14.25" customHeight="1" s="37"/>
    <row r="443" ht="14.25" customHeight="1" s="37"/>
    <row r="444" ht="14.25" customHeight="1" s="37"/>
    <row r="445" ht="14.25" customHeight="1" s="37"/>
    <row r="446" ht="14.25" customHeight="1" s="37"/>
    <row r="447" ht="14.25" customHeight="1" s="37"/>
    <row r="448" ht="14.25" customHeight="1" s="37"/>
    <row r="449" ht="14.25" customHeight="1" s="37"/>
    <row r="450" ht="14.25" customHeight="1" s="37"/>
    <row r="451" ht="14.25" customHeight="1" s="37"/>
    <row r="452" ht="14.25" customHeight="1" s="37"/>
    <row r="453" ht="14.25" customHeight="1" s="37"/>
    <row r="454" ht="14.25" customHeight="1" s="37"/>
    <row r="455" ht="14.25" customHeight="1" s="37"/>
    <row r="456" ht="14.25" customHeight="1" s="37"/>
    <row r="457" ht="14.25" customHeight="1" s="37"/>
    <row r="458" ht="14.25" customHeight="1" s="37"/>
    <row r="459" ht="14.25" customHeight="1" s="37"/>
    <row r="460" ht="14.25" customHeight="1" s="37"/>
    <row r="461" ht="14.25" customHeight="1" s="37"/>
    <row r="462" ht="14.25" customHeight="1" s="37"/>
    <row r="463" ht="14.25" customHeight="1" s="37"/>
    <row r="464" ht="14.25" customHeight="1" s="37"/>
    <row r="465" ht="14.25" customHeight="1" s="37"/>
    <row r="466" ht="14.25" customHeight="1" s="37"/>
    <row r="467" ht="14.25" customHeight="1" s="37"/>
    <row r="468" ht="14.25" customHeight="1" s="37"/>
    <row r="469" ht="14.25" customHeight="1" s="37"/>
    <row r="470" ht="14.25" customHeight="1" s="37"/>
    <row r="471" ht="14.25" customHeight="1" s="37"/>
    <row r="472" ht="14.25" customHeight="1" s="37"/>
    <row r="473" ht="14.25" customHeight="1" s="37"/>
    <row r="474" ht="14.25" customHeight="1" s="37"/>
    <row r="475" ht="14.25" customHeight="1" s="37"/>
    <row r="476" ht="14.25" customHeight="1" s="37"/>
    <row r="477" ht="14.25" customHeight="1" s="37"/>
    <row r="478" ht="14.25" customHeight="1" s="37"/>
    <row r="479" ht="14.25" customHeight="1" s="37"/>
    <row r="480" ht="14.25" customHeight="1" s="37"/>
    <row r="481" ht="14.25" customHeight="1" s="37"/>
    <row r="482" ht="14.25" customHeight="1" s="37"/>
    <row r="483" ht="14.25" customHeight="1" s="37"/>
    <row r="484" ht="14.25" customHeight="1" s="37"/>
    <row r="485" ht="14.25" customHeight="1" s="37"/>
    <row r="486" ht="14.25" customHeight="1" s="37"/>
    <row r="487" ht="14.25" customHeight="1" s="37"/>
    <row r="488" ht="14.25" customHeight="1" s="37"/>
    <row r="489" ht="14.25" customHeight="1" s="37"/>
    <row r="490" ht="14.25" customHeight="1" s="37"/>
    <row r="491" ht="14.25" customHeight="1" s="37"/>
    <row r="492" ht="14.25" customHeight="1" s="37"/>
    <row r="493" ht="14.25" customHeight="1" s="37"/>
    <row r="494" ht="14.25" customHeight="1" s="37"/>
    <row r="495" ht="14.25" customHeight="1" s="37"/>
    <row r="496" ht="14.25" customHeight="1" s="37"/>
    <row r="497" ht="14.25" customHeight="1" s="37"/>
    <row r="498" ht="14.25" customHeight="1" s="37"/>
    <row r="499" ht="14.25" customHeight="1" s="37"/>
    <row r="500" ht="14.25" customHeight="1" s="37"/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</sheetData>
  <autoFilter ref="$A$4:$S$104"/>
  <mergeCells count="3">
    <mergeCell ref="A3:S3"/>
    <mergeCell ref="A2:S2"/>
    <mergeCell ref="A1:S1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showGridLines="0" workbookViewId="0">
      <selection activeCell="A1" sqref="A1"/>
    </sheetView>
  </sheetViews>
  <sheetFormatPr baseColWidth="8" defaultColWidth="14.43" defaultRowHeight="15" customHeight="1"/>
  <cols>
    <col width="32" customWidth="1" style="37" min="1" max="1"/>
    <col width="14" customWidth="1" style="37" min="2" max="4"/>
    <col width="4" customWidth="1" style="37" min="5" max="5"/>
    <col width="32" customWidth="1" style="37" min="6" max="6"/>
    <col width="14" customWidth="1" style="37" min="7" max="7"/>
    <col width="9" customWidth="1" style="37" min="8" max="26"/>
  </cols>
  <sheetData>
    <row r="1" ht="14.25" customHeight="1" s="37">
      <c r="A1" s="47" t="inlineStr">
        <is>
          <t>REKAP DETAIL STATISTIK 2026</t>
        </is>
      </c>
      <c r="B1" s="48" t="n"/>
      <c r="C1" s="48" t="n"/>
      <c r="D1" s="48" t="n"/>
      <c r="E1" s="48" t="n"/>
      <c r="F1" s="48" t="n"/>
      <c r="G1" s="49" t="n"/>
    </row>
    <row r="2" ht="14.25" customHeight="1" s="37">
      <c r="A2" s="23" t="n"/>
      <c r="B2" s="23" t="n"/>
      <c r="C2" s="23" t="n"/>
      <c r="D2" s="23" t="n"/>
      <c r="E2" s="23" t="n"/>
      <c r="F2" s="23" t="n"/>
      <c r="G2" s="23" t="n"/>
    </row>
    <row r="3" ht="14.25" customHeight="1" s="37">
      <c r="A3" s="24" t="inlineStr">
        <is>
          <t>2. JUMLAH YANG DIBAPTIS — UMUR &amp; JENIS KELAMIN</t>
        </is>
      </c>
      <c r="B3" s="23" t="n"/>
      <c r="C3" s="23" t="n"/>
      <c r="D3" s="23" t="n"/>
      <c r="E3" s="23" t="n"/>
      <c r="F3" s="24" t="inlineStr">
        <is>
          <t>3. PINDAH AGAMA — AGAMA BARU</t>
        </is>
      </c>
      <c r="G3" s="23" t="n"/>
    </row>
    <row r="4" ht="14.25" customHeight="1" s="37">
      <c r="A4" s="25" t="inlineStr">
        <is>
          <t>Kelompok Umur</t>
        </is>
      </c>
      <c r="B4" s="25" t="inlineStr">
        <is>
          <t>Pria/Laki-laki</t>
        </is>
      </c>
      <c r="C4" s="25" t="inlineStr">
        <is>
          <t>Wanita/Perempuan</t>
        </is>
      </c>
      <c r="D4" s="25" t="inlineStr">
        <is>
          <t>Jumlah</t>
        </is>
      </c>
      <c r="E4" s="23" t="n"/>
      <c r="F4" s="25" t="inlineStr">
        <is>
          <t>Agama Baru</t>
        </is>
      </c>
      <c r="G4" s="25" t="inlineStr">
        <is>
          <t>Jumlah</t>
        </is>
      </c>
    </row>
    <row r="5" ht="14.25" customHeight="1" s="37">
      <c r="A5" s="23" t="inlineStr">
        <is>
          <t>&lt; 1 tahun</t>
        </is>
      </c>
      <c r="B5" s="23">
        <f>COUNTIFS(BAPTIS!$D$2:$D$1001,"Pria/Laki-laki",BAPTIS!$F$2:$F$1001,"&gt;="&amp;DATE(2026,1,1),BAPTIS!$F$2:$F$1001,"&lt;="&amp;DATE(2026,12,31),BAPTIS!$G$2:$G$1001,0)</f>
        <v/>
      </c>
      <c r="C5" s="23">
        <f>COUNTIFS(BAPTIS!$D$2:$D$1001,"Wanita/Perempuan",BAPTIS!$F$2:$F$1001,"&gt;="&amp;DATE(2026,1,1),BAPTIS!$F$2:$F$1001,"&lt;="&amp;DATE(2026,12,31),BAPTIS!$G$2:$G$1001,0)</f>
        <v/>
      </c>
      <c r="D5" s="23">
        <f>SUM(B5:C5)</f>
        <v/>
      </c>
      <c r="E5" s="23" t="n"/>
      <c r="F5" s="23" t="inlineStr">
        <is>
          <t>Kristen Lain</t>
        </is>
      </c>
      <c r="G5" s="23">
        <f>COUNTIFS('PINDAH AGAMA'!$E$2:$E$1001,F5,'PINDAH AGAMA'!$D$2:$D$1001,"&gt;="&amp;DATE(2026,1,1),'PINDAH AGAMA'!$D$2:$D$1001,"&lt;="&amp;DATE(2026,12,31))</f>
        <v/>
      </c>
    </row>
    <row r="6" ht="14.25" customHeight="1" s="37">
      <c r="A6" s="23" t="inlineStr">
        <is>
          <t>1 tahun s/d hampir 7 tahun</t>
        </is>
      </c>
      <c r="B6" s="23">
        <f>COUNTIFS(BAPTIS!$D$2:$D$1001,"Pria/Laki-laki",BAPTIS!$F$2:$F$1001,"&gt;="&amp;DATE(2026,1,1),BAPTIS!$F$2:$F$1001,"&lt;="&amp;DATE(2026,12,31),BAPTIS!$G$2:$G$1001,"&gt;=1",BAPTIS!$G$2:$G$1001,"&lt;7")</f>
        <v/>
      </c>
      <c r="C6" s="23">
        <f>COUNTIFS(BAPTIS!$D$2:$D$1001,"Wanita/Perempuan",BAPTIS!$F$2:$F$1001,"&gt;="&amp;DATE(2026,1,1),BAPTIS!$F$2:$F$1001,"&lt;="&amp;DATE(2026,12,31),BAPTIS!$G$2:$G$1001,"&gt;=1",BAPTIS!$G$2:$G$1001,"&lt;7")</f>
        <v/>
      </c>
      <c r="D6" s="23">
        <f>SUM(B6:C6)</f>
        <v/>
      </c>
      <c r="E6" s="23" t="n"/>
      <c r="F6" s="23" t="inlineStr">
        <is>
          <t>Buddha</t>
        </is>
      </c>
      <c r="G6" s="23">
        <f>COUNTIFS('PINDAH AGAMA'!$E$2:$E$1001,F6,'PINDAH AGAMA'!$D$2:$D$1001,"&gt;="&amp;DATE(2026,1,1),'PINDAH AGAMA'!$D$2:$D$1001,"&lt;="&amp;DATE(2026,12,31))</f>
        <v/>
      </c>
    </row>
    <row r="7" ht="14.25" customHeight="1" s="37">
      <c r="A7" s="23" t="inlineStr">
        <is>
          <t>7 tahun ke atas</t>
        </is>
      </c>
      <c r="B7" s="23">
        <f>COUNTIFS(BAPTIS!$D$2:$D$1001,"Pria/Laki-laki",BAPTIS!$F$2:$F$1001,"&gt;="&amp;DATE(2026,1,1),BAPTIS!$F$2:$F$1001,"&lt;="&amp;DATE(2026,12,31),BAPTIS!$G$2:$G$1001,"&gt;=7")</f>
        <v/>
      </c>
      <c r="C7" s="23">
        <f>COUNTIFS(BAPTIS!$D$2:$D$1001,"Wanita/Perempuan",BAPTIS!$F$2:$F$1001,"&gt;="&amp;DATE(2026,1,1),BAPTIS!$F$2:$F$1001,"&lt;="&amp;DATE(2026,12,31),BAPTIS!$G$2:$G$1001,"&gt;=7")</f>
        <v/>
      </c>
      <c r="D7" s="23">
        <f>SUM(B7:C7)</f>
        <v/>
      </c>
      <c r="E7" s="23" t="n"/>
      <c r="F7" s="23" t="inlineStr">
        <is>
          <t>Konghucu</t>
        </is>
      </c>
      <c r="G7" s="23">
        <f>COUNTIFS('PINDAH AGAMA'!$E$2:$E$1001,F7,'PINDAH AGAMA'!$D$2:$D$1001,"&gt;="&amp;DATE(2026,1,1),'PINDAH AGAMA'!$D$2:$D$1001,"&lt;="&amp;DATE(2026,12,31))</f>
        <v/>
      </c>
    </row>
    <row r="8" ht="14.25" customHeight="1" s="37">
      <c r="A8" s="23" t="inlineStr">
        <is>
          <t>JUMLAH TOTAL</t>
        </is>
      </c>
      <c r="B8" s="23">
        <f>SUM(B5:B7)</f>
        <v/>
      </c>
      <c r="C8" s="23">
        <f>SUM(C5:C7)</f>
        <v/>
      </c>
      <c r="D8" s="23">
        <f>SUM(D5:D7)</f>
        <v/>
      </c>
      <c r="E8" s="23" t="n"/>
      <c r="F8" s="23" t="inlineStr">
        <is>
          <t>Islam</t>
        </is>
      </c>
      <c r="G8" s="23">
        <f>COUNTIFS('PINDAH AGAMA'!$E$2:$E$1001,F8,'PINDAH AGAMA'!$D$2:$D$1001,"&gt;="&amp;DATE(2026,1,1),'PINDAH AGAMA'!$D$2:$D$1001,"&lt;="&amp;DATE(2026,12,31))</f>
        <v/>
      </c>
    </row>
    <row r="9" ht="14.25" customHeight="1" s="37">
      <c r="A9" s="23" t="n"/>
      <c r="B9" s="23" t="n"/>
      <c r="C9" s="23" t="n"/>
      <c r="D9" s="23" t="n"/>
      <c r="E9" s="23" t="n"/>
      <c r="F9" s="23" t="inlineStr">
        <is>
          <t>Hindu</t>
        </is>
      </c>
      <c r="G9" s="23">
        <f>COUNTIFS('PINDAH AGAMA'!$E$2:$E$1001,F9,'PINDAH AGAMA'!$D$2:$D$1001,"&gt;="&amp;DATE(2026,1,1),'PINDAH AGAMA'!$D$2:$D$1001,"&lt;="&amp;DATE(2026,12,31))</f>
        <v/>
      </c>
    </row>
    <row r="10" ht="14.25" customHeight="1" s="37">
      <c r="A10" s="24" t="inlineStr">
        <is>
          <t>4. JUMLAH PENERIMA KOMUNI PERTAMA</t>
        </is>
      </c>
      <c r="B10" s="23" t="n"/>
      <c r="C10" s="23" t="n"/>
      <c r="D10" s="23" t="n"/>
      <c r="E10" s="23" t="n"/>
      <c r="F10" s="23" t="inlineStr">
        <is>
          <t>Lain-lain</t>
        </is>
      </c>
      <c r="G10" s="23">
        <f>COUNTIFS('PINDAH AGAMA'!$E$2:$E$1001,F10,'PINDAH AGAMA'!$D$2:$D$1001,"&gt;="&amp;DATE(2026,1,1),'PINDAH AGAMA'!$D$2:$D$1001,"&lt;="&amp;DATE(2026,12,31))</f>
        <v/>
      </c>
    </row>
    <row r="11" ht="14.25" customHeight="1" s="37">
      <c r="A11" s="25" t="inlineStr">
        <is>
          <t>Jenis Kelamin</t>
        </is>
      </c>
      <c r="B11" s="25" t="inlineStr">
        <is>
          <t>Jumlah</t>
        </is>
      </c>
      <c r="C11" s="23" t="n"/>
      <c r="D11" s="23" t="n"/>
      <c r="E11" s="23" t="n"/>
      <c r="F11" s="23" t="inlineStr">
        <is>
          <t>JUMLAH KESELURUHAN</t>
        </is>
      </c>
      <c r="G11" s="23">
        <f>SUM(G5:G10)</f>
        <v/>
      </c>
    </row>
    <row r="12" ht="14.25" customHeight="1" s="37">
      <c r="A12" s="23" t="inlineStr">
        <is>
          <t>Pria/Laki-laki</t>
        </is>
      </c>
      <c r="B12" s="23">
        <f>COUNTIFS('KOMUNI PERTAMA'!$D$2:$D$1001,A12,'KOMUNI PERTAMA'!$E$2:$E$1001,"&gt;="&amp;DATE(2026,1,1),'KOMUNI PERTAMA'!$E$2:$E$1001,"&lt;="&amp;DATE(2026,12,31))</f>
        <v/>
      </c>
      <c r="C12" s="23" t="n"/>
      <c r="D12" s="23" t="n"/>
      <c r="E12" s="23" t="n"/>
      <c r="F12" s="23" t="n"/>
      <c r="G12" s="23" t="n"/>
    </row>
    <row r="13" ht="14.25" customHeight="1" s="37">
      <c r="A13" s="23" t="inlineStr">
        <is>
          <t>Wanita/Perempuan</t>
        </is>
      </c>
      <c r="B13" s="23">
        <f>COUNTIFS('KOMUNI PERTAMA'!$D$2:$D$1001,A13,'KOMUNI PERTAMA'!$E$2:$E$1001,"&gt;="&amp;DATE(2026,1,1),'KOMUNI PERTAMA'!$E$2:$E$1001,"&lt;="&amp;DATE(2026,12,31))</f>
        <v/>
      </c>
      <c r="C13" s="23" t="n"/>
      <c r="D13" s="23" t="n"/>
      <c r="E13" s="23" t="n"/>
      <c r="F13" s="24" t="inlineStr">
        <is>
          <t>5. JUMLAH PASANGAN PERKAWINAN GEREJANI</t>
        </is>
      </c>
      <c r="G13" s="23" t="n"/>
    </row>
    <row r="14" ht="14.25" customHeight="1" s="37">
      <c r="A14" s="23" t="inlineStr">
        <is>
          <t>JUMLAH</t>
        </is>
      </c>
      <c r="B14" s="23">
        <f>SUM(B12:B13)</f>
        <v/>
      </c>
      <c r="C14" s="23" t="n"/>
      <c r="D14" s="23" t="n"/>
      <c r="E14" s="23" t="n"/>
      <c r="F14" s="25" t="inlineStr">
        <is>
          <t>Agama Pasangan</t>
        </is>
      </c>
      <c r="G14" s="25" t="inlineStr">
        <is>
          <t>Jumlah</t>
        </is>
      </c>
    </row>
    <row r="15" ht="14.25" customHeight="1" s="37">
      <c r="A15" s="23" t="n"/>
      <c r="B15" s="23" t="n"/>
      <c r="C15" s="23" t="n"/>
      <c r="D15" s="23" t="n"/>
      <c r="E15" s="23" t="n"/>
      <c r="F15" s="23" t="inlineStr">
        <is>
          <t>Keduanya Katolik</t>
        </is>
      </c>
      <c r="G15" s="23">
        <f>COUNTIFS('PERKAWINAN GEREJANI'!$E$2:$E$1001,F15,'PERKAWINAN GEREJANI'!$D$2:$D$1001,"&gt;="&amp;DATE(2026,1,1),'PERKAWINAN GEREJANI'!$D$2:$D$1001,"&lt;="&amp;DATE(2026,12,31))</f>
        <v/>
      </c>
    </row>
    <row r="16" ht="14.25" customHeight="1" s="37">
      <c r="A16" s="23" t="n"/>
      <c r="B16" s="23" t="n"/>
      <c r="C16" s="23" t="n"/>
      <c r="D16" s="23" t="n"/>
      <c r="E16" s="23" t="n"/>
      <c r="F16" s="23" t="inlineStr">
        <is>
          <t>Katolik dan Katekumen</t>
        </is>
      </c>
      <c r="G16" s="23">
        <f>COUNTIFS('PERKAWINAN GEREJANI'!$E$2:$E$1001,F16,'PERKAWINAN GEREJANI'!$D$2:$D$1001,"&gt;="&amp;DATE(2026,1,1),'PERKAWINAN GEREJANI'!$D$2:$D$1001,"&lt;="&amp;DATE(2026,12,31))</f>
        <v/>
      </c>
    </row>
    <row r="17" ht="14.25" customHeight="1" s="37">
      <c r="A17" s="24" t="inlineStr">
        <is>
          <t>6. PEMBUBARAN PERKAWINAN</t>
        </is>
      </c>
      <c r="B17" s="23" t="n"/>
      <c r="C17" s="23" t="n"/>
      <c r="D17" s="23" t="n"/>
      <c r="E17" s="23" t="n"/>
      <c r="F17" s="23" t="inlineStr">
        <is>
          <t>Katolik dan Kristen Lain</t>
        </is>
      </c>
      <c r="G17" s="23">
        <f>COUNTIFS('PERKAWINAN GEREJANI'!$E$2:$E$1001,F17,'PERKAWINAN GEREJANI'!$D$2:$D$1001,"&gt;="&amp;DATE(2026,1,1),'PERKAWINAN GEREJANI'!$D$2:$D$1001,"&lt;="&amp;DATE(2026,12,31))</f>
        <v/>
      </c>
    </row>
    <row r="18" ht="14.25" customHeight="1" s="37">
      <c r="A18" s="25" t="inlineStr">
        <is>
          <t>Pelaksanaan Lewat</t>
        </is>
      </c>
      <c r="B18" s="25" t="inlineStr">
        <is>
          <t>Jumlah</t>
        </is>
      </c>
      <c r="C18" s="23" t="n"/>
      <c r="D18" s="23" t="n"/>
      <c r="E18" s="23" t="n"/>
      <c r="F18" s="23" t="inlineStr">
        <is>
          <t>Katolik dan Non-Kristen</t>
        </is>
      </c>
      <c r="G18" s="23">
        <f>COUNTIFS('PERKAWINAN GEREJANI'!$E$2:$E$1001,F18,'PERKAWINAN GEREJANI'!$D$2:$D$1001,"&gt;="&amp;DATE(2026,1,1),'PERKAWINAN GEREJANI'!$D$2:$D$1001,"&lt;="&amp;DATE(2026,12,31))</f>
        <v/>
      </c>
    </row>
    <row r="19" ht="14.25" customHeight="1" s="37">
      <c r="A19" s="23" t="inlineStr">
        <is>
          <t>Penguasa Gereja</t>
        </is>
      </c>
      <c r="B19" s="23">
        <f>COUNTIFS(PEMBUBARAN!$E$2:$E$1001,A19,PEMBUBARAN!$D$2:$D$1001,"&gt;="&amp;DATE(2026,1,1),PEMBUBARAN!$D$2:$D$1001,"&lt;="&amp;DATE(2026,12,31))</f>
        <v/>
      </c>
      <c r="C19" s="23" t="n"/>
      <c r="D19" s="23" t="n"/>
      <c r="E19" s="23" t="n"/>
      <c r="F19" s="23" t="inlineStr">
        <is>
          <t>JUMLAH KESELURUHAN</t>
        </is>
      </c>
      <c r="G19" s="23">
        <f>SUM(G15:G18)</f>
        <v/>
      </c>
    </row>
    <row r="20" ht="14.25" customHeight="1" s="37">
      <c r="A20" s="23" t="inlineStr">
        <is>
          <t>Catatan Sipil saja</t>
        </is>
      </c>
      <c r="B20" s="23">
        <f>COUNTIFS(PEMBUBARAN!$E$2:$E$1001,A20,PEMBUBARAN!$D$2:$D$1001,"&gt;="&amp;DATE(2026,1,1),PEMBUBARAN!$D$2:$D$1001,"&lt;="&amp;DATE(2026,12,31))</f>
        <v/>
      </c>
      <c r="C20" s="23" t="n"/>
      <c r="D20" s="23" t="n"/>
      <c r="E20" s="23" t="n"/>
      <c r="F20" s="23" t="n"/>
      <c r="G20" s="23" t="n"/>
    </row>
    <row r="21" ht="14.25" customHeight="1" s="37">
      <c r="A21" s="23" t="inlineStr">
        <is>
          <t>Lainnya</t>
        </is>
      </c>
      <c r="B21" s="23">
        <f>COUNTIFS(PEMBUBARAN!$E$2:$E$1001,A21,PEMBUBARAN!$D$2:$D$1001,"&gt;="&amp;DATE(2026,1,1),PEMBUBARAN!$D$2:$D$1001,"&lt;="&amp;DATE(2026,12,31))</f>
        <v/>
      </c>
      <c r="C21" s="23" t="n"/>
      <c r="D21" s="23" t="n"/>
      <c r="E21" s="23" t="n"/>
      <c r="F21" s="24" t="inlineStr">
        <is>
          <t>7. PENERIMA SAKRAMEN PERMINYAKAN SUCI</t>
        </is>
      </c>
      <c r="G21" s="23" t="n"/>
    </row>
    <row r="22" ht="14.25" customHeight="1" s="37">
      <c r="A22" s="23" t="inlineStr">
        <is>
          <t>JUMLAH</t>
        </is>
      </c>
      <c r="B22" s="23">
        <f>SUM(B19:B21)</f>
        <v/>
      </c>
      <c r="C22" s="23" t="n"/>
      <c r="D22" s="23" t="n"/>
      <c r="E22" s="23" t="n"/>
      <c r="F22" s="25" t="inlineStr">
        <is>
          <t>Jenis Kelamin</t>
        </is>
      </c>
      <c r="G22" s="25" t="inlineStr">
        <is>
          <t>Jumlah</t>
        </is>
      </c>
    </row>
    <row r="23" ht="14.25" customHeight="1" s="37">
      <c r="A23" s="23" t="n"/>
      <c r="B23" s="23" t="n"/>
      <c r="C23" s="23" t="n"/>
      <c r="D23" s="23" t="n"/>
      <c r="E23" s="23" t="n"/>
      <c r="F23" s="23" t="inlineStr">
        <is>
          <t>Pria/Laki-laki</t>
        </is>
      </c>
      <c r="G23" s="23">
        <f>COUNTIFS('PERMINYAKAN SUCI'!$D$2:$D$1001,F23,'PERMINYAKAN SUCI'!$E$2:$E$1001,"&gt;="&amp;DATE(2026,1,1),'PERMINYAKAN SUCI'!$E$2:$E$1001,"&lt;="&amp;DATE(2026,12,31))</f>
        <v/>
      </c>
    </row>
    <row r="24" ht="14.25" customHeight="1" s="37">
      <c r="A24" s="23" t="n"/>
      <c r="B24" s="23" t="n"/>
      <c r="C24" s="23" t="n"/>
      <c r="D24" s="23" t="n"/>
      <c r="E24" s="23" t="n"/>
      <c r="F24" s="23" t="inlineStr">
        <is>
          <t>Wanita/Perempuan</t>
        </is>
      </c>
      <c r="G24" s="23">
        <f>COUNTIFS('PERMINYAKAN SUCI'!$D$2:$D$1001,F24,'PERMINYAKAN SUCI'!$E$2:$E$1001,"&gt;="&amp;DATE(2026,1,1),'PERMINYAKAN SUCI'!$E$2:$E$1001,"&lt;="&amp;DATE(2026,12,31))</f>
        <v/>
      </c>
    </row>
    <row r="25" ht="14.25" customHeight="1" s="37">
      <c r="A25" s="24" t="inlineStr">
        <is>
          <t>8. UMAT MENINGGAL — UMUR &amp; JENIS KELAMIN</t>
        </is>
      </c>
      <c r="B25" s="23" t="n"/>
      <c r="C25" s="23" t="n"/>
      <c r="D25" s="23" t="n"/>
      <c r="E25" s="23" t="n"/>
      <c r="F25" s="23" t="inlineStr">
        <is>
          <t>JUMLAH</t>
        </is>
      </c>
      <c r="G25" s="23">
        <f>SUM(G23:G24)</f>
        <v/>
      </c>
    </row>
    <row r="26" ht="14.25" customHeight="1" s="37">
      <c r="A26" s="25" t="inlineStr">
        <is>
          <t>Kelompok Umur</t>
        </is>
      </c>
      <c r="B26" s="25" t="inlineStr">
        <is>
          <t>Pria</t>
        </is>
      </c>
      <c r="C26" s="25" t="inlineStr">
        <is>
          <t>Wanita</t>
        </is>
      </c>
      <c r="D26" s="25" t="inlineStr">
        <is>
          <t>Jumlah</t>
        </is>
      </c>
      <c r="E26" s="23" t="n"/>
      <c r="F26" s="23" t="n"/>
      <c r="G26" s="23" t="n"/>
    </row>
    <row r="27" ht="14.25" customHeight="1" s="37">
      <c r="A27" s="23" t="inlineStr">
        <is>
          <t>Anak-anak (7 tahun ke bawah)</t>
        </is>
      </c>
      <c r="B27" s="23">
        <f>COUNTIFS(KEMATIAN!$D$2:$D$1001,"Pria/Laki-laki",KEMATIAN!$G$2:$G$1001,"&lt;=7",KEMATIAN!$F$2:$F$1001,"&gt;="&amp;DATE(2026,1,1),KEMATIAN!$F$2:$F$1001,"&lt;="&amp;DATE(2026,12,31))</f>
        <v/>
      </c>
      <c r="C27" s="23">
        <f>COUNTIFS(KEMATIAN!$D$2:$D$1001,"Wanita/Perempuan",KEMATIAN!$G$2:$G$1001,"&lt;=7",KEMATIAN!$F$2:$F$1001,"&gt;="&amp;DATE(2026,1,1),KEMATIAN!$F$2:$F$1001,"&lt;="&amp;DATE(2026,12,31))</f>
        <v/>
      </c>
      <c r="D27" s="23">
        <f>SUM(B27:C27)</f>
        <v/>
      </c>
      <c r="E27" s="23" t="n"/>
      <c r="F27" s="24" t="inlineStr">
        <is>
          <t>9. MULAI MASUK SEMINARI/BIARA 2026</t>
        </is>
      </c>
      <c r="G27" s="23" t="n"/>
    </row>
    <row r="28" ht="14.25" customHeight="1" s="37">
      <c r="A28" s="23" t="inlineStr">
        <is>
          <t>Dewasa (di atas 7 tahun)</t>
        </is>
      </c>
      <c r="B28" s="23">
        <f>COUNTIFS(KEMATIAN!$D$2:$D$1001,"Pria/Laki-laki",KEMATIAN!$G$2:$G$1001,"&gt;7",KEMATIAN!$F$2:$F$1001,"&gt;="&amp;DATE(2026,1,1),KEMATIAN!$F$2:$F$1001,"&lt;="&amp;DATE(2026,12,31))</f>
        <v/>
      </c>
      <c r="C28" s="23">
        <f>COUNTIFS(KEMATIAN!$D$2:$D$1001,"Wanita/Perempuan",KEMATIAN!$G$2:$G$1001,"&gt;7",KEMATIAN!$F$2:$F$1001,"&gt;="&amp;DATE(2026,1,1),KEMATIAN!$F$2:$F$1001,"&lt;="&amp;DATE(2026,12,31))</f>
        <v/>
      </c>
      <c r="D28" s="23">
        <f>SUM(B28:C28)</f>
        <v/>
      </c>
      <c r="E28" s="23" t="n"/>
      <c r="F28" s="25" t="inlineStr">
        <is>
          <t>Jalur</t>
        </is>
      </c>
      <c r="G28" s="25" t="inlineStr">
        <is>
          <t>Jumlah</t>
        </is>
      </c>
    </row>
    <row r="29" ht="14.25" customHeight="1" s="37">
      <c r="A29" s="23" t="inlineStr">
        <is>
          <t>JUMLAH</t>
        </is>
      </c>
      <c r="B29" s="23">
        <f>SUM(B27:B28)</f>
        <v/>
      </c>
      <c r="C29" s="23">
        <f>SUM(C27:C28)</f>
        <v/>
      </c>
      <c r="D29" s="23">
        <f>SUM(D27:D28)</f>
        <v/>
      </c>
      <c r="E29" s="23" t="n"/>
      <c r="F29" s="23" t="inlineStr">
        <is>
          <t>Seminari Menengah</t>
        </is>
      </c>
      <c r="G29" s="23">
        <f>COUNTIFS('SEMINARI BIARA'!$E$2:$E$1001,F29,'SEMINARI BIARA'!$F$2:$F$1001,"Mulai masuk 2026",'SEMINARI BIARA'!$G$2:$G$1001,"&gt;="&amp;DATE(2026,1,1),'SEMINARI BIARA'!$G$2:$G$1001,"&lt;="&amp;DATE(2026,12,31))</f>
        <v/>
      </c>
    </row>
    <row r="30" ht="14.25" customHeight="1" s="37">
      <c r="A30" s="23" t="n"/>
      <c r="B30" s="23" t="n"/>
      <c r="C30" s="23" t="n"/>
      <c r="D30" s="23" t="n"/>
      <c r="E30" s="23" t="n"/>
      <c r="F30" s="23" t="inlineStr">
        <is>
          <t>Seminari Tinggi/Frater</t>
        </is>
      </c>
      <c r="G30" s="23">
        <f>COUNTIFS('SEMINARI BIARA'!$E$2:$E$1001,F30,'SEMINARI BIARA'!$F$2:$F$1001,"Mulai masuk 2026",'SEMINARI BIARA'!$G$2:$G$1001,"&gt;="&amp;DATE(2026,1,1),'SEMINARI BIARA'!$G$2:$G$1001,"&lt;="&amp;DATE(2026,12,31))</f>
        <v/>
      </c>
    </row>
    <row r="31" ht="14.25" customHeight="1" s="37">
      <c r="A31" s="23" t="n"/>
      <c r="B31" s="23" t="n"/>
      <c r="C31" s="23" t="n"/>
      <c r="D31" s="23" t="n"/>
      <c r="E31" s="23" t="n"/>
      <c r="F31" s="23" t="inlineStr">
        <is>
          <t>Biara/Novisiat Bruder</t>
        </is>
      </c>
      <c r="G31" s="23">
        <f>COUNTIFS('SEMINARI BIARA'!$E$2:$E$1001,F31,'SEMINARI BIARA'!$F$2:$F$1001,"Mulai masuk 2026",'SEMINARI BIARA'!$G$2:$G$1001,"&gt;="&amp;DATE(2026,1,1),'SEMINARI BIARA'!$G$2:$G$1001,"&lt;="&amp;DATE(2026,12,31))</f>
        <v/>
      </c>
    </row>
    <row r="32" ht="14.25" customHeight="1" s="37">
      <c r="A32" s="23" t="n"/>
      <c r="B32" s="23" t="n"/>
      <c r="C32" s="23" t="n"/>
      <c r="D32" s="23" t="n"/>
      <c r="E32" s="23" t="n"/>
      <c r="F32" s="23" t="inlineStr">
        <is>
          <t>Biara/Novisiat Suster</t>
        </is>
      </c>
      <c r="G32" s="23">
        <f>COUNTIFS('SEMINARI BIARA'!$E$2:$E$1001,F32,'SEMINARI BIARA'!$F$2:$F$1001,"Mulai masuk 2026",'SEMINARI BIARA'!$G$2:$G$1001,"&gt;="&amp;DATE(2026,1,1),'SEMINARI BIARA'!$G$2:$G$1001,"&lt;="&amp;DATE(2026,12,31))</f>
        <v/>
      </c>
    </row>
    <row r="33" ht="14.25" customHeight="1" s="37">
      <c r="A33" s="23" t="n"/>
      <c r="B33" s="23" t="n"/>
      <c r="C33" s="23" t="n"/>
      <c r="D33" s="23" t="n"/>
      <c r="E33" s="23" t="n"/>
      <c r="F33" s="24" t="inlineStr">
        <is>
          <t>10. SEDANG BELAJAR DI SEMINARI 2026</t>
        </is>
      </c>
      <c r="G33" s="23" t="n"/>
    </row>
    <row r="34" ht="14.25" customHeight="1" s="37">
      <c r="A34" s="23" t="n"/>
      <c r="B34" s="23" t="n"/>
      <c r="C34" s="23" t="n"/>
      <c r="D34" s="23" t="n"/>
      <c r="E34" s="23" t="n"/>
      <c r="F34" s="25" t="inlineStr">
        <is>
          <t>Jalur</t>
        </is>
      </c>
      <c r="G34" s="25" t="inlineStr">
        <is>
          <t>Jumlah</t>
        </is>
      </c>
    </row>
    <row r="35" ht="14.25" customHeight="1" s="37">
      <c r="A35" s="23" t="n"/>
      <c r="B35" s="23" t="n"/>
      <c r="C35" s="23" t="n"/>
      <c r="D35" s="23" t="n"/>
      <c r="E35" s="23" t="n"/>
      <c r="F35" s="23" t="inlineStr">
        <is>
          <t>Seminari Menengah</t>
        </is>
      </c>
      <c r="G35" s="23">
        <f>COUNTIFS('SEMINARI BIARA'!$E$2:$E$1001,F35,'SEMINARI BIARA'!$F$2:$F$1001,"Sedang belajar 2026")</f>
        <v/>
      </c>
    </row>
    <row r="36" ht="14.25" customHeight="1" s="37">
      <c r="A36" s="23" t="n"/>
      <c r="B36" s="23" t="n"/>
      <c r="C36" s="23" t="n"/>
      <c r="D36" s="23" t="n"/>
      <c r="E36" s="23" t="n"/>
      <c r="F36" s="23" t="inlineStr">
        <is>
          <t>Seminari Tinggi/Frater</t>
        </is>
      </c>
      <c r="G36" s="23">
        <f>COUNTIFS('SEMINARI BIARA'!$E$2:$E$1001,F36,'SEMINARI BIARA'!$F$2:$F$1001,"Sedang belajar 2026")</f>
        <v/>
      </c>
    </row>
    <row r="37" ht="14.25" customHeight="1" s="37">
      <c r="A37" s="23" t="n"/>
      <c r="B37" s="23" t="n"/>
      <c r="C37" s="23" t="n"/>
      <c r="D37" s="23" t="n"/>
      <c r="E37" s="23" t="n"/>
      <c r="F37" s="23" t="n"/>
      <c r="G37" s="23" t="n"/>
    </row>
    <row r="38" ht="14.25" customHeight="1" s="37"/>
    <row r="39" ht="14.25" customHeight="1" s="37"/>
    <row r="40" ht="14.25" customHeight="1" s="37"/>
    <row r="41" ht="14.25" customHeight="1" s="37"/>
    <row r="42" ht="14.25" customHeight="1" s="37"/>
    <row r="43" ht="14.25" customHeight="1" s="37"/>
    <row r="44" ht="14.25" customHeight="1" s="37"/>
    <row r="45" ht="14.25" customHeight="1" s="37"/>
    <row r="46" ht="14.25" customHeight="1" s="37"/>
    <row r="47" ht="14.25" customHeight="1" s="37"/>
    <row r="48" ht="14.25" customHeight="1" s="37"/>
    <row r="49" ht="14.25" customHeight="1" s="37"/>
    <row r="50" ht="14.25" customHeight="1" s="37"/>
    <row r="51" ht="14.25" customHeight="1" s="37"/>
    <row r="52" ht="14.25" customHeight="1" s="37"/>
    <row r="53" ht="14.25" customHeight="1" s="37"/>
    <row r="54" ht="14.25" customHeight="1" s="37"/>
    <row r="55" ht="14.25" customHeight="1" s="37"/>
    <row r="56" ht="14.25" customHeight="1" s="37"/>
    <row r="57" ht="14.25" customHeight="1" s="37"/>
    <row r="58" ht="14.25" customHeight="1" s="37"/>
    <row r="59" ht="14.25" customHeight="1" s="37"/>
    <row r="60" ht="14.25" customHeight="1" s="37"/>
    <row r="61" ht="14.25" customHeight="1" s="37"/>
    <row r="62" ht="14.25" customHeight="1" s="37"/>
    <row r="63" ht="14.25" customHeight="1" s="37"/>
    <row r="64" ht="14.25" customHeight="1" s="37"/>
    <row r="65" ht="14.25" customHeight="1" s="37"/>
    <row r="66" ht="14.25" customHeight="1" s="37"/>
    <row r="67" ht="14.25" customHeight="1" s="37"/>
    <row r="68" ht="14.25" customHeight="1" s="37"/>
    <row r="69" ht="14.25" customHeight="1" s="37"/>
    <row r="70" ht="14.25" customHeight="1" s="37"/>
    <row r="71" ht="14.25" customHeight="1" s="37"/>
    <row r="72" ht="14.25" customHeight="1" s="37"/>
    <row r="73" ht="14.25" customHeight="1" s="37"/>
    <row r="74" ht="14.25" customHeight="1" s="37"/>
    <row r="75" ht="14.25" customHeight="1" s="37"/>
    <row r="76" ht="14.25" customHeight="1" s="37"/>
    <row r="77" ht="14.25" customHeight="1" s="37"/>
    <row r="78" ht="14.25" customHeight="1" s="37"/>
    <row r="79" ht="14.25" customHeight="1" s="37"/>
    <row r="80" ht="14.25" customHeight="1" s="37"/>
    <row r="81" ht="14.25" customHeight="1" s="37"/>
    <row r="82" ht="14.25" customHeight="1" s="37"/>
    <row r="83" ht="14.25" customHeight="1" s="37"/>
    <row r="84" ht="14.25" customHeight="1" s="37"/>
    <row r="85" ht="14.25" customHeight="1" s="37"/>
    <row r="86" ht="14.25" customHeight="1" s="37"/>
    <row r="87" ht="14.25" customHeight="1" s="37"/>
    <row r="88" ht="14.25" customHeight="1" s="37"/>
    <row r="89" ht="14.25" customHeight="1" s="37"/>
    <row r="90" ht="14.25" customHeight="1" s="37"/>
    <row r="91" ht="14.25" customHeight="1" s="37"/>
    <row r="92" ht="14.25" customHeight="1" s="37"/>
    <row r="93" ht="14.25" customHeight="1" s="37"/>
    <row r="94" ht="14.25" customHeight="1" s="37"/>
    <row r="95" ht="14.25" customHeight="1" s="37"/>
    <row r="96" ht="14.25" customHeight="1" s="37"/>
    <row r="97" ht="14.25" customHeight="1" s="37"/>
    <row r="98" ht="14.25" customHeight="1" s="37"/>
    <row r="99" ht="14.25" customHeight="1" s="37"/>
    <row r="100" ht="14.25" customHeight="1" s="37"/>
    <row r="101" ht="14.25" customHeight="1" s="37"/>
    <row r="102" ht="14.25" customHeight="1" s="37"/>
    <row r="103" ht="14.25" customHeight="1" s="37"/>
    <row r="104" ht="14.25" customHeight="1" s="37"/>
    <row r="105" ht="14.25" customHeight="1" s="37"/>
    <row r="106" ht="14.25" customHeight="1" s="37"/>
    <row r="107" ht="14.25" customHeight="1" s="37"/>
    <row r="108" ht="14.25" customHeight="1" s="37"/>
    <row r="109" ht="14.25" customHeight="1" s="37"/>
    <row r="110" ht="14.25" customHeight="1" s="37"/>
    <row r="111" ht="14.25" customHeight="1" s="37"/>
    <row r="112" ht="14.25" customHeight="1" s="37"/>
    <row r="113" ht="14.25" customHeight="1" s="37"/>
    <row r="114" ht="14.25" customHeight="1" s="37"/>
    <row r="115" ht="14.25" customHeight="1" s="37"/>
    <row r="116" ht="14.25" customHeight="1" s="37"/>
    <row r="117" ht="14.25" customHeight="1" s="37"/>
    <row r="118" ht="14.25" customHeight="1" s="37"/>
    <row r="119" ht="14.25" customHeight="1" s="37"/>
    <row r="120" ht="14.25" customHeight="1" s="37"/>
    <row r="121" ht="14.25" customHeight="1" s="37"/>
    <row r="122" ht="14.25" customHeight="1" s="37"/>
    <row r="123" ht="14.25" customHeight="1" s="37"/>
    <row r="124" ht="14.25" customHeight="1" s="37"/>
    <row r="125" ht="14.25" customHeight="1" s="37"/>
    <row r="126" ht="14.25" customHeight="1" s="37"/>
    <row r="127" ht="14.25" customHeight="1" s="37"/>
    <row r="128" ht="14.25" customHeight="1" s="37"/>
    <row r="129" ht="14.25" customHeight="1" s="37"/>
    <row r="130" ht="14.25" customHeight="1" s="37"/>
    <row r="131" ht="14.25" customHeight="1" s="37"/>
    <row r="132" ht="14.25" customHeight="1" s="37"/>
    <row r="133" ht="14.25" customHeight="1" s="37"/>
    <row r="134" ht="14.25" customHeight="1" s="37"/>
    <row r="135" ht="14.25" customHeight="1" s="37"/>
    <row r="136" ht="14.25" customHeight="1" s="37"/>
    <row r="137" ht="14.25" customHeight="1" s="37"/>
    <row r="138" ht="14.25" customHeight="1" s="37"/>
    <row r="139" ht="14.25" customHeight="1" s="37"/>
    <row r="140" ht="14.25" customHeight="1" s="37"/>
    <row r="141" ht="14.25" customHeight="1" s="37"/>
    <row r="142" ht="14.25" customHeight="1" s="37"/>
    <row r="143" ht="14.25" customHeight="1" s="37"/>
    <row r="144" ht="14.25" customHeight="1" s="37"/>
    <row r="145" ht="14.25" customHeight="1" s="37"/>
    <row r="146" ht="14.25" customHeight="1" s="37"/>
    <row r="147" ht="14.25" customHeight="1" s="37"/>
    <row r="148" ht="14.25" customHeight="1" s="37"/>
    <row r="149" ht="14.25" customHeight="1" s="37"/>
    <row r="150" ht="14.25" customHeight="1" s="37"/>
    <row r="151" ht="14.25" customHeight="1" s="37"/>
    <row r="152" ht="14.25" customHeight="1" s="37"/>
    <row r="153" ht="14.25" customHeight="1" s="37"/>
    <row r="154" ht="14.25" customHeight="1" s="37"/>
    <row r="155" ht="14.25" customHeight="1" s="37"/>
    <row r="156" ht="14.25" customHeight="1" s="37"/>
    <row r="157" ht="14.25" customHeight="1" s="37"/>
    <row r="158" ht="14.25" customHeight="1" s="37"/>
    <row r="159" ht="14.25" customHeight="1" s="37"/>
    <row r="160" ht="14.25" customHeight="1" s="37"/>
    <row r="161" ht="14.25" customHeight="1" s="37"/>
    <row r="162" ht="14.25" customHeight="1" s="37"/>
    <row r="163" ht="14.25" customHeight="1" s="37"/>
    <row r="164" ht="14.25" customHeight="1" s="37"/>
    <row r="165" ht="14.25" customHeight="1" s="37"/>
    <row r="166" ht="14.25" customHeight="1" s="37"/>
    <row r="167" ht="14.25" customHeight="1" s="37"/>
    <row r="168" ht="14.25" customHeight="1" s="37"/>
    <row r="169" ht="14.25" customHeight="1" s="37"/>
    <row r="170" ht="14.25" customHeight="1" s="37"/>
    <row r="171" ht="14.25" customHeight="1" s="37"/>
    <row r="172" ht="14.25" customHeight="1" s="37"/>
    <row r="173" ht="14.25" customHeight="1" s="37"/>
    <row r="174" ht="14.25" customHeight="1" s="37"/>
    <row r="175" ht="14.25" customHeight="1" s="37"/>
    <row r="176" ht="14.25" customHeight="1" s="37"/>
    <row r="177" ht="14.25" customHeight="1" s="37"/>
    <row r="178" ht="14.25" customHeight="1" s="37"/>
    <row r="179" ht="14.25" customHeight="1" s="37"/>
    <row r="180" ht="14.25" customHeight="1" s="37"/>
    <row r="181" ht="14.25" customHeight="1" s="37"/>
    <row r="182" ht="14.25" customHeight="1" s="37"/>
    <row r="183" ht="14.25" customHeight="1" s="37"/>
    <row r="184" ht="14.25" customHeight="1" s="37"/>
    <row r="185" ht="14.25" customHeight="1" s="37"/>
    <row r="186" ht="14.25" customHeight="1" s="37"/>
    <row r="187" ht="14.25" customHeight="1" s="37"/>
    <row r="188" ht="14.25" customHeight="1" s="37"/>
    <row r="189" ht="14.25" customHeight="1" s="37"/>
    <row r="190" ht="14.25" customHeight="1" s="37"/>
    <row r="191" ht="14.25" customHeight="1" s="37"/>
    <row r="192" ht="14.25" customHeight="1" s="37"/>
    <row r="193" ht="14.25" customHeight="1" s="37"/>
    <row r="194" ht="14.25" customHeight="1" s="37"/>
    <row r="195" ht="14.25" customHeight="1" s="37"/>
    <row r="196" ht="14.25" customHeight="1" s="37"/>
    <row r="197" ht="14.25" customHeight="1" s="37"/>
    <row r="198" ht="14.25" customHeight="1" s="37"/>
    <row r="199" ht="14.25" customHeight="1" s="37"/>
    <row r="200" ht="14.25" customHeight="1" s="37"/>
    <row r="201" ht="14.25" customHeight="1" s="37"/>
    <row r="202" ht="14.25" customHeight="1" s="37"/>
    <row r="203" ht="14.25" customHeight="1" s="37"/>
    <row r="204" ht="14.25" customHeight="1" s="37"/>
    <row r="205" ht="14.25" customHeight="1" s="37"/>
    <row r="206" ht="14.25" customHeight="1" s="37"/>
    <row r="207" ht="14.25" customHeight="1" s="37"/>
    <row r="208" ht="14.25" customHeight="1" s="37"/>
    <row r="209" ht="14.25" customHeight="1" s="37"/>
    <row r="210" ht="14.25" customHeight="1" s="37"/>
    <row r="211" ht="14.25" customHeight="1" s="37"/>
    <row r="212" ht="14.25" customHeight="1" s="37"/>
    <row r="213" ht="14.25" customHeight="1" s="37"/>
    <row r="214" ht="14.25" customHeight="1" s="37"/>
    <row r="215" ht="14.25" customHeight="1" s="37"/>
    <row r="216" ht="14.25" customHeight="1" s="37"/>
    <row r="217" ht="14.25" customHeight="1" s="37"/>
    <row r="218" ht="14.25" customHeight="1" s="37"/>
    <row r="219" ht="14.25" customHeight="1" s="37"/>
    <row r="220" ht="14.25" customHeight="1" s="37"/>
    <row r="221" ht="14.25" customHeight="1" s="37"/>
    <row r="222" ht="14.25" customHeight="1" s="37"/>
    <row r="223" ht="14.25" customHeight="1" s="37"/>
    <row r="224" ht="14.25" customHeight="1" s="37"/>
    <row r="225" ht="14.25" customHeight="1" s="37"/>
    <row r="226" ht="14.25" customHeight="1" s="37"/>
    <row r="227" ht="14.25" customHeight="1" s="37"/>
    <row r="228" ht="14.25" customHeight="1" s="37"/>
    <row r="229" ht="14.25" customHeight="1" s="37"/>
    <row r="230" ht="14.25" customHeight="1" s="37"/>
    <row r="231" ht="14.25" customHeight="1" s="37"/>
    <row r="232" ht="14.25" customHeight="1" s="37"/>
    <row r="233" ht="14.25" customHeight="1" s="37"/>
    <row r="234" ht="14.25" customHeight="1" s="37"/>
    <row r="235" ht="14.25" customHeight="1" s="37"/>
    <row r="236" ht="14.25" customHeight="1" s="37"/>
    <row r="237" ht="14.25" customHeight="1" s="37"/>
    <row r="238" ht="14.25" customHeight="1" s="37"/>
    <row r="239" ht="14.25" customHeight="1" s="37"/>
    <row r="240" ht="14.25" customHeight="1" s="37"/>
    <row r="241" ht="14.25" customHeight="1" s="37"/>
    <row r="242" ht="14.25" customHeight="1" s="37"/>
    <row r="243" ht="14.25" customHeight="1" s="37"/>
    <row r="244" ht="14.25" customHeight="1" s="37"/>
    <row r="245" ht="14.25" customHeight="1" s="37"/>
    <row r="246" ht="14.25" customHeight="1" s="37"/>
    <row r="247" ht="14.25" customHeight="1" s="37"/>
    <row r="248" ht="14.25" customHeight="1" s="37"/>
    <row r="249" ht="14.25" customHeight="1" s="37"/>
    <row r="250" ht="14.25" customHeight="1" s="37"/>
    <row r="251" ht="14.25" customHeight="1" s="37"/>
    <row r="252" ht="14.25" customHeight="1" s="37"/>
    <row r="253" ht="14.25" customHeight="1" s="37"/>
    <row r="254" ht="14.25" customHeight="1" s="37"/>
    <row r="255" ht="14.25" customHeight="1" s="37"/>
    <row r="256" ht="14.25" customHeight="1" s="37"/>
    <row r="257" ht="14.25" customHeight="1" s="37"/>
    <row r="258" ht="14.25" customHeight="1" s="37"/>
    <row r="259" ht="14.25" customHeight="1" s="37"/>
    <row r="260" ht="14.25" customHeight="1" s="37"/>
    <row r="261" ht="14.25" customHeight="1" s="37"/>
    <row r="262" ht="14.25" customHeight="1" s="37"/>
    <row r="263" ht="14.25" customHeight="1" s="37"/>
    <row r="264" ht="14.25" customHeight="1" s="37"/>
    <row r="265" ht="14.25" customHeight="1" s="37"/>
    <row r="266" ht="14.25" customHeight="1" s="37"/>
    <row r="267" ht="14.25" customHeight="1" s="37"/>
    <row r="268" ht="14.25" customHeight="1" s="37"/>
    <row r="269" ht="14.25" customHeight="1" s="37"/>
    <row r="270" ht="14.25" customHeight="1" s="37"/>
    <row r="271" ht="14.25" customHeight="1" s="37"/>
    <row r="272" ht="14.25" customHeight="1" s="37"/>
    <row r="273" ht="14.25" customHeight="1" s="37"/>
    <row r="274" ht="14.25" customHeight="1" s="37"/>
    <row r="275" ht="14.25" customHeight="1" s="37"/>
    <row r="276" ht="14.25" customHeight="1" s="37"/>
    <row r="277" ht="14.25" customHeight="1" s="37"/>
    <row r="278" ht="14.25" customHeight="1" s="37"/>
    <row r="279" ht="14.25" customHeight="1" s="37"/>
    <row r="280" ht="14.25" customHeight="1" s="37"/>
    <row r="281" ht="14.25" customHeight="1" s="37"/>
    <row r="282" ht="14.25" customHeight="1" s="37"/>
    <row r="283" ht="14.25" customHeight="1" s="37"/>
    <row r="284" ht="14.25" customHeight="1" s="37"/>
    <row r="285" ht="14.25" customHeight="1" s="37"/>
    <row r="286" ht="14.25" customHeight="1" s="37"/>
    <row r="287" ht="14.25" customHeight="1" s="37"/>
    <row r="288" ht="14.25" customHeight="1" s="37"/>
    <row r="289" ht="14.25" customHeight="1" s="37"/>
    <row r="290" ht="14.25" customHeight="1" s="37"/>
    <row r="291" ht="14.25" customHeight="1" s="37"/>
    <row r="292" ht="14.25" customHeight="1" s="37"/>
    <row r="293" ht="14.25" customHeight="1" s="37"/>
    <row r="294" ht="14.25" customHeight="1" s="37"/>
    <row r="295" ht="14.25" customHeight="1" s="37"/>
    <row r="296" ht="14.25" customHeight="1" s="37"/>
    <row r="297" ht="14.25" customHeight="1" s="37"/>
    <row r="298" ht="14.25" customHeight="1" s="37"/>
    <row r="299" ht="14.25" customHeight="1" s="37"/>
    <row r="300" ht="14.25" customHeight="1" s="37"/>
    <row r="301" ht="14.25" customHeight="1" s="37"/>
    <row r="302" ht="14.25" customHeight="1" s="37"/>
    <row r="303" ht="14.25" customHeight="1" s="37"/>
    <row r="304" ht="14.25" customHeight="1" s="37"/>
    <row r="305" ht="14.25" customHeight="1" s="37"/>
    <row r="306" ht="14.25" customHeight="1" s="37"/>
    <row r="307" ht="14.25" customHeight="1" s="37"/>
    <row r="308" ht="14.25" customHeight="1" s="37"/>
    <row r="309" ht="14.25" customHeight="1" s="37"/>
    <row r="310" ht="14.25" customHeight="1" s="37"/>
    <row r="311" ht="14.25" customHeight="1" s="37"/>
    <row r="312" ht="14.25" customHeight="1" s="37"/>
    <row r="313" ht="14.25" customHeight="1" s="37"/>
    <row r="314" ht="14.25" customHeight="1" s="37"/>
    <row r="315" ht="14.25" customHeight="1" s="37"/>
    <row r="316" ht="14.25" customHeight="1" s="37"/>
    <row r="317" ht="14.25" customHeight="1" s="37"/>
    <row r="318" ht="14.25" customHeight="1" s="37"/>
    <row r="319" ht="14.25" customHeight="1" s="37"/>
    <row r="320" ht="14.25" customHeight="1" s="37"/>
    <row r="321" ht="14.25" customHeight="1" s="37"/>
    <row r="322" ht="14.25" customHeight="1" s="37"/>
    <row r="323" ht="14.25" customHeight="1" s="37"/>
    <row r="324" ht="14.25" customHeight="1" s="37"/>
    <row r="325" ht="14.25" customHeight="1" s="37"/>
    <row r="326" ht="14.25" customHeight="1" s="37"/>
    <row r="327" ht="14.25" customHeight="1" s="37"/>
    <row r="328" ht="14.25" customHeight="1" s="37"/>
    <row r="329" ht="14.25" customHeight="1" s="37"/>
    <row r="330" ht="14.25" customHeight="1" s="37"/>
    <row r="331" ht="14.25" customHeight="1" s="37"/>
    <row r="332" ht="14.25" customHeight="1" s="37"/>
    <row r="333" ht="14.25" customHeight="1" s="37"/>
    <row r="334" ht="14.25" customHeight="1" s="37"/>
    <row r="335" ht="14.25" customHeight="1" s="37"/>
    <row r="336" ht="14.25" customHeight="1" s="37"/>
    <row r="337" ht="14.25" customHeight="1" s="37"/>
    <row r="338" ht="14.25" customHeight="1" s="37"/>
    <row r="339" ht="14.25" customHeight="1" s="37"/>
    <row r="340" ht="14.25" customHeight="1" s="37"/>
    <row r="341" ht="14.25" customHeight="1" s="37"/>
    <row r="342" ht="14.25" customHeight="1" s="37"/>
    <row r="343" ht="14.25" customHeight="1" s="37"/>
    <row r="344" ht="14.25" customHeight="1" s="37"/>
    <row r="345" ht="14.25" customHeight="1" s="37"/>
    <row r="346" ht="14.25" customHeight="1" s="37"/>
    <row r="347" ht="14.25" customHeight="1" s="37"/>
    <row r="348" ht="14.25" customHeight="1" s="37"/>
    <row r="349" ht="14.25" customHeight="1" s="37"/>
    <row r="350" ht="14.25" customHeight="1" s="37"/>
    <row r="351" ht="14.25" customHeight="1" s="37"/>
    <row r="352" ht="14.25" customHeight="1" s="37"/>
    <row r="353" ht="14.25" customHeight="1" s="37"/>
    <row r="354" ht="14.25" customHeight="1" s="37"/>
    <row r="355" ht="14.25" customHeight="1" s="37"/>
    <row r="356" ht="14.25" customHeight="1" s="37"/>
    <row r="357" ht="14.25" customHeight="1" s="37"/>
    <row r="358" ht="14.25" customHeight="1" s="37"/>
    <row r="359" ht="14.25" customHeight="1" s="37"/>
    <row r="360" ht="14.25" customHeight="1" s="37"/>
    <row r="361" ht="14.25" customHeight="1" s="37"/>
    <row r="362" ht="14.25" customHeight="1" s="37"/>
    <row r="363" ht="14.25" customHeight="1" s="37"/>
    <row r="364" ht="14.25" customHeight="1" s="37"/>
    <row r="365" ht="14.25" customHeight="1" s="37"/>
    <row r="366" ht="14.25" customHeight="1" s="37"/>
    <row r="367" ht="14.25" customHeight="1" s="37"/>
    <row r="368" ht="14.25" customHeight="1" s="37"/>
    <row r="369" ht="14.25" customHeight="1" s="37"/>
    <row r="370" ht="14.25" customHeight="1" s="37"/>
    <row r="371" ht="14.25" customHeight="1" s="37"/>
    <row r="372" ht="14.25" customHeight="1" s="37"/>
    <row r="373" ht="14.25" customHeight="1" s="37"/>
    <row r="374" ht="14.25" customHeight="1" s="37"/>
    <row r="375" ht="14.25" customHeight="1" s="37"/>
    <row r="376" ht="14.25" customHeight="1" s="37"/>
    <row r="377" ht="14.25" customHeight="1" s="37"/>
    <row r="378" ht="14.25" customHeight="1" s="37"/>
    <row r="379" ht="14.25" customHeight="1" s="37"/>
    <row r="380" ht="14.25" customHeight="1" s="37"/>
    <row r="381" ht="14.25" customHeight="1" s="37"/>
    <row r="382" ht="14.25" customHeight="1" s="37"/>
    <row r="383" ht="14.25" customHeight="1" s="37"/>
    <row r="384" ht="14.25" customHeight="1" s="37"/>
    <row r="385" ht="14.25" customHeight="1" s="37"/>
    <row r="386" ht="14.25" customHeight="1" s="37"/>
    <row r="387" ht="14.25" customHeight="1" s="37"/>
    <row r="388" ht="14.25" customHeight="1" s="37"/>
    <row r="389" ht="14.25" customHeight="1" s="37"/>
    <row r="390" ht="14.25" customHeight="1" s="37"/>
    <row r="391" ht="14.25" customHeight="1" s="37"/>
    <row r="392" ht="14.25" customHeight="1" s="37"/>
    <row r="393" ht="14.25" customHeight="1" s="37"/>
    <row r="394" ht="14.25" customHeight="1" s="37"/>
    <row r="395" ht="14.25" customHeight="1" s="37"/>
    <row r="396" ht="14.25" customHeight="1" s="37"/>
    <row r="397" ht="14.25" customHeight="1" s="37"/>
    <row r="398" ht="14.25" customHeight="1" s="37"/>
    <row r="399" ht="14.25" customHeight="1" s="37"/>
    <row r="400" ht="14.25" customHeight="1" s="37"/>
    <row r="401" ht="14.25" customHeight="1" s="37"/>
    <row r="402" ht="14.25" customHeight="1" s="37"/>
    <row r="403" ht="14.25" customHeight="1" s="37"/>
    <row r="404" ht="14.25" customHeight="1" s="37"/>
    <row r="405" ht="14.25" customHeight="1" s="37"/>
    <row r="406" ht="14.25" customHeight="1" s="37"/>
    <row r="407" ht="14.25" customHeight="1" s="37"/>
    <row r="408" ht="14.25" customHeight="1" s="37"/>
    <row r="409" ht="14.25" customHeight="1" s="37"/>
    <row r="410" ht="14.25" customHeight="1" s="37"/>
    <row r="411" ht="14.25" customHeight="1" s="37"/>
    <row r="412" ht="14.25" customHeight="1" s="37"/>
    <row r="413" ht="14.25" customHeight="1" s="37"/>
    <row r="414" ht="14.25" customHeight="1" s="37"/>
    <row r="415" ht="14.25" customHeight="1" s="37"/>
    <row r="416" ht="14.25" customHeight="1" s="37"/>
    <row r="417" ht="14.25" customHeight="1" s="37"/>
    <row r="418" ht="14.25" customHeight="1" s="37"/>
    <row r="419" ht="14.25" customHeight="1" s="37"/>
    <row r="420" ht="14.25" customHeight="1" s="37"/>
    <row r="421" ht="14.25" customHeight="1" s="37"/>
    <row r="422" ht="14.25" customHeight="1" s="37"/>
    <row r="423" ht="14.25" customHeight="1" s="37"/>
    <row r="424" ht="14.25" customHeight="1" s="37"/>
    <row r="425" ht="14.25" customHeight="1" s="37"/>
    <row r="426" ht="14.25" customHeight="1" s="37"/>
    <row r="427" ht="14.25" customHeight="1" s="37"/>
    <row r="428" ht="14.25" customHeight="1" s="37"/>
    <row r="429" ht="14.25" customHeight="1" s="37"/>
    <row r="430" ht="14.25" customHeight="1" s="37"/>
    <row r="431" ht="14.25" customHeight="1" s="37"/>
    <row r="432" ht="14.25" customHeight="1" s="37"/>
    <row r="433" ht="14.25" customHeight="1" s="37"/>
    <row r="434" ht="14.25" customHeight="1" s="37"/>
    <row r="435" ht="14.25" customHeight="1" s="37"/>
    <row r="436" ht="14.25" customHeight="1" s="37"/>
    <row r="437" ht="14.25" customHeight="1" s="37"/>
    <row r="438" ht="14.25" customHeight="1" s="37"/>
    <row r="439" ht="14.25" customHeight="1" s="37"/>
    <row r="440" ht="14.25" customHeight="1" s="37"/>
    <row r="441" ht="14.25" customHeight="1" s="37"/>
    <row r="442" ht="14.25" customHeight="1" s="37"/>
    <row r="443" ht="14.25" customHeight="1" s="37"/>
    <row r="444" ht="14.25" customHeight="1" s="37"/>
    <row r="445" ht="14.25" customHeight="1" s="37"/>
    <row r="446" ht="14.25" customHeight="1" s="37"/>
    <row r="447" ht="14.25" customHeight="1" s="37"/>
    <row r="448" ht="14.25" customHeight="1" s="37"/>
    <row r="449" ht="14.25" customHeight="1" s="37"/>
    <row r="450" ht="14.25" customHeight="1" s="37"/>
    <row r="451" ht="14.25" customHeight="1" s="37"/>
    <row r="452" ht="14.25" customHeight="1" s="37"/>
    <row r="453" ht="14.25" customHeight="1" s="37"/>
    <row r="454" ht="14.25" customHeight="1" s="37"/>
    <row r="455" ht="14.25" customHeight="1" s="37"/>
    <row r="456" ht="14.25" customHeight="1" s="37"/>
    <row r="457" ht="14.25" customHeight="1" s="37"/>
    <row r="458" ht="14.25" customHeight="1" s="37"/>
    <row r="459" ht="14.25" customHeight="1" s="37"/>
    <row r="460" ht="14.25" customHeight="1" s="37"/>
    <row r="461" ht="14.25" customHeight="1" s="37"/>
    <row r="462" ht="14.25" customHeight="1" s="37"/>
    <row r="463" ht="14.25" customHeight="1" s="37"/>
    <row r="464" ht="14.25" customHeight="1" s="37"/>
    <row r="465" ht="14.25" customHeight="1" s="37"/>
    <row r="466" ht="14.25" customHeight="1" s="37"/>
    <row r="467" ht="14.25" customHeight="1" s="37"/>
    <row r="468" ht="14.25" customHeight="1" s="37"/>
    <row r="469" ht="14.25" customHeight="1" s="37"/>
    <row r="470" ht="14.25" customHeight="1" s="37"/>
    <row r="471" ht="14.25" customHeight="1" s="37"/>
    <row r="472" ht="14.25" customHeight="1" s="37"/>
    <row r="473" ht="14.25" customHeight="1" s="37"/>
    <row r="474" ht="14.25" customHeight="1" s="37"/>
    <row r="475" ht="14.25" customHeight="1" s="37"/>
    <row r="476" ht="14.25" customHeight="1" s="37"/>
    <row r="477" ht="14.25" customHeight="1" s="37"/>
    <row r="478" ht="14.25" customHeight="1" s="37"/>
    <row r="479" ht="14.25" customHeight="1" s="37"/>
    <row r="480" ht="14.25" customHeight="1" s="37"/>
    <row r="481" ht="14.25" customHeight="1" s="37"/>
    <row r="482" ht="14.25" customHeight="1" s="37"/>
    <row r="483" ht="14.25" customHeight="1" s="37"/>
    <row r="484" ht="14.25" customHeight="1" s="37"/>
    <row r="485" ht="14.25" customHeight="1" s="37"/>
    <row r="486" ht="14.25" customHeight="1" s="37"/>
    <row r="487" ht="14.25" customHeight="1" s="37"/>
    <row r="488" ht="14.25" customHeight="1" s="37"/>
    <row r="489" ht="14.25" customHeight="1" s="37"/>
    <row r="490" ht="14.25" customHeight="1" s="37"/>
    <row r="491" ht="14.25" customHeight="1" s="37"/>
    <row r="492" ht="14.25" customHeight="1" s="37"/>
    <row r="493" ht="14.25" customHeight="1" s="37"/>
    <row r="494" ht="14.25" customHeight="1" s="37"/>
    <row r="495" ht="14.25" customHeight="1" s="37"/>
    <row r="496" ht="14.25" customHeight="1" s="37"/>
    <row r="497" ht="14.25" customHeight="1" s="37"/>
    <row r="498" ht="14.25" customHeight="1" s="37"/>
    <row r="499" ht="14.25" customHeight="1" s="37"/>
    <row r="500" ht="14.25" customHeight="1" s="37"/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</sheetData>
  <mergeCells count="1">
    <mergeCell ref="A1:G1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37" min="1" max="7"/>
    <col width="9" customWidth="1" style="37" min="8" max="26"/>
  </cols>
  <sheetData>
    <row r="1" ht="14.25" customHeight="1" s="37">
      <c r="A1" s="50" t="inlineStr">
        <is>
          <t>DASHBOARD STATISTIK UMAT — 2026</t>
        </is>
      </c>
    </row>
    <row r="2" ht="14.25" customHeight="1" s="37">
      <c r="A2" s="27" t="inlineStr">
        <is>
          <t>Paroki St. Klement I Sepinggan Balikpapan - DRAF TAMBAHAN fase 3 12-10-2026</t>
        </is>
      </c>
    </row>
    <row r="3" ht="14.25" customHeight="1" s="37"/>
    <row r="4" ht="14.25" customHeight="1" s="37">
      <c r="A4" s="29" t="inlineStr">
        <is>
          <t>Total KK</t>
        </is>
      </c>
      <c r="C4" s="29" t="inlineStr">
        <is>
          <t>Total Jiwa</t>
        </is>
      </c>
      <c r="E4" s="29" t="inlineStr">
        <is>
          <t>Baptis</t>
        </is>
      </c>
      <c r="G4" s="29" t="inlineStr">
        <is>
          <t>Komuni I</t>
        </is>
      </c>
    </row>
    <row r="5" ht="14.25" customHeight="1" s="37">
      <c r="A5" s="51">
        <f>'REKAP LINGKUNGAN'!B105</f>
        <v/>
      </c>
      <c r="C5" s="51">
        <f>'REKAP LINGKUNGAN'!C105</f>
        <v/>
      </c>
      <c r="E5" s="51">
        <f>'REKAP LINGKUNGAN'!D105</f>
        <v/>
      </c>
      <c r="G5" s="51">
        <f>'REKAP LINGKUNGAN'!M105</f>
        <v/>
      </c>
    </row>
    <row r="6" ht="14.25" customHeight="1" s="37"/>
    <row r="7" ht="14.25" customHeight="1" s="37"/>
    <row r="8" ht="14.25" customHeight="1" s="37">
      <c r="A8" s="29" t="inlineStr">
        <is>
          <t>Perkawinan</t>
        </is>
      </c>
      <c r="C8" s="29" t="inlineStr">
        <is>
          <t>Meninggal</t>
        </is>
      </c>
      <c r="E8" s="29" t="inlineStr">
        <is>
          <t>Pindah Agama</t>
        </is>
      </c>
      <c r="G8" s="29" t="inlineStr">
        <is>
          <t>Saldo Perubahan</t>
        </is>
      </c>
    </row>
    <row r="9" ht="14.25" customHeight="1" s="37">
      <c r="A9" s="51">
        <f>'REKAP LINGKUNGAN'!N105</f>
        <v/>
      </c>
      <c r="C9" s="51">
        <f>'REKAP LINGKUNGAN'!H105</f>
        <v/>
      </c>
      <c r="E9" s="51">
        <f>'REKAP LINGKUNGAN'!K105</f>
        <v/>
      </c>
      <c r="G9" s="51">
        <f>'REKAP LINGKUNGAN'!L105</f>
        <v/>
      </c>
    </row>
    <row r="10" ht="14.25" customHeight="1" s="37"/>
    <row r="11" ht="14.25" customHeight="1" s="37"/>
    <row r="12" ht="14.25" customHeight="1" s="37"/>
    <row r="13" ht="14.25" customHeight="1" s="37">
      <c r="A13" s="7" t="inlineStr">
        <is>
          <t>LINGKUNGAN</t>
        </is>
      </c>
      <c r="B13" s="7" t="inlineStr">
        <is>
          <t>JUMLAH JIWA</t>
        </is>
      </c>
    </row>
    <row r="14" ht="14.25" customHeight="1" s="37">
      <c r="A14" s="3">
        <f>'REKAP LINGKUNGAN'!A5</f>
        <v/>
      </c>
      <c r="B14" s="3">
        <f>'REKAP LINGKUNGAN'!C5</f>
        <v/>
      </c>
    </row>
    <row r="15" ht="14.25" customHeight="1" s="37">
      <c r="A15" s="3">
        <f>'REKAP LINGKUNGAN'!A6</f>
        <v/>
      </c>
      <c r="B15" s="3">
        <f>'REKAP LINGKUNGAN'!C6</f>
        <v/>
      </c>
    </row>
    <row r="16" ht="14.25" customHeight="1" s="37">
      <c r="A16" s="3">
        <f>'REKAP LINGKUNGAN'!A7</f>
        <v/>
      </c>
      <c r="B16" s="3">
        <f>'REKAP LINGKUNGAN'!C7</f>
        <v/>
      </c>
    </row>
    <row r="17" ht="14.25" customHeight="1" s="37">
      <c r="A17" s="3">
        <f>'REKAP LINGKUNGAN'!A8</f>
        <v/>
      </c>
      <c r="B17" s="3">
        <f>'REKAP LINGKUNGAN'!C8</f>
        <v/>
      </c>
    </row>
    <row r="18" ht="14.25" customHeight="1" s="37">
      <c r="A18" s="3">
        <f>'REKAP LINGKUNGAN'!A9</f>
        <v/>
      </c>
      <c r="B18" s="3">
        <f>'REKAP LINGKUNGAN'!C9</f>
        <v/>
      </c>
    </row>
    <row r="19" ht="14.25" customHeight="1" s="37">
      <c r="A19" s="3">
        <f>'REKAP LINGKUNGAN'!A10</f>
        <v/>
      </c>
      <c r="B19" s="3">
        <f>'REKAP LINGKUNGAN'!C10</f>
        <v/>
      </c>
    </row>
    <row r="20" ht="14.25" customHeight="1" s="37">
      <c r="A20" s="3">
        <f>'REKAP LINGKUNGAN'!A11</f>
        <v/>
      </c>
      <c r="B20" s="3">
        <f>'REKAP LINGKUNGAN'!C11</f>
        <v/>
      </c>
    </row>
    <row r="21" ht="14.25" customHeight="1" s="37">
      <c r="A21" s="3">
        <f>'REKAP LINGKUNGAN'!A12</f>
        <v/>
      </c>
      <c r="B21" s="3">
        <f>'REKAP LINGKUNGAN'!C12</f>
        <v/>
      </c>
    </row>
    <row r="22" ht="14.25" customHeight="1" s="37">
      <c r="A22" s="3">
        <f>'REKAP LINGKUNGAN'!A13</f>
        <v/>
      </c>
      <c r="B22" s="3">
        <f>'REKAP LINGKUNGAN'!C13</f>
        <v/>
      </c>
    </row>
    <row r="23" ht="14.25" customHeight="1" s="37">
      <c r="A23" s="3">
        <f>'REKAP LINGKUNGAN'!A14</f>
        <v/>
      </c>
      <c r="B23" s="3">
        <f>'REKAP LINGKUNGAN'!C14</f>
        <v/>
      </c>
    </row>
    <row r="24" ht="14.25" customHeight="1" s="37">
      <c r="A24" s="3">
        <f>'REKAP LINGKUNGAN'!A15</f>
        <v/>
      </c>
      <c r="B24" s="3">
        <f>'REKAP LINGKUNGAN'!C15</f>
        <v/>
      </c>
    </row>
    <row r="25" ht="14.25" customHeight="1" s="37">
      <c r="A25" s="3">
        <f>'REKAP LINGKUNGAN'!A16</f>
        <v/>
      </c>
      <c r="B25" s="3">
        <f>'REKAP LINGKUNGAN'!C16</f>
        <v/>
      </c>
    </row>
    <row r="26" ht="14.25" customHeight="1" s="37">
      <c r="A26" s="3">
        <f>'REKAP LINGKUNGAN'!A17</f>
        <v/>
      </c>
      <c r="B26" s="3">
        <f>'REKAP LINGKUNGAN'!C17</f>
        <v/>
      </c>
    </row>
    <row r="27" ht="14.25" customHeight="1" s="37">
      <c r="A27" s="3">
        <f>'REKAP LINGKUNGAN'!A18</f>
        <v/>
      </c>
      <c r="B27" s="3">
        <f>'REKAP LINGKUNGAN'!C18</f>
        <v/>
      </c>
    </row>
    <row r="28" ht="14.25" customHeight="1" s="37">
      <c r="A28" s="3">
        <f>'REKAP LINGKUNGAN'!A19</f>
        <v/>
      </c>
      <c r="B28" s="3">
        <f>'REKAP LINGKUNGAN'!C19</f>
        <v/>
      </c>
    </row>
    <row r="29" ht="14.25" customHeight="1" s="37">
      <c r="A29" s="3">
        <f>'REKAP LINGKUNGAN'!A20</f>
        <v/>
      </c>
      <c r="B29" s="3">
        <f>'REKAP LINGKUNGAN'!C20</f>
        <v/>
      </c>
    </row>
    <row r="30" ht="14.25" customHeight="1" s="37">
      <c r="A30" s="3">
        <f>'REKAP LINGKUNGAN'!A21</f>
        <v/>
      </c>
      <c r="B30" s="3">
        <f>'REKAP LINGKUNGAN'!C21</f>
        <v/>
      </c>
    </row>
    <row r="31" ht="14.25" customHeight="1" s="37">
      <c r="A31" s="3">
        <f>'REKAP LINGKUNGAN'!A22</f>
        <v/>
      </c>
      <c r="B31" s="3">
        <f>'REKAP LINGKUNGAN'!C22</f>
        <v/>
      </c>
    </row>
    <row r="32" ht="14.25" customHeight="1" s="37">
      <c r="A32" s="3">
        <f>'REKAP LINGKUNGAN'!A23</f>
        <v/>
      </c>
      <c r="B32" s="3">
        <f>'REKAP LINGKUNGAN'!C23</f>
        <v/>
      </c>
    </row>
    <row r="33" ht="14.25" customHeight="1" s="37">
      <c r="A33" s="3">
        <f>'REKAP LINGKUNGAN'!A24</f>
        <v/>
      </c>
      <c r="B33" s="3">
        <f>'REKAP LINGKUNGAN'!C24</f>
        <v/>
      </c>
    </row>
    <row r="34" ht="14.25" customHeight="1" s="37"/>
    <row r="35" ht="14.25" customHeight="1" s="37"/>
    <row r="36" ht="14.25" customHeight="1" s="37"/>
    <row r="37" ht="14.25" customHeight="1" s="37"/>
    <row r="38" ht="14.25" customHeight="1" s="37"/>
    <row r="39" ht="14.25" customHeight="1" s="37"/>
    <row r="40" ht="14.25" customHeight="1" s="37"/>
    <row r="41" ht="14.25" customHeight="1" s="37"/>
    <row r="42" ht="14.25" customHeight="1" s="37"/>
    <row r="43" ht="14.25" customHeight="1" s="37"/>
    <row r="44" ht="14.25" customHeight="1" s="37"/>
    <row r="45" ht="14.25" customHeight="1" s="37"/>
    <row r="46" ht="14.25" customHeight="1" s="37"/>
    <row r="47" ht="14.25" customHeight="1" s="37"/>
    <row r="48" ht="14.25" customHeight="1" s="37"/>
    <row r="49" ht="14.25" customHeight="1" s="37"/>
    <row r="50" ht="14.25" customHeight="1" s="37"/>
    <row r="51" ht="14.25" customHeight="1" s="37"/>
    <row r="52" ht="14.25" customHeight="1" s="37"/>
    <row r="53" ht="14.25" customHeight="1" s="37"/>
    <row r="54" ht="14.25" customHeight="1" s="37"/>
    <row r="55" ht="14.25" customHeight="1" s="37"/>
    <row r="56" ht="14.25" customHeight="1" s="37"/>
    <row r="57" ht="14.25" customHeight="1" s="37"/>
    <row r="58" ht="14.25" customHeight="1" s="37"/>
    <row r="59" ht="14.25" customHeight="1" s="37"/>
    <row r="60" ht="14.25" customHeight="1" s="37"/>
    <row r="61" ht="14.25" customHeight="1" s="37"/>
    <row r="62" ht="14.25" customHeight="1" s="37"/>
    <row r="63" ht="14.25" customHeight="1" s="37"/>
    <row r="64" ht="14.25" customHeight="1" s="37"/>
    <row r="65" ht="14.25" customHeight="1" s="37"/>
    <row r="66" ht="14.25" customHeight="1" s="37"/>
    <row r="67" ht="14.25" customHeight="1" s="37"/>
    <row r="68" ht="14.25" customHeight="1" s="37"/>
    <row r="69" ht="14.25" customHeight="1" s="37"/>
    <row r="70" ht="14.25" customHeight="1" s="37"/>
    <row r="71" ht="14.25" customHeight="1" s="37"/>
    <row r="72" ht="14.25" customHeight="1" s="37"/>
    <row r="73" ht="14.25" customHeight="1" s="37"/>
    <row r="74" ht="14.25" customHeight="1" s="37"/>
    <row r="75" ht="14.25" customHeight="1" s="37"/>
    <row r="76" ht="14.25" customHeight="1" s="37"/>
    <row r="77" ht="14.25" customHeight="1" s="37"/>
    <row r="78" ht="14.25" customHeight="1" s="37"/>
    <row r="79" ht="14.25" customHeight="1" s="37"/>
    <row r="80" ht="14.25" customHeight="1" s="37"/>
    <row r="81" ht="14.25" customHeight="1" s="37"/>
    <row r="82" ht="14.25" customHeight="1" s="37"/>
    <row r="83" ht="14.25" customHeight="1" s="37"/>
    <row r="84" ht="14.25" customHeight="1" s="37"/>
    <row r="85" ht="14.25" customHeight="1" s="37"/>
    <row r="86" ht="14.25" customHeight="1" s="37"/>
    <row r="87" ht="14.25" customHeight="1" s="37"/>
    <row r="88" ht="14.25" customHeight="1" s="37"/>
    <row r="89" ht="14.25" customHeight="1" s="37"/>
    <row r="90" ht="14.25" customHeight="1" s="37"/>
    <row r="91" ht="14.25" customHeight="1" s="37"/>
    <row r="92" ht="14.25" customHeight="1" s="37"/>
    <row r="93" ht="14.25" customHeight="1" s="37"/>
    <row r="94" ht="14.25" customHeight="1" s="37"/>
    <row r="95" ht="14.25" customHeight="1" s="37"/>
    <row r="96" ht="14.25" customHeight="1" s="37"/>
    <row r="97" ht="14.25" customHeight="1" s="37"/>
    <row r="98" ht="14.25" customHeight="1" s="37"/>
    <row r="99" ht="14.25" customHeight="1" s="37"/>
    <row r="100" ht="14.25" customHeight="1" s="37"/>
    <row r="101" ht="14.25" customHeight="1" s="37"/>
    <row r="102" ht="14.25" customHeight="1" s="37"/>
    <row r="103" ht="14.25" customHeight="1" s="37"/>
    <row r="104" ht="14.25" customHeight="1" s="37"/>
    <row r="105" ht="14.25" customHeight="1" s="37"/>
    <row r="106" ht="14.25" customHeight="1" s="37"/>
    <row r="107" ht="14.25" customHeight="1" s="37"/>
    <row r="108" ht="14.25" customHeight="1" s="37"/>
    <row r="109" ht="14.25" customHeight="1" s="37"/>
    <row r="110" ht="14.25" customHeight="1" s="37"/>
    <row r="111" ht="14.25" customHeight="1" s="37"/>
    <row r="112" ht="14.25" customHeight="1" s="37"/>
    <row r="113" ht="14.25" customHeight="1" s="37"/>
    <row r="114" ht="14.25" customHeight="1" s="37"/>
    <row r="115" ht="14.25" customHeight="1" s="37"/>
    <row r="116" ht="14.25" customHeight="1" s="37"/>
    <row r="117" ht="14.25" customHeight="1" s="37"/>
    <row r="118" ht="14.25" customHeight="1" s="37"/>
    <row r="119" ht="14.25" customHeight="1" s="37"/>
    <row r="120" ht="14.25" customHeight="1" s="37"/>
    <row r="121" ht="14.25" customHeight="1" s="37"/>
    <row r="122" ht="14.25" customHeight="1" s="37"/>
    <row r="123" ht="14.25" customHeight="1" s="37"/>
    <row r="124" ht="14.25" customHeight="1" s="37"/>
    <row r="125" ht="14.25" customHeight="1" s="37"/>
    <row r="126" ht="14.25" customHeight="1" s="37"/>
    <row r="127" ht="14.25" customHeight="1" s="37"/>
    <row r="128" ht="14.25" customHeight="1" s="37"/>
    <row r="129" ht="14.25" customHeight="1" s="37"/>
    <row r="130" ht="14.25" customHeight="1" s="37"/>
    <row r="131" ht="14.25" customHeight="1" s="37"/>
    <row r="132" ht="14.25" customHeight="1" s="37"/>
    <row r="133" ht="14.25" customHeight="1" s="37"/>
    <row r="134" ht="14.25" customHeight="1" s="37"/>
    <row r="135" ht="14.25" customHeight="1" s="37"/>
    <row r="136" ht="14.25" customHeight="1" s="37"/>
    <row r="137" ht="14.25" customHeight="1" s="37"/>
    <row r="138" ht="14.25" customHeight="1" s="37"/>
    <row r="139" ht="14.25" customHeight="1" s="37"/>
    <row r="140" ht="14.25" customHeight="1" s="37"/>
    <row r="141" ht="14.25" customHeight="1" s="37"/>
    <row r="142" ht="14.25" customHeight="1" s="37"/>
    <row r="143" ht="14.25" customHeight="1" s="37"/>
    <row r="144" ht="14.25" customHeight="1" s="37"/>
    <row r="145" ht="14.25" customHeight="1" s="37"/>
    <row r="146" ht="14.25" customHeight="1" s="37"/>
    <row r="147" ht="14.25" customHeight="1" s="37"/>
    <row r="148" ht="14.25" customHeight="1" s="37"/>
    <row r="149" ht="14.25" customHeight="1" s="37"/>
    <row r="150" ht="14.25" customHeight="1" s="37"/>
    <row r="151" ht="14.25" customHeight="1" s="37"/>
    <row r="152" ht="14.25" customHeight="1" s="37"/>
    <row r="153" ht="14.25" customHeight="1" s="37"/>
    <row r="154" ht="14.25" customHeight="1" s="37"/>
    <row r="155" ht="14.25" customHeight="1" s="37"/>
    <row r="156" ht="14.25" customHeight="1" s="37"/>
    <row r="157" ht="14.25" customHeight="1" s="37"/>
    <row r="158" ht="14.25" customHeight="1" s="37"/>
    <row r="159" ht="14.25" customHeight="1" s="37"/>
    <row r="160" ht="14.25" customHeight="1" s="37"/>
    <row r="161" ht="14.25" customHeight="1" s="37"/>
    <row r="162" ht="14.25" customHeight="1" s="37"/>
    <row r="163" ht="14.25" customHeight="1" s="37"/>
    <row r="164" ht="14.25" customHeight="1" s="37"/>
    <row r="165" ht="14.25" customHeight="1" s="37"/>
    <row r="166" ht="14.25" customHeight="1" s="37"/>
    <row r="167" ht="14.25" customHeight="1" s="37"/>
    <row r="168" ht="14.25" customHeight="1" s="37"/>
    <row r="169" ht="14.25" customHeight="1" s="37"/>
    <row r="170" ht="14.25" customHeight="1" s="37"/>
    <row r="171" ht="14.25" customHeight="1" s="37"/>
    <row r="172" ht="14.25" customHeight="1" s="37"/>
    <row r="173" ht="14.25" customHeight="1" s="37"/>
    <row r="174" ht="14.25" customHeight="1" s="37"/>
    <row r="175" ht="14.25" customHeight="1" s="37"/>
    <row r="176" ht="14.25" customHeight="1" s="37"/>
    <row r="177" ht="14.25" customHeight="1" s="37"/>
    <row r="178" ht="14.25" customHeight="1" s="37"/>
    <row r="179" ht="14.25" customHeight="1" s="37"/>
    <row r="180" ht="14.25" customHeight="1" s="37"/>
    <row r="181" ht="14.25" customHeight="1" s="37"/>
    <row r="182" ht="14.25" customHeight="1" s="37"/>
    <row r="183" ht="14.25" customHeight="1" s="37"/>
    <row r="184" ht="14.25" customHeight="1" s="37"/>
    <row r="185" ht="14.25" customHeight="1" s="37"/>
    <row r="186" ht="14.25" customHeight="1" s="37"/>
    <row r="187" ht="14.25" customHeight="1" s="37"/>
    <row r="188" ht="14.25" customHeight="1" s="37"/>
    <row r="189" ht="14.25" customHeight="1" s="37"/>
    <row r="190" ht="14.25" customHeight="1" s="37"/>
    <row r="191" ht="14.25" customHeight="1" s="37"/>
    <row r="192" ht="14.25" customHeight="1" s="37"/>
    <row r="193" ht="14.25" customHeight="1" s="37"/>
    <row r="194" ht="14.25" customHeight="1" s="37"/>
    <row r="195" ht="14.25" customHeight="1" s="37"/>
    <row r="196" ht="14.25" customHeight="1" s="37"/>
    <row r="197" ht="14.25" customHeight="1" s="37"/>
    <row r="198" ht="14.25" customHeight="1" s="37"/>
    <row r="199" ht="14.25" customHeight="1" s="37"/>
    <row r="200" ht="14.25" customHeight="1" s="37"/>
    <row r="201" ht="14.25" customHeight="1" s="37"/>
    <row r="202" ht="14.25" customHeight="1" s="37"/>
    <row r="203" ht="14.25" customHeight="1" s="37"/>
    <row r="204" ht="14.25" customHeight="1" s="37"/>
    <row r="205" ht="14.25" customHeight="1" s="37"/>
    <row r="206" ht="14.25" customHeight="1" s="37"/>
    <row r="207" ht="14.25" customHeight="1" s="37"/>
    <row r="208" ht="14.25" customHeight="1" s="37"/>
    <row r="209" ht="14.25" customHeight="1" s="37"/>
    <row r="210" ht="14.25" customHeight="1" s="37"/>
    <row r="211" ht="14.25" customHeight="1" s="37"/>
    <row r="212" ht="14.25" customHeight="1" s="37"/>
    <row r="213" ht="14.25" customHeight="1" s="37"/>
    <row r="214" ht="14.25" customHeight="1" s="37"/>
    <row r="215" ht="14.25" customHeight="1" s="37"/>
    <row r="216" ht="14.25" customHeight="1" s="37"/>
    <row r="217" ht="14.25" customHeight="1" s="37"/>
    <row r="218" ht="14.25" customHeight="1" s="37"/>
    <row r="219" ht="14.25" customHeight="1" s="37"/>
    <row r="220" ht="14.25" customHeight="1" s="37"/>
    <row r="221" ht="14.25" customHeight="1" s="37"/>
    <row r="222" ht="14.25" customHeight="1" s="37"/>
    <row r="223" ht="14.25" customHeight="1" s="37"/>
    <row r="224" ht="14.25" customHeight="1" s="37"/>
    <row r="225" ht="14.25" customHeight="1" s="37"/>
    <row r="226" ht="14.25" customHeight="1" s="37"/>
    <row r="227" ht="14.25" customHeight="1" s="37"/>
    <row r="228" ht="14.25" customHeight="1" s="37"/>
    <row r="229" ht="14.25" customHeight="1" s="37"/>
    <row r="230" ht="14.25" customHeight="1" s="37"/>
    <row r="231" ht="14.25" customHeight="1" s="37"/>
    <row r="232" ht="14.25" customHeight="1" s="37"/>
    <row r="233" ht="14.25" customHeight="1" s="37"/>
    <row r="234" ht="14.25" customHeight="1" s="37"/>
    <row r="235" ht="14.25" customHeight="1" s="37"/>
    <row r="236" ht="14.25" customHeight="1" s="37"/>
    <row r="237" ht="14.25" customHeight="1" s="37"/>
    <row r="238" ht="14.25" customHeight="1" s="37"/>
    <row r="239" ht="14.25" customHeight="1" s="37"/>
    <row r="240" ht="14.25" customHeight="1" s="37"/>
    <row r="241" ht="14.25" customHeight="1" s="37"/>
    <row r="242" ht="14.25" customHeight="1" s="37"/>
    <row r="243" ht="14.25" customHeight="1" s="37"/>
    <row r="244" ht="14.25" customHeight="1" s="37"/>
    <row r="245" ht="14.25" customHeight="1" s="37"/>
    <row r="246" ht="14.25" customHeight="1" s="37"/>
    <row r="247" ht="14.25" customHeight="1" s="37"/>
    <row r="248" ht="14.25" customHeight="1" s="37"/>
    <row r="249" ht="14.25" customHeight="1" s="37"/>
    <row r="250" ht="14.25" customHeight="1" s="37"/>
    <row r="251" ht="14.25" customHeight="1" s="37"/>
    <row r="252" ht="14.25" customHeight="1" s="37"/>
    <row r="253" ht="14.25" customHeight="1" s="37"/>
    <row r="254" ht="14.25" customHeight="1" s="37"/>
    <row r="255" ht="14.25" customHeight="1" s="37"/>
    <row r="256" ht="14.25" customHeight="1" s="37"/>
    <row r="257" ht="14.25" customHeight="1" s="37"/>
    <row r="258" ht="14.25" customHeight="1" s="37"/>
    <row r="259" ht="14.25" customHeight="1" s="37"/>
    <row r="260" ht="14.25" customHeight="1" s="37"/>
    <row r="261" ht="14.25" customHeight="1" s="37"/>
    <row r="262" ht="14.25" customHeight="1" s="37"/>
    <row r="263" ht="14.25" customHeight="1" s="37"/>
    <row r="264" ht="14.25" customHeight="1" s="37"/>
    <row r="265" ht="14.25" customHeight="1" s="37"/>
    <row r="266" ht="14.25" customHeight="1" s="37"/>
    <row r="267" ht="14.25" customHeight="1" s="37"/>
    <row r="268" ht="14.25" customHeight="1" s="37"/>
    <row r="269" ht="14.25" customHeight="1" s="37"/>
    <row r="270" ht="14.25" customHeight="1" s="37"/>
    <row r="271" ht="14.25" customHeight="1" s="37"/>
    <row r="272" ht="14.25" customHeight="1" s="37"/>
    <row r="273" ht="14.25" customHeight="1" s="37"/>
    <row r="274" ht="14.25" customHeight="1" s="37"/>
    <row r="275" ht="14.25" customHeight="1" s="37"/>
    <row r="276" ht="14.25" customHeight="1" s="37"/>
    <row r="277" ht="14.25" customHeight="1" s="37"/>
    <row r="278" ht="14.25" customHeight="1" s="37"/>
    <row r="279" ht="14.25" customHeight="1" s="37"/>
    <row r="280" ht="14.25" customHeight="1" s="37"/>
    <row r="281" ht="14.25" customHeight="1" s="37"/>
    <row r="282" ht="14.25" customHeight="1" s="37"/>
    <row r="283" ht="14.25" customHeight="1" s="37"/>
    <row r="284" ht="14.25" customHeight="1" s="37"/>
    <row r="285" ht="14.25" customHeight="1" s="37"/>
    <row r="286" ht="14.25" customHeight="1" s="37"/>
    <row r="287" ht="14.25" customHeight="1" s="37"/>
    <row r="288" ht="14.25" customHeight="1" s="37"/>
    <row r="289" ht="14.25" customHeight="1" s="37"/>
    <row r="290" ht="14.25" customHeight="1" s="37"/>
    <row r="291" ht="14.25" customHeight="1" s="37"/>
    <row r="292" ht="14.25" customHeight="1" s="37"/>
    <row r="293" ht="14.25" customHeight="1" s="37"/>
    <row r="294" ht="14.25" customHeight="1" s="37"/>
    <row r="295" ht="14.25" customHeight="1" s="37"/>
    <row r="296" ht="14.25" customHeight="1" s="37"/>
    <row r="297" ht="14.25" customHeight="1" s="37"/>
    <row r="298" ht="14.25" customHeight="1" s="37"/>
    <row r="299" ht="14.25" customHeight="1" s="37"/>
    <row r="300" ht="14.25" customHeight="1" s="37"/>
    <row r="301" ht="14.25" customHeight="1" s="37"/>
    <row r="302" ht="14.25" customHeight="1" s="37"/>
    <row r="303" ht="14.25" customHeight="1" s="37"/>
    <row r="304" ht="14.25" customHeight="1" s="37"/>
    <row r="305" ht="14.25" customHeight="1" s="37"/>
    <row r="306" ht="14.25" customHeight="1" s="37"/>
    <row r="307" ht="14.25" customHeight="1" s="37"/>
    <row r="308" ht="14.25" customHeight="1" s="37"/>
    <row r="309" ht="14.25" customHeight="1" s="37"/>
    <row r="310" ht="14.25" customHeight="1" s="37"/>
    <row r="311" ht="14.25" customHeight="1" s="37"/>
    <row r="312" ht="14.25" customHeight="1" s="37"/>
    <row r="313" ht="14.25" customHeight="1" s="37"/>
    <row r="314" ht="14.25" customHeight="1" s="37"/>
    <row r="315" ht="14.25" customHeight="1" s="37"/>
    <row r="316" ht="14.25" customHeight="1" s="37"/>
    <row r="317" ht="14.25" customHeight="1" s="37"/>
    <row r="318" ht="14.25" customHeight="1" s="37"/>
    <row r="319" ht="14.25" customHeight="1" s="37"/>
    <row r="320" ht="14.25" customHeight="1" s="37"/>
    <row r="321" ht="14.25" customHeight="1" s="37"/>
    <row r="322" ht="14.25" customHeight="1" s="37"/>
    <row r="323" ht="14.25" customHeight="1" s="37"/>
    <row r="324" ht="14.25" customHeight="1" s="37"/>
    <row r="325" ht="14.25" customHeight="1" s="37"/>
    <row r="326" ht="14.25" customHeight="1" s="37"/>
    <row r="327" ht="14.25" customHeight="1" s="37"/>
    <row r="328" ht="14.25" customHeight="1" s="37"/>
    <row r="329" ht="14.25" customHeight="1" s="37"/>
    <row r="330" ht="14.25" customHeight="1" s="37"/>
    <row r="331" ht="14.25" customHeight="1" s="37"/>
    <row r="332" ht="14.25" customHeight="1" s="37"/>
    <row r="333" ht="14.25" customHeight="1" s="37"/>
    <row r="334" ht="14.25" customHeight="1" s="37"/>
    <row r="335" ht="14.25" customHeight="1" s="37"/>
    <row r="336" ht="14.25" customHeight="1" s="37"/>
    <row r="337" ht="14.25" customHeight="1" s="37"/>
    <row r="338" ht="14.25" customHeight="1" s="37"/>
    <row r="339" ht="14.25" customHeight="1" s="37"/>
    <row r="340" ht="14.25" customHeight="1" s="37"/>
    <row r="341" ht="14.25" customHeight="1" s="37"/>
    <row r="342" ht="14.25" customHeight="1" s="37"/>
    <row r="343" ht="14.25" customHeight="1" s="37"/>
    <row r="344" ht="14.25" customHeight="1" s="37"/>
    <row r="345" ht="14.25" customHeight="1" s="37"/>
    <row r="346" ht="14.25" customHeight="1" s="37"/>
    <row r="347" ht="14.25" customHeight="1" s="37"/>
    <row r="348" ht="14.25" customHeight="1" s="37"/>
    <row r="349" ht="14.25" customHeight="1" s="37"/>
    <row r="350" ht="14.25" customHeight="1" s="37"/>
    <row r="351" ht="14.25" customHeight="1" s="37"/>
    <row r="352" ht="14.25" customHeight="1" s="37"/>
    <row r="353" ht="14.25" customHeight="1" s="37"/>
    <row r="354" ht="14.25" customHeight="1" s="37"/>
    <row r="355" ht="14.25" customHeight="1" s="37"/>
    <row r="356" ht="14.25" customHeight="1" s="37"/>
    <row r="357" ht="14.25" customHeight="1" s="37"/>
    <row r="358" ht="14.25" customHeight="1" s="37"/>
    <row r="359" ht="14.25" customHeight="1" s="37"/>
    <row r="360" ht="14.25" customHeight="1" s="37"/>
    <row r="361" ht="14.25" customHeight="1" s="37"/>
    <row r="362" ht="14.25" customHeight="1" s="37"/>
    <row r="363" ht="14.25" customHeight="1" s="37"/>
    <row r="364" ht="14.25" customHeight="1" s="37"/>
    <row r="365" ht="14.25" customHeight="1" s="37"/>
    <row r="366" ht="14.25" customHeight="1" s="37"/>
    <row r="367" ht="14.25" customHeight="1" s="37"/>
    <row r="368" ht="14.25" customHeight="1" s="37"/>
    <row r="369" ht="14.25" customHeight="1" s="37"/>
    <row r="370" ht="14.25" customHeight="1" s="37"/>
    <row r="371" ht="14.25" customHeight="1" s="37"/>
    <row r="372" ht="14.25" customHeight="1" s="37"/>
    <row r="373" ht="14.25" customHeight="1" s="37"/>
    <row r="374" ht="14.25" customHeight="1" s="37"/>
    <row r="375" ht="14.25" customHeight="1" s="37"/>
    <row r="376" ht="14.25" customHeight="1" s="37"/>
    <row r="377" ht="14.25" customHeight="1" s="37"/>
    <row r="378" ht="14.25" customHeight="1" s="37"/>
    <row r="379" ht="14.25" customHeight="1" s="37"/>
    <row r="380" ht="14.25" customHeight="1" s="37"/>
    <row r="381" ht="14.25" customHeight="1" s="37"/>
    <row r="382" ht="14.25" customHeight="1" s="37"/>
    <row r="383" ht="14.25" customHeight="1" s="37"/>
    <row r="384" ht="14.25" customHeight="1" s="37"/>
    <row r="385" ht="14.25" customHeight="1" s="37"/>
    <row r="386" ht="14.25" customHeight="1" s="37"/>
    <row r="387" ht="14.25" customHeight="1" s="37"/>
    <row r="388" ht="14.25" customHeight="1" s="37"/>
    <row r="389" ht="14.25" customHeight="1" s="37"/>
    <row r="390" ht="14.25" customHeight="1" s="37"/>
    <row r="391" ht="14.25" customHeight="1" s="37"/>
    <row r="392" ht="14.25" customHeight="1" s="37"/>
    <row r="393" ht="14.25" customHeight="1" s="37"/>
    <row r="394" ht="14.25" customHeight="1" s="37"/>
    <row r="395" ht="14.25" customHeight="1" s="37"/>
    <row r="396" ht="14.25" customHeight="1" s="37"/>
    <row r="397" ht="14.25" customHeight="1" s="37"/>
    <row r="398" ht="14.25" customHeight="1" s="37"/>
    <row r="399" ht="14.25" customHeight="1" s="37"/>
    <row r="400" ht="14.25" customHeight="1" s="37"/>
    <row r="401" ht="14.25" customHeight="1" s="37"/>
    <row r="402" ht="14.25" customHeight="1" s="37"/>
    <row r="403" ht="14.25" customHeight="1" s="37"/>
    <row r="404" ht="14.25" customHeight="1" s="37"/>
    <row r="405" ht="14.25" customHeight="1" s="37"/>
    <row r="406" ht="14.25" customHeight="1" s="37"/>
    <row r="407" ht="14.25" customHeight="1" s="37"/>
    <row r="408" ht="14.25" customHeight="1" s="37"/>
    <row r="409" ht="14.25" customHeight="1" s="37"/>
    <row r="410" ht="14.25" customHeight="1" s="37"/>
    <row r="411" ht="14.25" customHeight="1" s="37"/>
    <row r="412" ht="14.25" customHeight="1" s="37"/>
    <row r="413" ht="14.25" customHeight="1" s="37"/>
    <row r="414" ht="14.25" customHeight="1" s="37"/>
    <row r="415" ht="14.25" customHeight="1" s="37"/>
    <row r="416" ht="14.25" customHeight="1" s="37"/>
    <row r="417" ht="14.25" customHeight="1" s="37"/>
    <row r="418" ht="14.25" customHeight="1" s="37"/>
    <row r="419" ht="14.25" customHeight="1" s="37"/>
    <row r="420" ht="14.25" customHeight="1" s="37"/>
    <row r="421" ht="14.25" customHeight="1" s="37"/>
    <row r="422" ht="14.25" customHeight="1" s="37"/>
    <row r="423" ht="14.25" customHeight="1" s="37"/>
    <row r="424" ht="14.25" customHeight="1" s="37"/>
    <row r="425" ht="14.25" customHeight="1" s="37"/>
    <row r="426" ht="14.25" customHeight="1" s="37"/>
    <row r="427" ht="14.25" customHeight="1" s="37"/>
    <row r="428" ht="14.25" customHeight="1" s="37"/>
    <row r="429" ht="14.25" customHeight="1" s="37"/>
    <row r="430" ht="14.25" customHeight="1" s="37"/>
    <row r="431" ht="14.25" customHeight="1" s="37"/>
    <row r="432" ht="14.25" customHeight="1" s="37"/>
    <row r="433" ht="14.25" customHeight="1" s="37"/>
    <row r="434" ht="14.25" customHeight="1" s="37"/>
    <row r="435" ht="14.25" customHeight="1" s="37"/>
    <row r="436" ht="14.25" customHeight="1" s="37"/>
    <row r="437" ht="14.25" customHeight="1" s="37"/>
    <row r="438" ht="14.25" customHeight="1" s="37"/>
    <row r="439" ht="14.25" customHeight="1" s="37"/>
    <row r="440" ht="14.25" customHeight="1" s="37"/>
    <row r="441" ht="14.25" customHeight="1" s="37"/>
    <row r="442" ht="14.25" customHeight="1" s="37"/>
    <row r="443" ht="14.25" customHeight="1" s="37"/>
    <row r="444" ht="14.25" customHeight="1" s="37"/>
    <row r="445" ht="14.25" customHeight="1" s="37"/>
    <row r="446" ht="14.25" customHeight="1" s="37"/>
    <row r="447" ht="14.25" customHeight="1" s="37"/>
    <row r="448" ht="14.25" customHeight="1" s="37"/>
    <row r="449" ht="14.25" customHeight="1" s="37"/>
    <row r="450" ht="14.25" customHeight="1" s="37"/>
    <row r="451" ht="14.25" customHeight="1" s="37"/>
    <row r="452" ht="14.25" customHeight="1" s="37"/>
    <row r="453" ht="14.25" customHeight="1" s="37"/>
    <row r="454" ht="14.25" customHeight="1" s="37"/>
    <row r="455" ht="14.25" customHeight="1" s="37"/>
    <row r="456" ht="14.25" customHeight="1" s="37"/>
    <row r="457" ht="14.25" customHeight="1" s="37"/>
    <row r="458" ht="14.25" customHeight="1" s="37"/>
    <row r="459" ht="14.25" customHeight="1" s="37"/>
    <row r="460" ht="14.25" customHeight="1" s="37"/>
    <row r="461" ht="14.25" customHeight="1" s="37"/>
    <row r="462" ht="14.25" customHeight="1" s="37"/>
    <row r="463" ht="14.25" customHeight="1" s="37"/>
    <row r="464" ht="14.25" customHeight="1" s="37"/>
    <row r="465" ht="14.25" customHeight="1" s="37"/>
    <row r="466" ht="14.25" customHeight="1" s="37"/>
    <row r="467" ht="14.25" customHeight="1" s="37"/>
    <row r="468" ht="14.25" customHeight="1" s="37"/>
    <row r="469" ht="14.25" customHeight="1" s="37"/>
    <row r="470" ht="14.25" customHeight="1" s="37"/>
    <row r="471" ht="14.25" customHeight="1" s="37"/>
    <row r="472" ht="14.25" customHeight="1" s="37"/>
    <row r="473" ht="14.25" customHeight="1" s="37"/>
    <row r="474" ht="14.25" customHeight="1" s="37"/>
    <row r="475" ht="14.25" customHeight="1" s="37"/>
    <row r="476" ht="14.25" customHeight="1" s="37"/>
    <row r="477" ht="14.25" customHeight="1" s="37"/>
    <row r="478" ht="14.25" customHeight="1" s="37"/>
    <row r="479" ht="14.25" customHeight="1" s="37"/>
    <row r="480" ht="14.25" customHeight="1" s="37"/>
    <row r="481" ht="14.25" customHeight="1" s="37"/>
    <row r="482" ht="14.25" customHeight="1" s="37"/>
    <row r="483" ht="14.25" customHeight="1" s="37"/>
    <row r="484" ht="14.25" customHeight="1" s="37"/>
    <row r="485" ht="14.25" customHeight="1" s="37"/>
    <row r="486" ht="14.25" customHeight="1" s="37"/>
    <row r="487" ht="14.25" customHeight="1" s="37"/>
    <row r="488" ht="14.25" customHeight="1" s="37"/>
    <row r="489" ht="14.25" customHeight="1" s="37"/>
    <row r="490" ht="14.25" customHeight="1" s="37"/>
    <row r="491" ht="14.25" customHeight="1" s="37"/>
    <row r="492" ht="14.25" customHeight="1" s="37"/>
    <row r="493" ht="14.25" customHeight="1" s="37"/>
    <row r="494" ht="14.25" customHeight="1" s="37"/>
    <row r="495" ht="14.25" customHeight="1" s="37"/>
    <row r="496" ht="14.25" customHeight="1" s="37"/>
    <row r="497" ht="14.25" customHeight="1" s="37"/>
    <row r="498" ht="14.25" customHeight="1" s="37"/>
    <row r="499" ht="14.25" customHeight="1" s="37"/>
    <row r="500" ht="14.25" customHeight="1" s="37"/>
    <row r="501" ht="14.25" customHeight="1" s="37"/>
    <row r="502" ht="14.25" customHeight="1" s="37"/>
    <row r="503" ht="14.25" customHeight="1" s="37"/>
    <row r="504" ht="14.25" customHeight="1" s="37"/>
    <row r="505" ht="14.25" customHeight="1" s="37"/>
    <row r="506" ht="14.25" customHeight="1" s="37"/>
    <row r="507" ht="14.25" customHeight="1" s="37"/>
    <row r="508" ht="14.25" customHeight="1" s="37"/>
    <row r="509" ht="14.25" customHeight="1" s="37"/>
    <row r="510" ht="14.25" customHeight="1" s="37"/>
    <row r="511" ht="14.25" customHeight="1" s="37"/>
    <row r="512" ht="14.25" customHeight="1" s="37"/>
    <row r="513" ht="14.25" customHeight="1" s="37"/>
    <row r="514" ht="14.25" customHeight="1" s="37"/>
    <row r="515" ht="14.25" customHeight="1" s="37"/>
    <row r="516" ht="14.25" customHeight="1" s="37"/>
    <row r="517" ht="14.25" customHeight="1" s="37"/>
    <row r="518" ht="14.25" customHeight="1" s="37"/>
    <row r="519" ht="14.25" customHeight="1" s="37"/>
    <row r="520" ht="14.25" customHeight="1" s="37"/>
    <row r="521" ht="14.25" customHeight="1" s="37"/>
    <row r="522" ht="14.25" customHeight="1" s="37"/>
    <row r="523" ht="14.25" customHeight="1" s="37"/>
    <row r="524" ht="14.25" customHeight="1" s="37"/>
    <row r="525" ht="14.25" customHeight="1" s="37"/>
    <row r="526" ht="14.25" customHeight="1" s="37"/>
    <row r="527" ht="14.25" customHeight="1" s="37"/>
    <row r="528" ht="14.25" customHeight="1" s="37"/>
    <row r="529" ht="14.25" customHeight="1" s="37"/>
    <row r="530" ht="14.25" customHeight="1" s="37"/>
    <row r="531" ht="14.25" customHeight="1" s="37"/>
    <row r="532" ht="14.25" customHeight="1" s="37"/>
    <row r="533" ht="14.25" customHeight="1" s="37"/>
    <row r="534" ht="14.25" customHeight="1" s="37"/>
    <row r="535" ht="14.25" customHeight="1" s="37"/>
    <row r="536" ht="14.25" customHeight="1" s="37"/>
    <row r="537" ht="14.25" customHeight="1" s="37"/>
    <row r="538" ht="14.25" customHeight="1" s="37"/>
    <row r="539" ht="14.25" customHeight="1" s="37"/>
    <row r="540" ht="14.25" customHeight="1" s="37"/>
    <row r="541" ht="14.25" customHeight="1" s="37"/>
    <row r="542" ht="14.25" customHeight="1" s="37"/>
    <row r="543" ht="14.25" customHeight="1" s="37"/>
    <row r="544" ht="14.25" customHeight="1" s="37"/>
    <row r="545" ht="14.25" customHeight="1" s="37"/>
    <row r="546" ht="14.25" customHeight="1" s="37"/>
    <row r="547" ht="14.25" customHeight="1" s="37"/>
    <row r="548" ht="14.25" customHeight="1" s="37"/>
    <row r="549" ht="14.25" customHeight="1" s="37"/>
    <row r="550" ht="14.25" customHeight="1" s="37"/>
    <row r="551" ht="14.25" customHeight="1" s="37"/>
    <row r="552" ht="14.25" customHeight="1" s="37"/>
    <row r="553" ht="14.25" customHeight="1" s="37"/>
    <row r="554" ht="14.25" customHeight="1" s="37"/>
    <row r="555" ht="14.25" customHeight="1" s="37"/>
    <row r="556" ht="14.25" customHeight="1" s="37"/>
    <row r="557" ht="14.25" customHeight="1" s="37"/>
    <row r="558" ht="14.25" customHeight="1" s="37"/>
    <row r="559" ht="14.25" customHeight="1" s="37"/>
    <row r="560" ht="14.25" customHeight="1" s="37"/>
    <row r="561" ht="14.25" customHeight="1" s="37"/>
    <row r="562" ht="14.25" customHeight="1" s="37"/>
    <row r="563" ht="14.25" customHeight="1" s="37"/>
    <row r="564" ht="14.25" customHeight="1" s="37"/>
    <row r="565" ht="14.25" customHeight="1" s="37"/>
    <row r="566" ht="14.25" customHeight="1" s="37"/>
    <row r="567" ht="14.25" customHeight="1" s="37"/>
    <row r="568" ht="14.25" customHeight="1" s="37"/>
    <row r="569" ht="14.25" customHeight="1" s="37"/>
    <row r="570" ht="14.25" customHeight="1" s="37"/>
    <row r="571" ht="14.25" customHeight="1" s="37"/>
    <row r="572" ht="14.25" customHeight="1" s="37"/>
    <row r="573" ht="14.25" customHeight="1" s="37"/>
    <row r="574" ht="14.25" customHeight="1" s="37"/>
    <row r="575" ht="14.25" customHeight="1" s="37"/>
    <row r="576" ht="14.25" customHeight="1" s="37"/>
    <row r="577" ht="14.25" customHeight="1" s="37"/>
    <row r="578" ht="14.25" customHeight="1" s="37"/>
    <row r="579" ht="14.25" customHeight="1" s="37"/>
    <row r="580" ht="14.25" customHeight="1" s="37"/>
    <row r="581" ht="14.25" customHeight="1" s="37"/>
    <row r="582" ht="14.25" customHeight="1" s="37"/>
    <row r="583" ht="14.25" customHeight="1" s="37"/>
    <row r="584" ht="14.25" customHeight="1" s="37"/>
    <row r="585" ht="14.25" customHeight="1" s="37"/>
    <row r="586" ht="14.25" customHeight="1" s="37"/>
    <row r="587" ht="14.25" customHeight="1" s="37"/>
    <row r="588" ht="14.25" customHeight="1" s="37"/>
    <row r="589" ht="14.25" customHeight="1" s="37"/>
    <row r="590" ht="14.25" customHeight="1" s="37"/>
    <row r="591" ht="14.25" customHeight="1" s="37"/>
    <row r="592" ht="14.25" customHeight="1" s="37"/>
    <row r="593" ht="14.25" customHeight="1" s="37"/>
    <row r="594" ht="14.25" customHeight="1" s="37"/>
    <row r="595" ht="14.25" customHeight="1" s="37"/>
    <row r="596" ht="14.25" customHeight="1" s="37"/>
    <row r="597" ht="14.25" customHeight="1" s="37"/>
    <row r="598" ht="14.25" customHeight="1" s="37"/>
    <row r="599" ht="14.25" customHeight="1" s="37"/>
    <row r="600" ht="14.25" customHeight="1" s="37"/>
    <row r="601" ht="14.25" customHeight="1" s="37"/>
    <row r="602" ht="14.25" customHeight="1" s="37"/>
    <row r="603" ht="14.25" customHeight="1" s="37"/>
    <row r="604" ht="14.25" customHeight="1" s="37"/>
    <row r="605" ht="14.25" customHeight="1" s="37"/>
    <row r="606" ht="14.25" customHeight="1" s="37"/>
    <row r="607" ht="14.25" customHeight="1" s="37"/>
    <row r="608" ht="14.25" customHeight="1" s="37"/>
    <row r="609" ht="14.25" customHeight="1" s="37"/>
    <row r="610" ht="14.25" customHeight="1" s="37"/>
    <row r="611" ht="14.25" customHeight="1" s="37"/>
    <row r="612" ht="14.25" customHeight="1" s="37"/>
    <row r="613" ht="14.25" customHeight="1" s="37"/>
    <row r="614" ht="14.25" customHeight="1" s="37"/>
    <row r="615" ht="14.25" customHeight="1" s="37"/>
    <row r="616" ht="14.25" customHeight="1" s="37"/>
    <row r="617" ht="14.25" customHeight="1" s="37"/>
    <row r="618" ht="14.25" customHeight="1" s="37"/>
    <row r="619" ht="14.25" customHeight="1" s="37"/>
    <row r="620" ht="14.25" customHeight="1" s="37"/>
    <row r="621" ht="14.25" customHeight="1" s="37"/>
    <row r="622" ht="14.25" customHeight="1" s="37"/>
    <row r="623" ht="14.25" customHeight="1" s="37"/>
    <row r="624" ht="14.25" customHeight="1" s="37"/>
    <row r="625" ht="14.25" customHeight="1" s="37"/>
    <row r="626" ht="14.25" customHeight="1" s="37"/>
    <row r="627" ht="14.25" customHeight="1" s="37"/>
    <row r="628" ht="14.25" customHeight="1" s="37"/>
    <row r="629" ht="14.25" customHeight="1" s="37"/>
    <row r="630" ht="14.25" customHeight="1" s="37"/>
    <row r="631" ht="14.25" customHeight="1" s="37"/>
    <row r="632" ht="14.25" customHeight="1" s="37"/>
    <row r="633" ht="14.25" customHeight="1" s="37"/>
    <row r="634" ht="14.25" customHeight="1" s="37"/>
    <row r="635" ht="14.25" customHeight="1" s="37"/>
    <row r="636" ht="14.25" customHeight="1" s="37"/>
    <row r="637" ht="14.25" customHeight="1" s="37"/>
    <row r="638" ht="14.25" customHeight="1" s="37"/>
    <row r="639" ht="14.25" customHeight="1" s="37"/>
    <row r="640" ht="14.25" customHeight="1" s="37"/>
    <row r="641" ht="14.25" customHeight="1" s="37"/>
    <row r="642" ht="14.25" customHeight="1" s="37"/>
    <row r="643" ht="14.25" customHeight="1" s="37"/>
    <row r="644" ht="14.25" customHeight="1" s="37"/>
    <row r="645" ht="14.25" customHeight="1" s="37"/>
    <row r="646" ht="14.25" customHeight="1" s="37"/>
    <row r="647" ht="14.25" customHeight="1" s="37"/>
    <row r="648" ht="14.25" customHeight="1" s="37"/>
    <row r="649" ht="14.25" customHeight="1" s="37"/>
    <row r="650" ht="14.25" customHeight="1" s="37"/>
    <row r="651" ht="14.25" customHeight="1" s="37"/>
    <row r="652" ht="14.25" customHeight="1" s="37"/>
    <row r="653" ht="14.25" customHeight="1" s="37"/>
    <row r="654" ht="14.25" customHeight="1" s="37"/>
    <row r="655" ht="14.25" customHeight="1" s="37"/>
    <row r="656" ht="14.25" customHeight="1" s="37"/>
    <row r="657" ht="14.25" customHeight="1" s="37"/>
    <row r="658" ht="14.25" customHeight="1" s="37"/>
    <row r="659" ht="14.25" customHeight="1" s="37"/>
    <row r="660" ht="14.25" customHeight="1" s="37"/>
    <row r="661" ht="14.25" customHeight="1" s="37"/>
    <row r="662" ht="14.25" customHeight="1" s="37"/>
    <row r="663" ht="14.25" customHeight="1" s="37"/>
    <row r="664" ht="14.25" customHeight="1" s="37"/>
    <row r="665" ht="14.25" customHeight="1" s="37"/>
    <row r="666" ht="14.25" customHeight="1" s="37"/>
    <row r="667" ht="14.25" customHeight="1" s="37"/>
    <row r="668" ht="14.25" customHeight="1" s="37"/>
    <row r="669" ht="14.25" customHeight="1" s="37"/>
    <row r="670" ht="14.25" customHeight="1" s="37"/>
    <row r="671" ht="14.25" customHeight="1" s="37"/>
    <row r="672" ht="14.25" customHeight="1" s="37"/>
    <row r="673" ht="14.25" customHeight="1" s="37"/>
    <row r="674" ht="14.25" customHeight="1" s="37"/>
    <row r="675" ht="14.25" customHeight="1" s="37"/>
    <row r="676" ht="14.25" customHeight="1" s="37"/>
    <row r="677" ht="14.25" customHeight="1" s="37"/>
    <row r="678" ht="14.25" customHeight="1" s="37"/>
    <row r="679" ht="14.25" customHeight="1" s="37"/>
    <row r="680" ht="14.25" customHeight="1" s="37"/>
    <row r="681" ht="14.25" customHeight="1" s="37"/>
    <row r="682" ht="14.25" customHeight="1" s="37"/>
    <row r="683" ht="14.25" customHeight="1" s="37"/>
    <row r="684" ht="14.25" customHeight="1" s="37"/>
    <row r="685" ht="14.25" customHeight="1" s="37"/>
    <row r="686" ht="14.25" customHeight="1" s="37"/>
    <row r="687" ht="14.25" customHeight="1" s="37"/>
    <row r="688" ht="14.25" customHeight="1" s="37"/>
    <row r="689" ht="14.25" customHeight="1" s="37"/>
    <row r="690" ht="14.25" customHeight="1" s="37"/>
    <row r="691" ht="14.25" customHeight="1" s="37"/>
    <row r="692" ht="14.25" customHeight="1" s="37"/>
    <row r="693" ht="14.25" customHeight="1" s="37"/>
    <row r="694" ht="14.25" customHeight="1" s="37"/>
    <row r="695" ht="14.25" customHeight="1" s="37"/>
    <row r="696" ht="14.25" customHeight="1" s="37"/>
    <row r="697" ht="14.25" customHeight="1" s="37"/>
    <row r="698" ht="14.25" customHeight="1" s="37"/>
    <row r="699" ht="14.25" customHeight="1" s="37"/>
    <row r="700" ht="14.25" customHeight="1" s="37"/>
    <row r="701" ht="14.25" customHeight="1" s="37"/>
    <row r="702" ht="14.25" customHeight="1" s="37"/>
    <row r="703" ht="14.25" customHeight="1" s="37"/>
    <row r="704" ht="14.25" customHeight="1" s="37"/>
    <row r="705" ht="14.25" customHeight="1" s="37"/>
    <row r="706" ht="14.25" customHeight="1" s="37"/>
    <row r="707" ht="14.25" customHeight="1" s="37"/>
    <row r="708" ht="14.25" customHeight="1" s="37"/>
    <row r="709" ht="14.25" customHeight="1" s="37"/>
    <row r="710" ht="14.25" customHeight="1" s="37"/>
    <row r="711" ht="14.25" customHeight="1" s="37"/>
    <row r="712" ht="14.25" customHeight="1" s="37"/>
    <row r="713" ht="14.25" customHeight="1" s="37"/>
    <row r="714" ht="14.25" customHeight="1" s="37"/>
    <row r="715" ht="14.25" customHeight="1" s="37"/>
    <row r="716" ht="14.25" customHeight="1" s="37"/>
    <row r="717" ht="14.25" customHeight="1" s="37"/>
    <row r="718" ht="14.25" customHeight="1" s="37"/>
    <row r="719" ht="14.25" customHeight="1" s="37"/>
    <row r="720" ht="14.25" customHeight="1" s="37"/>
    <row r="721" ht="14.25" customHeight="1" s="37"/>
    <row r="722" ht="14.25" customHeight="1" s="37"/>
    <row r="723" ht="14.25" customHeight="1" s="37"/>
    <row r="724" ht="14.25" customHeight="1" s="37"/>
    <row r="725" ht="14.25" customHeight="1" s="37"/>
    <row r="726" ht="14.25" customHeight="1" s="37"/>
    <row r="727" ht="14.25" customHeight="1" s="37"/>
    <row r="728" ht="14.25" customHeight="1" s="37"/>
    <row r="729" ht="14.25" customHeight="1" s="37"/>
    <row r="730" ht="14.25" customHeight="1" s="37"/>
    <row r="731" ht="14.25" customHeight="1" s="37"/>
    <row r="732" ht="14.25" customHeight="1" s="37"/>
    <row r="733" ht="14.25" customHeight="1" s="37"/>
    <row r="734" ht="14.25" customHeight="1" s="37"/>
    <row r="735" ht="14.25" customHeight="1" s="37"/>
    <row r="736" ht="14.25" customHeight="1" s="37"/>
    <row r="737" ht="14.25" customHeight="1" s="37"/>
    <row r="738" ht="14.25" customHeight="1" s="37"/>
    <row r="739" ht="14.25" customHeight="1" s="37"/>
    <row r="740" ht="14.25" customHeight="1" s="37"/>
    <row r="741" ht="14.25" customHeight="1" s="37"/>
    <row r="742" ht="14.25" customHeight="1" s="37"/>
    <row r="743" ht="14.25" customHeight="1" s="37"/>
    <row r="744" ht="14.25" customHeight="1" s="37"/>
    <row r="745" ht="14.25" customHeight="1" s="37"/>
    <row r="746" ht="14.25" customHeight="1" s="37"/>
    <row r="747" ht="14.25" customHeight="1" s="37"/>
    <row r="748" ht="14.25" customHeight="1" s="37"/>
    <row r="749" ht="14.25" customHeight="1" s="37"/>
    <row r="750" ht="14.25" customHeight="1" s="37"/>
    <row r="751" ht="14.25" customHeight="1" s="37"/>
    <row r="752" ht="14.25" customHeight="1" s="37"/>
    <row r="753" ht="14.25" customHeight="1" s="37"/>
    <row r="754" ht="14.25" customHeight="1" s="37"/>
    <row r="755" ht="14.25" customHeight="1" s="37"/>
    <row r="756" ht="14.25" customHeight="1" s="37"/>
    <row r="757" ht="14.25" customHeight="1" s="37"/>
    <row r="758" ht="14.25" customHeight="1" s="37"/>
    <row r="759" ht="14.25" customHeight="1" s="37"/>
    <row r="760" ht="14.25" customHeight="1" s="37"/>
    <row r="761" ht="14.25" customHeight="1" s="37"/>
    <row r="762" ht="14.25" customHeight="1" s="37"/>
    <row r="763" ht="14.25" customHeight="1" s="37"/>
    <row r="764" ht="14.25" customHeight="1" s="37"/>
    <row r="765" ht="14.25" customHeight="1" s="37"/>
    <row r="766" ht="14.25" customHeight="1" s="37"/>
    <row r="767" ht="14.25" customHeight="1" s="37"/>
    <row r="768" ht="14.25" customHeight="1" s="37"/>
    <row r="769" ht="14.25" customHeight="1" s="37"/>
    <row r="770" ht="14.25" customHeight="1" s="37"/>
    <row r="771" ht="14.25" customHeight="1" s="37"/>
    <row r="772" ht="14.25" customHeight="1" s="37"/>
    <row r="773" ht="14.25" customHeight="1" s="37"/>
    <row r="774" ht="14.25" customHeight="1" s="37"/>
    <row r="775" ht="14.25" customHeight="1" s="37"/>
    <row r="776" ht="14.25" customHeight="1" s="37"/>
    <row r="777" ht="14.25" customHeight="1" s="37"/>
    <row r="778" ht="14.25" customHeight="1" s="37"/>
    <row r="779" ht="14.25" customHeight="1" s="37"/>
    <row r="780" ht="14.25" customHeight="1" s="37"/>
    <row r="781" ht="14.25" customHeight="1" s="37"/>
    <row r="782" ht="14.25" customHeight="1" s="37"/>
    <row r="783" ht="14.25" customHeight="1" s="37"/>
    <row r="784" ht="14.25" customHeight="1" s="37"/>
    <row r="785" ht="14.25" customHeight="1" s="37"/>
    <row r="786" ht="14.25" customHeight="1" s="37"/>
    <row r="787" ht="14.25" customHeight="1" s="37"/>
    <row r="788" ht="14.25" customHeight="1" s="37"/>
    <row r="789" ht="14.25" customHeight="1" s="37"/>
    <row r="790" ht="14.25" customHeight="1" s="37"/>
    <row r="791" ht="14.25" customHeight="1" s="37"/>
    <row r="792" ht="14.25" customHeight="1" s="37"/>
    <row r="793" ht="14.25" customHeight="1" s="37"/>
    <row r="794" ht="14.25" customHeight="1" s="37"/>
    <row r="795" ht="14.25" customHeight="1" s="37"/>
    <row r="796" ht="14.25" customHeight="1" s="37"/>
    <row r="797" ht="14.25" customHeight="1" s="37"/>
    <row r="798" ht="14.25" customHeight="1" s="37"/>
    <row r="799" ht="14.25" customHeight="1" s="37"/>
    <row r="800" ht="14.25" customHeight="1" s="37"/>
    <row r="801" ht="14.25" customHeight="1" s="37"/>
    <row r="802" ht="14.25" customHeight="1" s="37"/>
    <row r="803" ht="14.25" customHeight="1" s="37"/>
    <row r="804" ht="14.25" customHeight="1" s="37"/>
    <row r="805" ht="14.25" customHeight="1" s="37"/>
    <row r="806" ht="14.25" customHeight="1" s="37"/>
    <row r="807" ht="14.25" customHeight="1" s="37"/>
    <row r="808" ht="14.25" customHeight="1" s="37"/>
    <row r="809" ht="14.25" customHeight="1" s="37"/>
    <row r="810" ht="14.25" customHeight="1" s="37"/>
    <row r="811" ht="14.25" customHeight="1" s="37"/>
    <row r="812" ht="14.25" customHeight="1" s="37"/>
    <row r="813" ht="14.25" customHeight="1" s="37"/>
    <row r="814" ht="14.25" customHeight="1" s="37"/>
    <row r="815" ht="14.25" customHeight="1" s="37"/>
    <row r="816" ht="14.25" customHeight="1" s="37"/>
    <row r="817" ht="14.25" customHeight="1" s="37"/>
    <row r="818" ht="14.25" customHeight="1" s="37"/>
    <row r="819" ht="14.25" customHeight="1" s="37"/>
    <row r="820" ht="14.25" customHeight="1" s="37"/>
    <row r="821" ht="14.25" customHeight="1" s="37"/>
    <row r="822" ht="14.25" customHeight="1" s="37"/>
    <row r="823" ht="14.25" customHeight="1" s="37"/>
    <row r="824" ht="14.25" customHeight="1" s="37"/>
    <row r="825" ht="14.25" customHeight="1" s="37"/>
    <row r="826" ht="14.25" customHeight="1" s="37"/>
    <row r="827" ht="14.25" customHeight="1" s="37"/>
    <row r="828" ht="14.25" customHeight="1" s="37"/>
    <row r="829" ht="14.25" customHeight="1" s="37"/>
    <row r="830" ht="14.25" customHeight="1" s="37"/>
    <row r="831" ht="14.25" customHeight="1" s="37"/>
    <row r="832" ht="14.25" customHeight="1" s="37"/>
    <row r="833" ht="14.25" customHeight="1" s="37"/>
    <row r="834" ht="14.25" customHeight="1" s="37"/>
    <row r="835" ht="14.25" customHeight="1" s="37"/>
    <row r="836" ht="14.25" customHeight="1" s="37"/>
    <row r="837" ht="14.25" customHeight="1" s="37"/>
    <row r="838" ht="14.25" customHeight="1" s="37"/>
    <row r="839" ht="14.25" customHeight="1" s="37"/>
    <row r="840" ht="14.25" customHeight="1" s="37"/>
    <row r="841" ht="14.25" customHeight="1" s="37"/>
    <row r="842" ht="14.25" customHeight="1" s="37"/>
    <row r="843" ht="14.25" customHeight="1" s="37"/>
    <row r="844" ht="14.25" customHeight="1" s="37"/>
    <row r="845" ht="14.25" customHeight="1" s="37"/>
    <row r="846" ht="14.25" customHeight="1" s="37"/>
    <row r="847" ht="14.25" customHeight="1" s="37"/>
    <row r="848" ht="14.25" customHeight="1" s="37"/>
    <row r="849" ht="14.25" customHeight="1" s="37"/>
    <row r="850" ht="14.25" customHeight="1" s="37"/>
    <row r="851" ht="14.25" customHeight="1" s="37"/>
    <row r="852" ht="14.25" customHeight="1" s="37"/>
    <row r="853" ht="14.25" customHeight="1" s="37"/>
    <row r="854" ht="14.25" customHeight="1" s="37"/>
    <row r="855" ht="14.25" customHeight="1" s="37"/>
    <row r="856" ht="14.25" customHeight="1" s="37"/>
    <row r="857" ht="14.25" customHeight="1" s="37"/>
    <row r="858" ht="14.25" customHeight="1" s="37"/>
    <row r="859" ht="14.25" customHeight="1" s="37"/>
    <row r="860" ht="14.25" customHeight="1" s="37"/>
    <row r="861" ht="14.25" customHeight="1" s="37"/>
    <row r="862" ht="14.25" customHeight="1" s="37"/>
    <row r="863" ht="14.25" customHeight="1" s="37"/>
    <row r="864" ht="14.25" customHeight="1" s="37"/>
    <row r="865" ht="14.25" customHeight="1" s="37"/>
    <row r="866" ht="14.25" customHeight="1" s="37"/>
    <row r="867" ht="14.25" customHeight="1" s="37"/>
    <row r="868" ht="14.25" customHeight="1" s="37"/>
    <row r="869" ht="14.25" customHeight="1" s="37"/>
    <row r="870" ht="14.25" customHeight="1" s="37"/>
    <row r="871" ht="14.25" customHeight="1" s="37"/>
    <row r="872" ht="14.25" customHeight="1" s="37"/>
    <row r="873" ht="14.25" customHeight="1" s="37"/>
    <row r="874" ht="14.25" customHeight="1" s="37"/>
    <row r="875" ht="14.25" customHeight="1" s="37"/>
    <row r="876" ht="14.25" customHeight="1" s="37"/>
    <row r="877" ht="14.25" customHeight="1" s="37"/>
    <row r="878" ht="14.25" customHeight="1" s="37"/>
    <row r="879" ht="14.25" customHeight="1" s="37"/>
    <row r="880" ht="14.25" customHeight="1" s="37"/>
    <row r="881" ht="14.25" customHeight="1" s="37"/>
    <row r="882" ht="14.25" customHeight="1" s="37"/>
    <row r="883" ht="14.25" customHeight="1" s="37"/>
    <row r="884" ht="14.25" customHeight="1" s="37"/>
    <row r="885" ht="14.25" customHeight="1" s="37"/>
    <row r="886" ht="14.25" customHeight="1" s="37"/>
    <row r="887" ht="14.25" customHeight="1" s="37"/>
    <row r="888" ht="14.25" customHeight="1" s="37"/>
    <row r="889" ht="14.25" customHeight="1" s="37"/>
    <row r="890" ht="14.25" customHeight="1" s="37"/>
    <row r="891" ht="14.25" customHeight="1" s="37"/>
    <row r="892" ht="14.25" customHeight="1" s="37"/>
    <row r="893" ht="14.25" customHeight="1" s="37"/>
    <row r="894" ht="14.25" customHeight="1" s="37"/>
    <row r="895" ht="14.25" customHeight="1" s="37"/>
    <row r="896" ht="14.25" customHeight="1" s="37"/>
    <row r="897" ht="14.25" customHeight="1" s="37"/>
    <row r="898" ht="14.25" customHeight="1" s="37"/>
    <row r="899" ht="14.25" customHeight="1" s="37"/>
    <row r="900" ht="14.25" customHeight="1" s="37"/>
    <row r="901" ht="14.25" customHeight="1" s="37"/>
    <row r="902" ht="14.25" customHeight="1" s="37"/>
    <row r="903" ht="14.25" customHeight="1" s="37"/>
    <row r="904" ht="14.25" customHeight="1" s="37"/>
    <row r="905" ht="14.25" customHeight="1" s="37"/>
    <row r="906" ht="14.25" customHeight="1" s="37"/>
    <row r="907" ht="14.25" customHeight="1" s="37"/>
    <row r="908" ht="14.25" customHeight="1" s="37"/>
    <row r="909" ht="14.25" customHeight="1" s="37"/>
    <row r="910" ht="14.25" customHeight="1" s="37"/>
    <row r="911" ht="14.25" customHeight="1" s="37"/>
    <row r="912" ht="14.25" customHeight="1" s="37"/>
    <row r="913" ht="14.25" customHeight="1" s="37"/>
    <row r="914" ht="14.25" customHeight="1" s="37"/>
    <row r="915" ht="14.25" customHeight="1" s="37"/>
    <row r="916" ht="14.25" customHeight="1" s="37"/>
    <row r="917" ht="14.25" customHeight="1" s="37"/>
    <row r="918" ht="14.25" customHeight="1" s="37"/>
    <row r="919" ht="14.25" customHeight="1" s="37"/>
    <row r="920" ht="14.25" customHeight="1" s="37"/>
    <row r="921" ht="14.25" customHeight="1" s="37"/>
    <row r="922" ht="14.25" customHeight="1" s="37"/>
    <row r="923" ht="14.25" customHeight="1" s="37"/>
    <row r="924" ht="14.25" customHeight="1" s="37"/>
    <row r="925" ht="14.25" customHeight="1" s="37"/>
    <row r="926" ht="14.25" customHeight="1" s="37"/>
    <row r="927" ht="14.25" customHeight="1" s="37"/>
    <row r="928" ht="14.25" customHeight="1" s="37"/>
    <row r="929" ht="14.25" customHeight="1" s="37"/>
    <row r="930" ht="14.25" customHeight="1" s="37"/>
    <row r="931" ht="14.25" customHeight="1" s="37"/>
    <row r="932" ht="14.25" customHeight="1" s="37"/>
    <row r="933" ht="14.25" customHeight="1" s="37"/>
    <row r="934" ht="14.25" customHeight="1" s="37"/>
    <row r="935" ht="14.25" customHeight="1" s="37"/>
    <row r="936" ht="14.25" customHeight="1" s="37"/>
    <row r="937" ht="14.25" customHeight="1" s="37"/>
    <row r="938" ht="14.25" customHeight="1" s="37"/>
    <row r="939" ht="14.25" customHeight="1" s="37"/>
    <row r="940" ht="14.25" customHeight="1" s="37"/>
    <row r="941" ht="14.25" customHeight="1" s="37"/>
    <row r="942" ht="14.25" customHeight="1" s="37"/>
    <row r="943" ht="14.25" customHeight="1" s="37"/>
    <row r="944" ht="14.25" customHeight="1" s="37"/>
    <row r="945" ht="14.25" customHeight="1" s="37"/>
    <row r="946" ht="14.25" customHeight="1" s="37"/>
    <row r="947" ht="14.25" customHeight="1" s="37"/>
    <row r="948" ht="14.25" customHeight="1" s="37"/>
    <row r="949" ht="14.25" customHeight="1" s="37"/>
    <row r="950" ht="14.25" customHeight="1" s="37"/>
    <row r="951" ht="14.25" customHeight="1" s="37"/>
    <row r="952" ht="14.25" customHeight="1" s="37"/>
    <row r="953" ht="14.25" customHeight="1" s="37"/>
    <row r="954" ht="14.25" customHeight="1" s="37"/>
    <row r="955" ht="14.25" customHeight="1" s="37"/>
    <row r="956" ht="14.25" customHeight="1" s="37"/>
    <row r="957" ht="14.25" customHeight="1" s="37"/>
    <row r="958" ht="14.25" customHeight="1" s="37"/>
    <row r="959" ht="14.25" customHeight="1" s="37"/>
    <row r="960" ht="14.25" customHeight="1" s="37"/>
    <row r="961" ht="14.25" customHeight="1" s="37"/>
    <row r="962" ht="14.25" customHeight="1" s="37"/>
    <row r="963" ht="14.25" customHeight="1" s="37"/>
    <row r="964" ht="14.25" customHeight="1" s="37"/>
    <row r="965" ht="14.25" customHeight="1" s="37"/>
    <row r="966" ht="14.25" customHeight="1" s="37"/>
    <row r="967" ht="14.25" customHeight="1" s="37"/>
    <row r="968" ht="14.25" customHeight="1" s="37"/>
    <row r="969" ht="14.25" customHeight="1" s="37"/>
    <row r="970" ht="14.25" customHeight="1" s="37"/>
    <row r="971" ht="14.25" customHeight="1" s="37"/>
    <row r="972" ht="14.25" customHeight="1" s="37"/>
    <row r="973" ht="14.25" customHeight="1" s="37"/>
    <row r="974" ht="14.25" customHeight="1" s="37"/>
    <row r="975" ht="14.25" customHeight="1" s="37"/>
    <row r="976" ht="14.25" customHeight="1" s="37"/>
    <row r="977" ht="14.25" customHeight="1" s="37"/>
    <row r="978" ht="14.25" customHeight="1" s="37"/>
    <row r="979" ht="14.25" customHeight="1" s="37"/>
    <row r="980" ht="14.25" customHeight="1" s="37"/>
    <row r="981" ht="14.25" customHeight="1" s="37"/>
    <row r="982" ht="14.25" customHeight="1" s="37"/>
    <row r="983" ht="14.25" customHeight="1" s="37"/>
    <row r="984" ht="14.25" customHeight="1" s="37"/>
    <row r="985" ht="14.25" customHeight="1" s="37"/>
    <row r="986" ht="14.25" customHeight="1" s="37"/>
    <row r="987" ht="14.25" customHeight="1" s="37"/>
    <row r="988" ht="14.25" customHeight="1" s="37"/>
    <row r="989" ht="14.25" customHeight="1" s="37"/>
    <row r="990" ht="14.25" customHeight="1" s="37"/>
    <row r="991" ht="14.25" customHeight="1" s="37"/>
    <row r="992" ht="14.25" customHeight="1" s="37"/>
    <row r="993" ht="14.25" customHeight="1" s="37"/>
    <row r="994" ht="14.25" customHeight="1" s="37"/>
    <row r="995" ht="14.25" customHeight="1" s="37"/>
    <row r="996" ht="14.25" customHeight="1" s="37"/>
    <row r="997" ht="14.25" customHeight="1" s="37"/>
    <row r="998" ht="14.25" customHeight="1" s="37"/>
    <row r="999" ht="14.25" customHeight="1" s="37"/>
    <row r="1000" ht="14.25" customHeight="1" s="37"/>
  </sheetData>
  <mergeCells count="16">
    <mergeCell ref="A4:B4"/>
    <mergeCell ref="G5:G6"/>
    <mergeCell ref="E4:F4"/>
    <mergeCell ref="G9:G10"/>
    <mergeCell ref="A1:G1"/>
    <mergeCell ref="C8:D8"/>
    <mergeCell ref="C5:D6"/>
    <mergeCell ref="A5:B6"/>
    <mergeCell ref="A2:G2"/>
    <mergeCell ref="E5:F6"/>
    <mergeCell ref="A8:B8"/>
    <mergeCell ref="C9:D10"/>
    <mergeCell ref="A9:B10"/>
    <mergeCell ref="E8:F8"/>
    <mergeCell ref="E9:F10"/>
    <mergeCell ref="C4:D4"/>
  </mergeCells>
  <pageMargins left="0.25" right="0.25" top="0.35" bottom="0.35" header="0" footer="0"/>
  <pageSetup orientation="landscape" paperSize="9" fitToHeight="0"/>
  <headerFooter>
    <oddHeader/>
    <oddFooter>&amp;CParoki St. Klement I Sepinggan Balikpapan • Statistik 2026&amp;RHalaman &amp;P dari 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2026-10-11T17:24:14Z</dcterms:created>
  <dcterms:modified xmlns:dcterms="http://purl.org/dc/terms/" xmlns:xsi="http://www.w3.org/2001/XMLSchema-instance" xsi:type="dcterms:W3CDTF">2026-10-11T17:24:16Z</dcterms:modified>
</cp:coreProperties>
</file>