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ETUNJUK" sheetId="1" state="visible" r:id="rId1"/>
    <sheet xmlns:r="http://schemas.openxmlformats.org/officeDocument/2006/relationships" name="LIST" sheetId="2" state="hidden" r:id="rId2"/>
    <sheet xmlns:r="http://schemas.openxmlformats.org/officeDocument/2006/relationships" name="DATA KK" sheetId="3" state="visible" r:id="rId3"/>
    <sheet xmlns:r="http://schemas.openxmlformats.org/officeDocument/2006/relationships" name="DATA UMAT" sheetId="4" state="visible" r:id="rId4"/>
    <sheet xmlns:r="http://schemas.openxmlformats.org/officeDocument/2006/relationships" name="BAPTIS" sheetId="5" state="visible" r:id="rId5"/>
    <sheet xmlns:r="http://schemas.openxmlformats.org/officeDocument/2006/relationships" name="DITERIMA MASUK" sheetId="6" state="visible" r:id="rId6"/>
    <sheet xmlns:r="http://schemas.openxmlformats.org/officeDocument/2006/relationships" name="MUTASI" sheetId="7" state="visible" r:id="rId7"/>
    <sheet xmlns:r="http://schemas.openxmlformats.org/officeDocument/2006/relationships" name="PINDAH AGAMA" sheetId="8" state="visible" r:id="rId8"/>
    <sheet xmlns:r="http://schemas.openxmlformats.org/officeDocument/2006/relationships" name="KOMUNI PERTAMA" sheetId="9" state="visible" r:id="rId9"/>
    <sheet xmlns:r="http://schemas.openxmlformats.org/officeDocument/2006/relationships" name="PERKAWINAN GEREJANI" sheetId="10" state="visible" r:id="rId10"/>
    <sheet xmlns:r="http://schemas.openxmlformats.org/officeDocument/2006/relationships" name="PEMBUBARAN" sheetId="11" state="visible" r:id="rId11"/>
    <sheet xmlns:r="http://schemas.openxmlformats.org/officeDocument/2006/relationships" name="PERMINYAKAN SUCI" sheetId="12" state="visible" r:id="rId12"/>
    <sheet xmlns:r="http://schemas.openxmlformats.org/officeDocument/2006/relationships" name="KEMATIAN" sheetId="13" state="visible" r:id="rId13"/>
    <sheet xmlns:r="http://schemas.openxmlformats.org/officeDocument/2006/relationships" name="SEMINARI BIARA" sheetId="14" state="visible" r:id="rId14"/>
    <sheet xmlns:r="http://schemas.openxmlformats.org/officeDocument/2006/relationships" name="REKAP LINGKUNGAN" sheetId="15" state="visible" r:id="rId15"/>
    <sheet xmlns:r="http://schemas.openxmlformats.org/officeDocument/2006/relationships" name="REKAP DETAIL" sheetId="16" state="visible" r:id="rId16"/>
    <sheet xmlns:r="http://schemas.openxmlformats.org/officeDocument/2006/relationships" name="DASHBOARD" sheetId="17" state="visible" r:id="rId17"/>
  </sheets>
  <definedNames>
    <definedName name="Z_B3B2412A_7F2F_4B11_B85C_2AAD50B991FC_.wvu.FilterData" localSheetId="2" hidden="1">'DATA KK'!$A$1:$K$501</definedName>
    <definedName name="_xlnm._FilterDatabase" localSheetId="2" hidden="1">'DATA KK'!$A$1:$K$501</definedName>
    <definedName name="Z_7F1AB362_576E_4D04_860C_D9F6710AB5F8_.wvu.FilterData" localSheetId="3" hidden="1">'DATA UMAT'!$A$1:$Z$2001</definedName>
    <definedName name="_xlnm._FilterDatabase" localSheetId="3" hidden="1">'DATA UMAT'!$A$1:$Z$2001</definedName>
    <definedName name="Z_846EF93C_8E3A_4849_9541_E7A9456F6896_.wvu.FilterData" localSheetId="4" hidden="1">BAPTIS!$A$1:$H$1001</definedName>
    <definedName name="_xlnm._FilterDatabase" localSheetId="4" hidden="1">'BAPTIS'!$A$1:$H$1001</definedName>
    <definedName name="Z_23DF90E3_4EFC_4882_A5BA_6DD40254A76C_.wvu.FilterData" localSheetId="5" hidden="1">'DITERIMA MASUK'!$A$1:$G$1001</definedName>
    <definedName name="_xlnm._FilterDatabase" localSheetId="5" hidden="1">'DITERIMA MASUK'!$A$1:$G$1001</definedName>
    <definedName name="Z_441459C7_2420_49FD_A38B_6855EB44E1D3_.wvu.FilterData" localSheetId="6" hidden="1">MUTASI!$A$1:$I$1001</definedName>
    <definedName name="_xlnm._FilterDatabase" localSheetId="6" hidden="1">'MUTASI'!$A$1:$I$1001</definedName>
    <definedName name="Z_44385B2F_F1E0_45F9_B971_7834ED457526_.wvu.FilterData" localSheetId="7" hidden="1">'PINDAH AGAMA'!$A$1:$F$1001</definedName>
    <definedName name="_xlnm._FilterDatabase" localSheetId="7" hidden="1">'PINDAH AGAMA'!$A$1:$F$1001</definedName>
    <definedName name="Z_CC2D35CB_FD36_4C08_8D24_8BCEE018961D_.wvu.FilterData" localSheetId="8" hidden="1">'KOMUNI PERTAMA'!$A$1:$G$1001</definedName>
    <definedName name="_xlnm._FilterDatabase" localSheetId="8" hidden="1">'KOMUNI PERTAMA'!$A$1:$G$1001</definedName>
    <definedName name="Z_A0B3AF38_FE5D_461A_83B6_37D36D74733F_.wvu.FilterData" localSheetId="9" hidden="1">'PERKAWINAN GEREJANI'!$A$1:$F$1001</definedName>
    <definedName name="_xlnm._FilterDatabase" localSheetId="9" hidden="1">'PERKAWINAN GEREJANI'!$A$1:$F$1001</definedName>
    <definedName name="Z_66F128F3_D800_497E_8D93_4DF7CD310323_.wvu.FilterData" localSheetId="10" hidden="1">PEMBUBARAN!$A$1:$F$1001</definedName>
    <definedName name="_xlnm._FilterDatabase" localSheetId="10" hidden="1">'PEMBUBARAN'!$A$1:$F$1001</definedName>
    <definedName name="Z_0BAF3873_98E1_4CDE_8C1A_C1C308DF154B_.wvu.FilterData" localSheetId="11" hidden="1">'PERMINYAKAN SUCI'!$A$1:$F$1001</definedName>
    <definedName name="_xlnm._FilterDatabase" localSheetId="11" hidden="1">'PERMINYAKAN SUCI'!$A$1:$F$1001</definedName>
    <definedName name="Z_46B6236A_A1B1_4897_B27C_42CB414888C6_.wvu.FilterData" localSheetId="12" hidden="1">KEMATIAN!$A$1:$H$1001</definedName>
    <definedName name="_xlnm._FilterDatabase" localSheetId="12" hidden="1">'KEMATIAN'!$A$1:$H$1001</definedName>
    <definedName name="Z_3F4B3D9B_427D_4298_BF29_9AE48A412032_.wvu.FilterData" localSheetId="13" hidden="1">'SEMINARI BIARA'!$A$1:$H$1001</definedName>
    <definedName name="_xlnm._FilterDatabase" localSheetId="13" hidden="1">'SEMINARI BIARA'!$A$1:$H$1001</definedName>
    <definedName name="Z_B06ABE18_C276_44FC_950D_468967B64410_.wvu.FilterData" localSheetId="14" hidden="1">'REKAP LINGKUNGAN'!$A$4:$S$104</definedName>
    <definedName name="_xlnm._FilterDatabase" localSheetId="14" hidden="1">'REKAP LINGKUNGAN'!$A$4:$S$104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yyyy-mm-dd h:mm:ss"/>
    <numFmt numFmtId="166" formatCode="DD/MM/YYYY"/>
  </numFmts>
  <fonts count="15">
    <font>
      <name val="Calibri"/>
      <color theme="1"/>
      <sz val="11"/>
      <scheme val="minor"/>
    </font>
    <font>
      <name val="Arial"/>
      <b val="1"/>
      <color rgb="FFFFFFFF"/>
      <sz val="9"/>
    </font>
    <font>
      <name val="Calibri"/>
      <b val="1"/>
      <color rgb="FF17365D"/>
      <sz val="16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rgb="FF17365D"/>
      <sz val="11"/>
    </font>
    <font>
      <name val="Calibri"/>
      <b val="1"/>
      <color rgb="FFFFFFFF"/>
      <sz val="15"/>
    </font>
    <font/>
    <font>
      <name val="Calibri"/>
      <i val="1"/>
      <color rgb="FF666666"/>
      <sz val="11"/>
    </font>
    <font>
      <name val="Calibri"/>
      <i val="1"/>
      <color rgb="FF666666"/>
      <sz val="9"/>
    </font>
    <font>
      <name val="Arial"/>
      <b val="1"/>
      <color rgb="FFFFFFFF"/>
      <sz val="8"/>
    </font>
    <font>
      <name val="Calibri"/>
      <b val="1"/>
      <color rgb="FFFFFFFF"/>
      <sz val="18"/>
    </font>
    <font>
      <name val="Calibri"/>
      <b val="1"/>
      <color rgb="FF666666"/>
      <sz val="11"/>
    </font>
    <font>
      <name val="Calibri"/>
      <b val="1"/>
      <color rgb="FFFFFFFF"/>
      <sz val="11"/>
    </font>
    <font>
      <name val="Calibri"/>
      <b val="1"/>
      <color rgb="FF17365D"/>
      <sz val="22"/>
    </font>
  </fonts>
  <fills count="5">
    <fill>
      <patternFill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</fills>
  <borders count="17">
    <border/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A6A6A6"/>
      </left>
      <top style="thin">
        <color rgb="FFA6A6A6"/>
      </top>
      <bottom style="thin">
        <color rgb="FFA6A6A6"/>
      </bottom>
    </border>
    <border>
      <top style="thin">
        <color rgb="FFA6A6A6"/>
      </top>
      <bottom style="thin">
        <color rgb="FFA6A6A6"/>
      </bottom>
    </border>
    <border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/>
      <bottom/>
    </border>
    <border>
      <left/>
      <top/>
    </border>
    <border>
      <right/>
      <top/>
    </border>
    <border>
      <left/>
      <right/>
      <top/>
    </border>
    <border>
      <left/>
      <bottom/>
    </border>
    <border>
      <right/>
      <bottom/>
    </border>
    <border>
      <left/>
      <right/>
      <bottom/>
    </border>
    <border>
      <top style="thin">
        <color rgb="FFA6A6A6"/>
      </top>
    </border>
    <border>
      <right style="thin">
        <color rgb="FFA6A6A6"/>
      </right>
      <top style="thin">
        <color rgb="FFA6A6A6"/>
      </top>
    </border>
  </borders>
  <cellStyleXfs count="1">
    <xf numFmtId="0" fontId="0" fillId="0" borderId="0"/>
  </cellStyleXfs>
  <cellXfs count="4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4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center"/>
    </xf>
    <xf numFmtId="0" fontId="6" fillId="2" borderId="2" applyAlignment="1" pivotButton="0" quotePrefix="0" xfId="0">
      <alignment horizontal="center"/>
    </xf>
    <xf numFmtId="0" fontId="7" fillId="0" borderId="3" pivotButton="0" quotePrefix="0" xfId="0"/>
    <xf numFmtId="0" fontId="7" fillId="0" borderId="4" pivotButton="0" quotePrefix="0" xfId="0"/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2" borderId="5" applyAlignment="1" pivotButton="0" quotePrefix="0" xfId="0">
      <alignment vertical="center" wrapText="1"/>
    </xf>
    <xf numFmtId="0" fontId="7" fillId="0" borderId="6" pivotButton="0" quotePrefix="0" xfId="0"/>
    <xf numFmtId="0" fontId="7" fillId="0" borderId="7" pivotButton="0" quotePrefix="0" xfId="0"/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1" fillId="2" borderId="2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3" fillId="3" borderId="2" applyAlignment="1" pivotButton="0" quotePrefix="0" xfId="0">
      <alignment horizontal="center"/>
    </xf>
    <xf numFmtId="0" fontId="13" fillId="3" borderId="8" applyAlignment="1" pivotButton="0" quotePrefix="0" xfId="0">
      <alignment horizontal="center"/>
    </xf>
    <xf numFmtId="0" fontId="14" fillId="4" borderId="9" applyAlignment="1" pivotButton="0" quotePrefix="0" xfId="0">
      <alignment horizontal="center" vertical="center"/>
    </xf>
    <xf numFmtId="0" fontId="7" fillId="0" borderId="10" pivotButton="0" quotePrefix="0" xfId="0"/>
    <xf numFmtId="0" fontId="14" fillId="4" borderId="11" applyAlignment="1" pivotButton="0" quotePrefix="0" xfId="0">
      <alignment horizontal="center" vertical="center"/>
    </xf>
    <xf numFmtId="0" fontId="7" fillId="0" borderId="12" pivotButton="0" quotePrefix="0" xfId="0"/>
    <xf numFmtId="0" fontId="7" fillId="0" borderId="13" pivotButton="0" quotePrefix="0" xfId="0"/>
    <xf numFmtId="0" fontId="7" fillId="0" borderId="14" pivotButton="0" quotePrefix="0" xfId="0"/>
    <xf numFmtId="0" fontId="13" fillId="2" borderId="1" pivotButton="0" quotePrefix="0" xfId="0"/>
    <xf numFmtId="164" fontId="0" fillId="0" borderId="0" pivotButton="0" quotePrefix="0" xfId="0"/>
    <xf numFmtId="0" fontId="0" fillId="0" borderId="0" pivotButton="0" quotePrefix="0" xfId="0"/>
    <xf numFmtId="166" fontId="0" fillId="0" borderId="0" pivotButton="0" quotePrefix="0" xfId="0"/>
    <xf numFmtId="166" fontId="7" fillId="0" borderId="3" pivotButton="0" quotePrefix="0" xfId="0"/>
    <xf numFmtId="0" fontId="6" fillId="2" borderId="8" applyAlignment="1" pivotButton="0" quotePrefix="0" xfId="0">
      <alignment horizontal="center"/>
    </xf>
    <xf numFmtId="0" fontId="6" fillId="2" borderId="1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  <xf numFmtId="0" fontId="11" fillId="2" borderId="8" applyAlignment="1" pivotButton="0" quotePrefix="0" xfId="0">
      <alignment horizontal="center"/>
    </xf>
    <xf numFmtId="0" fontId="14" fillId="4" borderId="8" applyAlignment="1" pivotButton="0" quotePrefix="0" xfId="0">
      <alignment horizontal="center" vertical="center"/>
    </xf>
  </cellXfs>
  <cellStyles count="1">
    <cellStyle name="Normal" xfId="0" builtinId="0"/>
  </cellStyles>
  <dxfs count="6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FCE4D6"/>
          <bgColor rgb="FFFCE4D6"/>
        </patternFill>
      </fill>
      <border/>
    </dxf>
  </dxfs>
  <tableStyles count="13" defaultTableStyle="TableStyleMedium9" defaultPivotStyle="PivotStyleLight16">
    <tableStyle name="DATA UMAT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DATA KK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BAPTI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DITERIMA MASUK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MUTASI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PINDAH AGAMA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KOMUNI PERTAMA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PERKAWINAN GEREJANI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PEMBUBARAN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PERMINYAKAN SUCI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KEMATIAN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SEMINARI BIARA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REKAP LINGKUNGAN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800" b="1" i="0">
                <a:solidFill>
                  <a:srgbClr val="757575"/>
                </a:solidFill>
                <a:latin typeface="+mn-lt"/>
              </a:defRPr>
            </a:pPr>
            <a:r>
              <a:rPr sz="1800" b="1" i="0">
                <a:solidFill>
                  <a:srgbClr val="757575"/>
                </a:solidFill>
                <a:latin typeface="+mn-lt"/>
              </a:rPr>
              <a:t>Jumlah Jiwa per Lingkungan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strRef>
              <f>DASHBOARD!$B$13</f>
            </strRef>
          </tx>
          <spPr>
            <a:ln xmlns:a="http://schemas.openxmlformats.org/drawingml/2006/main">
              <a:prstDash val="solid"/>
            </a:ln>
          </spPr>
          <cat>
            <strRef>
              <f>DASHBOARD!$A$14:$A$33</f>
            </strRef>
          </cat>
          <val>
            <numRef>
              <f>DASHBOARD!$B$14:$B$33</f>
              <numCache/>
            </numRef>
          </val>
        </ser>
        <gapWidth val="150"/>
        <axId val="1182431588"/>
        <axId val="1757710918"/>
      </barChart>
      <catAx>
        <axId val="1182431588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+mn-lt"/>
                  </a:rPr>
                  <a:t>Lingkungan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757710918"/>
        <lblOffset val="100"/>
      </catAx>
      <valAx>
        <axId val="1757710918"/>
        <scaling>
          <orientation val="minMax"/>
        </scaling>
        <delete val="0"/>
        <axPos val="l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crossAx val="1182431588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1000"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12</row>
      <rowOff>0</rowOff>
    </from>
    <ext cx="5391150" cy="27813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tables/table1.xml><?xml version="1.0" encoding="utf-8"?>
<table xmlns="http://schemas.openxmlformats.org/spreadsheetml/2006/main" id="1" name="TblDATAKK" displayName="TblDATAKK" ref="A1:K501" headerRowCount="1">
  <tableColumns count="11">
    <tableColumn id="1" name="ID KK"/>
    <tableColumn id="2" name="Nama KK"/>
    <tableColumn id="3" name="Alamat"/>
    <tableColumn id="4" name="Kelurahan"/>
    <tableColumn id="5" name="Lingkungan"/>
    <tableColumn id="6" name="Basis/Stasi"/>
    <tableColumn id="7" name="Telp/HP"/>
    <tableColumn id="8" name="Email"/>
    <tableColumn id="9" name="Status Perkawinan"/>
    <tableColumn id="10" name="Tanggal Input"/>
    <tableColumn id="11" name="Keterangan"/>
  </tableColumns>
  <tableStyleInfo name="DATA KK-style" showFirstColumn="1" showLastColumn="1" showRowStripes="1" showColumnStripes="0"/>
</table>
</file>

<file path=xl/tables/table2.xml><?xml version="1.0" encoding="utf-8"?>
<table xmlns="http://schemas.openxmlformats.org/spreadsheetml/2006/main" id="2" name="TblDATAUMAT" displayName="TblDATAUMAT" ref="A1:Z2001" headerRowCount="1">
  <tableColumns count="26">
    <tableColumn id="1" name="ID Umat"/>
    <tableColumn id="2" name="ID KK"/>
    <tableColumn id="3" name="Nama Lengkap"/>
    <tableColumn id="4" name="Jenis Kelamin"/>
    <tableColumn id="5" name="Tanggal Lahir"/>
    <tableColumn id="6" name="Umur 31/12/2026"/>
    <tableColumn id="7" name="Agama"/>
    <tableColumn id="8" name="Lingkungan"/>
    <tableColumn id="9" name="Basis/Stasi"/>
    <tableColumn id="10" name="Daerah/Desa"/>
    <tableColumn id="11" name="Status Umat"/>
    <tableColumn id="12" name="Tanggal Baptis"/>
    <tableColumn id="13" name="Paroki/Gereja Baptis"/>
    <tableColumn id="14" name="No Buku Baptis"/>
    <tableColumn id="15" name="Tanggal Komuni I"/>
    <tableColumn id="16" name="Paroki/Gereja Komuni I"/>
    <tableColumn id="17" name="Tanggal Krisma"/>
    <tableColumn id="18" name="Paroki/Gereja Krisma"/>
    <tableColumn id="19" name="Pendidikan Terakhir"/>
    <tableColumn id="20" name="Profesi"/>
    <tableColumn id="21" name="Golongan Darah"/>
    <tableColumn id="22" name="NIK (opsional)"/>
    <tableColumn id="23" name="No KK (opsional)"/>
    <tableColumn id="24" name="Telp/HP"/>
    <tableColumn id="25" name="Email"/>
    <tableColumn id="26" name="Keterangan"/>
  </tableColumns>
  <tableStyleInfo name="DATA UMAT-style" showFirstColumn="1" showLastColumn="1" showRowStripes="1" showColumnStripes="0"/>
</table>
</file>

<file path=xl/tables/table3.xml><?xml version="1.0" encoding="utf-8"?>
<table xmlns="http://schemas.openxmlformats.org/spreadsheetml/2006/main" id="3" name="TblBAPTIS" displayName="TblBAPTIS" ref="A1:H1001" headerRowCount="1">
  <tableColumns count="8">
    <tableColumn id="1" name="ID Umat"/>
    <tableColumn id="2" name="Nama"/>
    <tableColumn id="3" name="Lingkungan"/>
    <tableColumn id="4" name="Jenis Kelamin"/>
    <tableColumn id="5" name="Tanggal Lahir"/>
    <tableColumn id="6" name="Tanggal Baptis"/>
    <tableColumn id="7" name="Umur Saat Baptis"/>
    <tableColumn id="8" name="Keterangan"/>
  </tableColumns>
  <tableStyleInfo name="BAPTIS-style" showFirstColumn="1" showLastColumn="1" showRowStripes="1" showColumnStripes="0"/>
</table>
</file>

<file path=xl/tables/table4.xml><?xml version="1.0" encoding="utf-8"?>
<table xmlns="http://schemas.openxmlformats.org/spreadsheetml/2006/main" id="4" name="TblDITERIMAMASUK" displayName="TblDITERIMAMASUK" ref="A1:G1001" headerRowCount="1">
  <tableColumns count="7">
    <tableColumn id="1" name="ID Umat"/>
    <tableColumn id="2" name="Nama"/>
    <tableColumn id="3" name="Lingkungan"/>
    <tableColumn id="4" name="Tanggal Masuk"/>
    <tableColumn id="5" name="Asal Gereja Kristen"/>
    <tableColumn id="6" name="Tanpa Baptis"/>
    <tableColumn id="7" name="Keterangan"/>
  </tableColumns>
  <tableStyleInfo name="DITERIMA MASUK-style" showFirstColumn="1" showLastColumn="1" showRowStripes="1" showColumnStripes="0"/>
</table>
</file>

<file path=xl/tables/table5.xml><?xml version="1.0" encoding="utf-8"?>
<table xmlns="http://schemas.openxmlformats.org/spreadsheetml/2006/main" id="5" name="TblMUTASI" displayName="TblMUTASI" ref="A1:I1001" headerRowCount="1">
  <tableColumns count="9">
    <tableColumn id="1" name="ID Umat"/>
    <tableColumn id="2" name="Nama"/>
    <tableColumn id="3" name="Lingkungan"/>
    <tableColumn id="4" name="Jenis Mutasi"/>
    <tableColumn id="5" name="Tanggal Mutasi"/>
    <tableColumn id="6" name="Rute"/>
    <tableColumn id="7" name="Asal/Tujuan"/>
    <tableColumn id="8" name="Paroki/Keuskupan"/>
    <tableColumn id="9" name="Keterangan"/>
  </tableColumns>
  <tableStyleInfo name="MUTASI-style" showFirstColumn="1" showLastColumn="1" showRowStripes="1" showColumnStripes="0"/>
</table>
</file>

<file path=xl/tables/table6.xml><?xml version="1.0" encoding="utf-8"?>
<table xmlns="http://schemas.openxmlformats.org/spreadsheetml/2006/main" id="6" name="TblPINDAHAGAMA" displayName="TblPINDAHAGAMA" ref="A1:F1001" headerRowCount="1">
  <tableColumns count="6">
    <tableColumn id="1" name="ID Umat"/>
    <tableColumn id="2" name="Nama"/>
    <tableColumn id="3" name="Lingkungan"/>
    <tableColumn id="4" name="Tanggal Pindah Agama"/>
    <tableColumn id="5" name="Agama Baru"/>
    <tableColumn id="6" name="Keterangan"/>
  </tableColumns>
  <tableStyleInfo name="PINDAH AGAMA-style" showFirstColumn="1" showLastColumn="1" showRowStripes="1" showColumnStripes="0"/>
</table>
</file>

<file path=xl/tables/table7.xml><?xml version="1.0" encoding="utf-8"?>
<table xmlns="http://schemas.openxmlformats.org/spreadsheetml/2006/main" id="7" name="TblKOMUNIPERTAMA" displayName="TblKOMUNIPERTAMA" ref="A1:G1001" headerRowCount="1">
  <tableColumns count="7">
    <tableColumn id="1" name="ID Umat"/>
    <tableColumn id="2" name="Nama"/>
    <tableColumn id="3" name="Lingkungan"/>
    <tableColumn id="4" name="Jenis Kelamin"/>
    <tableColumn id="5" name="Tanggal Komuni I"/>
    <tableColumn id="6" name="Paroki/Gereja"/>
    <tableColumn id="7" name="Keterangan"/>
  </tableColumns>
  <tableStyleInfo name="KOMUNI PERTAMA-style" showFirstColumn="1" showLastColumn="1" showRowStripes="1" showColumnStripes="0"/>
</table>
</file>

<file path=xl/tables/table8.xml><?xml version="1.0" encoding="utf-8"?>
<table xmlns="http://schemas.openxmlformats.org/spreadsheetml/2006/main" id="8" name="TblPERKAWINANGEREJANI" displayName="TblPERKAWINANGEREJANI" ref="A1:F1001" headerRowCount="1">
  <tableColumns count="6">
    <tableColumn id="1" name="ID KK"/>
    <tableColumn id="2" name="Nama Pasangan"/>
    <tableColumn id="3" name="Lingkungan"/>
    <tableColumn id="4" name="Tanggal Perkawinan"/>
    <tableColumn id="5" name="Agama Pasangan"/>
    <tableColumn id="6" name="Keterangan"/>
  </tableColumns>
  <tableStyleInfo name="PERKAWINAN GEREJANI-style" showFirstColumn="1" showLastColumn="1" showRowStripes="1" showColumnStripes="0"/>
</table>
</file>

<file path=xl/tables/table9.xml><?xml version="1.0" encoding="utf-8"?>
<table xmlns="http://schemas.openxmlformats.org/spreadsheetml/2006/main" id="9" name="TblPEMBUBARAN" displayName="TblPEMBUBARAN" ref="A1:F1001" headerRowCount="1">
  <tableColumns count="6">
    <tableColumn id="1" name="ID KK"/>
    <tableColumn id="2" name="Nama Pasangan"/>
    <tableColumn id="3" name="Lingkungan"/>
    <tableColumn id="4" name="Tanggal Pembubaran"/>
    <tableColumn id="5" name="Pelaksanaan Lewat"/>
    <tableColumn id="6" name="Keterangan"/>
  </tableColumns>
  <tableStyleInfo name="PEMBUBARAN-style" showFirstColumn="1" showLastColumn="1" showRowStripes="1" showColumnStripes="0"/>
</table>
</file>

<file path=xl/tables/table10.xml><?xml version="1.0" encoding="utf-8"?>
<table xmlns="http://schemas.openxmlformats.org/spreadsheetml/2006/main" id="10" name="TblPERMINYAKANSUCI" displayName="TblPERMINYAKANSUCI" ref="A1:F1001" headerRowCount="1">
  <tableColumns count="6">
    <tableColumn id="1" name="ID Umat"/>
    <tableColumn id="2" name="Nama"/>
    <tableColumn id="3" name="Lingkungan"/>
    <tableColumn id="4" name="Jenis Kelamin"/>
    <tableColumn id="5" name="Tanggal Sakramen"/>
    <tableColumn id="6" name="Keterangan"/>
  </tableColumns>
  <tableStyleInfo name="PERMINYAKAN SUCI-style" showFirstColumn="1" showLastColumn="1" showRowStripes="1" showColumnStripes="0"/>
</table>
</file>

<file path=xl/tables/table11.xml><?xml version="1.0" encoding="utf-8"?>
<table xmlns="http://schemas.openxmlformats.org/spreadsheetml/2006/main" id="11" name="TblKEMATIAN" displayName="TblKEMATIAN" ref="A1:H1001" headerRowCount="1">
  <tableColumns count="8">
    <tableColumn id="1" name="ID Umat"/>
    <tableColumn id="2" name="Nama"/>
    <tableColumn id="3" name="Lingkungan"/>
    <tableColumn id="4" name="Jenis Kelamin"/>
    <tableColumn id="5" name="Tanggal Lahir"/>
    <tableColumn id="6" name="Tanggal Meninggal"/>
    <tableColumn id="7" name="Umur Saat Meninggal"/>
    <tableColumn id="8" name="Keterangan"/>
  </tableColumns>
  <tableStyleInfo name="KEMATIAN-style" showFirstColumn="1" showLastColumn="1" showRowStripes="1" showColumnStripes="0"/>
</table>
</file>

<file path=xl/tables/table12.xml><?xml version="1.0" encoding="utf-8"?>
<table xmlns="http://schemas.openxmlformats.org/spreadsheetml/2006/main" id="12" name="TblSEMINARIBIARA" displayName="TblSEMINARIBIARA" ref="A1:H1001" headerRowCount="1">
  <tableColumns count="8">
    <tableColumn id="1" name="ID Umat"/>
    <tableColumn id="2" name="Nama"/>
    <tableColumn id="3" name="Lingkungan"/>
    <tableColumn id="4" name="Jenis Kelamin"/>
    <tableColumn id="5" name="Jalur Seminari/Biara"/>
    <tableColumn id="6" name="Status"/>
    <tableColumn id="7" name="Tanggal Mulai/Status"/>
    <tableColumn id="8" name="Keterangan"/>
  </tableColumns>
  <tableStyleInfo name="SEMINARI BIARA-style" showFirstColumn="1" showLastColumn="1" showRowStripes="1" showColumnStripes="0"/>
</table>
</file>

<file path=xl/tables/table13.xml><?xml version="1.0" encoding="utf-8"?>
<table xmlns="http://schemas.openxmlformats.org/spreadsheetml/2006/main" id="13" name="TblRekapLingkungan" displayName="TblRekapLingkungan" ref="A4:S104" headerRowCount="1">
  <tableColumns count="19">
    <tableColumn id="1" name="Nama Lingkungan"/>
    <tableColumn id="2" name="KK"/>
    <tableColumn id="3" name="Jiwa"/>
    <tableColumn id="4" name="Baptis 2026"/>
    <tableColumn id="5" name="Diterima dari Kristen Lain"/>
    <tableColumn id="6" name="Pindah Masuk dari Paroki Lain"/>
    <tableColumn id="7" name="Pindah Masuk dari Keuskupan Lain"/>
    <tableColumn id="8" name="Meninggal"/>
    <tableColumn id="9" name="Pindah Keluar ke Paroki Lain"/>
    <tableColumn id="10" name="Pindah Keluar ke Keuskupan Lain"/>
    <tableColumn id="11" name="Pindah Agama"/>
    <tableColumn id="12" name="Saldo Perubahan"/>
    <tableColumn id="13" name="Komuni I"/>
    <tableColumn id="14" name="Perkawinan Gerejani"/>
    <tableColumn id="15" name="Pembubaran"/>
    <tableColumn id="16" name="Perminyakan Suci"/>
    <tableColumn id="17" name="Kematian"/>
    <tableColumn id="18" name="Mulai Seminari/Biara"/>
    <tableColumn id="19" name="Sedang Belajar Seminari"/>
  </tableColumns>
  <tableStyleInfo name="REKAP LINGKUNGAN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selection activeCell="A1" sqref="A1"/>
    </sheetView>
  </sheetViews>
  <sheetFormatPr baseColWidth="8" defaultColWidth="14.43" defaultRowHeight="15" customHeight="1"/>
  <cols>
    <col width="5" customWidth="1" style="38" min="1" max="1"/>
    <col width="28" customWidth="1" style="38" min="2" max="2"/>
    <col width="100" customWidth="1" style="38" min="3" max="3"/>
    <col width="9" customWidth="1" style="38" min="4" max="26"/>
  </cols>
  <sheetData>
    <row r="1" ht="48" customHeight="1" s="38">
      <c r="A1" s="2" t="inlineStr">
        <is>
          <t>TEMPLATE DATABASE &amp; REKAP STATISTIK UMAT
PAROKI ST. KLEMENT I SEPINGGAN BALIKPAPAN — 2026</t>
        </is>
      </c>
    </row>
    <row r="2" ht="14.25" customHeight="1" s="38"/>
    <row r="3" ht="39.75" customHeight="1" s="38">
      <c r="A3" s="4" t="n">
        <v>1</v>
      </c>
      <c r="B3" s="5" t="inlineStr">
        <is>
          <t>Dasar</t>
        </is>
      </c>
      <c r="C3" s="9" t="inlineStr">
        <is>
          <t>Struktur rekap mengikuti PDF Statistik Paroki St. Klement I Balikpapan 2026: perkembangan jumlah umat, baptis, pindah agama, Komuni Pertama, perkawinan, pembubaran, perminyakan suci, kematian, dan seminari/biara.</t>
        </is>
      </c>
    </row>
    <row r="4" ht="39.75" customHeight="1" s="38">
      <c r="A4" s="4" t="n">
        <v>2</v>
      </c>
      <c r="B4" s="5" t="inlineStr">
        <is>
          <t>Cara kerja</t>
        </is>
      </c>
      <c r="C4" s="9" t="inlineStr">
        <is>
          <t>Satu baris DATA UMAT = satu orang. Peristiwa tahunan dicatat pada sheet kejadian. Sheet REKAP LINGKUNGAN dan REKAP DETAIL menghitung otomatis.</t>
        </is>
      </c>
    </row>
    <row r="5" ht="39.75" customHeight="1" s="38">
      <c r="A5" s="4" t="n">
        <v>3</v>
      </c>
      <c r="B5" s="5" t="inlineStr">
        <is>
          <t>Atribut wajib</t>
        </is>
      </c>
      <c r="C5" s="9" t="inlineStr">
        <is>
          <t>ID Umat, ID KK, Nama, Jenis Kelamin, Tanggal Lahir, Agama, Lingkungan, Basis/Stasi/Daerah, dan Status Umat.</t>
        </is>
      </c>
    </row>
    <row r="6" ht="39.75" customHeight="1" s="38">
      <c r="A6" s="4" t="n">
        <v>4</v>
      </c>
      <c r="B6" s="5" t="inlineStr">
        <is>
          <t>Kenaikan umat</t>
        </is>
      </c>
      <c r="C6" s="9" t="inlineStr">
        <is>
          <t>BAPTIS, DITERIMA MASUK, dan MUTASI (Masuk) dipakai untuk bagian 1.1.</t>
        </is>
      </c>
    </row>
    <row r="7" ht="39.75" customHeight="1" s="38">
      <c r="A7" s="4" t="n">
        <v>5</v>
      </c>
      <c r="B7" s="5" t="inlineStr">
        <is>
          <t>Pengurangan umat</t>
        </is>
      </c>
      <c r="C7" s="9" t="inlineStr">
        <is>
          <t>KEMATIAN, MUTASI (Keluar), dan PINDAH AGAMA dipakai untuk bagian 1.2.</t>
        </is>
      </c>
    </row>
    <row r="8" ht="39.75" customHeight="1" s="38">
      <c r="A8" s="4" t="n">
        <v>6</v>
      </c>
      <c r="B8" s="5" t="inlineStr">
        <is>
          <t>Baptis</t>
        </is>
      </c>
      <c r="C8" s="9" t="inlineStr">
        <is>
          <t>Tanggal baptis + tanggal lahir + jenis kelamin memungkinkan rekap umur: &lt;1 tahun; 1 s/d hampir 7 tahun; 7 tahun ke atas.</t>
        </is>
      </c>
    </row>
    <row r="9" ht="39.75" customHeight="1" s="38">
      <c r="A9" s="4" t="n">
        <v>7</v>
      </c>
      <c r="B9" s="5" t="inlineStr">
        <is>
          <t>Pindah agama</t>
        </is>
      </c>
      <c r="C9" s="9" t="inlineStr">
        <is>
          <t>Agama baru direkap menjadi Kristen Lain, Buddha, Konghucu, Islam, Hindu, Lain-lain.</t>
        </is>
      </c>
    </row>
    <row r="10" ht="39.75" customHeight="1" s="38">
      <c r="A10" s="4" t="n">
        <v>8</v>
      </c>
      <c r="B10" s="5" t="inlineStr">
        <is>
          <t>Kejadian sakramen</t>
        </is>
      </c>
      <c r="C10" s="9" t="inlineStr">
        <is>
          <t>Komuni Pertama, Perkawinan Gerejani, Pembubaran, Perminyakan Suci, Kematian, dan Seminari/Biara memiliki sheet khusus.</t>
        </is>
      </c>
    </row>
    <row r="11" ht="39.75" customHeight="1" s="38">
      <c r="A11" s="4" t="n">
        <v>9</v>
      </c>
      <c r="B11" s="5" t="inlineStr">
        <is>
          <t>Per lingkungan</t>
        </is>
      </c>
      <c r="C11" s="9" t="inlineStr">
        <is>
          <t>Isi nama lingkungan pada kolom A REKAP LINGKUNGAN. Tidak perlu mengetik angka rekap.</t>
        </is>
      </c>
    </row>
    <row r="12" ht="39.75" customHeight="1" s="38">
      <c r="A12" s="4" t="n">
        <v>10</v>
      </c>
      <c r="B12" s="5" t="inlineStr">
        <is>
          <t>Catatan</t>
        </is>
      </c>
      <c r="C12" s="9" t="inlineStr">
        <is>
          <t>PDF mencantumkan tenggat pengembalian 26 Januari 2025 pada bagian akhir, sedangkan judul statistik adalah 2026. Template ini tidak mengubah/menafsirkan tanggal tersebut; periode statistik otomatis tetap 1 Jan–31 Des 2026.</t>
        </is>
      </c>
    </row>
    <row r="13" ht="14.25" customHeight="1" s="38"/>
    <row r="14" ht="14.25" customHeight="1" s="38"/>
    <row r="15" ht="14.25" customHeight="1" s="38"/>
    <row r="16" ht="14.25" customHeight="1" s="38"/>
    <row r="17" ht="14.25" customHeight="1" s="38"/>
    <row r="18" ht="14.25" customHeight="1" s="38"/>
    <row r="19" ht="14.25" customHeight="1" s="38"/>
    <row r="20" ht="14.25" customHeight="1" s="38"/>
    <row r="21" ht="14.25" customHeight="1" s="38"/>
    <row r="22" ht="14.25" customHeight="1" s="38"/>
    <row r="23" ht="14.25" customHeight="1" s="38"/>
    <row r="24" ht="14.25" customHeight="1" s="38"/>
    <row r="25" ht="14.25" customHeight="1" s="38"/>
    <row r="26" ht="14.25" customHeight="1" s="38"/>
    <row r="27" ht="14.25" customHeight="1" s="38"/>
    <row r="28" ht="14.25" customHeight="1" s="38"/>
    <row r="29" ht="14.25" customHeight="1" s="38"/>
    <row r="30" ht="14.25" customHeight="1" s="38"/>
    <row r="31" ht="14.25" customHeight="1" s="38"/>
    <row r="32" ht="14.25" customHeight="1" s="38"/>
    <row r="33" ht="14.25" customHeight="1" s="38"/>
    <row r="34" ht="14.25" customHeight="1" s="38"/>
    <row r="35" ht="14.25" customHeight="1" s="38"/>
    <row r="36" ht="14.25" customHeight="1" s="38"/>
    <row r="37" ht="14.25" customHeight="1" s="38"/>
    <row r="38" ht="14.25" customHeight="1" s="38"/>
    <row r="39" ht="14.25" customHeight="1" s="38"/>
    <row r="40" ht="14.25" customHeight="1" s="38"/>
    <row r="41" ht="14.25" customHeight="1" s="38"/>
    <row r="42" ht="14.25" customHeight="1" s="38"/>
    <row r="43" ht="14.25" customHeight="1" s="38"/>
    <row r="44" ht="14.25" customHeight="1" s="38"/>
    <row r="45" ht="14.25" customHeight="1" s="38"/>
    <row r="46" ht="14.25" customHeight="1" s="38"/>
    <row r="47" ht="14.25" customHeight="1" s="38"/>
    <row r="48" ht="14.25" customHeight="1" s="38"/>
    <row r="49" ht="14.25" customHeight="1" s="38"/>
    <row r="50" ht="14.25" customHeight="1" s="38"/>
    <row r="51" ht="14.25" customHeight="1" s="38"/>
    <row r="52" ht="14.25" customHeight="1" s="38"/>
    <row r="53" ht="14.25" customHeight="1" s="38"/>
    <row r="54" ht="14.25" customHeight="1" s="38"/>
    <row r="55" ht="14.25" customHeight="1" s="38"/>
    <row r="56" ht="14.25" customHeight="1" s="38"/>
    <row r="57" ht="14.25" customHeight="1" s="38"/>
    <row r="58" ht="14.25" customHeight="1" s="38"/>
    <row r="59" ht="14.25" customHeight="1" s="38"/>
    <row r="60" ht="14.25" customHeight="1" s="38"/>
    <row r="61" ht="14.25" customHeight="1" s="38"/>
    <row r="62" ht="14.25" customHeight="1" s="38"/>
    <row r="63" ht="14.25" customHeight="1" s="38"/>
    <row r="64" ht="14.25" customHeight="1" s="38"/>
    <row r="65" ht="14.25" customHeight="1" s="38"/>
    <row r="66" ht="14.25" customHeight="1" s="38"/>
    <row r="67" ht="14.25" customHeight="1" s="38"/>
    <row r="68" ht="14.25" customHeight="1" s="38"/>
    <row r="69" ht="14.25" customHeight="1" s="38"/>
    <row r="70" ht="14.25" customHeight="1" s="38"/>
    <row r="71" ht="14.25" customHeight="1" s="38"/>
    <row r="72" ht="14.25" customHeight="1" s="38"/>
    <row r="73" ht="14.25" customHeight="1" s="38"/>
    <row r="74" ht="14.25" customHeight="1" s="38"/>
    <row r="75" ht="14.25" customHeight="1" s="38"/>
    <row r="76" ht="14.25" customHeight="1" s="38"/>
    <row r="77" ht="14.25" customHeight="1" s="38"/>
    <row r="78" ht="14.25" customHeight="1" s="38"/>
    <row r="79" ht="14.25" customHeight="1" s="38"/>
    <row r="80" ht="14.25" customHeight="1" s="38"/>
    <row r="81" ht="14.25" customHeight="1" s="38"/>
    <row r="82" ht="14.25" customHeight="1" s="38"/>
    <row r="83" ht="14.25" customHeight="1" s="38"/>
    <row r="84" ht="14.25" customHeight="1" s="38"/>
    <row r="85" ht="14.25" customHeight="1" s="38"/>
    <row r="86" ht="14.25" customHeight="1" s="38"/>
    <row r="87" ht="14.25" customHeight="1" s="38"/>
    <row r="88" ht="14.25" customHeight="1" s="38"/>
    <row r="89" ht="14.25" customHeight="1" s="38"/>
    <row r="90" ht="14.25" customHeight="1" s="38"/>
    <row r="91" ht="14.25" customHeight="1" s="38"/>
    <row r="92" ht="14.25" customHeight="1" s="38"/>
    <row r="93" ht="14.25" customHeight="1" s="38"/>
    <row r="94" ht="14.25" customHeight="1" s="38"/>
    <row r="95" ht="14.25" customHeight="1" s="38"/>
    <row r="96" ht="14.25" customHeight="1" s="38"/>
    <row r="97" ht="14.25" customHeight="1" s="38"/>
    <row r="98" ht="14.25" customHeight="1" s="38"/>
    <row r="99" ht="14.25" customHeight="1" s="38"/>
    <row r="100" ht="14.25" customHeight="1" s="38"/>
    <row r="101" ht="14.25" customHeight="1" s="38"/>
    <row r="102" ht="14.25" customHeight="1" s="38"/>
    <row r="103" ht="14.25" customHeight="1" s="38"/>
    <row r="104" ht="14.25" customHeight="1" s="38"/>
    <row r="105" ht="14.25" customHeight="1" s="38"/>
    <row r="106" ht="14.25" customHeight="1" s="38"/>
    <row r="107" ht="14.25" customHeight="1" s="38"/>
    <row r="108" ht="14.25" customHeight="1" s="38"/>
    <row r="109" ht="14.25" customHeight="1" s="38"/>
    <row r="110" ht="14.25" customHeight="1" s="38"/>
    <row r="111" ht="14.25" customHeight="1" s="38"/>
    <row r="112" ht="14.25" customHeight="1" s="38"/>
    <row r="113" ht="14.25" customHeight="1" s="38"/>
    <row r="114" ht="14.25" customHeight="1" s="38"/>
    <row r="115" ht="14.25" customHeight="1" s="38"/>
    <row r="116" ht="14.25" customHeight="1" s="38"/>
    <row r="117" ht="14.25" customHeight="1" s="38"/>
    <row r="118" ht="14.25" customHeight="1" s="38"/>
    <row r="119" ht="14.25" customHeight="1" s="38"/>
    <row r="120" ht="14.25" customHeight="1" s="38"/>
    <row r="121" ht="14.25" customHeight="1" s="38"/>
    <row r="122" ht="14.25" customHeight="1" s="38"/>
    <row r="123" ht="14.25" customHeight="1" s="38"/>
    <row r="124" ht="14.25" customHeight="1" s="38"/>
    <row r="125" ht="14.25" customHeight="1" s="38"/>
    <row r="126" ht="14.25" customHeight="1" s="38"/>
    <row r="127" ht="14.25" customHeight="1" s="38"/>
    <row r="128" ht="14.25" customHeight="1" s="38"/>
    <row r="129" ht="14.25" customHeight="1" s="38"/>
    <row r="130" ht="14.25" customHeight="1" s="38"/>
    <row r="131" ht="14.25" customHeight="1" s="38"/>
    <row r="132" ht="14.25" customHeight="1" s="38"/>
    <row r="133" ht="14.25" customHeight="1" s="38"/>
    <row r="134" ht="14.25" customHeight="1" s="38"/>
    <row r="135" ht="14.25" customHeight="1" s="38"/>
    <row r="136" ht="14.25" customHeight="1" s="38"/>
    <row r="137" ht="14.25" customHeight="1" s="38"/>
    <row r="138" ht="14.25" customHeight="1" s="38"/>
    <row r="139" ht="14.25" customHeight="1" s="38"/>
    <row r="140" ht="14.25" customHeight="1" s="38"/>
    <row r="141" ht="14.25" customHeight="1" s="38"/>
    <row r="142" ht="14.25" customHeight="1" s="38"/>
    <row r="143" ht="14.25" customHeight="1" s="38"/>
    <row r="144" ht="14.25" customHeight="1" s="38"/>
    <row r="145" ht="14.25" customHeight="1" s="38"/>
    <row r="146" ht="14.25" customHeight="1" s="38"/>
    <row r="147" ht="14.25" customHeight="1" s="38"/>
    <row r="148" ht="14.25" customHeight="1" s="38"/>
    <row r="149" ht="14.25" customHeight="1" s="38"/>
    <row r="150" ht="14.25" customHeight="1" s="38"/>
    <row r="151" ht="14.25" customHeight="1" s="38"/>
    <row r="152" ht="14.25" customHeight="1" s="38"/>
    <row r="153" ht="14.25" customHeight="1" s="38"/>
    <row r="154" ht="14.25" customHeight="1" s="38"/>
    <row r="155" ht="14.25" customHeight="1" s="38"/>
    <row r="156" ht="14.25" customHeight="1" s="38"/>
    <row r="157" ht="14.25" customHeight="1" s="38"/>
    <row r="158" ht="14.25" customHeight="1" s="38"/>
    <row r="159" ht="14.25" customHeight="1" s="38"/>
    <row r="160" ht="14.25" customHeight="1" s="38"/>
    <row r="161" ht="14.25" customHeight="1" s="38"/>
    <row r="162" ht="14.25" customHeight="1" s="38"/>
    <row r="163" ht="14.25" customHeight="1" s="38"/>
    <row r="164" ht="14.25" customHeight="1" s="38"/>
    <row r="165" ht="14.25" customHeight="1" s="38"/>
    <row r="166" ht="14.25" customHeight="1" s="38"/>
    <row r="167" ht="14.25" customHeight="1" s="38"/>
    <row r="168" ht="14.25" customHeight="1" s="38"/>
    <row r="169" ht="14.25" customHeight="1" s="38"/>
    <row r="170" ht="14.25" customHeight="1" s="38"/>
    <row r="171" ht="14.25" customHeight="1" s="38"/>
    <row r="172" ht="14.25" customHeight="1" s="38"/>
    <row r="173" ht="14.25" customHeight="1" s="38"/>
    <row r="174" ht="14.25" customHeight="1" s="38"/>
    <row r="175" ht="14.25" customHeight="1" s="38"/>
    <row r="176" ht="14.25" customHeight="1" s="38"/>
    <row r="177" ht="14.25" customHeight="1" s="38"/>
    <row r="178" ht="14.25" customHeight="1" s="38"/>
    <row r="179" ht="14.25" customHeight="1" s="38"/>
    <row r="180" ht="14.25" customHeight="1" s="38"/>
    <row r="181" ht="14.25" customHeight="1" s="38"/>
    <row r="182" ht="14.25" customHeight="1" s="38"/>
    <row r="183" ht="14.25" customHeight="1" s="38"/>
    <row r="184" ht="14.25" customHeight="1" s="38"/>
    <row r="185" ht="14.25" customHeight="1" s="38"/>
    <row r="186" ht="14.25" customHeight="1" s="38"/>
    <row r="187" ht="14.25" customHeight="1" s="38"/>
    <row r="188" ht="14.25" customHeight="1" s="38"/>
    <row r="189" ht="14.25" customHeight="1" s="38"/>
    <row r="190" ht="14.25" customHeight="1" s="38"/>
    <row r="191" ht="14.25" customHeight="1" s="38"/>
    <row r="192" ht="14.25" customHeight="1" s="38"/>
    <row r="193" ht="14.25" customHeight="1" s="38"/>
    <row r="194" ht="14.25" customHeight="1" s="38"/>
    <row r="195" ht="14.25" customHeight="1" s="38"/>
    <row r="196" ht="14.25" customHeight="1" s="38"/>
    <row r="197" ht="14.25" customHeight="1" s="38"/>
    <row r="198" ht="14.25" customHeight="1" s="38"/>
    <row r="199" ht="14.25" customHeight="1" s="38"/>
    <row r="200" ht="14.25" customHeight="1" s="38"/>
    <row r="201" ht="14.25" customHeight="1" s="38"/>
    <row r="202" ht="14.25" customHeight="1" s="38"/>
    <row r="203" ht="14.25" customHeight="1" s="38"/>
    <row r="204" ht="14.25" customHeight="1" s="38"/>
    <row r="205" ht="14.25" customHeight="1" s="38"/>
    <row r="206" ht="14.25" customHeight="1" s="38"/>
    <row r="207" ht="14.25" customHeight="1" s="38"/>
    <row r="208" ht="14.25" customHeight="1" s="38"/>
    <row r="209" ht="14.25" customHeight="1" s="38"/>
    <row r="210" ht="14.25" customHeight="1" s="38"/>
    <row r="211" ht="14.25" customHeight="1" s="38"/>
    <row r="212" ht="14.25" customHeight="1" s="38"/>
    <row r="213" ht="14.25" customHeight="1" s="38"/>
    <row r="214" ht="14.25" customHeight="1" s="38"/>
    <row r="215" ht="14.25" customHeight="1" s="38"/>
    <row r="216" ht="14.25" customHeight="1" s="38"/>
    <row r="217" ht="14.25" customHeight="1" s="38"/>
    <row r="218" ht="14.25" customHeight="1" s="38"/>
    <row r="219" ht="14.25" customHeight="1" s="38"/>
    <row r="220" ht="14.25" customHeight="1" s="38"/>
    <row r="221" ht="14.25" customHeight="1" s="38"/>
    <row r="222" ht="14.25" customHeight="1" s="38"/>
    <row r="223" ht="14.25" customHeight="1" s="38"/>
    <row r="224" ht="14.25" customHeight="1" s="38"/>
    <row r="225" ht="14.25" customHeight="1" s="38"/>
    <row r="226" ht="14.25" customHeight="1" s="38"/>
    <row r="227" ht="14.25" customHeight="1" s="38"/>
    <row r="228" ht="14.25" customHeight="1" s="38"/>
    <row r="229" ht="14.25" customHeight="1" s="38"/>
    <row r="230" ht="14.25" customHeight="1" s="38"/>
    <row r="231" ht="14.25" customHeight="1" s="38"/>
    <row r="232" ht="14.25" customHeight="1" s="38"/>
    <row r="233" ht="14.25" customHeight="1" s="38"/>
    <row r="234" ht="14.25" customHeight="1" s="38"/>
    <row r="235" ht="14.25" customHeight="1" s="38"/>
    <row r="236" ht="14.25" customHeight="1" s="38"/>
    <row r="237" ht="14.25" customHeight="1" s="38"/>
    <row r="238" ht="14.25" customHeight="1" s="38"/>
    <row r="239" ht="14.25" customHeight="1" s="38"/>
    <row r="240" ht="14.25" customHeight="1" s="38"/>
    <row r="241" ht="14.25" customHeight="1" s="38"/>
    <row r="242" ht="14.25" customHeight="1" s="38"/>
    <row r="243" ht="14.25" customHeight="1" s="38"/>
    <row r="244" ht="14.25" customHeight="1" s="38"/>
    <row r="245" ht="14.25" customHeight="1" s="38"/>
    <row r="246" ht="14.25" customHeight="1" s="38"/>
    <row r="247" ht="14.25" customHeight="1" s="38"/>
    <row r="248" ht="14.25" customHeight="1" s="38"/>
    <row r="249" ht="14.25" customHeight="1" s="38"/>
    <row r="250" ht="14.25" customHeight="1" s="38"/>
    <row r="251" ht="14.25" customHeight="1" s="38"/>
    <row r="252" ht="14.25" customHeight="1" s="38"/>
    <row r="253" ht="14.25" customHeight="1" s="38"/>
    <row r="254" ht="14.25" customHeight="1" s="38"/>
    <row r="255" ht="14.25" customHeight="1" s="38"/>
    <row r="256" ht="14.25" customHeight="1" s="38"/>
    <row r="257" ht="14.25" customHeight="1" s="38"/>
    <row r="258" ht="14.25" customHeight="1" s="38"/>
    <row r="259" ht="14.25" customHeight="1" s="38"/>
    <row r="260" ht="14.25" customHeight="1" s="38"/>
    <row r="261" ht="14.25" customHeight="1" s="38"/>
    <row r="262" ht="14.25" customHeight="1" s="38"/>
    <row r="263" ht="14.25" customHeight="1" s="38"/>
    <row r="264" ht="14.25" customHeight="1" s="38"/>
    <row r="265" ht="14.25" customHeight="1" s="38"/>
    <row r="266" ht="14.25" customHeight="1" s="38"/>
    <row r="267" ht="14.25" customHeight="1" s="38"/>
    <row r="268" ht="14.25" customHeight="1" s="38"/>
    <row r="269" ht="14.25" customHeight="1" s="38"/>
    <row r="270" ht="14.25" customHeight="1" s="38"/>
    <row r="271" ht="14.25" customHeight="1" s="38"/>
    <row r="272" ht="14.25" customHeight="1" s="38"/>
    <row r="273" ht="14.25" customHeight="1" s="38"/>
    <row r="274" ht="14.25" customHeight="1" s="38"/>
    <row r="275" ht="14.25" customHeight="1" s="38"/>
    <row r="276" ht="14.25" customHeight="1" s="38"/>
    <row r="277" ht="14.25" customHeight="1" s="38"/>
    <row r="278" ht="14.25" customHeight="1" s="38"/>
    <row r="279" ht="14.25" customHeight="1" s="38"/>
    <row r="280" ht="14.25" customHeight="1" s="38"/>
    <row r="281" ht="14.25" customHeight="1" s="38"/>
    <row r="282" ht="14.25" customHeight="1" s="38"/>
    <row r="283" ht="14.25" customHeight="1" s="38"/>
    <row r="284" ht="14.25" customHeight="1" s="38"/>
    <row r="285" ht="14.25" customHeight="1" s="38"/>
    <row r="286" ht="14.25" customHeight="1" s="38"/>
    <row r="287" ht="14.25" customHeight="1" s="38"/>
    <row r="288" ht="14.25" customHeight="1" s="38"/>
    <row r="289" ht="14.25" customHeight="1" s="38"/>
    <row r="290" ht="14.25" customHeight="1" s="38"/>
    <row r="291" ht="14.25" customHeight="1" s="38"/>
    <row r="292" ht="14.25" customHeight="1" s="38"/>
    <row r="293" ht="14.25" customHeight="1" s="38"/>
    <row r="294" ht="14.25" customHeight="1" s="38"/>
    <row r="295" ht="14.25" customHeight="1" s="38"/>
    <row r="296" ht="14.25" customHeight="1" s="38"/>
    <row r="297" ht="14.25" customHeight="1" s="38"/>
    <row r="298" ht="14.25" customHeight="1" s="38"/>
    <row r="299" ht="14.25" customHeight="1" s="38"/>
    <row r="300" ht="14.25" customHeight="1" s="38"/>
    <row r="301" ht="14.25" customHeight="1" s="38"/>
    <row r="302" ht="14.25" customHeight="1" s="38"/>
    <row r="303" ht="14.25" customHeight="1" s="38"/>
    <row r="304" ht="14.25" customHeight="1" s="38"/>
    <row r="305" ht="14.25" customHeight="1" s="38"/>
    <row r="306" ht="14.25" customHeight="1" s="38"/>
    <row r="307" ht="14.25" customHeight="1" s="38"/>
    <row r="308" ht="14.25" customHeight="1" s="38"/>
    <row r="309" ht="14.25" customHeight="1" s="38"/>
    <row r="310" ht="14.25" customHeight="1" s="38"/>
    <row r="311" ht="14.25" customHeight="1" s="38"/>
    <row r="312" ht="14.25" customHeight="1" s="38"/>
    <row r="313" ht="14.25" customHeight="1" s="38"/>
    <row r="314" ht="14.25" customHeight="1" s="38"/>
    <row r="315" ht="14.25" customHeight="1" s="38"/>
    <row r="316" ht="14.25" customHeight="1" s="38"/>
    <row r="317" ht="14.25" customHeight="1" s="38"/>
    <row r="318" ht="14.25" customHeight="1" s="38"/>
    <row r="319" ht="14.25" customHeight="1" s="38"/>
    <row r="320" ht="14.25" customHeight="1" s="38"/>
    <row r="321" ht="14.25" customHeight="1" s="38"/>
    <row r="322" ht="14.25" customHeight="1" s="38"/>
    <row r="323" ht="14.25" customHeight="1" s="38"/>
    <row r="324" ht="14.25" customHeight="1" s="38"/>
    <row r="325" ht="14.25" customHeight="1" s="38"/>
    <row r="326" ht="14.25" customHeight="1" s="38"/>
    <row r="327" ht="14.25" customHeight="1" s="38"/>
    <row r="328" ht="14.25" customHeight="1" s="38"/>
    <row r="329" ht="14.25" customHeight="1" s="38"/>
    <row r="330" ht="14.25" customHeight="1" s="38"/>
    <row r="331" ht="14.25" customHeight="1" s="38"/>
    <row r="332" ht="14.25" customHeight="1" s="38"/>
    <row r="333" ht="14.25" customHeight="1" s="38"/>
    <row r="334" ht="14.25" customHeight="1" s="38"/>
    <row r="335" ht="14.25" customHeight="1" s="38"/>
    <row r="336" ht="14.25" customHeight="1" s="38"/>
    <row r="337" ht="14.25" customHeight="1" s="38"/>
    <row r="338" ht="14.25" customHeight="1" s="38"/>
    <row r="339" ht="14.25" customHeight="1" s="38"/>
    <row r="340" ht="14.25" customHeight="1" s="38"/>
    <row r="341" ht="14.25" customHeight="1" s="38"/>
    <row r="342" ht="14.25" customHeight="1" s="38"/>
    <row r="343" ht="14.25" customHeight="1" s="38"/>
    <row r="344" ht="14.25" customHeight="1" s="38"/>
    <row r="345" ht="14.25" customHeight="1" s="38"/>
    <row r="346" ht="14.25" customHeight="1" s="38"/>
    <row r="347" ht="14.25" customHeight="1" s="38"/>
    <row r="348" ht="14.25" customHeight="1" s="38"/>
    <row r="349" ht="14.25" customHeight="1" s="38"/>
    <row r="350" ht="14.25" customHeight="1" s="38"/>
    <row r="351" ht="14.25" customHeight="1" s="38"/>
    <row r="352" ht="14.25" customHeight="1" s="38"/>
    <row r="353" ht="14.25" customHeight="1" s="38"/>
    <row r="354" ht="14.25" customHeight="1" s="38"/>
    <row r="355" ht="14.25" customHeight="1" s="38"/>
    <row r="356" ht="14.25" customHeight="1" s="38"/>
    <row r="357" ht="14.25" customHeight="1" s="38"/>
    <row r="358" ht="14.25" customHeight="1" s="38"/>
    <row r="359" ht="14.25" customHeight="1" s="38"/>
    <row r="360" ht="14.25" customHeight="1" s="38"/>
    <row r="361" ht="14.25" customHeight="1" s="38"/>
    <row r="362" ht="14.25" customHeight="1" s="38"/>
    <row r="363" ht="14.25" customHeight="1" s="38"/>
    <row r="364" ht="14.25" customHeight="1" s="38"/>
    <row r="365" ht="14.25" customHeight="1" s="38"/>
    <row r="366" ht="14.25" customHeight="1" s="38"/>
    <row r="367" ht="14.25" customHeight="1" s="38"/>
    <row r="368" ht="14.25" customHeight="1" s="38"/>
    <row r="369" ht="14.25" customHeight="1" s="38"/>
    <row r="370" ht="14.25" customHeight="1" s="38"/>
    <row r="371" ht="14.25" customHeight="1" s="38"/>
    <row r="372" ht="14.25" customHeight="1" s="38"/>
    <row r="373" ht="14.25" customHeight="1" s="38"/>
    <row r="374" ht="14.25" customHeight="1" s="38"/>
    <row r="375" ht="14.25" customHeight="1" s="38"/>
    <row r="376" ht="14.25" customHeight="1" s="38"/>
    <row r="377" ht="14.25" customHeight="1" s="38"/>
    <row r="378" ht="14.25" customHeight="1" s="38"/>
    <row r="379" ht="14.25" customHeight="1" s="38"/>
    <row r="380" ht="14.25" customHeight="1" s="38"/>
    <row r="381" ht="14.25" customHeight="1" s="38"/>
    <row r="382" ht="14.25" customHeight="1" s="38"/>
    <row r="383" ht="14.25" customHeight="1" s="38"/>
    <row r="384" ht="14.25" customHeight="1" s="38"/>
    <row r="385" ht="14.25" customHeight="1" s="38"/>
    <row r="386" ht="14.25" customHeight="1" s="38"/>
    <row r="387" ht="14.25" customHeight="1" s="38"/>
    <row r="388" ht="14.25" customHeight="1" s="38"/>
    <row r="389" ht="14.25" customHeight="1" s="38"/>
    <row r="390" ht="14.25" customHeight="1" s="38"/>
    <row r="391" ht="14.25" customHeight="1" s="38"/>
    <row r="392" ht="14.25" customHeight="1" s="38"/>
    <row r="393" ht="14.25" customHeight="1" s="38"/>
    <row r="394" ht="14.25" customHeight="1" s="38"/>
    <row r="395" ht="14.25" customHeight="1" s="38"/>
    <row r="396" ht="14.25" customHeight="1" s="38"/>
    <row r="397" ht="14.25" customHeight="1" s="38"/>
    <row r="398" ht="14.25" customHeight="1" s="38"/>
    <row r="399" ht="14.25" customHeight="1" s="38"/>
    <row r="400" ht="14.25" customHeight="1" s="38"/>
    <row r="401" ht="14.25" customHeight="1" s="38"/>
    <row r="402" ht="14.25" customHeight="1" s="38"/>
    <row r="403" ht="14.25" customHeight="1" s="38"/>
    <row r="404" ht="14.25" customHeight="1" s="38"/>
    <row r="405" ht="14.25" customHeight="1" s="38"/>
    <row r="406" ht="14.25" customHeight="1" s="38"/>
    <row r="407" ht="14.25" customHeight="1" s="38"/>
    <row r="408" ht="14.25" customHeight="1" s="38"/>
    <row r="409" ht="14.25" customHeight="1" s="38"/>
    <row r="410" ht="14.25" customHeight="1" s="38"/>
    <row r="411" ht="14.25" customHeight="1" s="38"/>
    <row r="412" ht="14.25" customHeight="1" s="38"/>
    <row r="413" ht="14.25" customHeight="1" s="38"/>
    <row r="414" ht="14.25" customHeight="1" s="38"/>
    <row r="415" ht="14.25" customHeight="1" s="38"/>
    <row r="416" ht="14.25" customHeight="1" s="38"/>
    <row r="417" ht="14.25" customHeight="1" s="38"/>
    <row r="418" ht="14.25" customHeight="1" s="38"/>
    <row r="419" ht="14.25" customHeight="1" s="38"/>
    <row r="420" ht="14.25" customHeight="1" s="38"/>
    <row r="421" ht="14.25" customHeight="1" s="38"/>
    <row r="422" ht="14.25" customHeight="1" s="38"/>
    <row r="423" ht="14.25" customHeight="1" s="38"/>
    <row r="424" ht="14.25" customHeight="1" s="38"/>
    <row r="425" ht="14.25" customHeight="1" s="38"/>
    <row r="426" ht="14.25" customHeight="1" s="38"/>
    <row r="427" ht="14.25" customHeight="1" s="38"/>
    <row r="428" ht="14.25" customHeight="1" s="38"/>
    <row r="429" ht="14.25" customHeight="1" s="38"/>
    <row r="430" ht="14.25" customHeight="1" s="38"/>
    <row r="431" ht="14.25" customHeight="1" s="38"/>
    <row r="432" ht="14.25" customHeight="1" s="38"/>
    <row r="433" ht="14.25" customHeight="1" s="38"/>
    <row r="434" ht="14.25" customHeight="1" s="38"/>
    <row r="435" ht="14.25" customHeight="1" s="38"/>
    <row r="436" ht="14.25" customHeight="1" s="38"/>
    <row r="437" ht="14.25" customHeight="1" s="38"/>
    <row r="438" ht="14.25" customHeight="1" s="38"/>
    <row r="439" ht="14.25" customHeight="1" s="38"/>
    <row r="440" ht="14.25" customHeight="1" s="38"/>
    <row r="441" ht="14.25" customHeight="1" s="38"/>
    <row r="442" ht="14.25" customHeight="1" s="38"/>
    <row r="443" ht="14.25" customHeight="1" s="38"/>
    <row r="444" ht="14.25" customHeight="1" s="38"/>
    <row r="445" ht="14.25" customHeight="1" s="38"/>
    <row r="446" ht="14.25" customHeight="1" s="38"/>
    <row r="447" ht="14.25" customHeight="1" s="38"/>
    <row r="448" ht="14.25" customHeight="1" s="38"/>
    <row r="449" ht="14.25" customHeight="1" s="38"/>
    <row r="450" ht="14.25" customHeight="1" s="38"/>
    <row r="451" ht="14.25" customHeight="1" s="38"/>
    <row r="452" ht="14.25" customHeight="1" s="38"/>
    <row r="453" ht="14.25" customHeight="1" s="38"/>
    <row r="454" ht="14.25" customHeight="1" s="38"/>
    <row r="455" ht="14.25" customHeight="1" s="38"/>
    <row r="456" ht="14.25" customHeight="1" s="38"/>
    <row r="457" ht="14.25" customHeight="1" s="38"/>
    <row r="458" ht="14.25" customHeight="1" s="38"/>
    <row r="459" ht="14.25" customHeight="1" s="38"/>
    <row r="460" ht="14.25" customHeight="1" s="38"/>
    <row r="461" ht="14.25" customHeight="1" s="38"/>
    <row r="462" ht="14.25" customHeight="1" s="38"/>
    <row r="463" ht="14.25" customHeight="1" s="38"/>
    <row r="464" ht="14.25" customHeight="1" s="38"/>
    <row r="465" ht="14.25" customHeight="1" s="38"/>
    <row r="466" ht="14.25" customHeight="1" s="38"/>
    <row r="467" ht="14.25" customHeight="1" s="38"/>
    <row r="468" ht="14.25" customHeight="1" s="38"/>
    <row r="469" ht="14.25" customHeight="1" s="38"/>
    <row r="470" ht="14.25" customHeight="1" s="38"/>
    <row r="471" ht="14.25" customHeight="1" s="38"/>
    <row r="472" ht="14.25" customHeight="1" s="38"/>
    <row r="473" ht="14.25" customHeight="1" s="38"/>
    <row r="474" ht="14.25" customHeight="1" s="38"/>
    <row r="475" ht="14.25" customHeight="1" s="38"/>
    <row r="476" ht="14.25" customHeight="1" s="38"/>
    <row r="477" ht="14.25" customHeight="1" s="38"/>
    <row r="478" ht="14.25" customHeight="1" s="38"/>
    <row r="479" ht="14.25" customHeight="1" s="38"/>
    <row r="480" ht="14.25" customHeight="1" s="38"/>
    <row r="481" ht="14.25" customHeight="1" s="38"/>
    <row r="482" ht="14.25" customHeight="1" s="38"/>
    <row r="483" ht="14.25" customHeight="1" s="38"/>
    <row r="484" ht="14.25" customHeight="1" s="38"/>
    <row r="485" ht="14.25" customHeight="1" s="38"/>
    <row r="486" ht="14.25" customHeight="1" s="38"/>
    <row r="487" ht="14.25" customHeight="1" s="38"/>
    <row r="488" ht="14.25" customHeight="1" s="38"/>
    <row r="489" ht="14.25" customHeight="1" s="38"/>
    <row r="490" ht="14.25" customHeight="1" s="38"/>
    <row r="491" ht="14.25" customHeight="1" s="38"/>
    <row r="492" ht="14.25" customHeight="1" s="38"/>
    <row r="493" ht="14.25" customHeight="1" s="38"/>
    <row r="494" ht="14.25" customHeight="1" s="38"/>
    <row r="495" ht="14.25" customHeight="1" s="38"/>
    <row r="496" ht="14.25" customHeight="1" s="38"/>
    <row r="497" ht="14.25" customHeight="1" s="38"/>
    <row r="498" ht="14.25" customHeight="1" s="38"/>
    <row r="499" ht="14.25" customHeight="1" s="38"/>
    <row r="500" ht="14.25" customHeight="1" s="38"/>
    <row r="501" ht="14.25" customHeight="1" s="38"/>
    <row r="502" ht="14.25" customHeight="1" s="38"/>
    <row r="503" ht="14.25" customHeight="1" s="38"/>
    <row r="504" ht="14.25" customHeight="1" s="38"/>
    <row r="505" ht="14.25" customHeight="1" s="38"/>
    <row r="506" ht="14.25" customHeight="1" s="38"/>
    <row r="507" ht="14.25" customHeight="1" s="38"/>
    <row r="508" ht="14.25" customHeight="1" s="38"/>
    <row r="509" ht="14.25" customHeight="1" s="38"/>
    <row r="510" ht="14.25" customHeight="1" s="38"/>
    <row r="511" ht="14.25" customHeight="1" s="38"/>
    <row r="512" ht="14.25" customHeight="1" s="38"/>
    <row r="513" ht="14.25" customHeight="1" s="38"/>
    <row r="514" ht="14.25" customHeight="1" s="38"/>
    <row r="515" ht="14.25" customHeight="1" s="38"/>
    <row r="516" ht="14.25" customHeight="1" s="38"/>
    <row r="517" ht="14.25" customHeight="1" s="38"/>
    <row r="518" ht="14.25" customHeight="1" s="38"/>
    <row r="519" ht="14.25" customHeight="1" s="38"/>
    <row r="520" ht="14.25" customHeight="1" s="38"/>
    <row r="521" ht="14.25" customHeight="1" s="38"/>
    <row r="522" ht="14.25" customHeight="1" s="38"/>
    <row r="523" ht="14.25" customHeight="1" s="38"/>
    <row r="524" ht="14.25" customHeight="1" s="38"/>
    <row r="525" ht="14.25" customHeight="1" s="38"/>
    <row r="526" ht="14.25" customHeight="1" s="38"/>
    <row r="527" ht="14.25" customHeight="1" s="38"/>
    <row r="528" ht="14.25" customHeight="1" s="38"/>
    <row r="529" ht="14.25" customHeight="1" s="38"/>
    <row r="530" ht="14.25" customHeight="1" s="38"/>
    <row r="531" ht="14.25" customHeight="1" s="38"/>
    <row r="532" ht="14.25" customHeight="1" s="38"/>
    <row r="533" ht="14.25" customHeight="1" s="38"/>
    <row r="534" ht="14.25" customHeight="1" s="38"/>
    <row r="535" ht="14.25" customHeight="1" s="38"/>
    <row r="536" ht="14.25" customHeight="1" s="38"/>
    <row r="537" ht="14.25" customHeight="1" s="38"/>
    <row r="538" ht="14.25" customHeight="1" s="38"/>
    <row r="539" ht="14.25" customHeight="1" s="38"/>
    <row r="540" ht="14.25" customHeight="1" s="38"/>
    <row r="541" ht="14.25" customHeight="1" s="38"/>
    <row r="542" ht="14.25" customHeight="1" s="38"/>
    <row r="543" ht="14.25" customHeight="1" s="38"/>
    <row r="544" ht="14.25" customHeight="1" s="38"/>
    <row r="545" ht="14.25" customHeight="1" s="38"/>
    <row r="546" ht="14.25" customHeight="1" s="38"/>
    <row r="547" ht="14.25" customHeight="1" s="38"/>
    <row r="548" ht="14.25" customHeight="1" s="38"/>
    <row r="549" ht="14.25" customHeight="1" s="38"/>
    <row r="550" ht="14.25" customHeight="1" s="38"/>
    <row r="551" ht="14.25" customHeight="1" s="38"/>
    <row r="552" ht="14.25" customHeight="1" s="38"/>
    <row r="553" ht="14.25" customHeight="1" s="38"/>
    <row r="554" ht="14.25" customHeight="1" s="38"/>
    <row r="555" ht="14.25" customHeight="1" s="38"/>
    <row r="556" ht="14.25" customHeight="1" s="38"/>
    <row r="557" ht="14.25" customHeight="1" s="38"/>
    <row r="558" ht="14.25" customHeight="1" s="38"/>
    <row r="559" ht="14.25" customHeight="1" s="38"/>
    <row r="560" ht="14.25" customHeight="1" s="38"/>
    <row r="561" ht="14.25" customHeight="1" s="38"/>
    <row r="562" ht="14.25" customHeight="1" s="38"/>
    <row r="563" ht="14.25" customHeight="1" s="38"/>
    <row r="564" ht="14.25" customHeight="1" s="38"/>
    <row r="565" ht="14.25" customHeight="1" s="38"/>
    <row r="566" ht="14.25" customHeight="1" s="38"/>
    <row r="567" ht="14.25" customHeight="1" s="38"/>
    <row r="568" ht="14.25" customHeight="1" s="38"/>
    <row r="569" ht="14.25" customHeight="1" s="38"/>
    <row r="570" ht="14.25" customHeight="1" s="38"/>
    <row r="571" ht="14.25" customHeight="1" s="38"/>
    <row r="572" ht="14.25" customHeight="1" s="38"/>
    <row r="573" ht="14.25" customHeight="1" s="38"/>
    <row r="574" ht="14.25" customHeight="1" s="38"/>
    <row r="575" ht="14.25" customHeight="1" s="38"/>
    <row r="576" ht="14.25" customHeight="1" s="38"/>
    <row r="577" ht="14.25" customHeight="1" s="38"/>
    <row r="578" ht="14.25" customHeight="1" s="38"/>
    <row r="579" ht="14.25" customHeight="1" s="38"/>
    <row r="580" ht="14.25" customHeight="1" s="38"/>
    <row r="581" ht="14.25" customHeight="1" s="38"/>
    <row r="582" ht="14.25" customHeight="1" s="38"/>
    <row r="583" ht="14.25" customHeight="1" s="38"/>
    <row r="584" ht="14.25" customHeight="1" s="38"/>
    <row r="585" ht="14.25" customHeight="1" s="38"/>
    <row r="586" ht="14.25" customHeight="1" s="38"/>
    <row r="587" ht="14.25" customHeight="1" s="38"/>
    <row r="588" ht="14.25" customHeight="1" s="38"/>
    <row r="589" ht="14.25" customHeight="1" s="38"/>
    <row r="590" ht="14.25" customHeight="1" s="38"/>
    <row r="591" ht="14.25" customHeight="1" s="38"/>
    <row r="592" ht="14.25" customHeight="1" s="38"/>
    <row r="593" ht="14.25" customHeight="1" s="38"/>
    <row r="594" ht="14.25" customHeight="1" s="38"/>
    <row r="595" ht="14.25" customHeight="1" s="38"/>
    <row r="596" ht="14.25" customHeight="1" s="38"/>
    <row r="597" ht="14.25" customHeight="1" s="38"/>
    <row r="598" ht="14.25" customHeight="1" s="38"/>
    <row r="599" ht="14.25" customHeight="1" s="38"/>
    <row r="600" ht="14.25" customHeight="1" s="38"/>
    <row r="601" ht="14.25" customHeight="1" s="38"/>
    <row r="602" ht="14.25" customHeight="1" s="38"/>
    <row r="603" ht="14.25" customHeight="1" s="38"/>
    <row r="604" ht="14.25" customHeight="1" s="38"/>
    <row r="605" ht="14.25" customHeight="1" s="38"/>
    <row r="606" ht="14.25" customHeight="1" s="38"/>
    <row r="607" ht="14.25" customHeight="1" s="38"/>
    <row r="608" ht="14.25" customHeight="1" s="38"/>
    <row r="609" ht="14.25" customHeight="1" s="38"/>
    <row r="610" ht="14.25" customHeight="1" s="38"/>
    <row r="611" ht="14.25" customHeight="1" s="38"/>
    <row r="612" ht="14.25" customHeight="1" s="38"/>
    <row r="613" ht="14.25" customHeight="1" s="38"/>
    <row r="614" ht="14.25" customHeight="1" s="38"/>
    <row r="615" ht="14.25" customHeight="1" s="38"/>
    <row r="616" ht="14.25" customHeight="1" s="38"/>
    <row r="617" ht="14.25" customHeight="1" s="38"/>
    <row r="618" ht="14.25" customHeight="1" s="38"/>
    <row r="619" ht="14.25" customHeight="1" s="38"/>
    <row r="620" ht="14.25" customHeight="1" s="38"/>
    <row r="621" ht="14.25" customHeight="1" s="38"/>
    <row r="622" ht="14.25" customHeight="1" s="38"/>
    <row r="623" ht="14.25" customHeight="1" s="38"/>
    <row r="624" ht="14.25" customHeight="1" s="38"/>
    <row r="625" ht="14.25" customHeight="1" s="38"/>
    <row r="626" ht="14.25" customHeight="1" s="38"/>
    <row r="627" ht="14.25" customHeight="1" s="38"/>
    <row r="628" ht="14.25" customHeight="1" s="38"/>
    <row r="629" ht="14.25" customHeight="1" s="38"/>
    <row r="630" ht="14.25" customHeight="1" s="38"/>
    <row r="631" ht="14.25" customHeight="1" s="38"/>
    <row r="632" ht="14.25" customHeight="1" s="38"/>
    <row r="633" ht="14.25" customHeight="1" s="38"/>
    <row r="634" ht="14.25" customHeight="1" s="38"/>
    <row r="635" ht="14.25" customHeight="1" s="38"/>
    <row r="636" ht="14.25" customHeight="1" s="38"/>
    <row r="637" ht="14.25" customHeight="1" s="38"/>
    <row r="638" ht="14.25" customHeight="1" s="38"/>
    <row r="639" ht="14.25" customHeight="1" s="38"/>
    <row r="640" ht="14.25" customHeight="1" s="38"/>
    <row r="641" ht="14.25" customHeight="1" s="38"/>
    <row r="642" ht="14.25" customHeight="1" s="38"/>
    <row r="643" ht="14.25" customHeight="1" s="38"/>
    <row r="644" ht="14.25" customHeight="1" s="38"/>
    <row r="645" ht="14.25" customHeight="1" s="38"/>
    <row r="646" ht="14.25" customHeight="1" s="38"/>
    <row r="647" ht="14.25" customHeight="1" s="38"/>
    <row r="648" ht="14.25" customHeight="1" s="38"/>
    <row r="649" ht="14.25" customHeight="1" s="38"/>
    <row r="650" ht="14.25" customHeight="1" s="38"/>
    <row r="651" ht="14.25" customHeight="1" s="38"/>
    <row r="652" ht="14.25" customHeight="1" s="38"/>
    <row r="653" ht="14.25" customHeight="1" s="38"/>
    <row r="654" ht="14.25" customHeight="1" s="38"/>
    <row r="655" ht="14.25" customHeight="1" s="38"/>
    <row r="656" ht="14.25" customHeight="1" s="38"/>
    <row r="657" ht="14.25" customHeight="1" s="38"/>
    <row r="658" ht="14.25" customHeight="1" s="38"/>
    <row r="659" ht="14.25" customHeight="1" s="38"/>
    <row r="660" ht="14.25" customHeight="1" s="38"/>
    <row r="661" ht="14.25" customHeight="1" s="38"/>
    <row r="662" ht="14.25" customHeight="1" s="38"/>
    <row r="663" ht="14.25" customHeight="1" s="38"/>
    <row r="664" ht="14.25" customHeight="1" s="38"/>
    <row r="665" ht="14.25" customHeight="1" s="38"/>
    <row r="666" ht="14.25" customHeight="1" s="38"/>
    <row r="667" ht="14.25" customHeight="1" s="38"/>
    <row r="668" ht="14.25" customHeight="1" s="38"/>
    <row r="669" ht="14.25" customHeight="1" s="38"/>
    <row r="670" ht="14.25" customHeight="1" s="38"/>
    <row r="671" ht="14.25" customHeight="1" s="38"/>
    <row r="672" ht="14.25" customHeight="1" s="38"/>
    <row r="673" ht="14.25" customHeight="1" s="38"/>
    <row r="674" ht="14.25" customHeight="1" s="38"/>
    <row r="675" ht="14.25" customHeight="1" s="38"/>
    <row r="676" ht="14.25" customHeight="1" s="38"/>
    <row r="677" ht="14.25" customHeight="1" s="38"/>
    <row r="678" ht="14.25" customHeight="1" s="38"/>
    <row r="679" ht="14.25" customHeight="1" s="38"/>
    <row r="680" ht="14.25" customHeight="1" s="38"/>
    <row r="681" ht="14.25" customHeight="1" s="38"/>
    <row r="682" ht="14.25" customHeight="1" s="38"/>
    <row r="683" ht="14.25" customHeight="1" s="38"/>
    <row r="684" ht="14.25" customHeight="1" s="38"/>
    <row r="685" ht="14.25" customHeight="1" s="38"/>
    <row r="686" ht="14.25" customHeight="1" s="38"/>
    <row r="687" ht="14.25" customHeight="1" s="38"/>
    <row r="688" ht="14.25" customHeight="1" s="38"/>
    <row r="689" ht="14.25" customHeight="1" s="38"/>
    <row r="690" ht="14.25" customHeight="1" s="38"/>
    <row r="691" ht="14.25" customHeight="1" s="38"/>
    <row r="692" ht="14.25" customHeight="1" s="38"/>
    <row r="693" ht="14.25" customHeight="1" s="38"/>
    <row r="694" ht="14.25" customHeight="1" s="38"/>
    <row r="695" ht="14.25" customHeight="1" s="38"/>
    <row r="696" ht="14.25" customHeight="1" s="38"/>
    <row r="697" ht="14.25" customHeight="1" s="38"/>
    <row r="698" ht="14.25" customHeight="1" s="38"/>
    <row r="699" ht="14.25" customHeight="1" s="38"/>
    <row r="700" ht="14.25" customHeight="1" s="38"/>
    <row r="701" ht="14.25" customHeight="1" s="38"/>
    <row r="702" ht="14.25" customHeight="1" s="38"/>
    <row r="703" ht="14.25" customHeight="1" s="38"/>
    <row r="704" ht="14.25" customHeight="1" s="38"/>
    <row r="705" ht="14.25" customHeight="1" s="38"/>
    <row r="706" ht="14.25" customHeight="1" s="38"/>
    <row r="707" ht="14.25" customHeight="1" s="38"/>
    <row r="708" ht="14.25" customHeight="1" s="38"/>
    <row r="709" ht="14.25" customHeight="1" s="38"/>
    <row r="710" ht="14.25" customHeight="1" s="38"/>
    <row r="711" ht="14.25" customHeight="1" s="38"/>
    <row r="712" ht="14.25" customHeight="1" s="38"/>
    <row r="713" ht="14.25" customHeight="1" s="38"/>
    <row r="714" ht="14.25" customHeight="1" s="38"/>
    <row r="715" ht="14.25" customHeight="1" s="38"/>
    <row r="716" ht="14.25" customHeight="1" s="38"/>
    <row r="717" ht="14.25" customHeight="1" s="38"/>
    <row r="718" ht="14.25" customHeight="1" s="38"/>
    <row r="719" ht="14.25" customHeight="1" s="38"/>
    <row r="720" ht="14.25" customHeight="1" s="38"/>
    <row r="721" ht="14.25" customHeight="1" s="38"/>
    <row r="722" ht="14.25" customHeight="1" s="38"/>
    <row r="723" ht="14.25" customHeight="1" s="38"/>
    <row r="724" ht="14.25" customHeight="1" s="38"/>
    <row r="725" ht="14.25" customHeight="1" s="38"/>
    <row r="726" ht="14.25" customHeight="1" s="38"/>
    <row r="727" ht="14.25" customHeight="1" s="38"/>
    <row r="728" ht="14.25" customHeight="1" s="38"/>
    <row r="729" ht="14.25" customHeight="1" s="38"/>
    <row r="730" ht="14.25" customHeight="1" s="38"/>
    <row r="731" ht="14.25" customHeight="1" s="38"/>
    <row r="732" ht="14.25" customHeight="1" s="38"/>
    <row r="733" ht="14.25" customHeight="1" s="38"/>
    <row r="734" ht="14.25" customHeight="1" s="38"/>
    <row r="735" ht="14.25" customHeight="1" s="38"/>
    <row r="736" ht="14.25" customHeight="1" s="38"/>
    <row r="737" ht="14.25" customHeight="1" s="38"/>
    <row r="738" ht="14.25" customHeight="1" s="38"/>
    <row r="739" ht="14.25" customHeight="1" s="38"/>
    <row r="740" ht="14.25" customHeight="1" s="38"/>
    <row r="741" ht="14.25" customHeight="1" s="38"/>
    <row r="742" ht="14.25" customHeight="1" s="38"/>
    <row r="743" ht="14.25" customHeight="1" s="38"/>
    <row r="744" ht="14.25" customHeight="1" s="38"/>
    <row r="745" ht="14.25" customHeight="1" s="38"/>
    <row r="746" ht="14.25" customHeight="1" s="38"/>
    <row r="747" ht="14.25" customHeight="1" s="38"/>
    <row r="748" ht="14.25" customHeight="1" s="38"/>
    <row r="749" ht="14.25" customHeight="1" s="38"/>
    <row r="750" ht="14.25" customHeight="1" s="38"/>
    <row r="751" ht="14.25" customHeight="1" s="38"/>
    <row r="752" ht="14.25" customHeight="1" s="38"/>
    <row r="753" ht="14.25" customHeight="1" s="38"/>
    <row r="754" ht="14.25" customHeight="1" s="38"/>
    <row r="755" ht="14.25" customHeight="1" s="38"/>
    <row r="756" ht="14.25" customHeight="1" s="38"/>
    <row r="757" ht="14.25" customHeight="1" s="38"/>
    <row r="758" ht="14.25" customHeight="1" s="38"/>
    <row r="759" ht="14.25" customHeight="1" s="38"/>
    <row r="760" ht="14.25" customHeight="1" s="38"/>
    <row r="761" ht="14.25" customHeight="1" s="38"/>
    <row r="762" ht="14.25" customHeight="1" s="38"/>
    <row r="763" ht="14.25" customHeight="1" s="38"/>
    <row r="764" ht="14.25" customHeight="1" s="38"/>
    <row r="765" ht="14.25" customHeight="1" s="38"/>
    <row r="766" ht="14.25" customHeight="1" s="38"/>
    <row r="767" ht="14.25" customHeight="1" s="38"/>
    <row r="768" ht="14.25" customHeight="1" s="38"/>
    <row r="769" ht="14.25" customHeight="1" s="38"/>
    <row r="770" ht="14.25" customHeight="1" s="38"/>
    <row r="771" ht="14.25" customHeight="1" s="38"/>
    <row r="772" ht="14.25" customHeight="1" s="38"/>
    <row r="773" ht="14.25" customHeight="1" s="38"/>
    <row r="774" ht="14.25" customHeight="1" s="38"/>
    <row r="775" ht="14.25" customHeight="1" s="38"/>
    <row r="776" ht="14.25" customHeight="1" s="38"/>
    <row r="777" ht="14.25" customHeight="1" s="38"/>
    <row r="778" ht="14.25" customHeight="1" s="38"/>
    <row r="779" ht="14.25" customHeight="1" s="38"/>
    <row r="780" ht="14.25" customHeight="1" s="38"/>
    <row r="781" ht="14.25" customHeight="1" s="38"/>
    <row r="782" ht="14.25" customHeight="1" s="38"/>
    <row r="783" ht="14.25" customHeight="1" s="38"/>
    <row r="784" ht="14.25" customHeight="1" s="38"/>
    <row r="785" ht="14.25" customHeight="1" s="38"/>
    <row r="786" ht="14.25" customHeight="1" s="38"/>
    <row r="787" ht="14.25" customHeight="1" s="38"/>
    <row r="788" ht="14.25" customHeight="1" s="38"/>
    <row r="789" ht="14.25" customHeight="1" s="38"/>
    <row r="790" ht="14.25" customHeight="1" s="38"/>
    <row r="791" ht="14.25" customHeight="1" s="38"/>
    <row r="792" ht="14.25" customHeight="1" s="38"/>
    <row r="793" ht="14.25" customHeight="1" s="38"/>
    <row r="794" ht="14.25" customHeight="1" s="38"/>
    <row r="795" ht="14.25" customHeight="1" s="38"/>
    <row r="796" ht="14.25" customHeight="1" s="38"/>
    <row r="797" ht="14.25" customHeight="1" s="38"/>
    <row r="798" ht="14.25" customHeight="1" s="38"/>
    <row r="799" ht="14.25" customHeight="1" s="38"/>
    <row r="800" ht="14.25" customHeight="1" s="38"/>
    <row r="801" ht="14.25" customHeight="1" s="38"/>
    <row r="802" ht="14.25" customHeight="1" s="38"/>
    <row r="803" ht="14.25" customHeight="1" s="38"/>
    <row r="804" ht="14.25" customHeight="1" s="38"/>
    <row r="805" ht="14.25" customHeight="1" s="38"/>
    <row r="806" ht="14.25" customHeight="1" s="38"/>
    <row r="807" ht="14.25" customHeight="1" s="38"/>
    <row r="808" ht="14.25" customHeight="1" s="38"/>
    <row r="809" ht="14.25" customHeight="1" s="38"/>
    <row r="810" ht="14.25" customHeight="1" s="38"/>
    <row r="811" ht="14.25" customHeight="1" s="38"/>
    <row r="812" ht="14.25" customHeight="1" s="38"/>
    <row r="813" ht="14.25" customHeight="1" s="38"/>
    <row r="814" ht="14.25" customHeight="1" s="38"/>
    <row r="815" ht="14.25" customHeight="1" s="38"/>
    <row r="816" ht="14.25" customHeight="1" s="38"/>
    <row r="817" ht="14.25" customHeight="1" s="38"/>
    <row r="818" ht="14.25" customHeight="1" s="38"/>
    <row r="819" ht="14.25" customHeight="1" s="38"/>
    <row r="820" ht="14.25" customHeight="1" s="38"/>
    <row r="821" ht="14.25" customHeight="1" s="38"/>
    <row r="822" ht="14.25" customHeight="1" s="38"/>
    <row r="823" ht="14.25" customHeight="1" s="38"/>
    <row r="824" ht="14.25" customHeight="1" s="38"/>
    <row r="825" ht="14.25" customHeight="1" s="38"/>
    <row r="826" ht="14.25" customHeight="1" s="38"/>
    <row r="827" ht="14.25" customHeight="1" s="38"/>
    <row r="828" ht="14.25" customHeight="1" s="38"/>
    <row r="829" ht="14.25" customHeight="1" s="38"/>
    <row r="830" ht="14.25" customHeight="1" s="38"/>
    <row r="831" ht="14.25" customHeight="1" s="38"/>
    <row r="832" ht="14.25" customHeight="1" s="38"/>
    <row r="833" ht="14.25" customHeight="1" s="38"/>
    <row r="834" ht="14.25" customHeight="1" s="38"/>
    <row r="835" ht="14.25" customHeight="1" s="38"/>
    <row r="836" ht="14.25" customHeight="1" s="38"/>
    <row r="837" ht="14.25" customHeight="1" s="38"/>
    <row r="838" ht="14.25" customHeight="1" s="38"/>
    <row r="839" ht="14.25" customHeight="1" s="38"/>
    <row r="840" ht="14.25" customHeight="1" s="38"/>
    <row r="841" ht="14.25" customHeight="1" s="38"/>
    <row r="842" ht="14.25" customHeight="1" s="38"/>
    <row r="843" ht="14.25" customHeight="1" s="38"/>
    <row r="844" ht="14.25" customHeight="1" s="38"/>
    <row r="845" ht="14.25" customHeight="1" s="38"/>
    <row r="846" ht="14.25" customHeight="1" s="38"/>
    <row r="847" ht="14.25" customHeight="1" s="38"/>
    <row r="848" ht="14.25" customHeight="1" s="38"/>
    <row r="849" ht="14.25" customHeight="1" s="38"/>
    <row r="850" ht="14.25" customHeight="1" s="38"/>
    <row r="851" ht="14.25" customHeight="1" s="38"/>
    <row r="852" ht="14.25" customHeight="1" s="38"/>
    <row r="853" ht="14.25" customHeight="1" s="38"/>
    <row r="854" ht="14.25" customHeight="1" s="38"/>
    <row r="855" ht="14.25" customHeight="1" s="38"/>
    <row r="856" ht="14.25" customHeight="1" s="38"/>
    <row r="857" ht="14.25" customHeight="1" s="38"/>
    <row r="858" ht="14.25" customHeight="1" s="38"/>
    <row r="859" ht="14.25" customHeight="1" s="38"/>
    <row r="860" ht="14.25" customHeight="1" s="38"/>
    <row r="861" ht="14.25" customHeight="1" s="38"/>
    <row r="862" ht="14.25" customHeight="1" s="38"/>
    <row r="863" ht="14.25" customHeight="1" s="38"/>
    <row r="864" ht="14.25" customHeight="1" s="38"/>
    <row r="865" ht="14.25" customHeight="1" s="38"/>
    <row r="866" ht="14.25" customHeight="1" s="38"/>
    <row r="867" ht="14.25" customHeight="1" s="38"/>
    <row r="868" ht="14.25" customHeight="1" s="38"/>
    <row r="869" ht="14.25" customHeight="1" s="38"/>
    <row r="870" ht="14.25" customHeight="1" s="38"/>
    <row r="871" ht="14.25" customHeight="1" s="38"/>
    <row r="872" ht="14.25" customHeight="1" s="38"/>
    <row r="873" ht="14.25" customHeight="1" s="38"/>
    <row r="874" ht="14.25" customHeight="1" s="38"/>
    <row r="875" ht="14.25" customHeight="1" s="38"/>
    <row r="876" ht="14.25" customHeight="1" s="38"/>
    <row r="877" ht="14.25" customHeight="1" s="38"/>
    <row r="878" ht="14.25" customHeight="1" s="38"/>
    <row r="879" ht="14.25" customHeight="1" s="38"/>
    <row r="880" ht="14.25" customHeight="1" s="38"/>
    <row r="881" ht="14.25" customHeight="1" s="38"/>
    <row r="882" ht="14.25" customHeight="1" s="38"/>
    <row r="883" ht="14.25" customHeight="1" s="38"/>
    <row r="884" ht="14.25" customHeight="1" s="38"/>
    <row r="885" ht="14.25" customHeight="1" s="38"/>
    <row r="886" ht="14.25" customHeight="1" s="38"/>
    <row r="887" ht="14.25" customHeight="1" s="38"/>
    <row r="888" ht="14.25" customHeight="1" s="38"/>
    <row r="889" ht="14.25" customHeight="1" s="38"/>
    <row r="890" ht="14.25" customHeight="1" s="38"/>
    <row r="891" ht="14.25" customHeight="1" s="38"/>
    <row r="892" ht="14.25" customHeight="1" s="38"/>
    <row r="893" ht="14.25" customHeight="1" s="38"/>
    <row r="894" ht="14.25" customHeight="1" s="38"/>
    <row r="895" ht="14.25" customHeight="1" s="38"/>
    <row r="896" ht="14.25" customHeight="1" s="38"/>
    <row r="897" ht="14.25" customHeight="1" s="38"/>
    <row r="898" ht="14.25" customHeight="1" s="38"/>
    <row r="899" ht="14.25" customHeight="1" s="38"/>
    <row r="900" ht="14.25" customHeight="1" s="38"/>
    <row r="901" ht="14.25" customHeight="1" s="38"/>
    <row r="902" ht="14.25" customHeight="1" s="38"/>
    <row r="903" ht="14.25" customHeight="1" s="38"/>
    <row r="904" ht="14.25" customHeight="1" s="38"/>
    <row r="905" ht="14.25" customHeight="1" s="38"/>
    <row r="906" ht="14.25" customHeight="1" s="38"/>
    <row r="907" ht="14.25" customHeight="1" s="38"/>
    <row r="908" ht="14.25" customHeight="1" s="38"/>
    <row r="909" ht="14.25" customHeight="1" s="38"/>
    <row r="910" ht="14.25" customHeight="1" s="38"/>
    <row r="911" ht="14.25" customHeight="1" s="38"/>
    <row r="912" ht="14.25" customHeight="1" s="38"/>
    <row r="913" ht="14.25" customHeight="1" s="38"/>
    <row r="914" ht="14.25" customHeight="1" s="38"/>
    <row r="915" ht="14.25" customHeight="1" s="38"/>
    <row r="916" ht="14.25" customHeight="1" s="38"/>
    <row r="917" ht="14.25" customHeight="1" s="38"/>
    <row r="918" ht="14.25" customHeight="1" s="38"/>
    <row r="919" ht="14.25" customHeight="1" s="38"/>
    <row r="920" ht="14.25" customHeight="1" s="38"/>
    <row r="921" ht="14.25" customHeight="1" s="38"/>
    <row r="922" ht="14.25" customHeight="1" s="38"/>
    <row r="923" ht="14.25" customHeight="1" s="38"/>
    <row r="924" ht="14.25" customHeight="1" s="38"/>
    <row r="925" ht="14.25" customHeight="1" s="38"/>
    <row r="926" ht="14.25" customHeight="1" s="38"/>
    <row r="927" ht="14.25" customHeight="1" s="38"/>
    <row r="928" ht="14.25" customHeight="1" s="38"/>
    <row r="929" ht="14.25" customHeight="1" s="38"/>
    <row r="930" ht="14.25" customHeight="1" s="38"/>
    <row r="931" ht="14.25" customHeight="1" s="38"/>
    <row r="932" ht="14.25" customHeight="1" s="38"/>
    <row r="933" ht="14.25" customHeight="1" s="38"/>
    <row r="934" ht="14.25" customHeight="1" s="38"/>
    <row r="935" ht="14.25" customHeight="1" s="38"/>
    <row r="936" ht="14.25" customHeight="1" s="38"/>
    <row r="937" ht="14.25" customHeight="1" s="38"/>
    <row r="938" ht="14.25" customHeight="1" s="38"/>
    <row r="939" ht="14.25" customHeight="1" s="38"/>
    <row r="940" ht="14.25" customHeight="1" s="38"/>
    <row r="941" ht="14.25" customHeight="1" s="38"/>
    <row r="942" ht="14.25" customHeight="1" s="38"/>
    <row r="943" ht="14.25" customHeight="1" s="38"/>
    <row r="944" ht="14.25" customHeight="1" s="38"/>
    <row r="945" ht="14.25" customHeight="1" s="38"/>
    <row r="946" ht="14.25" customHeight="1" s="38"/>
    <row r="947" ht="14.25" customHeight="1" s="38"/>
    <row r="948" ht="14.25" customHeight="1" s="38"/>
    <row r="949" ht="14.25" customHeight="1" s="38"/>
    <row r="950" ht="14.25" customHeight="1" s="38"/>
    <row r="951" ht="14.25" customHeight="1" s="38"/>
    <row r="952" ht="14.25" customHeight="1" s="38"/>
    <row r="953" ht="14.25" customHeight="1" s="38"/>
    <row r="954" ht="14.25" customHeight="1" s="38"/>
    <row r="955" ht="14.25" customHeight="1" s="38"/>
    <row r="956" ht="14.25" customHeight="1" s="38"/>
    <row r="957" ht="14.25" customHeight="1" s="38"/>
    <row r="958" ht="14.25" customHeight="1" s="38"/>
    <row r="959" ht="14.25" customHeight="1" s="38"/>
    <row r="960" ht="14.25" customHeight="1" s="38"/>
    <row r="961" ht="14.25" customHeight="1" s="38"/>
    <row r="962" ht="14.25" customHeight="1" s="38"/>
    <row r="963" ht="14.25" customHeight="1" s="38"/>
    <row r="964" ht="14.25" customHeight="1" s="38"/>
    <row r="965" ht="14.25" customHeight="1" s="38"/>
    <row r="966" ht="14.25" customHeight="1" s="38"/>
    <row r="967" ht="14.25" customHeight="1" s="38"/>
    <row r="968" ht="14.25" customHeight="1" s="38"/>
    <row r="969" ht="14.25" customHeight="1" s="38"/>
    <row r="970" ht="14.25" customHeight="1" s="38"/>
    <row r="971" ht="14.25" customHeight="1" s="38"/>
    <row r="972" ht="14.25" customHeight="1" s="38"/>
    <row r="973" ht="14.25" customHeight="1" s="38"/>
    <row r="974" ht="14.25" customHeight="1" s="38"/>
    <row r="975" ht="14.25" customHeight="1" s="38"/>
    <row r="976" ht="14.25" customHeight="1" s="38"/>
    <row r="977" ht="14.25" customHeight="1" s="38"/>
    <row r="978" ht="14.25" customHeight="1" s="38"/>
    <row r="979" ht="14.25" customHeight="1" s="38"/>
    <row r="980" ht="14.25" customHeight="1" s="38"/>
    <row r="981" ht="14.25" customHeight="1" s="38"/>
    <row r="982" ht="14.25" customHeight="1" s="38"/>
    <row r="983" ht="14.25" customHeight="1" s="38"/>
    <row r="984" ht="14.25" customHeight="1" s="38"/>
    <row r="985" ht="14.25" customHeight="1" s="38"/>
    <row r="986" ht="14.25" customHeight="1" s="38"/>
    <row r="987" ht="14.25" customHeight="1" s="38"/>
    <row r="988" ht="14.25" customHeight="1" s="38"/>
    <row r="989" ht="14.25" customHeight="1" s="38"/>
    <row r="990" ht="14.25" customHeight="1" s="38"/>
    <row r="991" ht="14.25" customHeight="1" s="38"/>
    <row r="992" ht="14.25" customHeight="1" s="38"/>
    <row r="993" ht="14.25" customHeight="1" s="38"/>
    <row r="994" ht="14.25" customHeight="1" s="38"/>
    <row r="995" ht="14.25" customHeight="1" s="38"/>
    <row r="996" ht="14.25" customHeight="1" s="38"/>
    <row r="997" ht="14.25" customHeight="1" s="38"/>
    <row r="998" ht="14.25" customHeight="1" s="38"/>
    <row r="999" ht="14.25" customHeight="1" s="38"/>
    <row r="1000" ht="14.25" customHeight="1" s="38"/>
  </sheetData>
  <mergeCells count="1">
    <mergeCell ref="A1:C1"/>
  </mergeCells>
  <pageMargins left="0.25" right="0.25" top="0.35" bottom="0.35" header="0" footer="0"/>
  <pageSetup orientation="landscape" paperSize="9" fitToHeight="0"/>
  <headerFooter>
    <oddHeader/>
    <oddFooter>&amp;CParoki St. Klement I Sepinggan Balikpapan • Statistik 2026&amp;RHalaman &amp;P dari 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showGridLines="0" workbookViewId="0">
      <selection activeCell="A1" sqref="A1"/>
    </sheetView>
  </sheetViews>
  <sheetFormatPr baseColWidth="8" defaultColWidth="14.43" defaultRowHeight="15" customHeight="1"/>
  <cols>
    <col width="30" customWidth="1" style="38" min="1" max="9"/>
    <col width="9" customWidth="1" style="38" min="10" max="26"/>
  </cols>
  <sheetData>
    <row r="1" ht="14.25" customHeight="1" s="38">
      <c r="A1" s="7" t="inlineStr">
        <is>
          <t>Gender</t>
        </is>
      </c>
      <c r="B1" s="7" t="inlineStr">
        <is>
          <t>Agama</t>
        </is>
      </c>
      <c r="C1" s="7" t="inlineStr">
        <is>
          <t>Status Umat</t>
        </is>
      </c>
      <c r="D1" s="7" t="inlineStr">
        <is>
          <t>Jenis Mutasi</t>
        </is>
      </c>
      <c r="E1" s="7" t="inlineStr">
        <is>
          <t>Rute Mutasi</t>
        </is>
      </c>
      <c r="F1" s="7" t="inlineStr">
        <is>
          <t>Jenis Perkawinan</t>
        </is>
      </c>
      <c r="G1" s="7" t="inlineStr">
        <is>
          <t>Pembubaran</t>
        </is>
      </c>
      <c r="H1" s="7" t="inlineStr">
        <is>
          <t>Jalur Seminari/Biara</t>
        </is>
      </c>
      <c r="I1" s="7" t="inlineStr">
        <is>
          <t>Status Seminari</t>
        </is>
      </c>
    </row>
    <row r="2" ht="14.25" customHeight="1" s="38">
      <c r="A2" s="3" t="inlineStr">
        <is>
          <t>Pria/Laki-laki</t>
        </is>
      </c>
      <c r="B2" s="3" t="inlineStr">
        <is>
          <t>Katolik</t>
        </is>
      </c>
      <c r="C2" s="3" t="inlineStr">
        <is>
          <t>Aktif</t>
        </is>
      </c>
      <c r="D2" s="3" t="inlineStr">
        <is>
          <t>Masuk</t>
        </is>
      </c>
      <c r="E2" s="3" t="inlineStr">
        <is>
          <t>Paroki lain dalam keuskupan</t>
        </is>
      </c>
      <c r="F2" s="3" t="inlineStr">
        <is>
          <t>Keduanya Katolik</t>
        </is>
      </c>
      <c r="G2" s="3" t="inlineStr">
        <is>
          <t>Penguasa Gereja</t>
        </is>
      </c>
      <c r="H2" s="3" t="inlineStr">
        <is>
          <t>Seminari Menengah</t>
        </is>
      </c>
      <c r="I2" s="3" t="inlineStr">
        <is>
          <t>Mulai masuk 2026</t>
        </is>
      </c>
    </row>
    <row r="3" ht="14.25" customHeight="1" s="38">
      <c r="A3" s="3" t="inlineStr">
        <is>
          <t>Wanita/Perempuan</t>
        </is>
      </c>
      <c r="B3" s="3" t="inlineStr">
        <is>
          <t>Kristen Lain</t>
        </is>
      </c>
      <c r="C3" s="3" t="inlineStr">
        <is>
          <t>Meninggal</t>
        </is>
      </c>
      <c r="D3" s="3" t="inlineStr">
        <is>
          <t>Keluar</t>
        </is>
      </c>
      <c r="E3" s="3" t="inlineStr">
        <is>
          <t>Keuskupan lain</t>
        </is>
      </c>
      <c r="F3" s="3" t="inlineStr">
        <is>
          <t>Katolik dan Katekumen</t>
        </is>
      </c>
      <c r="G3" s="3" t="inlineStr">
        <is>
          <t>Catatan Sipil saja</t>
        </is>
      </c>
      <c r="H3" s="3" t="inlineStr">
        <is>
          <t>Seminari Tinggi/Frater</t>
        </is>
      </c>
      <c r="I3" s="3" t="inlineStr">
        <is>
          <t>Sedang belajar 2026</t>
        </is>
      </c>
    </row>
    <row r="4" ht="14.25" customHeight="1" s="38">
      <c r="B4" s="3" t="inlineStr">
        <is>
          <t>Islam</t>
        </is>
      </c>
      <c r="C4" s="3" t="inlineStr">
        <is>
          <t>Pindah Keluar</t>
        </is>
      </c>
      <c r="F4" s="3" t="inlineStr">
        <is>
          <t>Katolik dan Kristen Lain</t>
        </is>
      </c>
      <c r="G4" s="3" t="inlineStr">
        <is>
          <t>Lainnya</t>
        </is>
      </c>
      <c r="H4" s="3" t="inlineStr">
        <is>
          <t>Biara/Novisiat Bruder</t>
        </is>
      </c>
    </row>
    <row r="5" ht="14.25" customHeight="1" s="38">
      <c r="B5" s="3" t="inlineStr">
        <is>
          <t>Hindu</t>
        </is>
      </c>
      <c r="C5" s="3" t="inlineStr">
        <is>
          <t>Pindah Agama</t>
        </is>
      </c>
      <c r="F5" s="3" t="inlineStr">
        <is>
          <t>Katolik dan Non-Kristen</t>
        </is>
      </c>
      <c r="H5" s="3" t="inlineStr">
        <is>
          <t>Biara/Novisiat Suster</t>
        </is>
      </c>
    </row>
    <row r="6" ht="14.25" customHeight="1" s="38">
      <c r="B6" s="3" t="inlineStr">
        <is>
          <t>Buddha</t>
        </is>
      </c>
    </row>
    <row r="7" ht="14.25" customHeight="1" s="38">
      <c r="B7" s="3" t="inlineStr">
        <is>
          <t>Konghucu</t>
        </is>
      </c>
    </row>
    <row r="8" ht="14.25" customHeight="1" s="38">
      <c r="B8" s="3" t="inlineStr">
        <is>
          <t>Lain-lain</t>
        </is>
      </c>
    </row>
    <row r="9" ht="14.25" customHeight="1" s="38"/>
    <row r="10" ht="14.25" customHeight="1" s="38"/>
    <row r="11" ht="14.25" customHeight="1" s="38">
      <c r="B11" s="3" t="inlineStr">
        <is>
          <t>St. Andreas Rasul</t>
        </is>
      </c>
    </row>
    <row r="12" ht="14.25" customHeight="1" s="38">
      <c r="B12" s="3" t="inlineStr">
        <is>
          <t>St. Fransiskus Asisi</t>
        </is>
      </c>
    </row>
    <row r="13" ht="14.25" customHeight="1" s="38">
      <c r="B13" s="3" t="inlineStr">
        <is>
          <t>St. Maria Ratu Rosari</t>
        </is>
      </c>
    </row>
    <row r="14" ht="14.25" customHeight="1" s="38">
      <c r="B14" s="3" t="inlineStr">
        <is>
          <t>St. Albertus</t>
        </is>
      </c>
    </row>
    <row r="15" ht="14.25" customHeight="1" s="38">
      <c r="B15" s="3" t="inlineStr">
        <is>
          <t>St. Maria Salve Regina</t>
        </is>
      </c>
    </row>
    <row r="16" ht="14.25" customHeight="1" s="38">
      <c r="B16" s="3" t="inlineStr">
        <is>
          <t>St. Anna</t>
        </is>
      </c>
    </row>
    <row r="17" ht="14.25" customHeight="1" s="38">
      <c r="B17" s="3" t="inlineStr">
        <is>
          <t>St. Clara</t>
        </is>
      </c>
    </row>
    <row r="18" ht="14.25" customHeight="1" s="38">
      <c r="B18" s="3" t="inlineStr">
        <is>
          <t>St. Monica</t>
        </is>
      </c>
    </row>
    <row r="19" ht="14.25" customHeight="1" s="38">
      <c r="B19" s="3" t="inlineStr">
        <is>
          <t>St. Theresia dari Lisieux</t>
        </is>
      </c>
    </row>
    <row r="20" ht="14.25" customHeight="1" s="38">
      <c r="B20" s="3" t="inlineStr">
        <is>
          <t>St. Theresia dari Avilla</t>
        </is>
      </c>
    </row>
    <row r="21" ht="14.25" customHeight="1" s="38">
      <c r="B21" s="3" t="inlineStr">
        <is>
          <t>St. Gabriel</t>
        </is>
      </c>
    </row>
    <row r="22" ht="14.25" customHeight="1" s="38">
      <c r="B22" s="3" t="inlineStr">
        <is>
          <t>St. Maria La Salet</t>
        </is>
      </c>
    </row>
    <row r="23" ht="14.25" customHeight="1" s="38">
      <c r="B23" s="3" t="inlineStr">
        <is>
          <t>St. Maria Immacula</t>
        </is>
      </c>
    </row>
    <row r="24" ht="14.25" customHeight="1" s="38">
      <c r="B24" s="3" t="inlineStr">
        <is>
          <t>St. Lukas Penginji</t>
        </is>
      </c>
    </row>
    <row r="25" ht="14.25" customHeight="1" s="38">
      <c r="B25" s="3" t="inlineStr">
        <is>
          <t>St. Yosef Pekerja</t>
        </is>
      </c>
    </row>
    <row r="26" ht="14.25" customHeight="1" s="38">
      <c r="B26" s="3" t="inlineStr">
        <is>
          <t>Stasi Argosari</t>
        </is>
      </c>
    </row>
    <row r="27" ht="14.25" customHeight="1" s="38">
      <c r="B27" s="3" t="inlineStr">
        <is>
          <t>Stasi Handil</t>
        </is>
      </c>
    </row>
    <row r="28" ht="14.25" customHeight="1" s="38"/>
    <row r="29" ht="14.25" customHeight="1" s="38"/>
    <row r="30" ht="14.25" customHeight="1" s="38"/>
    <row r="31" ht="14.25" customHeight="1" s="38"/>
    <row r="32" ht="14.25" customHeight="1" s="38"/>
    <row r="33" ht="14.25" customHeight="1" s="38"/>
    <row r="34" ht="14.25" customHeight="1" s="38"/>
    <row r="35" ht="14.25" customHeight="1" s="38"/>
    <row r="36" ht="14.25" customHeight="1" s="38"/>
    <row r="37" ht="14.25" customHeight="1" s="38"/>
    <row r="38" ht="14.25" customHeight="1" s="38"/>
    <row r="39" ht="14.25" customHeight="1" s="38"/>
    <row r="40" ht="14.25" customHeight="1" s="38"/>
    <row r="41" ht="14.25" customHeight="1" s="38"/>
    <row r="42" ht="14.25" customHeight="1" s="38"/>
    <row r="43" ht="14.25" customHeight="1" s="38"/>
    <row r="44" ht="14.25" customHeight="1" s="38"/>
    <row r="45" ht="14.25" customHeight="1" s="38"/>
    <row r="46" ht="14.25" customHeight="1" s="38"/>
    <row r="47" ht="14.25" customHeight="1" s="38"/>
    <row r="48" ht="14.25" customHeight="1" s="38"/>
    <row r="49" ht="14.25" customHeight="1" s="38"/>
    <row r="50" ht="14.25" customHeight="1" s="38"/>
    <row r="51" ht="14.25" customHeight="1" s="38"/>
    <row r="52" ht="14.25" customHeight="1" s="38"/>
    <row r="53" ht="14.25" customHeight="1" s="38"/>
    <row r="54" ht="14.25" customHeight="1" s="38"/>
    <row r="55" ht="14.25" customHeight="1" s="38"/>
    <row r="56" ht="14.25" customHeight="1" s="38"/>
    <row r="57" ht="14.25" customHeight="1" s="38"/>
    <row r="58" ht="14.25" customHeight="1" s="38"/>
    <row r="59" ht="14.25" customHeight="1" s="38"/>
    <row r="60" ht="14.25" customHeight="1" s="38"/>
    <row r="61" ht="14.25" customHeight="1" s="38"/>
    <row r="62" ht="14.25" customHeight="1" s="38"/>
    <row r="63" ht="14.25" customHeight="1" s="38"/>
    <row r="64" ht="14.25" customHeight="1" s="38"/>
    <row r="65" ht="14.25" customHeight="1" s="38"/>
    <row r="66" ht="14.25" customHeight="1" s="38"/>
    <row r="67" ht="14.25" customHeight="1" s="38"/>
    <row r="68" ht="14.25" customHeight="1" s="38"/>
    <row r="69" ht="14.25" customHeight="1" s="38"/>
    <row r="70" ht="14.25" customHeight="1" s="38"/>
    <row r="71" ht="14.25" customHeight="1" s="38"/>
    <row r="72" ht="14.25" customHeight="1" s="38"/>
    <row r="73" ht="14.25" customHeight="1" s="38"/>
    <row r="74" ht="14.25" customHeight="1" s="38"/>
    <row r="75" ht="14.25" customHeight="1" s="38"/>
    <row r="76" ht="14.25" customHeight="1" s="38"/>
    <row r="77" ht="14.25" customHeight="1" s="38"/>
    <row r="78" ht="14.25" customHeight="1" s="38"/>
    <row r="79" ht="14.25" customHeight="1" s="38"/>
    <row r="80" ht="14.25" customHeight="1" s="38"/>
    <row r="81" ht="14.25" customHeight="1" s="38"/>
    <row r="82" ht="14.25" customHeight="1" s="38"/>
    <row r="83" ht="14.25" customHeight="1" s="38"/>
    <row r="84" ht="14.25" customHeight="1" s="38"/>
    <row r="85" ht="14.25" customHeight="1" s="38"/>
    <row r="86" ht="14.25" customHeight="1" s="38"/>
    <row r="87" ht="14.25" customHeight="1" s="38"/>
    <row r="88" ht="14.25" customHeight="1" s="38"/>
    <row r="89" ht="14.25" customHeight="1" s="38"/>
    <row r="90" ht="14.25" customHeight="1" s="38"/>
    <row r="91" ht="14.25" customHeight="1" s="38"/>
    <row r="92" ht="14.25" customHeight="1" s="38"/>
    <row r="93" ht="14.25" customHeight="1" s="38"/>
    <row r="94" ht="14.25" customHeight="1" s="38"/>
    <row r="95" ht="14.25" customHeight="1" s="38"/>
    <row r="96" ht="14.25" customHeight="1" s="38"/>
    <row r="97" ht="14.25" customHeight="1" s="38"/>
    <row r="98" ht="14.25" customHeight="1" s="38"/>
    <row r="99" ht="14.25" customHeight="1" s="38"/>
    <row r="100" ht="14.25" customHeight="1" s="38"/>
    <row r="101" ht="14.25" customHeight="1" s="38"/>
    <row r="102" ht="14.25" customHeight="1" s="38"/>
    <row r="103" ht="14.25" customHeight="1" s="38"/>
    <row r="104" ht="14.25" customHeight="1" s="38"/>
    <row r="105" ht="14.25" customHeight="1" s="38"/>
    <row r="106" ht="14.25" customHeight="1" s="38"/>
    <row r="107" ht="14.25" customHeight="1" s="38"/>
    <row r="108" ht="14.25" customHeight="1" s="38"/>
    <row r="109" ht="14.25" customHeight="1" s="38"/>
    <row r="110" ht="14.25" customHeight="1" s="38"/>
    <row r="111" ht="14.25" customHeight="1" s="38"/>
    <row r="112" ht="14.25" customHeight="1" s="38"/>
    <row r="113" ht="14.25" customHeight="1" s="38"/>
    <row r="114" ht="14.25" customHeight="1" s="38"/>
    <row r="115" ht="14.25" customHeight="1" s="38"/>
    <row r="116" ht="14.25" customHeight="1" s="38"/>
    <row r="117" ht="14.25" customHeight="1" s="38"/>
    <row r="118" ht="14.25" customHeight="1" s="38"/>
    <row r="119" ht="14.25" customHeight="1" s="38"/>
    <row r="120" ht="14.25" customHeight="1" s="38"/>
    <row r="121" ht="14.25" customHeight="1" s="38"/>
    <row r="122" ht="14.25" customHeight="1" s="38"/>
    <row r="123" ht="14.25" customHeight="1" s="38"/>
    <row r="124" ht="14.25" customHeight="1" s="38"/>
    <row r="125" ht="14.25" customHeight="1" s="38"/>
    <row r="126" ht="14.25" customHeight="1" s="38"/>
    <row r="127" ht="14.25" customHeight="1" s="38"/>
    <row r="128" ht="14.25" customHeight="1" s="38"/>
    <row r="129" ht="14.25" customHeight="1" s="38"/>
    <row r="130" ht="14.25" customHeight="1" s="38"/>
    <row r="131" ht="14.25" customHeight="1" s="38"/>
    <row r="132" ht="14.25" customHeight="1" s="38"/>
    <row r="133" ht="14.25" customHeight="1" s="38"/>
    <row r="134" ht="14.25" customHeight="1" s="38"/>
    <row r="135" ht="14.25" customHeight="1" s="38"/>
    <row r="136" ht="14.25" customHeight="1" s="38"/>
    <row r="137" ht="14.25" customHeight="1" s="38"/>
    <row r="138" ht="14.25" customHeight="1" s="38"/>
    <row r="139" ht="14.25" customHeight="1" s="38"/>
    <row r="140" ht="14.25" customHeight="1" s="38"/>
    <row r="141" ht="14.25" customHeight="1" s="38"/>
    <row r="142" ht="14.25" customHeight="1" s="38"/>
    <row r="143" ht="14.25" customHeight="1" s="38"/>
    <row r="144" ht="14.25" customHeight="1" s="38"/>
    <row r="145" ht="14.25" customHeight="1" s="38"/>
    <row r="146" ht="14.25" customHeight="1" s="38"/>
    <row r="147" ht="14.25" customHeight="1" s="38"/>
    <row r="148" ht="14.25" customHeight="1" s="38"/>
    <row r="149" ht="14.25" customHeight="1" s="38"/>
    <row r="150" ht="14.25" customHeight="1" s="38"/>
    <row r="151" ht="14.25" customHeight="1" s="38"/>
    <row r="152" ht="14.25" customHeight="1" s="38"/>
    <row r="153" ht="14.25" customHeight="1" s="38"/>
    <row r="154" ht="14.25" customHeight="1" s="38"/>
    <row r="155" ht="14.25" customHeight="1" s="38"/>
    <row r="156" ht="14.25" customHeight="1" s="38"/>
    <row r="157" ht="14.25" customHeight="1" s="38"/>
    <row r="158" ht="14.25" customHeight="1" s="38"/>
    <row r="159" ht="14.25" customHeight="1" s="38"/>
    <row r="160" ht="14.25" customHeight="1" s="38"/>
    <row r="161" ht="14.25" customHeight="1" s="38"/>
    <row r="162" ht="14.25" customHeight="1" s="38"/>
    <row r="163" ht="14.25" customHeight="1" s="38"/>
    <row r="164" ht="14.25" customHeight="1" s="38"/>
    <row r="165" ht="14.25" customHeight="1" s="38"/>
    <row r="166" ht="14.25" customHeight="1" s="38"/>
    <row r="167" ht="14.25" customHeight="1" s="38"/>
    <row r="168" ht="14.25" customHeight="1" s="38"/>
    <row r="169" ht="14.25" customHeight="1" s="38"/>
    <row r="170" ht="14.25" customHeight="1" s="38"/>
    <row r="171" ht="14.25" customHeight="1" s="38"/>
    <row r="172" ht="14.25" customHeight="1" s="38"/>
    <row r="173" ht="14.25" customHeight="1" s="38"/>
    <row r="174" ht="14.25" customHeight="1" s="38"/>
    <row r="175" ht="14.25" customHeight="1" s="38"/>
    <row r="176" ht="14.25" customHeight="1" s="38"/>
    <row r="177" ht="14.25" customHeight="1" s="38"/>
    <row r="178" ht="14.25" customHeight="1" s="38"/>
    <row r="179" ht="14.25" customHeight="1" s="38"/>
    <row r="180" ht="14.25" customHeight="1" s="38"/>
    <row r="181" ht="14.25" customHeight="1" s="38"/>
    <row r="182" ht="14.25" customHeight="1" s="38"/>
    <row r="183" ht="14.25" customHeight="1" s="38"/>
    <row r="184" ht="14.25" customHeight="1" s="38"/>
    <row r="185" ht="14.25" customHeight="1" s="38"/>
    <row r="186" ht="14.25" customHeight="1" s="38"/>
    <row r="187" ht="14.25" customHeight="1" s="38"/>
    <row r="188" ht="14.25" customHeight="1" s="38"/>
    <row r="189" ht="14.25" customHeight="1" s="38"/>
    <row r="190" ht="14.25" customHeight="1" s="38"/>
    <row r="191" ht="14.25" customHeight="1" s="38"/>
    <row r="192" ht="14.25" customHeight="1" s="38"/>
    <row r="193" ht="14.25" customHeight="1" s="38"/>
    <row r="194" ht="14.25" customHeight="1" s="38"/>
    <row r="195" ht="14.25" customHeight="1" s="38"/>
    <row r="196" ht="14.25" customHeight="1" s="38"/>
    <row r="197" ht="14.25" customHeight="1" s="38"/>
    <row r="198" ht="14.25" customHeight="1" s="38"/>
    <row r="199" ht="14.25" customHeight="1" s="38"/>
    <row r="200" ht="14.25" customHeight="1" s="38"/>
    <row r="201" ht="14.25" customHeight="1" s="38"/>
    <row r="202" ht="14.25" customHeight="1" s="38"/>
    <row r="203" ht="14.25" customHeight="1" s="38"/>
    <row r="204" ht="14.25" customHeight="1" s="38"/>
    <row r="205" ht="14.25" customHeight="1" s="38"/>
    <row r="206" ht="14.25" customHeight="1" s="38"/>
    <row r="207" ht="14.25" customHeight="1" s="38"/>
    <row r="208" ht="14.25" customHeight="1" s="38"/>
    <row r="209" ht="14.25" customHeight="1" s="38"/>
    <row r="210" ht="14.25" customHeight="1" s="38"/>
    <row r="211" ht="14.25" customHeight="1" s="38"/>
    <row r="212" ht="14.25" customHeight="1" s="38"/>
    <row r="213" ht="14.25" customHeight="1" s="38"/>
    <row r="214" ht="14.25" customHeight="1" s="38"/>
    <row r="215" ht="14.25" customHeight="1" s="38"/>
    <row r="216" ht="14.25" customHeight="1" s="38"/>
    <row r="217" ht="14.25" customHeight="1" s="38"/>
    <row r="218" ht="14.25" customHeight="1" s="38"/>
    <row r="219" ht="14.25" customHeight="1" s="38"/>
    <row r="220" ht="14.25" customHeight="1" s="38"/>
    <row r="221" ht="14.25" customHeight="1" s="38"/>
    <row r="222" ht="14.25" customHeight="1" s="38"/>
    <row r="223" ht="14.25" customHeight="1" s="38"/>
    <row r="224" ht="14.25" customHeight="1" s="38"/>
    <row r="225" ht="14.25" customHeight="1" s="38"/>
    <row r="226" ht="14.25" customHeight="1" s="38"/>
    <row r="227" ht="14.25" customHeight="1" s="38"/>
    <row r="228" ht="14.25" customHeight="1" s="38"/>
    <row r="229" ht="14.25" customHeight="1" s="38"/>
    <row r="230" ht="14.25" customHeight="1" s="38"/>
    <row r="231" ht="14.25" customHeight="1" s="38"/>
    <row r="232" ht="14.25" customHeight="1" s="38"/>
    <row r="233" ht="14.25" customHeight="1" s="38"/>
    <row r="234" ht="14.25" customHeight="1" s="38"/>
    <row r="235" ht="14.25" customHeight="1" s="38"/>
    <row r="236" ht="14.25" customHeight="1" s="38"/>
    <row r="237" ht="14.25" customHeight="1" s="38"/>
    <row r="238" ht="14.25" customHeight="1" s="38"/>
    <row r="239" ht="14.25" customHeight="1" s="38"/>
    <row r="240" ht="14.25" customHeight="1" s="38"/>
    <row r="241" ht="14.25" customHeight="1" s="38"/>
    <row r="242" ht="14.25" customHeight="1" s="38"/>
    <row r="243" ht="14.25" customHeight="1" s="38"/>
    <row r="244" ht="14.25" customHeight="1" s="38"/>
    <row r="245" ht="14.25" customHeight="1" s="38"/>
    <row r="246" ht="14.25" customHeight="1" s="38"/>
    <row r="247" ht="14.25" customHeight="1" s="38"/>
    <row r="248" ht="14.25" customHeight="1" s="38"/>
    <row r="249" ht="14.25" customHeight="1" s="38"/>
    <row r="250" ht="14.25" customHeight="1" s="38"/>
    <row r="251" ht="14.25" customHeight="1" s="38"/>
    <row r="252" ht="14.25" customHeight="1" s="38"/>
    <row r="253" ht="14.25" customHeight="1" s="38"/>
    <row r="254" ht="14.25" customHeight="1" s="38"/>
    <row r="255" ht="14.25" customHeight="1" s="38"/>
    <row r="256" ht="14.25" customHeight="1" s="38"/>
    <row r="257" ht="14.25" customHeight="1" s="38"/>
    <row r="258" ht="14.25" customHeight="1" s="38"/>
    <row r="259" ht="14.25" customHeight="1" s="38"/>
    <row r="260" ht="14.25" customHeight="1" s="38"/>
    <row r="261" ht="14.25" customHeight="1" s="38"/>
    <row r="262" ht="14.25" customHeight="1" s="38"/>
    <row r="263" ht="14.25" customHeight="1" s="38"/>
    <row r="264" ht="14.25" customHeight="1" s="38"/>
    <row r="265" ht="14.25" customHeight="1" s="38"/>
    <row r="266" ht="14.25" customHeight="1" s="38"/>
    <row r="267" ht="14.25" customHeight="1" s="38"/>
    <row r="268" ht="14.25" customHeight="1" s="38"/>
    <row r="269" ht="14.25" customHeight="1" s="38"/>
    <row r="270" ht="14.25" customHeight="1" s="38"/>
    <row r="271" ht="14.25" customHeight="1" s="38"/>
    <row r="272" ht="14.25" customHeight="1" s="38"/>
    <row r="273" ht="14.25" customHeight="1" s="38"/>
    <row r="274" ht="14.25" customHeight="1" s="38"/>
    <row r="275" ht="14.25" customHeight="1" s="38"/>
    <row r="276" ht="14.25" customHeight="1" s="38"/>
    <row r="277" ht="14.25" customHeight="1" s="38"/>
    <row r="278" ht="14.25" customHeight="1" s="38"/>
    <row r="279" ht="14.25" customHeight="1" s="38"/>
    <row r="280" ht="14.25" customHeight="1" s="38"/>
    <row r="281" ht="14.25" customHeight="1" s="38"/>
    <row r="282" ht="14.25" customHeight="1" s="38"/>
    <row r="283" ht="14.25" customHeight="1" s="38"/>
    <row r="284" ht="14.25" customHeight="1" s="38"/>
    <row r="285" ht="14.25" customHeight="1" s="38"/>
    <row r="286" ht="14.25" customHeight="1" s="38"/>
    <row r="287" ht="14.25" customHeight="1" s="38"/>
    <row r="288" ht="14.25" customHeight="1" s="38"/>
    <row r="289" ht="14.25" customHeight="1" s="38"/>
    <row r="290" ht="14.25" customHeight="1" s="38"/>
    <row r="291" ht="14.25" customHeight="1" s="38"/>
    <row r="292" ht="14.25" customHeight="1" s="38"/>
    <row r="293" ht="14.25" customHeight="1" s="38"/>
    <row r="294" ht="14.25" customHeight="1" s="38"/>
    <row r="295" ht="14.25" customHeight="1" s="38"/>
    <row r="296" ht="14.25" customHeight="1" s="38"/>
    <row r="297" ht="14.25" customHeight="1" s="38"/>
    <row r="298" ht="14.25" customHeight="1" s="38"/>
    <row r="299" ht="14.25" customHeight="1" s="38"/>
    <row r="300" ht="14.25" customHeight="1" s="38"/>
    <row r="301" ht="14.25" customHeight="1" s="38"/>
    <row r="302" ht="14.25" customHeight="1" s="38"/>
    <row r="303" ht="14.25" customHeight="1" s="38"/>
    <row r="304" ht="14.25" customHeight="1" s="38"/>
    <row r="305" ht="14.25" customHeight="1" s="38"/>
    <row r="306" ht="14.25" customHeight="1" s="38"/>
    <row r="307" ht="14.25" customHeight="1" s="38"/>
    <row r="308" ht="14.25" customHeight="1" s="38"/>
    <row r="309" ht="14.25" customHeight="1" s="38"/>
    <row r="310" ht="14.25" customHeight="1" s="38"/>
    <row r="311" ht="14.25" customHeight="1" s="38"/>
    <row r="312" ht="14.25" customHeight="1" s="38"/>
    <row r="313" ht="14.25" customHeight="1" s="38"/>
    <row r="314" ht="14.25" customHeight="1" s="38"/>
    <row r="315" ht="14.25" customHeight="1" s="38"/>
    <row r="316" ht="14.25" customHeight="1" s="38"/>
    <row r="317" ht="14.25" customHeight="1" s="38"/>
    <row r="318" ht="14.25" customHeight="1" s="38"/>
    <row r="319" ht="14.25" customHeight="1" s="38"/>
    <row r="320" ht="14.25" customHeight="1" s="38"/>
    <row r="321" ht="14.25" customHeight="1" s="38"/>
    <row r="322" ht="14.25" customHeight="1" s="38"/>
    <row r="323" ht="14.25" customHeight="1" s="38"/>
    <row r="324" ht="14.25" customHeight="1" s="38"/>
    <row r="325" ht="14.25" customHeight="1" s="38"/>
    <row r="326" ht="14.25" customHeight="1" s="38"/>
    <row r="327" ht="14.25" customHeight="1" s="38"/>
    <row r="328" ht="14.25" customHeight="1" s="38"/>
    <row r="329" ht="14.25" customHeight="1" s="38"/>
    <row r="330" ht="14.25" customHeight="1" s="38"/>
    <row r="331" ht="14.25" customHeight="1" s="38"/>
    <row r="332" ht="14.25" customHeight="1" s="38"/>
    <row r="333" ht="14.25" customHeight="1" s="38"/>
    <row r="334" ht="14.25" customHeight="1" s="38"/>
    <row r="335" ht="14.25" customHeight="1" s="38"/>
    <row r="336" ht="14.25" customHeight="1" s="38"/>
    <row r="337" ht="14.25" customHeight="1" s="38"/>
    <row r="338" ht="14.25" customHeight="1" s="38"/>
    <row r="339" ht="14.25" customHeight="1" s="38"/>
    <row r="340" ht="14.25" customHeight="1" s="38"/>
    <row r="341" ht="14.25" customHeight="1" s="38"/>
    <row r="342" ht="14.25" customHeight="1" s="38"/>
    <row r="343" ht="14.25" customHeight="1" s="38"/>
    <row r="344" ht="14.25" customHeight="1" s="38"/>
    <row r="345" ht="14.25" customHeight="1" s="38"/>
    <row r="346" ht="14.25" customHeight="1" s="38"/>
    <row r="347" ht="14.25" customHeight="1" s="38"/>
    <row r="348" ht="14.25" customHeight="1" s="38"/>
    <row r="349" ht="14.25" customHeight="1" s="38"/>
    <row r="350" ht="14.25" customHeight="1" s="38"/>
    <row r="351" ht="14.25" customHeight="1" s="38"/>
    <row r="352" ht="14.25" customHeight="1" s="38"/>
    <row r="353" ht="14.25" customHeight="1" s="38"/>
    <row r="354" ht="14.25" customHeight="1" s="38"/>
    <row r="355" ht="14.25" customHeight="1" s="38"/>
    <row r="356" ht="14.25" customHeight="1" s="38"/>
    <row r="357" ht="14.25" customHeight="1" s="38"/>
    <row r="358" ht="14.25" customHeight="1" s="38"/>
    <row r="359" ht="14.25" customHeight="1" s="38"/>
    <row r="360" ht="14.25" customHeight="1" s="38"/>
    <row r="361" ht="14.25" customHeight="1" s="38"/>
    <row r="362" ht="14.25" customHeight="1" s="38"/>
    <row r="363" ht="14.25" customHeight="1" s="38"/>
    <row r="364" ht="14.25" customHeight="1" s="38"/>
    <row r="365" ht="14.25" customHeight="1" s="38"/>
    <row r="366" ht="14.25" customHeight="1" s="38"/>
    <row r="367" ht="14.25" customHeight="1" s="38"/>
    <row r="368" ht="14.25" customHeight="1" s="38"/>
    <row r="369" ht="14.25" customHeight="1" s="38"/>
    <row r="370" ht="14.25" customHeight="1" s="38"/>
    <row r="371" ht="14.25" customHeight="1" s="38"/>
    <row r="372" ht="14.25" customHeight="1" s="38"/>
    <row r="373" ht="14.25" customHeight="1" s="38"/>
    <row r="374" ht="14.25" customHeight="1" s="38"/>
    <row r="375" ht="14.25" customHeight="1" s="38"/>
    <row r="376" ht="14.25" customHeight="1" s="38"/>
    <row r="377" ht="14.25" customHeight="1" s="38"/>
    <row r="378" ht="14.25" customHeight="1" s="38"/>
    <row r="379" ht="14.25" customHeight="1" s="38"/>
    <row r="380" ht="14.25" customHeight="1" s="38"/>
    <row r="381" ht="14.25" customHeight="1" s="38"/>
    <row r="382" ht="14.25" customHeight="1" s="38"/>
    <row r="383" ht="14.25" customHeight="1" s="38"/>
    <row r="384" ht="14.25" customHeight="1" s="38"/>
    <row r="385" ht="14.25" customHeight="1" s="38"/>
    <row r="386" ht="14.25" customHeight="1" s="38"/>
    <row r="387" ht="14.25" customHeight="1" s="38"/>
    <row r="388" ht="14.25" customHeight="1" s="38"/>
    <row r="389" ht="14.25" customHeight="1" s="38"/>
    <row r="390" ht="14.25" customHeight="1" s="38"/>
    <row r="391" ht="14.25" customHeight="1" s="38"/>
    <row r="392" ht="14.25" customHeight="1" s="38"/>
    <row r="393" ht="14.25" customHeight="1" s="38"/>
    <row r="394" ht="14.25" customHeight="1" s="38"/>
    <row r="395" ht="14.25" customHeight="1" s="38"/>
    <row r="396" ht="14.25" customHeight="1" s="38"/>
    <row r="397" ht="14.25" customHeight="1" s="38"/>
    <row r="398" ht="14.25" customHeight="1" s="38"/>
    <row r="399" ht="14.25" customHeight="1" s="38"/>
    <row r="400" ht="14.25" customHeight="1" s="38"/>
    <row r="401" ht="14.25" customHeight="1" s="38"/>
    <row r="402" ht="14.25" customHeight="1" s="38"/>
    <row r="403" ht="14.25" customHeight="1" s="38"/>
    <row r="404" ht="14.25" customHeight="1" s="38"/>
    <row r="405" ht="14.25" customHeight="1" s="38"/>
    <row r="406" ht="14.25" customHeight="1" s="38"/>
    <row r="407" ht="14.25" customHeight="1" s="38"/>
    <row r="408" ht="14.25" customHeight="1" s="38"/>
    <row r="409" ht="14.25" customHeight="1" s="38"/>
    <row r="410" ht="14.25" customHeight="1" s="38"/>
    <row r="411" ht="14.25" customHeight="1" s="38"/>
    <row r="412" ht="14.25" customHeight="1" s="38"/>
    <row r="413" ht="14.25" customHeight="1" s="38"/>
    <row r="414" ht="14.25" customHeight="1" s="38"/>
    <row r="415" ht="14.25" customHeight="1" s="38"/>
    <row r="416" ht="14.25" customHeight="1" s="38"/>
    <row r="417" ht="14.25" customHeight="1" s="38"/>
    <row r="418" ht="14.25" customHeight="1" s="38"/>
    <row r="419" ht="14.25" customHeight="1" s="38"/>
    <row r="420" ht="14.25" customHeight="1" s="38"/>
    <row r="421" ht="14.25" customHeight="1" s="38"/>
    <row r="422" ht="14.25" customHeight="1" s="38"/>
    <row r="423" ht="14.25" customHeight="1" s="38"/>
    <row r="424" ht="14.25" customHeight="1" s="38"/>
    <row r="425" ht="14.25" customHeight="1" s="38"/>
    <row r="426" ht="14.25" customHeight="1" s="38"/>
    <row r="427" ht="14.25" customHeight="1" s="38"/>
    <row r="428" ht="14.25" customHeight="1" s="38"/>
    <row r="429" ht="14.25" customHeight="1" s="38"/>
    <row r="430" ht="14.25" customHeight="1" s="38"/>
    <row r="431" ht="14.25" customHeight="1" s="38"/>
    <row r="432" ht="14.25" customHeight="1" s="38"/>
    <row r="433" ht="14.25" customHeight="1" s="38"/>
    <row r="434" ht="14.25" customHeight="1" s="38"/>
    <row r="435" ht="14.25" customHeight="1" s="38"/>
    <row r="436" ht="14.25" customHeight="1" s="38"/>
    <row r="437" ht="14.25" customHeight="1" s="38"/>
    <row r="438" ht="14.25" customHeight="1" s="38"/>
    <row r="439" ht="14.25" customHeight="1" s="38"/>
    <row r="440" ht="14.25" customHeight="1" s="38"/>
    <row r="441" ht="14.25" customHeight="1" s="38"/>
    <row r="442" ht="14.25" customHeight="1" s="38"/>
    <row r="443" ht="14.25" customHeight="1" s="38"/>
    <row r="444" ht="14.25" customHeight="1" s="38"/>
    <row r="445" ht="14.25" customHeight="1" s="38"/>
    <row r="446" ht="14.25" customHeight="1" s="38"/>
    <row r="447" ht="14.25" customHeight="1" s="38"/>
    <row r="448" ht="14.25" customHeight="1" s="38"/>
    <row r="449" ht="14.25" customHeight="1" s="38"/>
    <row r="450" ht="14.25" customHeight="1" s="38"/>
    <row r="451" ht="14.25" customHeight="1" s="38"/>
    <row r="452" ht="14.25" customHeight="1" s="38"/>
    <row r="453" ht="14.25" customHeight="1" s="38"/>
    <row r="454" ht="14.25" customHeight="1" s="38"/>
    <row r="455" ht="14.25" customHeight="1" s="38"/>
    <row r="456" ht="14.25" customHeight="1" s="38"/>
    <row r="457" ht="14.25" customHeight="1" s="38"/>
    <row r="458" ht="14.25" customHeight="1" s="38"/>
    <row r="459" ht="14.25" customHeight="1" s="38"/>
    <row r="460" ht="14.25" customHeight="1" s="38"/>
    <row r="461" ht="14.25" customHeight="1" s="38"/>
    <row r="462" ht="14.25" customHeight="1" s="38"/>
    <row r="463" ht="14.25" customHeight="1" s="38"/>
    <row r="464" ht="14.25" customHeight="1" s="38"/>
    <row r="465" ht="14.25" customHeight="1" s="38"/>
    <row r="466" ht="14.25" customHeight="1" s="38"/>
    <row r="467" ht="14.25" customHeight="1" s="38"/>
    <row r="468" ht="14.25" customHeight="1" s="38"/>
    <row r="469" ht="14.25" customHeight="1" s="38"/>
    <row r="470" ht="14.25" customHeight="1" s="38"/>
    <row r="471" ht="14.25" customHeight="1" s="38"/>
    <row r="472" ht="14.25" customHeight="1" s="38"/>
    <row r="473" ht="14.25" customHeight="1" s="38"/>
    <row r="474" ht="14.25" customHeight="1" s="38"/>
    <row r="475" ht="14.25" customHeight="1" s="38"/>
    <row r="476" ht="14.25" customHeight="1" s="38"/>
    <row r="477" ht="14.25" customHeight="1" s="38"/>
    <row r="478" ht="14.25" customHeight="1" s="38"/>
    <row r="479" ht="14.25" customHeight="1" s="38"/>
    <row r="480" ht="14.25" customHeight="1" s="38"/>
    <row r="481" ht="14.25" customHeight="1" s="38"/>
    <row r="482" ht="14.25" customHeight="1" s="38"/>
    <row r="483" ht="14.25" customHeight="1" s="38"/>
    <row r="484" ht="14.25" customHeight="1" s="38"/>
    <row r="485" ht="14.25" customHeight="1" s="38"/>
    <row r="486" ht="14.25" customHeight="1" s="38"/>
    <row r="487" ht="14.25" customHeight="1" s="38"/>
    <row r="488" ht="14.25" customHeight="1" s="38"/>
    <row r="489" ht="14.25" customHeight="1" s="38"/>
    <row r="490" ht="14.25" customHeight="1" s="38"/>
    <row r="491" ht="14.25" customHeight="1" s="38"/>
    <row r="492" ht="14.25" customHeight="1" s="38"/>
    <row r="493" ht="14.25" customHeight="1" s="38"/>
    <row r="494" ht="14.25" customHeight="1" s="38"/>
    <row r="495" ht="14.25" customHeight="1" s="38"/>
    <row r="496" ht="14.25" customHeight="1" s="38"/>
    <row r="497" ht="14.25" customHeight="1" s="38"/>
    <row r="498" ht="14.25" customHeight="1" s="38"/>
    <row r="499" ht="14.25" customHeight="1" s="38"/>
    <row r="500" ht="14.25" customHeight="1" s="38"/>
    <row r="501" ht="14.25" customHeight="1" s="38"/>
    <row r="502" ht="14.25" customHeight="1" s="38"/>
    <row r="503" ht="14.25" customHeight="1" s="38"/>
    <row r="504" ht="14.25" customHeight="1" s="38"/>
    <row r="505" ht="14.25" customHeight="1" s="38"/>
    <row r="506" ht="14.25" customHeight="1" s="38"/>
    <row r="507" ht="14.25" customHeight="1" s="38"/>
    <row r="508" ht="14.25" customHeight="1" s="38"/>
    <row r="509" ht="14.25" customHeight="1" s="38"/>
    <row r="510" ht="14.25" customHeight="1" s="38"/>
    <row r="511" ht="14.25" customHeight="1" s="38"/>
    <row r="512" ht="14.25" customHeight="1" s="38"/>
    <row r="513" ht="14.25" customHeight="1" s="38"/>
    <row r="514" ht="14.25" customHeight="1" s="38"/>
    <row r="515" ht="14.25" customHeight="1" s="38"/>
    <row r="516" ht="14.25" customHeight="1" s="38"/>
    <row r="517" ht="14.25" customHeight="1" s="38"/>
    <row r="518" ht="14.25" customHeight="1" s="38"/>
    <row r="519" ht="14.25" customHeight="1" s="38"/>
    <row r="520" ht="14.25" customHeight="1" s="38"/>
    <row r="521" ht="14.25" customHeight="1" s="38"/>
    <row r="522" ht="14.25" customHeight="1" s="38"/>
    <row r="523" ht="14.25" customHeight="1" s="38"/>
    <row r="524" ht="14.25" customHeight="1" s="38"/>
    <row r="525" ht="14.25" customHeight="1" s="38"/>
    <row r="526" ht="14.25" customHeight="1" s="38"/>
    <row r="527" ht="14.25" customHeight="1" s="38"/>
    <row r="528" ht="14.25" customHeight="1" s="38"/>
    <row r="529" ht="14.25" customHeight="1" s="38"/>
    <row r="530" ht="14.25" customHeight="1" s="38"/>
    <row r="531" ht="14.25" customHeight="1" s="38"/>
    <row r="532" ht="14.25" customHeight="1" s="38"/>
    <row r="533" ht="14.25" customHeight="1" s="38"/>
    <row r="534" ht="14.25" customHeight="1" s="38"/>
    <row r="535" ht="14.25" customHeight="1" s="38"/>
    <row r="536" ht="14.25" customHeight="1" s="38"/>
    <row r="537" ht="14.25" customHeight="1" s="38"/>
    <row r="538" ht="14.25" customHeight="1" s="38"/>
    <row r="539" ht="14.25" customHeight="1" s="38"/>
    <row r="540" ht="14.25" customHeight="1" s="38"/>
    <row r="541" ht="14.25" customHeight="1" s="38"/>
    <row r="542" ht="14.25" customHeight="1" s="38"/>
    <row r="543" ht="14.25" customHeight="1" s="38"/>
    <row r="544" ht="14.25" customHeight="1" s="38"/>
    <row r="545" ht="14.25" customHeight="1" s="38"/>
    <row r="546" ht="14.25" customHeight="1" s="38"/>
    <row r="547" ht="14.25" customHeight="1" s="38"/>
    <row r="548" ht="14.25" customHeight="1" s="38"/>
    <row r="549" ht="14.25" customHeight="1" s="38"/>
    <row r="550" ht="14.25" customHeight="1" s="38"/>
    <row r="551" ht="14.25" customHeight="1" s="38"/>
    <row r="552" ht="14.25" customHeight="1" s="38"/>
    <row r="553" ht="14.25" customHeight="1" s="38"/>
    <row r="554" ht="14.25" customHeight="1" s="38"/>
    <row r="555" ht="14.25" customHeight="1" s="38"/>
    <row r="556" ht="14.25" customHeight="1" s="38"/>
    <row r="557" ht="14.25" customHeight="1" s="38"/>
    <row r="558" ht="14.25" customHeight="1" s="38"/>
    <row r="559" ht="14.25" customHeight="1" s="38"/>
    <row r="560" ht="14.25" customHeight="1" s="38"/>
    <row r="561" ht="14.25" customHeight="1" s="38"/>
    <row r="562" ht="14.25" customHeight="1" s="38"/>
    <row r="563" ht="14.25" customHeight="1" s="38"/>
    <row r="564" ht="14.25" customHeight="1" s="38"/>
    <row r="565" ht="14.25" customHeight="1" s="38"/>
    <row r="566" ht="14.25" customHeight="1" s="38"/>
    <row r="567" ht="14.25" customHeight="1" s="38"/>
    <row r="568" ht="14.25" customHeight="1" s="38"/>
    <row r="569" ht="14.25" customHeight="1" s="38"/>
    <row r="570" ht="14.25" customHeight="1" s="38"/>
    <row r="571" ht="14.25" customHeight="1" s="38"/>
    <row r="572" ht="14.25" customHeight="1" s="38"/>
    <row r="573" ht="14.25" customHeight="1" s="38"/>
    <row r="574" ht="14.25" customHeight="1" s="38"/>
    <row r="575" ht="14.25" customHeight="1" s="38"/>
    <row r="576" ht="14.25" customHeight="1" s="38"/>
    <row r="577" ht="14.25" customHeight="1" s="38"/>
    <row r="578" ht="14.25" customHeight="1" s="38"/>
    <row r="579" ht="14.25" customHeight="1" s="38"/>
    <row r="580" ht="14.25" customHeight="1" s="38"/>
    <row r="581" ht="14.25" customHeight="1" s="38"/>
    <row r="582" ht="14.25" customHeight="1" s="38"/>
    <row r="583" ht="14.25" customHeight="1" s="38"/>
    <row r="584" ht="14.25" customHeight="1" s="38"/>
    <row r="585" ht="14.25" customHeight="1" s="38"/>
    <row r="586" ht="14.25" customHeight="1" s="38"/>
    <row r="587" ht="14.25" customHeight="1" s="38"/>
    <row r="588" ht="14.25" customHeight="1" s="38"/>
    <row r="589" ht="14.25" customHeight="1" s="38"/>
    <row r="590" ht="14.25" customHeight="1" s="38"/>
    <row r="591" ht="14.25" customHeight="1" s="38"/>
    <row r="592" ht="14.25" customHeight="1" s="38"/>
    <row r="593" ht="14.25" customHeight="1" s="38"/>
    <row r="594" ht="14.25" customHeight="1" s="38"/>
    <row r="595" ht="14.25" customHeight="1" s="38"/>
    <row r="596" ht="14.25" customHeight="1" s="38"/>
    <row r="597" ht="14.25" customHeight="1" s="38"/>
    <row r="598" ht="14.25" customHeight="1" s="38"/>
    <row r="599" ht="14.25" customHeight="1" s="38"/>
    <row r="600" ht="14.25" customHeight="1" s="38"/>
    <row r="601" ht="14.25" customHeight="1" s="38"/>
    <row r="602" ht="14.25" customHeight="1" s="38"/>
    <row r="603" ht="14.25" customHeight="1" s="38"/>
    <row r="604" ht="14.25" customHeight="1" s="38"/>
    <row r="605" ht="14.25" customHeight="1" s="38"/>
    <row r="606" ht="14.25" customHeight="1" s="38"/>
    <row r="607" ht="14.25" customHeight="1" s="38"/>
    <row r="608" ht="14.25" customHeight="1" s="38"/>
    <row r="609" ht="14.25" customHeight="1" s="38"/>
    <row r="610" ht="14.25" customHeight="1" s="38"/>
    <row r="611" ht="14.25" customHeight="1" s="38"/>
    <row r="612" ht="14.25" customHeight="1" s="38"/>
    <row r="613" ht="14.25" customHeight="1" s="38"/>
    <row r="614" ht="14.25" customHeight="1" s="38"/>
    <row r="615" ht="14.25" customHeight="1" s="38"/>
    <row r="616" ht="14.25" customHeight="1" s="38"/>
    <row r="617" ht="14.25" customHeight="1" s="38"/>
    <row r="618" ht="14.25" customHeight="1" s="38"/>
    <row r="619" ht="14.25" customHeight="1" s="38"/>
    <row r="620" ht="14.25" customHeight="1" s="38"/>
    <row r="621" ht="14.25" customHeight="1" s="38"/>
    <row r="622" ht="14.25" customHeight="1" s="38"/>
    <row r="623" ht="14.25" customHeight="1" s="38"/>
    <row r="624" ht="14.25" customHeight="1" s="38"/>
    <row r="625" ht="14.25" customHeight="1" s="38"/>
    <row r="626" ht="14.25" customHeight="1" s="38"/>
    <row r="627" ht="14.25" customHeight="1" s="38"/>
    <row r="628" ht="14.25" customHeight="1" s="38"/>
    <row r="629" ht="14.25" customHeight="1" s="38"/>
    <row r="630" ht="14.25" customHeight="1" s="38"/>
    <row r="631" ht="14.25" customHeight="1" s="38"/>
    <row r="632" ht="14.25" customHeight="1" s="38"/>
    <row r="633" ht="14.25" customHeight="1" s="38"/>
    <row r="634" ht="14.25" customHeight="1" s="38"/>
    <row r="635" ht="14.25" customHeight="1" s="38"/>
    <row r="636" ht="14.25" customHeight="1" s="38"/>
    <row r="637" ht="14.25" customHeight="1" s="38"/>
    <row r="638" ht="14.25" customHeight="1" s="38"/>
    <row r="639" ht="14.25" customHeight="1" s="38"/>
    <row r="640" ht="14.25" customHeight="1" s="38"/>
    <row r="641" ht="14.25" customHeight="1" s="38"/>
    <row r="642" ht="14.25" customHeight="1" s="38"/>
    <row r="643" ht="14.25" customHeight="1" s="38"/>
    <row r="644" ht="14.25" customHeight="1" s="38"/>
    <row r="645" ht="14.25" customHeight="1" s="38"/>
    <row r="646" ht="14.25" customHeight="1" s="38"/>
    <row r="647" ht="14.25" customHeight="1" s="38"/>
    <row r="648" ht="14.25" customHeight="1" s="38"/>
    <row r="649" ht="14.25" customHeight="1" s="38"/>
    <row r="650" ht="14.25" customHeight="1" s="38"/>
    <row r="651" ht="14.25" customHeight="1" s="38"/>
    <row r="652" ht="14.25" customHeight="1" s="38"/>
    <row r="653" ht="14.25" customHeight="1" s="38"/>
    <row r="654" ht="14.25" customHeight="1" s="38"/>
    <row r="655" ht="14.25" customHeight="1" s="38"/>
    <row r="656" ht="14.25" customHeight="1" s="38"/>
    <row r="657" ht="14.25" customHeight="1" s="38"/>
    <row r="658" ht="14.25" customHeight="1" s="38"/>
    <row r="659" ht="14.25" customHeight="1" s="38"/>
    <row r="660" ht="14.25" customHeight="1" s="38"/>
    <row r="661" ht="14.25" customHeight="1" s="38"/>
    <row r="662" ht="14.25" customHeight="1" s="38"/>
    <row r="663" ht="14.25" customHeight="1" s="38"/>
    <row r="664" ht="14.25" customHeight="1" s="38"/>
    <row r="665" ht="14.25" customHeight="1" s="38"/>
    <row r="666" ht="14.25" customHeight="1" s="38"/>
    <row r="667" ht="14.25" customHeight="1" s="38"/>
    <row r="668" ht="14.25" customHeight="1" s="38"/>
    <row r="669" ht="14.25" customHeight="1" s="38"/>
    <row r="670" ht="14.25" customHeight="1" s="38"/>
    <row r="671" ht="14.25" customHeight="1" s="38"/>
    <row r="672" ht="14.25" customHeight="1" s="38"/>
    <row r="673" ht="14.25" customHeight="1" s="38"/>
    <row r="674" ht="14.25" customHeight="1" s="38"/>
    <row r="675" ht="14.25" customHeight="1" s="38"/>
    <row r="676" ht="14.25" customHeight="1" s="38"/>
    <row r="677" ht="14.25" customHeight="1" s="38"/>
    <row r="678" ht="14.25" customHeight="1" s="38"/>
    <row r="679" ht="14.25" customHeight="1" s="38"/>
    <row r="680" ht="14.25" customHeight="1" s="38"/>
    <row r="681" ht="14.25" customHeight="1" s="38"/>
    <row r="682" ht="14.25" customHeight="1" s="38"/>
    <row r="683" ht="14.25" customHeight="1" s="38"/>
    <row r="684" ht="14.25" customHeight="1" s="38"/>
    <row r="685" ht="14.25" customHeight="1" s="38"/>
    <row r="686" ht="14.25" customHeight="1" s="38"/>
    <row r="687" ht="14.25" customHeight="1" s="38"/>
    <row r="688" ht="14.25" customHeight="1" s="38"/>
    <row r="689" ht="14.25" customHeight="1" s="38"/>
    <row r="690" ht="14.25" customHeight="1" s="38"/>
    <row r="691" ht="14.25" customHeight="1" s="38"/>
    <row r="692" ht="14.25" customHeight="1" s="38"/>
    <row r="693" ht="14.25" customHeight="1" s="38"/>
    <row r="694" ht="14.25" customHeight="1" s="38"/>
    <row r="695" ht="14.25" customHeight="1" s="38"/>
    <row r="696" ht="14.25" customHeight="1" s="38"/>
    <row r="697" ht="14.25" customHeight="1" s="38"/>
    <row r="698" ht="14.25" customHeight="1" s="38"/>
    <row r="699" ht="14.25" customHeight="1" s="38"/>
    <row r="700" ht="14.25" customHeight="1" s="38"/>
    <row r="701" ht="14.25" customHeight="1" s="38"/>
    <row r="702" ht="14.25" customHeight="1" s="38"/>
    <row r="703" ht="14.25" customHeight="1" s="38"/>
    <row r="704" ht="14.25" customHeight="1" s="38"/>
    <row r="705" ht="14.25" customHeight="1" s="38"/>
    <row r="706" ht="14.25" customHeight="1" s="38"/>
    <row r="707" ht="14.25" customHeight="1" s="38"/>
    <row r="708" ht="14.25" customHeight="1" s="38"/>
    <row r="709" ht="14.25" customHeight="1" s="38"/>
    <row r="710" ht="14.25" customHeight="1" s="38"/>
    <row r="711" ht="14.25" customHeight="1" s="38"/>
    <row r="712" ht="14.25" customHeight="1" s="38"/>
    <row r="713" ht="14.25" customHeight="1" s="38"/>
    <row r="714" ht="14.25" customHeight="1" s="38"/>
    <row r="715" ht="14.25" customHeight="1" s="38"/>
    <row r="716" ht="14.25" customHeight="1" s="38"/>
    <row r="717" ht="14.25" customHeight="1" s="38"/>
    <row r="718" ht="14.25" customHeight="1" s="38"/>
    <row r="719" ht="14.25" customHeight="1" s="38"/>
    <row r="720" ht="14.25" customHeight="1" s="38"/>
    <row r="721" ht="14.25" customHeight="1" s="38"/>
    <row r="722" ht="14.25" customHeight="1" s="38"/>
    <row r="723" ht="14.25" customHeight="1" s="38"/>
    <row r="724" ht="14.25" customHeight="1" s="38"/>
    <row r="725" ht="14.25" customHeight="1" s="38"/>
    <row r="726" ht="14.25" customHeight="1" s="38"/>
    <row r="727" ht="14.25" customHeight="1" s="38"/>
    <row r="728" ht="14.25" customHeight="1" s="38"/>
    <row r="729" ht="14.25" customHeight="1" s="38"/>
    <row r="730" ht="14.25" customHeight="1" s="38"/>
    <row r="731" ht="14.25" customHeight="1" s="38"/>
    <row r="732" ht="14.25" customHeight="1" s="38"/>
    <row r="733" ht="14.25" customHeight="1" s="38"/>
    <row r="734" ht="14.25" customHeight="1" s="38"/>
    <row r="735" ht="14.25" customHeight="1" s="38"/>
    <row r="736" ht="14.25" customHeight="1" s="38"/>
    <row r="737" ht="14.25" customHeight="1" s="38"/>
    <row r="738" ht="14.25" customHeight="1" s="38"/>
    <row r="739" ht="14.25" customHeight="1" s="38"/>
    <row r="740" ht="14.25" customHeight="1" s="38"/>
    <row r="741" ht="14.25" customHeight="1" s="38"/>
    <row r="742" ht="14.25" customHeight="1" s="38"/>
    <row r="743" ht="14.25" customHeight="1" s="38"/>
    <row r="744" ht="14.25" customHeight="1" s="38"/>
    <row r="745" ht="14.25" customHeight="1" s="38"/>
    <row r="746" ht="14.25" customHeight="1" s="38"/>
    <row r="747" ht="14.25" customHeight="1" s="38"/>
    <row r="748" ht="14.25" customHeight="1" s="38"/>
    <row r="749" ht="14.25" customHeight="1" s="38"/>
    <row r="750" ht="14.25" customHeight="1" s="38"/>
    <row r="751" ht="14.25" customHeight="1" s="38"/>
    <row r="752" ht="14.25" customHeight="1" s="38"/>
    <row r="753" ht="14.25" customHeight="1" s="38"/>
    <row r="754" ht="14.25" customHeight="1" s="38"/>
    <row r="755" ht="14.25" customHeight="1" s="38"/>
    <row r="756" ht="14.25" customHeight="1" s="38"/>
    <row r="757" ht="14.25" customHeight="1" s="38"/>
    <row r="758" ht="14.25" customHeight="1" s="38"/>
    <row r="759" ht="14.25" customHeight="1" s="38"/>
    <row r="760" ht="14.25" customHeight="1" s="38"/>
    <row r="761" ht="14.25" customHeight="1" s="38"/>
    <row r="762" ht="14.25" customHeight="1" s="38"/>
    <row r="763" ht="14.25" customHeight="1" s="38"/>
    <row r="764" ht="14.25" customHeight="1" s="38"/>
    <row r="765" ht="14.25" customHeight="1" s="38"/>
    <row r="766" ht="14.25" customHeight="1" s="38"/>
    <row r="767" ht="14.25" customHeight="1" s="38"/>
    <row r="768" ht="14.25" customHeight="1" s="38"/>
    <row r="769" ht="14.25" customHeight="1" s="38"/>
    <row r="770" ht="14.25" customHeight="1" s="38"/>
    <row r="771" ht="14.25" customHeight="1" s="38"/>
    <row r="772" ht="14.25" customHeight="1" s="38"/>
    <row r="773" ht="14.25" customHeight="1" s="38"/>
    <row r="774" ht="14.25" customHeight="1" s="38"/>
    <row r="775" ht="14.25" customHeight="1" s="38"/>
    <row r="776" ht="14.25" customHeight="1" s="38"/>
    <row r="777" ht="14.25" customHeight="1" s="38"/>
    <row r="778" ht="14.25" customHeight="1" s="38"/>
    <row r="779" ht="14.25" customHeight="1" s="38"/>
    <row r="780" ht="14.25" customHeight="1" s="38"/>
    <row r="781" ht="14.25" customHeight="1" s="38"/>
    <row r="782" ht="14.25" customHeight="1" s="38"/>
    <row r="783" ht="14.25" customHeight="1" s="38"/>
    <row r="784" ht="14.25" customHeight="1" s="38"/>
    <row r="785" ht="14.25" customHeight="1" s="38"/>
    <row r="786" ht="14.25" customHeight="1" s="38"/>
    <row r="787" ht="14.25" customHeight="1" s="38"/>
    <row r="788" ht="14.25" customHeight="1" s="38"/>
    <row r="789" ht="14.25" customHeight="1" s="38"/>
    <row r="790" ht="14.25" customHeight="1" s="38"/>
    <row r="791" ht="14.25" customHeight="1" s="38"/>
    <row r="792" ht="14.25" customHeight="1" s="38"/>
    <row r="793" ht="14.25" customHeight="1" s="38"/>
    <row r="794" ht="14.25" customHeight="1" s="38"/>
    <row r="795" ht="14.25" customHeight="1" s="38"/>
    <row r="796" ht="14.25" customHeight="1" s="38"/>
    <row r="797" ht="14.25" customHeight="1" s="38"/>
    <row r="798" ht="14.25" customHeight="1" s="38"/>
    <row r="799" ht="14.25" customHeight="1" s="38"/>
    <row r="800" ht="14.25" customHeight="1" s="38"/>
    <row r="801" ht="14.25" customHeight="1" s="38"/>
    <row r="802" ht="14.25" customHeight="1" s="38"/>
    <row r="803" ht="14.25" customHeight="1" s="38"/>
    <row r="804" ht="14.25" customHeight="1" s="38"/>
    <row r="805" ht="14.25" customHeight="1" s="38"/>
    <row r="806" ht="14.25" customHeight="1" s="38"/>
    <row r="807" ht="14.25" customHeight="1" s="38"/>
    <row r="808" ht="14.25" customHeight="1" s="38"/>
    <row r="809" ht="14.25" customHeight="1" s="38"/>
    <row r="810" ht="14.25" customHeight="1" s="38"/>
    <row r="811" ht="14.25" customHeight="1" s="38"/>
    <row r="812" ht="14.25" customHeight="1" s="38"/>
    <row r="813" ht="14.25" customHeight="1" s="38"/>
    <row r="814" ht="14.25" customHeight="1" s="38"/>
    <row r="815" ht="14.25" customHeight="1" s="38"/>
    <row r="816" ht="14.25" customHeight="1" s="38"/>
    <row r="817" ht="14.25" customHeight="1" s="38"/>
    <row r="818" ht="14.25" customHeight="1" s="38"/>
    <row r="819" ht="14.25" customHeight="1" s="38"/>
    <row r="820" ht="14.25" customHeight="1" s="38"/>
    <row r="821" ht="14.25" customHeight="1" s="38"/>
    <row r="822" ht="14.25" customHeight="1" s="38"/>
    <row r="823" ht="14.25" customHeight="1" s="38"/>
    <row r="824" ht="14.25" customHeight="1" s="38"/>
    <row r="825" ht="14.25" customHeight="1" s="38"/>
    <row r="826" ht="14.25" customHeight="1" s="38"/>
    <row r="827" ht="14.25" customHeight="1" s="38"/>
    <row r="828" ht="14.25" customHeight="1" s="38"/>
    <row r="829" ht="14.25" customHeight="1" s="38"/>
    <row r="830" ht="14.25" customHeight="1" s="38"/>
    <row r="831" ht="14.25" customHeight="1" s="38"/>
    <row r="832" ht="14.25" customHeight="1" s="38"/>
    <row r="833" ht="14.25" customHeight="1" s="38"/>
    <row r="834" ht="14.25" customHeight="1" s="38"/>
    <row r="835" ht="14.25" customHeight="1" s="38"/>
    <row r="836" ht="14.25" customHeight="1" s="38"/>
    <row r="837" ht="14.25" customHeight="1" s="38"/>
    <row r="838" ht="14.25" customHeight="1" s="38"/>
    <row r="839" ht="14.25" customHeight="1" s="38"/>
    <row r="840" ht="14.25" customHeight="1" s="38"/>
    <row r="841" ht="14.25" customHeight="1" s="38"/>
    <row r="842" ht="14.25" customHeight="1" s="38"/>
    <row r="843" ht="14.25" customHeight="1" s="38"/>
    <row r="844" ht="14.25" customHeight="1" s="38"/>
    <row r="845" ht="14.25" customHeight="1" s="38"/>
    <row r="846" ht="14.25" customHeight="1" s="38"/>
    <row r="847" ht="14.25" customHeight="1" s="38"/>
    <row r="848" ht="14.25" customHeight="1" s="38"/>
    <row r="849" ht="14.25" customHeight="1" s="38"/>
    <row r="850" ht="14.25" customHeight="1" s="38"/>
    <row r="851" ht="14.25" customHeight="1" s="38"/>
    <row r="852" ht="14.25" customHeight="1" s="38"/>
    <row r="853" ht="14.25" customHeight="1" s="38"/>
    <row r="854" ht="14.25" customHeight="1" s="38"/>
    <row r="855" ht="14.25" customHeight="1" s="38"/>
    <row r="856" ht="14.25" customHeight="1" s="38"/>
    <row r="857" ht="14.25" customHeight="1" s="38"/>
    <row r="858" ht="14.25" customHeight="1" s="38"/>
    <row r="859" ht="14.25" customHeight="1" s="38"/>
    <row r="860" ht="14.25" customHeight="1" s="38"/>
    <row r="861" ht="14.25" customHeight="1" s="38"/>
    <row r="862" ht="14.25" customHeight="1" s="38"/>
    <row r="863" ht="14.25" customHeight="1" s="38"/>
    <row r="864" ht="14.25" customHeight="1" s="38"/>
    <row r="865" ht="14.25" customHeight="1" s="38"/>
    <row r="866" ht="14.25" customHeight="1" s="38"/>
    <row r="867" ht="14.25" customHeight="1" s="38"/>
    <row r="868" ht="14.25" customHeight="1" s="38"/>
    <row r="869" ht="14.25" customHeight="1" s="38"/>
    <row r="870" ht="14.25" customHeight="1" s="38"/>
    <row r="871" ht="14.25" customHeight="1" s="38"/>
    <row r="872" ht="14.25" customHeight="1" s="38"/>
    <row r="873" ht="14.25" customHeight="1" s="38"/>
    <row r="874" ht="14.25" customHeight="1" s="38"/>
    <row r="875" ht="14.25" customHeight="1" s="38"/>
    <row r="876" ht="14.25" customHeight="1" s="38"/>
    <row r="877" ht="14.25" customHeight="1" s="38"/>
    <row r="878" ht="14.25" customHeight="1" s="38"/>
    <row r="879" ht="14.25" customHeight="1" s="38"/>
    <row r="880" ht="14.25" customHeight="1" s="38"/>
    <row r="881" ht="14.25" customHeight="1" s="38"/>
    <row r="882" ht="14.25" customHeight="1" s="38"/>
    <row r="883" ht="14.25" customHeight="1" s="38"/>
    <row r="884" ht="14.25" customHeight="1" s="38"/>
    <row r="885" ht="14.25" customHeight="1" s="38"/>
    <row r="886" ht="14.25" customHeight="1" s="38"/>
    <row r="887" ht="14.25" customHeight="1" s="38"/>
    <row r="888" ht="14.25" customHeight="1" s="38"/>
    <row r="889" ht="14.25" customHeight="1" s="38"/>
    <row r="890" ht="14.25" customHeight="1" s="38"/>
    <row r="891" ht="14.25" customHeight="1" s="38"/>
    <row r="892" ht="14.25" customHeight="1" s="38"/>
    <row r="893" ht="14.25" customHeight="1" s="38"/>
    <row r="894" ht="14.25" customHeight="1" s="38"/>
    <row r="895" ht="14.25" customHeight="1" s="38"/>
    <row r="896" ht="14.25" customHeight="1" s="38"/>
    <row r="897" ht="14.25" customHeight="1" s="38"/>
    <row r="898" ht="14.25" customHeight="1" s="38"/>
    <row r="899" ht="14.25" customHeight="1" s="38"/>
    <row r="900" ht="14.25" customHeight="1" s="38"/>
    <row r="901" ht="14.25" customHeight="1" s="38"/>
    <row r="902" ht="14.25" customHeight="1" s="38"/>
    <row r="903" ht="14.25" customHeight="1" s="38"/>
    <row r="904" ht="14.25" customHeight="1" s="38"/>
    <row r="905" ht="14.25" customHeight="1" s="38"/>
    <row r="906" ht="14.25" customHeight="1" s="38"/>
    <row r="907" ht="14.25" customHeight="1" s="38"/>
    <row r="908" ht="14.25" customHeight="1" s="38"/>
    <row r="909" ht="14.25" customHeight="1" s="38"/>
    <row r="910" ht="14.25" customHeight="1" s="38"/>
    <row r="911" ht="14.25" customHeight="1" s="38"/>
    <row r="912" ht="14.25" customHeight="1" s="38"/>
    <row r="913" ht="14.25" customHeight="1" s="38"/>
    <row r="914" ht="14.25" customHeight="1" s="38"/>
    <row r="915" ht="14.25" customHeight="1" s="38"/>
    <row r="916" ht="14.25" customHeight="1" s="38"/>
    <row r="917" ht="14.25" customHeight="1" s="38"/>
    <row r="918" ht="14.25" customHeight="1" s="38"/>
    <row r="919" ht="14.25" customHeight="1" s="38"/>
    <row r="920" ht="14.25" customHeight="1" s="38"/>
    <row r="921" ht="14.25" customHeight="1" s="38"/>
    <row r="922" ht="14.25" customHeight="1" s="38"/>
    <row r="923" ht="14.25" customHeight="1" s="38"/>
    <row r="924" ht="14.25" customHeight="1" s="38"/>
    <row r="925" ht="14.25" customHeight="1" s="38"/>
    <row r="926" ht="14.25" customHeight="1" s="38"/>
    <row r="927" ht="14.25" customHeight="1" s="38"/>
    <row r="928" ht="14.25" customHeight="1" s="38"/>
    <row r="929" ht="14.25" customHeight="1" s="38"/>
    <row r="930" ht="14.25" customHeight="1" s="38"/>
    <row r="931" ht="14.25" customHeight="1" s="38"/>
    <row r="932" ht="14.25" customHeight="1" s="38"/>
    <row r="933" ht="14.25" customHeight="1" s="38"/>
    <row r="934" ht="14.25" customHeight="1" s="38"/>
    <row r="935" ht="14.25" customHeight="1" s="38"/>
    <row r="936" ht="14.25" customHeight="1" s="38"/>
    <row r="937" ht="14.25" customHeight="1" s="38"/>
    <row r="938" ht="14.25" customHeight="1" s="38"/>
    <row r="939" ht="14.25" customHeight="1" s="38"/>
    <row r="940" ht="14.25" customHeight="1" s="38"/>
    <row r="941" ht="14.25" customHeight="1" s="38"/>
    <row r="942" ht="14.25" customHeight="1" s="38"/>
    <row r="943" ht="14.25" customHeight="1" s="38"/>
    <row r="944" ht="14.25" customHeight="1" s="38"/>
    <row r="945" ht="14.25" customHeight="1" s="38"/>
    <row r="946" ht="14.25" customHeight="1" s="38"/>
    <row r="947" ht="14.25" customHeight="1" s="38"/>
    <row r="948" ht="14.25" customHeight="1" s="38"/>
    <row r="949" ht="14.25" customHeight="1" s="38"/>
    <row r="950" ht="14.25" customHeight="1" s="38"/>
    <row r="951" ht="14.25" customHeight="1" s="38"/>
    <row r="952" ht="14.25" customHeight="1" s="38"/>
    <row r="953" ht="14.25" customHeight="1" s="38"/>
    <row r="954" ht="14.25" customHeight="1" s="38"/>
    <row r="955" ht="14.25" customHeight="1" s="38"/>
    <row r="956" ht="14.25" customHeight="1" s="38"/>
    <row r="957" ht="14.25" customHeight="1" s="38"/>
    <row r="958" ht="14.25" customHeight="1" s="38"/>
    <row r="959" ht="14.25" customHeight="1" s="38"/>
    <row r="960" ht="14.25" customHeight="1" s="38"/>
    <row r="961" ht="14.25" customHeight="1" s="38"/>
    <row r="962" ht="14.25" customHeight="1" s="38"/>
    <row r="963" ht="14.25" customHeight="1" s="38"/>
    <row r="964" ht="14.25" customHeight="1" s="38"/>
    <row r="965" ht="14.25" customHeight="1" s="38"/>
    <row r="966" ht="14.25" customHeight="1" s="38"/>
    <row r="967" ht="14.25" customHeight="1" s="38"/>
    <row r="968" ht="14.25" customHeight="1" s="38"/>
    <row r="969" ht="14.25" customHeight="1" s="38"/>
    <row r="970" ht="14.25" customHeight="1" s="38"/>
    <row r="971" ht="14.25" customHeight="1" s="38"/>
    <row r="972" ht="14.25" customHeight="1" s="38"/>
    <row r="973" ht="14.25" customHeight="1" s="38"/>
    <row r="974" ht="14.25" customHeight="1" s="38"/>
    <row r="975" ht="14.25" customHeight="1" s="38"/>
    <row r="976" ht="14.25" customHeight="1" s="38"/>
    <row r="977" ht="14.25" customHeight="1" s="38"/>
    <row r="978" ht="14.25" customHeight="1" s="38"/>
    <row r="979" ht="14.25" customHeight="1" s="38"/>
    <row r="980" ht="14.25" customHeight="1" s="38"/>
    <row r="981" ht="14.25" customHeight="1" s="38"/>
    <row r="982" ht="14.25" customHeight="1" s="38"/>
    <row r="983" ht="14.25" customHeight="1" s="38"/>
    <row r="984" ht="14.25" customHeight="1" s="38"/>
    <row r="985" ht="14.25" customHeight="1" s="38"/>
    <row r="986" ht="14.25" customHeight="1" s="38"/>
    <row r="987" ht="14.25" customHeight="1" s="38"/>
    <row r="988" ht="14.25" customHeight="1" s="38"/>
    <row r="989" ht="14.25" customHeight="1" s="38"/>
    <row r="990" ht="14.25" customHeight="1" s="38"/>
    <row r="991" ht="14.25" customHeight="1" s="38"/>
    <row r="992" ht="14.25" customHeight="1" s="38"/>
    <row r="993" ht="14.25" customHeight="1" s="38"/>
    <row r="994" ht="14.25" customHeight="1" s="38"/>
    <row r="995" ht="14.25" customHeight="1" s="38"/>
    <row r="996" ht="14.25" customHeight="1" s="38"/>
    <row r="997" ht="14.25" customHeight="1" s="38"/>
    <row r="998" ht="14.25" customHeight="1" s="38"/>
    <row r="999" ht="14.25" customHeight="1" s="38"/>
    <row r="1000" ht="14.25" customHeight="1" s="38"/>
  </sheetData>
  <pageMargins left="0.25" right="0.25" top="0.35" bottom="0.35" header="0" footer="0"/>
  <pageSetup orientation="landscape" paperSize="9" fitToHeight="0"/>
  <headerFooter>
    <oddHeader/>
    <oddFooter>&amp;CParoki St. Klement I Sepinggan Balikpapan • Statistik 2026&amp;RHalaman &amp;P dari 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43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38" min="1" max="1"/>
    <col width="28" customWidth="1" style="38" min="2" max="2"/>
    <col width="38" customWidth="1" style="38" min="3" max="3"/>
    <col width="22" customWidth="1" style="38" min="4" max="5"/>
    <col width="20" customWidth="1" style="38" min="6" max="6"/>
    <col width="18" customWidth="1" style="38" min="7" max="7"/>
    <col width="26" customWidth="1" style="38" min="8" max="8"/>
    <col width="24" customWidth="1" style="38" min="9" max="9"/>
    <col width="15" customWidth="1" style="38" min="10" max="10"/>
    <col width="30" customWidth="1" style="38" min="11" max="11"/>
    <col width="9" customWidth="1" style="38" min="12" max="26"/>
  </cols>
  <sheetData>
    <row r="1" ht="14.25" customHeight="1" s="38">
      <c r="A1" s="7" t="inlineStr">
        <is>
          <t>ID KK</t>
        </is>
      </c>
      <c r="B1" s="7" t="inlineStr">
        <is>
          <t>Nama KK</t>
        </is>
      </c>
      <c r="C1" s="7" t="inlineStr">
        <is>
          <t>Alamat</t>
        </is>
      </c>
      <c r="D1" s="7" t="inlineStr">
        <is>
          <t>Kelurahan</t>
        </is>
      </c>
      <c r="E1" s="7" t="inlineStr">
        <is>
          <t>Lingkungan</t>
        </is>
      </c>
      <c r="F1" s="7" t="inlineStr">
        <is>
          <t>Basis/Stasi</t>
        </is>
      </c>
      <c r="G1" s="7" t="inlineStr">
        <is>
          <t>Telp/HP</t>
        </is>
      </c>
      <c r="H1" s="7" t="inlineStr">
        <is>
          <t>Email</t>
        </is>
      </c>
      <c r="I1" s="7" t="inlineStr">
        <is>
          <t>Status Perkawinan</t>
        </is>
      </c>
      <c r="J1" s="7" t="inlineStr">
        <is>
          <t>Tanggal Input</t>
        </is>
      </c>
      <c r="K1" s="7" t="inlineStr">
        <is>
          <t>Keterangan</t>
        </is>
      </c>
    </row>
    <row r="2">
      <c r="A2" t="n">
        <v>1</v>
      </c>
      <c r="B2" s="0" t="inlineStr">
        <is>
          <t>Agnes Sri Subekti</t>
        </is>
      </c>
      <c r="C2" s="0" t="inlineStr">
        <is>
          <t>Jln prona 3 Sepinggan</t>
        </is>
      </c>
      <c r="D2" s="0" t="inlineStr">
        <is>
          <t>Sepinggan</t>
        </is>
      </c>
      <c r="E2" t="inlineStr"/>
      <c r="F2" t="inlineStr"/>
      <c r="G2" s="0" t="inlineStr">
        <is>
          <t>085246233033</t>
        </is>
      </c>
      <c r="H2" s="0" t="inlineStr">
        <is>
          <t>Srisubekti378@gmail.com</t>
        </is>
      </c>
      <c r="I2" s="0" t="inlineStr">
        <is>
          <t>Menikah</t>
        </is>
      </c>
    </row>
    <row r="3">
      <c r="A3" t="n">
        <v>2</v>
      </c>
      <c r="B3" s="0" t="inlineStr">
        <is>
          <t>Albertus Benny Bimo Atmojo</t>
        </is>
      </c>
      <c r="C3" s="0" t="inlineStr">
        <is>
          <t>Jln prona 3 sepinggan</t>
        </is>
      </c>
      <c r="D3" s="0" t="inlineStr">
        <is>
          <t>sepinggan</t>
        </is>
      </c>
      <c r="E3" t="inlineStr"/>
      <c r="F3" t="inlineStr"/>
      <c r="G3" s="0" t="inlineStr">
        <is>
          <t>081806753957</t>
        </is>
      </c>
      <c r="H3" s="0" t="inlineStr"/>
      <c r="I3" s="0" t="inlineStr">
        <is>
          <t>Lajang</t>
        </is>
      </c>
    </row>
    <row r="4">
      <c r="A4" t="n">
        <v>3</v>
      </c>
      <c r="B4" s="0" t="inlineStr">
        <is>
          <t>ALFONS VICKY DANIELS</t>
        </is>
      </c>
      <c r="C4" s="0" t="inlineStr">
        <is>
          <t>Jl. Sepinggan baru</t>
        </is>
      </c>
      <c r="D4" s="0" t="inlineStr">
        <is>
          <t>Balikpapan selatan</t>
        </is>
      </c>
      <c r="E4" t="inlineStr"/>
      <c r="F4" t="inlineStr"/>
      <c r="G4" s="0" t="inlineStr">
        <is>
          <t>08111149938</t>
        </is>
      </c>
      <c r="H4" t="inlineStr">
        <is>
          <t>alfonsvickydaniels@gmail.com</t>
        </is>
      </c>
      <c r="I4" s="0" t="inlineStr">
        <is>
          <t>Lajang</t>
        </is>
      </c>
    </row>
    <row r="5">
      <c r="A5" t="n">
        <v>4</v>
      </c>
      <c r="B5" s="0" t="inlineStr">
        <is>
          <t>Andi putra lubis</t>
        </is>
      </c>
      <c r="C5" s="0" t="inlineStr">
        <is>
          <t>Jln.marma r Iswahyudi RT 9 no 42</t>
        </is>
      </c>
      <c r="D5" s="0" t="inlineStr">
        <is>
          <t>Sepinggan raya</t>
        </is>
      </c>
      <c r="E5" t="inlineStr"/>
      <c r="F5" t="inlineStr"/>
      <c r="G5" s="0" t="inlineStr">
        <is>
          <t>081256607766</t>
        </is>
      </c>
      <c r="H5" s="0" t="inlineStr">
        <is>
          <t>ardelina1373@gmail.com</t>
        </is>
      </c>
      <c r="I5" s="0" t="inlineStr">
        <is>
          <t>Menikah</t>
        </is>
      </c>
    </row>
    <row r="6">
      <c r="A6" t="n">
        <v>5</v>
      </c>
      <c r="B6" s="0" t="inlineStr">
        <is>
          <t>Angelina Arista Jeli</t>
        </is>
      </c>
      <c r="C6" s="0" t="inlineStr">
        <is>
          <t>Jalan Mulawarman 13</t>
        </is>
      </c>
      <c r="D6" s="0" t="inlineStr">
        <is>
          <t>Sepinggan</t>
        </is>
      </c>
      <c r="E6" t="inlineStr"/>
      <c r="F6" t="inlineStr"/>
      <c r="G6" s="0" t="inlineStr">
        <is>
          <t>085330335006</t>
        </is>
      </c>
      <c r="H6" s="0" t="inlineStr">
        <is>
          <t>angelinajeli287@gmail.com</t>
        </is>
      </c>
      <c r="I6" s="0" t="inlineStr">
        <is>
          <t>Lajang</t>
        </is>
      </c>
    </row>
    <row r="7">
      <c r="A7" t="n">
        <v>6</v>
      </c>
      <c r="B7" s="0" t="inlineStr">
        <is>
          <t>anthanosius koen broto driyatmo</t>
        </is>
      </c>
      <c r="C7" s="0" t="inlineStr">
        <is>
          <t>Jl. Prona III perum bukit prona indah blok v/9</t>
        </is>
      </c>
      <c r="D7" s="0" t="inlineStr">
        <is>
          <t>sepinggan</t>
        </is>
      </c>
      <c r="E7" t="inlineStr"/>
      <c r="F7" t="inlineStr"/>
      <c r="G7" s="0" t="inlineStr">
        <is>
          <t>082154222442</t>
        </is>
      </c>
      <c r="H7" s="0" t="inlineStr">
        <is>
          <t>koenbroto@gmail.com</t>
        </is>
      </c>
      <c r="I7" s="0" t="inlineStr">
        <is>
          <t>Menikah</t>
        </is>
      </c>
    </row>
    <row r="8">
      <c r="A8" t="n">
        <v>7</v>
      </c>
      <c r="B8" s="0" t="inlineStr">
        <is>
          <t>Arthur anthonius runtu</t>
        </is>
      </c>
      <c r="C8" s="0" t="inlineStr">
        <is>
          <t>Lamaru Rt 23 no 17</t>
        </is>
      </c>
      <c r="D8" s="0" t="inlineStr">
        <is>
          <t>Lamaru</t>
        </is>
      </c>
      <c r="E8" t="inlineStr"/>
      <c r="F8" t="inlineStr"/>
      <c r="G8" s="0" t="inlineStr">
        <is>
          <t>082351343230</t>
        </is>
      </c>
      <c r="H8" s="0" t="inlineStr">
        <is>
          <t>Selfanicc@gmail.com</t>
        </is>
      </c>
      <c r="I8" s="0" t="inlineStr">
        <is>
          <t>Lajang</t>
        </is>
      </c>
    </row>
    <row r="9">
      <c r="A9" t="n">
        <v>8</v>
      </c>
      <c r="B9" s="0" t="inlineStr">
        <is>
          <t>Barin Pradana</t>
        </is>
      </c>
      <c r="C9" s="0" t="inlineStr">
        <is>
          <t>jl.jend sudirman</t>
        </is>
      </c>
      <c r="D9" s="0" t="inlineStr">
        <is>
          <t>damai</t>
        </is>
      </c>
      <c r="E9" t="inlineStr"/>
      <c r="F9" t="inlineStr"/>
      <c r="G9" s="0" t="inlineStr">
        <is>
          <t>081346305051</t>
        </is>
      </c>
      <c r="H9" s="0" t="inlineStr">
        <is>
          <t>Sukawatidiana@gmail.com</t>
        </is>
      </c>
      <c r="I9" s="0" t="inlineStr">
        <is>
          <t>Menikah</t>
        </is>
      </c>
    </row>
    <row r="10">
      <c r="A10" t="n">
        <v>9</v>
      </c>
      <c r="B10" s="0" t="inlineStr">
        <is>
          <t>Casey matthew cozlov maengkom</t>
        </is>
      </c>
      <c r="C10" s="0" t="inlineStr">
        <is>
          <t>Jl. Gn guntur asri no.37 rt 35</t>
        </is>
      </c>
      <c r="D10" s="0" t="inlineStr">
        <is>
          <t>Gunung sari ulu</t>
        </is>
      </c>
      <c r="E10" t="inlineStr"/>
      <c r="F10" t="inlineStr"/>
      <c r="G10" s="0" t="inlineStr">
        <is>
          <t>082351343230</t>
        </is>
      </c>
      <c r="H10" s="0" t="inlineStr">
        <is>
          <t>Selfanicc@gmail.com</t>
        </is>
      </c>
      <c r="I10" s="0" t="inlineStr">
        <is>
          <t>Janda</t>
        </is>
      </c>
    </row>
    <row r="11">
      <c r="A11" t="n">
        <v>10</v>
      </c>
      <c r="B11" s="0" t="inlineStr">
        <is>
          <t>Christian kusuma</t>
        </is>
      </c>
      <c r="C11" s="0" t="inlineStr">
        <is>
          <t>Jl Jend Sudirman blok A no 27</t>
        </is>
      </c>
      <c r="D11" s="0" t="inlineStr">
        <is>
          <t>Klandasan ulu</t>
        </is>
      </c>
      <c r="E11" t="inlineStr"/>
      <c r="F11" t="inlineStr"/>
      <c r="G11" s="0" t="inlineStr">
        <is>
          <t>0811545078</t>
        </is>
      </c>
      <c r="H11" s="0" t="inlineStr">
        <is>
          <t>Christiankodok@yahoo.com</t>
        </is>
      </c>
      <c r="I11" s="0" t="inlineStr">
        <is>
          <t>Menikah</t>
        </is>
      </c>
    </row>
    <row r="12">
      <c r="A12" t="n">
        <v>11</v>
      </c>
      <c r="B12" s="0" t="inlineStr">
        <is>
          <t>Densius Christian Naga</t>
        </is>
      </c>
      <c r="C12" s="0" t="inlineStr">
        <is>
          <t>Jln.Marsma Iswahyudi No.1, Rt 10</t>
        </is>
      </c>
      <c r="D12" s="0" t="inlineStr">
        <is>
          <t>Kelurahan Sepinggan Raya</t>
        </is>
      </c>
      <c r="E12" t="inlineStr"/>
      <c r="F12" t="inlineStr"/>
      <c r="G12" s="0" t="inlineStr">
        <is>
          <t>081270098588</t>
        </is>
      </c>
      <c r="H12" s="0" t="inlineStr">
        <is>
          <t>Barbarafenyodjan@gmail.com</t>
        </is>
      </c>
      <c r="I12" s="0" t="inlineStr">
        <is>
          <t>Menikah</t>
        </is>
      </c>
    </row>
    <row r="13">
      <c r="A13" t="n">
        <v>12</v>
      </c>
      <c r="B13" s="0" t="inlineStr">
        <is>
          <t>Elisabeth Mantiri</t>
        </is>
      </c>
      <c r="C13" s="0" t="inlineStr">
        <is>
          <t>Jl.Mulawarman Rt 23 No.17</t>
        </is>
      </c>
      <c r="D13" s="0" t="inlineStr">
        <is>
          <t>Lamaru</t>
        </is>
      </c>
      <c r="E13" t="inlineStr"/>
      <c r="F13" t="inlineStr"/>
      <c r="G13" s="0" t="inlineStr">
        <is>
          <t>082351343230</t>
        </is>
      </c>
      <c r="H13" s="0" t="inlineStr">
        <is>
          <t>Selfanicc@gmail.com</t>
        </is>
      </c>
      <c r="I13" s="0" t="inlineStr">
        <is>
          <t>Janda</t>
        </is>
      </c>
    </row>
    <row r="14">
      <c r="A14" t="n">
        <v>13</v>
      </c>
      <c r="B14" s="0" t="inlineStr">
        <is>
          <t>Endang Yudhaningsih</t>
        </is>
      </c>
      <c r="C14" s="0" t="inlineStr">
        <is>
          <t>Jl. Syarifuddin Yoes No.10 RT.01</t>
        </is>
      </c>
      <c r="D14" s="0" t="inlineStr">
        <is>
          <t>Sepinggan Baru</t>
        </is>
      </c>
      <c r="E14" t="inlineStr"/>
      <c r="F14" t="inlineStr"/>
      <c r="G14" s="0" t="inlineStr">
        <is>
          <t>085716012223</t>
        </is>
      </c>
      <c r="H14" s="0" t="inlineStr">
        <is>
          <t>-</t>
        </is>
      </c>
      <c r="I14" s="0" t="inlineStr">
        <is>
          <t>Janda</t>
        </is>
      </c>
    </row>
    <row r="15">
      <c r="A15" t="n">
        <v>14</v>
      </c>
      <c r="B15" s="0" t="inlineStr">
        <is>
          <t>Febrianty Anastasia Malau</t>
        </is>
      </c>
      <c r="C15" s="0" t="inlineStr">
        <is>
          <t>Jl.Mulawarman Rt.10</t>
        </is>
      </c>
      <c r="D15" s="0" t="inlineStr">
        <is>
          <t>Sepinggan</t>
        </is>
      </c>
      <c r="E15" t="inlineStr"/>
      <c r="F15" t="inlineStr"/>
      <c r="G15" s="0" t="inlineStr">
        <is>
          <t>082122242908</t>
        </is>
      </c>
      <c r="H15" t="inlineStr">
        <is>
          <t>agnesmonica2170@gmail.com</t>
        </is>
      </c>
      <c r="I15" s="0" t="inlineStr">
        <is>
          <t>Lajang</t>
        </is>
      </c>
    </row>
    <row r="16">
      <c r="A16" t="n">
        <v>15</v>
      </c>
      <c r="B16" s="0" t="inlineStr">
        <is>
          <t>Hadi Sujono</t>
        </is>
      </c>
      <c r="C16" s="0" t="inlineStr">
        <is>
          <t>Jl Teratai Merah No 51 RT 056</t>
        </is>
      </c>
      <c r="D16" s="0" t="inlineStr">
        <is>
          <t>Sepinggan</t>
        </is>
      </c>
      <c r="E16" t="inlineStr"/>
      <c r="F16" t="inlineStr"/>
      <c r="G16" s="0" t="inlineStr">
        <is>
          <t>085347992266</t>
        </is>
      </c>
      <c r="H16" s="0" t="inlineStr"/>
      <c r="I16" s="0" t="inlineStr">
        <is>
          <t>Menikah</t>
        </is>
      </c>
    </row>
    <row r="17">
      <c r="A17" t="n">
        <v>16</v>
      </c>
      <c r="B17" s="0" t="inlineStr">
        <is>
          <t>HARIYOTEJO DWINANTO</t>
        </is>
      </c>
      <c r="C17" s="0" t="inlineStr">
        <is>
          <t>Jl. Syarifuddin Yoes No.10 RT.01</t>
        </is>
      </c>
      <c r="D17" s="0" t="inlineStr">
        <is>
          <t>Sepinggan Baru</t>
        </is>
      </c>
      <c r="E17" t="inlineStr"/>
      <c r="F17" t="inlineStr"/>
      <c r="G17" s="0" t="inlineStr">
        <is>
          <t>081548607099</t>
        </is>
      </c>
      <c r="H17" s="0" t="inlineStr">
        <is>
          <t>dhwidodo@yahoo.com</t>
        </is>
      </c>
      <c r="I17" s="0" t="inlineStr">
        <is>
          <t>Lajang</t>
        </is>
      </c>
    </row>
    <row r="18">
      <c r="A18" t="n">
        <v>17</v>
      </c>
      <c r="B18" s="0" t="inlineStr">
        <is>
          <t>Hipolitus kanisius bogar</t>
        </is>
      </c>
      <c r="C18" s="0" t="inlineStr">
        <is>
          <t>Jln gang Tirtosari</t>
        </is>
      </c>
      <c r="D18" s="0" t="inlineStr">
        <is>
          <t>Sepinggan</t>
        </is>
      </c>
      <c r="E18" t="inlineStr"/>
      <c r="F18" t="inlineStr"/>
      <c r="G18" s="0" t="inlineStr">
        <is>
          <t>081351595667</t>
        </is>
      </c>
      <c r="H18" s="0" t="inlineStr">
        <is>
          <t>Chievocaprio99@gmail.com</t>
        </is>
      </c>
      <c r="I18" s="0" t="inlineStr">
        <is>
          <t>Lajang</t>
        </is>
      </c>
    </row>
    <row r="19">
      <c r="A19" t="n">
        <v>18</v>
      </c>
      <c r="B19" s="0" t="inlineStr">
        <is>
          <t>IGNATIUS BUDIARIYANTO</t>
        </is>
      </c>
      <c r="C19" s="0" t="inlineStr">
        <is>
          <t>PERUM PALM HILLS CLUSTER PAVILION BLOK B NO.6 RT 7</t>
        </is>
      </c>
      <c r="D19" s="0" t="inlineStr">
        <is>
          <t>SEPINGGAN</t>
        </is>
      </c>
      <c r="E19" t="inlineStr"/>
      <c r="F19" t="inlineStr"/>
      <c r="G19" s="0" t="inlineStr">
        <is>
          <t>081578757836</t>
        </is>
      </c>
      <c r="H19" s="0" t="inlineStr">
        <is>
          <t>ignatius.budiariyanto@gmail.com</t>
        </is>
      </c>
      <c r="I19" s="0" t="inlineStr">
        <is>
          <t>Menikah</t>
        </is>
      </c>
    </row>
    <row r="20">
      <c r="A20" t="n">
        <v>19</v>
      </c>
      <c r="B20" s="0" t="inlineStr">
        <is>
          <t>IGNATIUS SUYATO</t>
        </is>
      </c>
      <c r="C20" s="0" t="inlineStr">
        <is>
          <t>Jl. Marsma R iswahyudi RT 15</t>
        </is>
      </c>
      <c r="D20" s="0" t="inlineStr">
        <is>
          <t>Sepinggan</t>
        </is>
      </c>
      <c r="E20" t="inlineStr"/>
      <c r="F20" t="inlineStr"/>
      <c r="G20" s="0" t="inlineStr">
        <is>
          <t>085234025605</t>
        </is>
      </c>
      <c r="H20" t="inlineStr">
        <is>
          <t>ignasiuscm@gmail.com</t>
        </is>
      </c>
      <c r="I20" s="0" t="inlineStr">
        <is>
          <t>Menikah</t>
        </is>
      </c>
    </row>
    <row r="21">
      <c r="A21" t="n">
        <v>20</v>
      </c>
      <c r="B21" s="0" t="inlineStr">
        <is>
          <t>Janson Saragih</t>
        </is>
      </c>
      <c r="C21" s="0" t="inlineStr">
        <is>
          <t>Jl Tetapi Merah Rt 31 No 31 Sepinggan</t>
        </is>
      </c>
      <c r="D21" s="0" t="inlineStr">
        <is>
          <t>Sepinggan</t>
        </is>
      </c>
      <c r="E21" t="inlineStr"/>
      <c r="F21" t="inlineStr"/>
      <c r="G21" s="0" t="inlineStr">
        <is>
          <t>08126328520</t>
        </is>
      </c>
      <c r="H21" s="0" t="inlineStr">
        <is>
          <t>fenesiasiska@gmail.com</t>
        </is>
      </c>
      <c r="I21" s="0" t="inlineStr">
        <is>
          <t>Menikah</t>
        </is>
      </c>
    </row>
    <row r="22">
      <c r="A22" t="n">
        <v>21</v>
      </c>
      <c r="B22" s="0" t="inlineStr">
        <is>
          <t>JOSEPH KUMARURUNG</t>
        </is>
      </c>
      <c r="C22" s="0" t="inlineStr">
        <is>
          <t>APT Puri Garden Unit 310</t>
        </is>
      </c>
      <c r="D22" s="0" t="inlineStr">
        <is>
          <t>Kembangan Selatan</t>
        </is>
      </c>
      <c r="E22" t="inlineStr"/>
      <c r="F22" t="inlineStr"/>
      <c r="G22" s="0" t="inlineStr">
        <is>
          <t>085225252937</t>
        </is>
      </c>
      <c r="H22" t="inlineStr"/>
      <c r="I22" s="0" t="inlineStr">
        <is>
          <t>Menikah</t>
        </is>
      </c>
    </row>
    <row r="23">
      <c r="A23" t="n">
        <v>22</v>
      </c>
      <c r="B23" s="0" t="inlineStr">
        <is>
          <t>La mbirita tadiyus</t>
        </is>
      </c>
      <c r="C23" s="0" t="inlineStr">
        <is>
          <t>Jln, Marsma r Iswahyudi</t>
        </is>
      </c>
      <c r="D23" s="0" t="inlineStr">
        <is>
          <t>Sepinggan</t>
        </is>
      </c>
      <c r="E23" t="inlineStr"/>
      <c r="F23" t="inlineStr"/>
      <c r="G23" s="0" t="inlineStr">
        <is>
          <t>081253212457</t>
        </is>
      </c>
      <c r="H23" s="0" t="inlineStr"/>
      <c r="I23" s="0" t="inlineStr">
        <is>
          <t>Menikah</t>
        </is>
      </c>
    </row>
    <row r="24">
      <c r="A24" t="n">
        <v>23</v>
      </c>
      <c r="B24" s="0" t="inlineStr">
        <is>
          <t>Lusia yulmia</t>
        </is>
      </c>
      <c r="C24" s="0" t="inlineStr">
        <is>
          <t>Jl. Jend. Sudirman no 107</t>
        </is>
      </c>
      <c r="D24" s="0" t="inlineStr">
        <is>
          <t>Damai</t>
        </is>
      </c>
      <c r="E24" t="inlineStr"/>
      <c r="F24" t="inlineStr"/>
      <c r="G24" s="0" t="inlineStr">
        <is>
          <t>081253330525</t>
        </is>
      </c>
      <c r="H24" s="0" t="inlineStr">
        <is>
          <t>luciayulmia@gmail.com</t>
        </is>
      </c>
      <c r="I24" s="0" t="inlineStr">
        <is>
          <t>Kawin Belum Tercatat</t>
        </is>
      </c>
    </row>
    <row r="25">
      <c r="A25" t="n">
        <v>24</v>
      </c>
      <c r="B25" s="0" t="inlineStr">
        <is>
          <t>MARIA AFIA DEU GHOLO</t>
        </is>
      </c>
      <c r="C25" s="0" t="inlineStr">
        <is>
          <t>Jl.mulawarman no.10</t>
        </is>
      </c>
      <c r="D25" s="0" t="inlineStr">
        <is>
          <t>Sepinggan</t>
        </is>
      </c>
      <c r="E25" t="inlineStr"/>
      <c r="F25" t="inlineStr"/>
      <c r="G25" s="0" t="inlineStr">
        <is>
          <t>082266416706</t>
        </is>
      </c>
      <c r="H25" s="0" t="inlineStr">
        <is>
          <t>-</t>
        </is>
      </c>
      <c r="I25" s="0" t="inlineStr">
        <is>
          <t>Lajang</t>
        </is>
      </c>
    </row>
    <row r="26">
      <c r="A26" t="n">
        <v>25</v>
      </c>
      <c r="B26" s="0" t="inlineStr">
        <is>
          <t>Maria Emakulata Mei</t>
        </is>
      </c>
      <c r="C26" s="0" t="inlineStr">
        <is>
          <t>Jl. Wiyata No 33 RT 022</t>
        </is>
      </c>
      <c r="D26" s="0" t="inlineStr">
        <is>
          <t>Sepinggan Raya</t>
        </is>
      </c>
      <c r="E26" t="inlineStr"/>
      <c r="F26" t="inlineStr"/>
      <c r="G26" s="0" t="inlineStr">
        <is>
          <t>085245469420</t>
        </is>
      </c>
      <c r="H26" t="inlineStr">
        <is>
          <t>emakulatamei@gmail.com</t>
        </is>
      </c>
      <c r="I26" s="0" t="inlineStr">
        <is>
          <t>Lajang</t>
        </is>
      </c>
    </row>
    <row r="27">
      <c r="A27" t="n">
        <v>26</v>
      </c>
      <c r="B27" s="0" t="inlineStr">
        <is>
          <t>MARIA SRITANTI HADIM</t>
        </is>
      </c>
      <c r="C27" s="0" t="inlineStr">
        <is>
          <t>Jl.MT.HaryonoNo.069 RT.05</t>
        </is>
      </c>
      <c r="D27" s="0" t="inlineStr">
        <is>
          <t>DAMAI BAHAGIA</t>
        </is>
      </c>
      <c r="E27" t="inlineStr"/>
      <c r="F27" t="inlineStr"/>
      <c r="G27" s="0" t="inlineStr">
        <is>
          <t>081350553136</t>
        </is>
      </c>
      <c r="H27" s="0" t="inlineStr">
        <is>
          <t>mariasri02@gmail.com</t>
        </is>
      </c>
      <c r="I27" s="0" t="inlineStr">
        <is>
          <t>Menikah</t>
        </is>
      </c>
    </row>
    <row r="28">
      <c r="A28" t="n">
        <v>27</v>
      </c>
      <c r="B28" s="0" t="inlineStr">
        <is>
          <t>MARKUS HENDRIK</t>
        </is>
      </c>
      <c r="C28" s="0" t="inlineStr">
        <is>
          <t>Jl.marsma r.iswahyudi no.8</t>
        </is>
      </c>
      <c r="D28" s="0" t="inlineStr">
        <is>
          <t>Sepinggan raya</t>
        </is>
      </c>
      <c r="E28" t="inlineStr"/>
      <c r="F28" t="inlineStr"/>
      <c r="G28" s="0" t="inlineStr">
        <is>
          <t>081346435198</t>
        </is>
      </c>
      <c r="H28" s="0" t="inlineStr"/>
      <c r="I28" s="0" t="inlineStr">
        <is>
          <t>Menikah</t>
        </is>
      </c>
    </row>
    <row r="29">
      <c r="A29" t="n">
        <v>28</v>
      </c>
      <c r="B29" s="0" t="inlineStr">
        <is>
          <t>Martinus Apriadi Putra</t>
        </is>
      </c>
      <c r="C29" s="0" t="inlineStr">
        <is>
          <t>Jl Mayjend Sutoyo</t>
        </is>
      </c>
      <c r="D29" s="0" t="inlineStr">
        <is>
          <t>Klandasan Ilir</t>
        </is>
      </c>
      <c r="E29" t="inlineStr"/>
      <c r="F29" t="inlineStr"/>
      <c r="G29" s="0" t="inlineStr">
        <is>
          <t>087840453320</t>
        </is>
      </c>
      <c r="H29" s="0" t="inlineStr">
        <is>
          <t>septinuel@gmail.com</t>
        </is>
      </c>
      <c r="I29" s="0" t="inlineStr">
        <is>
          <t>Menikah</t>
        </is>
      </c>
    </row>
    <row r="30">
      <c r="A30" t="n">
        <v>29</v>
      </c>
      <c r="B30" s="0" t="inlineStr">
        <is>
          <t>MARTINUS PRASETYO ADI NUGROHO</t>
        </is>
      </c>
      <c r="C30" s="0" t="inlineStr">
        <is>
          <t>PERUM PALM HILLS CITY GARDEN VILLA NO 32 RT 08</t>
        </is>
      </c>
      <c r="D30" s="0" t="inlineStr">
        <is>
          <t>SEPINGGAN</t>
        </is>
      </c>
      <c r="E30" t="inlineStr"/>
      <c r="F30" t="inlineStr"/>
      <c r="G30" s="0" t="inlineStr">
        <is>
          <t>081229888001</t>
        </is>
      </c>
      <c r="H30" s="0" t="inlineStr">
        <is>
          <t>martinuspa@gmail.com</t>
        </is>
      </c>
      <c r="I30" s="0" t="inlineStr">
        <is>
          <t>Menikah</t>
        </is>
      </c>
    </row>
    <row r="31">
      <c r="A31" t="n">
        <v>30</v>
      </c>
      <c r="B31" s="0" t="inlineStr">
        <is>
          <t>Martinus Suratmin</t>
        </is>
      </c>
      <c r="C31" s="0" t="inlineStr">
        <is>
          <t>Jl. Marsma R. Iswahyudi No. 399 Rt. 12</t>
        </is>
      </c>
      <c r="D31" s="0" t="inlineStr">
        <is>
          <t>Sepinggan Raya</t>
        </is>
      </c>
      <c r="E31" t="inlineStr"/>
      <c r="F31" t="inlineStr"/>
      <c r="G31" t="inlineStr">
        <is>
          <t>081346450297</t>
        </is>
      </c>
      <c r="H31" t="inlineStr">
        <is>
          <t>patrisialidya@gmail.com</t>
        </is>
      </c>
      <c r="I31" s="0" t="inlineStr">
        <is>
          <t>Duda</t>
        </is>
      </c>
    </row>
    <row r="32">
      <c r="A32" t="n">
        <v>31</v>
      </c>
      <c r="B32" s="0" t="inlineStr">
        <is>
          <t>Petrus Ua</t>
        </is>
      </c>
      <c r="C32" s="0" t="inlineStr">
        <is>
          <t>Jl Mulawarman RT 012</t>
        </is>
      </c>
      <c r="D32" s="0" t="inlineStr">
        <is>
          <t>Sepinggan</t>
        </is>
      </c>
      <c r="E32" t="inlineStr"/>
      <c r="F32" t="inlineStr"/>
      <c r="G32" s="0" t="inlineStr"/>
      <c r="H32" s="0" t="inlineStr"/>
      <c r="I32" s="0" t="inlineStr">
        <is>
          <t>Menikah</t>
        </is>
      </c>
    </row>
    <row r="33">
      <c r="A33" t="n">
        <v>32</v>
      </c>
      <c r="B33" s="0" t="inlineStr">
        <is>
          <t>Polonius Dosi Miten</t>
        </is>
      </c>
      <c r="C33" s="0" t="inlineStr">
        <is>
          <t>Jl Teratai Merah No 51 RT 056</t>
        </is>
      </c>
      <c r="D33" s="0" t="inlineStr">
        <is>
          <t>Sepinggan</t>
        </is>
      </c>
      <c r="E33" t="inlineStr"/>
      <c r="F33" t="inlineStr"/>
      <c r="G33" s="0" t="inlineStr">
        <is>
          <t>081254771052</t>
        </is>
      </c>
      <c r="H33" s="0" t="inlineStr">
        <is>
          <t>dina.wulandari13@gmail.com</t>
        </is>
      </c>
      <c r="I33" s="0" t="inlineStr">
        <is>
          <t>Menikah</t>
        </is>
      </c>
    </row>
    <row r="34">
      <c r="A34" t="n">
        <v>33</v>
      </c>
      <c r="B34" s="0" t="inlineStr">
        <is>
          <t>Ryoga Adityo Dipowikoro</t>
        </is>
      </c>
      <c r="C34" s="0" t="inlineStr">
        <is>
          <t>Jl. Margasatwa Barat No. 5 Bukit Indah Residence Kav 7.</t>
        </is>
      </c>
      <c r="D34" s="0" t="inlineStr">
        <is>
          <t>Cilandak Timur</t>
        </is>
      </c>
      <c r="E34" t="inlineStr"/>
      <c r="F34" t="inlineStr"/>
      <c r="G34" s="0" t="inlineStr">
        <is>
          <t>0811599500</t>
        </is>
      </c>
      <c r="H34" s="0" t="inlineStr">
        <is>
          <t>r.dipowikoro@gmail.com</t>
        </is>
      </c>
      <c r="I34" s="0" t="inlineStr">
        <is>
          <t>Lajang</t>
        </is>
      </c>
    </row>
    <row r="35">
      <c r="A35" t="n">
        <v>34</v>
      </c>
      <c r="B35" s="0" t="inlineStr">
        <is>
          <t>Saut Parlindungan Sitanggang</t>
        </is>
      </c>
      <c r="C35" s="0" t="inlineStr">
        <is>
          <t>Perum Regalia Residence</t>
        </is>
      </c>
      <c r="D35" s="0" t="inlineStr">
        <is>
          <t>Sepinggan</t>
        </is>
      </c>
      <c r="E35" t="inlineStr"/>
      <c r="F35" t="inlineStr"/>
      <c r="G35" s="0" t="inlineStr">
        <is>
          <t>081255056902</t>
        </is>
      </c>
      <c r="H35" s="0" t="inlineStr">
        <is>
          <t>Horasbersaudara77@gmail.com</t>
        </is>
      </c>
      <c r="I35" s="0" t="inlineStr">
        <is>
          <t>Menikah</t>
        </is>
      </c>
    </row>
    <row r="36">
      <c r="A36" t="n">
        <v>35</v>
      </c>
      <c r="B36" s="0" t="inlineStr">
        <is>
          <t>SERVINUS</t>
        </is>
      </c>
      <c r="C36" s="0" t="inlineStr">
        <is>
          <t>ASRAMA POLISI JLN. KEMUNING</t>
        </is>
      </c>
      <c r="D36" s="0" t="inlineStr">
        <is>
          <t>SUKARAME</t>
        </is>
      </c>
      <c r="E36" t="inlineStr"/>
      <c r="F36" t="inlineStr"/>
      <c r="G36" s="0" t="inlineStr">
        <is>
          <t>081343674806</t>
        </is>
      </c>
      <c r="H36" t="inlineStr">
        <is>
          <t>Ajuseceryl@yahoo.com</t>
        </is>
      </c>
      <c r="I36" s="0" t="inlineStr">
        <is>
          <t>Lajang</t>
        </is>
      </c>
    </row>
    <row r="37">
      <c r="A37" t="n">
        <v>36</v>
      </c>
      <c r="B37" s="0" t="inlineStr">
        <is>
          <t>Simon Santi</t>
        </is>
      </c>
      <c r="C37" s="0" t="inlineStr">
        <is>
          <t>Gunung Guntur</t>
        </is>
      </c>
      <c r="D37" s="0" t="inlineStr">
        <is>
          <t>Sumber rejo</t>
        </is>
      </c>
      <c r="E37" t="inlineStr"/>
      <c r="F37" t="inlineStr"/>
      <c r="G37" s="0" t="inlineStr">
        <is>
          <t>082155686618</t>
        </is>
      </c>
      <c r="H37" s="0" t="inlineStr">
        <is>
          <t>Simonsanti64 Gmail de com</t>
        </is>
      </c>
      <c r="I37" s="0" t="inlineStr">
        <is>
          <t>Menikah</t>
        </is>
      </c>
    </row>
    <row r="38">
      <c r="A38" t="n">
        <v>37</v>
      </c>
      <c r="B38" s="0" t="inlineStr">
        <is>
          <t>Thomas Sakino</t>
        </is>
      </c>
      <c r="C38" s="0" t="inlineStr">
        <is>
          <t>Jln prona 3 sepinggan</t>
        </is>
      </c>
      <c r="D38" s="0" t="inlineStr">
        <is>
          <t>Sepinggan</t>
        </is>
      </c>
      <c r="E38" t="inlineStr"/>
      <c r="F38" t="inlineStr"/>
      <c r="G38" s="0" t="inlineStr">
        <is>
          <t>081345459244</t>
        </is>
      </c>
      <c r="H38" s="0" t="inlineStr"/>
      <c r="I38" s="0" t="inlineStr">
        <is>
          <t>Menikah</t>
        </is>
      </c>
    </row>
    <row r="39">
      <c r="A39" t="n">
        <v>38</v>
      </c>
      <c r="B39" s="0" t="inlineStr">
        <is>
          <t>Willis saputra</t>
        </is>
      </c>
      <c r="C39" s="0" t="inlineStr">
        <is>
          <t>Jl. Kok Syarifuddin Yoes komp central bizpark 2</t>
        </is>
      </c>
      <c r="D39" s="0" t="inlineStr">
        <is>
          <t>Sepinggan baru</t>
        </is>
      </c>
      <c r="E39" t="inlineStr"/>
      <c r="F39" t="inlineStr"/>
      <c r="G39" s="0" t="inlineStr">
        <is>
          <t>082284081405</t>
        </is>
      </c>
      <c r="H39" s="0" t="inlineStr">
        <is>
          <t>Williscmp24@gmail.com</t>
        </is>
      </c>
      <c r="I39" s="0" t="inlineStr">
        <is>
          <t>Menikah</t>
        </is>
      </c>
    </row>
    <row r="40">
      <c r="A40" t="n">
        <v>39</v>
      </c>
      <c r="B40" s="0" t="inlineStr">
        <is>
          <t>YOHANES WASKITO</t>
        </is>
      </c>
      <c r="C40" s="0" t="inlineStr">
        <is>
          <t>Jln. Marsma R Iswahyudi Gang Mawar RT 04</t>
        </is>
      </c>
      <c r="D40" s="0" t="inlineStr">
        <is>
          <t>Sepinggan Raya</t>
        </is>
      </c>
      <c r="E40" t="inlineStr"/>
      <c r="F40" t="inlineStr"/>
      <c r="G40" s="0" t="inlineStr">
        <is>
          <t>085647323103</t>
        </is>
      </c>
      <c r="H40" s="0" t="inlineStr">
        <is>
          <t>yohan.waskito@gmail.com</t>
        </is>
      </c>
      <c r="I40" s="0" t="inlineStr">
        <is>
          <t>Menikah</t>
        </is>
      </c>
    </row>
    <row r="41">
      <c r="A41" t="n">
        <v>40</v>
      </c>
      <c r="B41" s="0" t="inlineStr">
        <is>
          <t>Yosefa Pratiwi Winarti</t>
        </is>
      </c>
      <c r="C41" s="0" t="inlineStr">
        <is>
          <t>Jl. Marsma R. Iswahyudi No. 399 Rt. 12</t>
        </is>
      </c>
      <c r="D41" s="0" t="inlineStr">
        <is>
          <t>Sepinggan Raya</t>
        </is>
      </c>
      <c r="E41" t="inlineStr"/>
      <c r="F41" t="inlineStr"/>
      <c r="G41" t="inlineStr">
        <is>
          <t>081346450297</t>
        </is>
      </c>
      <c r="H41" t="inlineStr">
        <is>
          <t>patrisialidya@gmail.com</t>
        </is>
      </c>
      <c r="I41" s="0" t="inlineStr">
        <is>
          <t>Cerai Sipil</t>
        </is>
      </c>
    </row>
    <row r="42">
      <c r="A42" t="n">
        <v>41</v>
      </c>
      <c r="B42" s="0" t="inlineStr">
        <is>
          <t>YUSTINUS DANI APRIANTO</t>
        </is>
      </c>
      <c r="C42" s="0" t="inlineStr">
        <is>
          <t>Jln Prona 3 gang Karya warga no 52</t>
        </is>
      </c>
      <c r="D42" s="0" t="inlineStr">
        <is>
          <t>Sepinggan</t>
        </is>
      </c>
      <c r="E42" t="inlineStr"/>
      <c r="F42" t="inlineStr"/>
      <c r="G42" s="0" t="inlineStr">
        <is>
          <t>082157819885</t>
        </is>
      </c>
      <c r="H42" s="0" t="inlineStr">
        <is>
          <t>tristankiandra07@gmail.com</t>
        </is>
      </c>
      <c r="I42" s="0" t="inlineStr">
        <is>
          <t>Menikah</t>
        </is>
      </c>
    </row>
    <row r="43">
      <c r="A43" t="n">
        <v>42</v>
      </c>
      <c r="B43" s="0" t="inlineStr">
        <is>
          <t>YVONNE DE WINTER</t>
        </is>
      </c>
      <c r="C43" s="0" t="inlineStr">
        <is>
          <t>APT Puri Garden Unit 310</t>
        </is>
      </c>
      <c r="D43" s="0" t="inlineStr">
        <is>
          <t>Kembangan Selatan</t>
        </is>
      </c>
      <c r="E43" t="inlineStr"/>
      <c r="F43" t="inlineStr"/>
      <c r="G43" s="0" t="inlineStr"/>
      <c r="H43" s="0" t="inlineStr"/>
      <c r="I43" s="0" t="inlineStr">
        <is>
          <t>Menikah</t>
        </is>
      </c>
    </row>
    <row r="502" ht="14.25" customHeight="1" s="38"/>
    <row r="503" ht="14.25" customHeight="1" s="38"/>
    <row r="504" ht="14.25" customHeight="1" s="38"/>
    <row r="505" ht="14.25" customHeight="1" s="38"/>
    <row r="506" ht="14.25" customHeight="1" s="38"/>
    <row r="507" ht="14.25" customHeight="1" s="38"/>
    <row r="508" ht="14.25" customHeight="1" s="38"/>
    <row r="509" ht="14.25" customHeight="1" s="38"/>
    <row r="510" ht="14.25" customHeight="1" s="38"/>
    <row r="511" ht="14.25" customHeight="1" s="38"/>
    <row r="512" ht="14.25" customHeight="1" s="38"/>
    <row r="513" ht="14.25" customHeight="1" s="38"/>
    <row r="514" ht="14.25" customHeight="1" s="38"/>
    <row r="515" ht="14.25" customHeight="1" s="38"/>
    <row r="516" ht="14.25" customHeight="1" s="38"/>
    <row r="517" ht="14.25" customHeight="1" s="38"/>
    <row r="518" ht="14.25" customHeight="1" s="38"/>
    <row r="519" ht="14.25" customHeight="1" s="38"/>
    <row r="520" ht="14.25" customHeight="1" s="38"/>
    <row r="521" ht="14.25" customHeight="1" s="38"/>
    <row r="522" ht="14.25" customHeight="1" s="38"/>
    <row r="523" ht="14.25" customHeight="1" s="38"/>
    <row r="524" ht="14.25" customHeight="1" s="38"/>
    <row r="525" ht="14.25" customHeight="1" s="38"/>
    <row r="526" ht="14.25" customHeight="1" s="38"/>
    <row r="527" ht="14.25" customHeight="1" s="38"/>
    <row r="528" ht="14.25" customHeight="1" s="38"/>
    <row r="529" ht="14.25" customHeight="1" s="38"/>
    <row r="530" ht="14.25" customHeight="1" s="38"/>
    <row r="531" ht="14.25" customHeight="1" s="38"/>
    <row r="532" ht="14.25" customHeight="1" s="38"/>
    <row r="533" ht="14.25" customHeight="1" s="38"/>
    <row r="534" ht="14.25" customHeight="1" s="38"/>
    <row r="535" ht="14.25" customHeight="1" s="38"/>
    <row r="536" ht="14.25" customHeight="1" s="38"/>
    <row r="537" ht="14.25" customHeight="1" s="38"/>
    <row r="538" ht="14.25" customHeight="1" s="38"/>
    <row r="539" ht="14.25" customHeight="1" s="38"/>
    <row r="540" ht="14.25" customHeight="1" s="38"/>
    <row r="541" ht="14.25" customHeight="1" s="38"/>
    <row r="542" ht="14.25" customHeight="1" s="38"/>
    <row r="543" ht="14.25" customHeight="1" s="38"/>
    <row r="544" ht="14.25" customHeight="1" s="38"/>
    <row r="545" ht="14.25" customHeight="1" s="38"/>
    <row r="546" ht="14.25" customHeight="1" s="38"/>
    <row r="547" ht="14.25" customHeight="1" s="38"/>
    <row r="548" ht="14.25" customHeight="1" s="38"/>
    <row r="549" ht="14.25" customHeight="1" s="38"/>
    <row r="550" ht="14.25" customHeight="1" s="38"/>
    <row r="551" ht="14.25" customHeight="1" s="38"/>
    <row r="552" ht="14.25" customHeight="1" s="38"/>
    <row r="553" ht="14.25" customHeight="1" s="38"/>
    <row r="554" ht="14.25" customHeight="1" s="38"/>
    <row r="555" ht="14.25" customHeight="1" s="38"/>
    <row r="556" ht="14.25" customHeight="1" s="38"/>
    <row r="557" ht="14.25" customHeight="1" s="38"/>
    <row r="558" ht="14.25" customHeight="1" s="38"/>
    <row r="559" ht="14.25" customHeight="1" s="38"/>
    <row r="560" ht="14.25" customHeight="1" s="38"/>
    <row r="561" ht="14.25" customHeight="1" s="38"/>
    <row r="562" ht="14.25" customHeight="1" s="38"/>
    <row r="563" ht="14.25" customHeight="1" s="38"/>
    <row r="564" ht="14.25" customHeight="1" s="38"/>
    <row r="565" ht="14.25" customHeight="1" s="38"/>
    <row r="566" ht="14.25" customHeight="1" s="38"/>
    <row r="567" ht="14.25" customHeight="1" s="38"/>
    <row r="568" ht="14.25" customHeight="1" s="38"/>
    <row r="569" ht="14.25" customHeight="1" s="38"/>
    <row r="570" ht="14.25" customHeight="1" s="38"/>
    <row r="571" ht="14.25" customHeight="1" s="38"/>
    <row r="572" ht="14.25" customHeight="1" s="38"/>
    <row r="573" ht="14.25" customHeight="1" s="38"/>
    <row r="574" ht="14.25" customHeight="1" s="38"/>
    <row r="575" ht="14.25" customHeight="1" s="38"/>
    <row r="576" ht="14.25" customHeight="1" s="38"/>
    <row r="577" ht="14.25" customHeight="1" s="38"/>
    <row r="578" ht="14.25" customHeight="1" s="38"/>
    <row r="579" ht="14.25" customHeight="1" s="38"/>
    <row r="580" ht="14.25" customHeight="1" s="38"/>
    <row r="581" ht="14.25" customHeight="1" s="38"/>
    <row r="582" ht="14.25" customHeight="1" s="38"/>
    <row r="583" ht="14.25" customHeight="1" s="38"/>
    <row r="584" ht="14.25" customHeight="1" s="38"/>
    <row r="585" ht="14.25" customHeight="1" s="38"/>
    <row r="586" ht="14.25" customHeight="1" s="38"/>
    <row r="587" ht="14.25" customHeight="1" s="38"/>
    <row r="588" ht="14.25" customHeight="1" s="38"/>
    <row r="589" ht="14.25" customHeight="1" s="38"/>
    <row r="590" ht="14.25" customHeight="1" s="38"/>
    <row r="591" ht="14.25" customHeight="1" s="38"/>
    <row r="592" ht="14.25" customHeight="1" s="38"/>
    <row r="593" ht="14.25" customHeight="1" s="38"/>
    <row r="594" ht="14.25" customHeight="1" s="38"/>
    <row r="595" ht="14.25" customHeight="1" s="38"/>
    <row r="596" ht="14.25" customHeight="1" s="38"/>
    <row r="597" ht="14.25" customHeight="1" s="38"/>
    <row r="598" ht="14.25" customHeight="1" s="38"/>
    <row r="599" ht="14.25" customHeight="1" s="38"/>
    <row r="600" ht="14.25" customHeight="1" s="38"/>
    <row r="601" ht="14.25" customHeight="1" s="38"/>
    <row r="602" ht="14.25" customHeight="1" s="38"/>
    <row r="603" ht="14.25" customHeight="1" s="38"/>
    <row r="604" ht="14.25" customHeight="1" s="38"/>
    <row r="605" ht="14.25" customHeight="1" s="38"/>
    <row r="606" ht="14.25" customHeight="1" s="38"/>
    <row r="607" ht="14.25" customHeight="1" s="38"/>
    <row r="608" ht="14.25" customHeight="1" s="38"/>
    <row r="609" ht="14.25" customHeight="1" s="38"/>
    <row r="610" ht="14.25" customHeight="1" s="38"/>
    <row r="611" ht="14.25" customHeight="1" s="38"/>
    <row r="612" ht="14.25" customHeight="1" s="38"/>
    <row r="613" ht="14.25" customHeight="1" s="38"/>
    <row r="614" ht="14.25" customHeight="1" s="38"/>
    <row r="615" ht="14.25" customHeight="1" s="38"/>
    <row r="616" ht="14.25" customHeight="1" s="38"/>
    <row r="617" ht="14.25" customHeight="1" s="38"/>
    <row r="618" ht="14.25" customHeight="1" s="38"/>
    <row r="619" ht="14.25" customHeight="1" s="38"/>
    <row r="620" ht="14.25" customHeight="1" s="38"/>
    <row r="621" ht="14.25" customHeight="1" s="38"/>
    <row r="622" ht="14.25" customHeight="1" s="38"/>
    <row r="623" ht="14.25" customHeight="1" s="38"/>
    <row r="624" ht="14.25" customHeight="1" s="38"/>
    <row r="625" ht="14.25" customHeight="1" s="38"/>
    <row r="626" ht="14.25" customHeight="1" s="38"/>
    <row r="627" ht="14.25" customHeight="1" s="38"/>
    <row r="628" ht="14.25" customHeight="1" s="38"/>
    <row r="629" ht="14.25" customHeight="1" s="38"/>
    <row r="630" ht="14.25" customHeight="1" s="38"/>
    <row r="631" ht="14.25" customHeight="1" s="38"/>
    <row r="632" ht="14.25" customHeight="1" s="38"/>
    <row r="633" ht="14.25" customHeight="1" s="38"/>
    <row r="634" ht="14.25" customHeight="1" s="38"/>
    <row r="635" ht="14.25" customHeight="1" s="38"/>
    <row r="636" ht="14.25" customHeight="1" s="38"/>
    <row r="637" ht="14.25" customHeight="1" s="38"/>
    <row r="638" ht="14.25" customHeight="1" s="38"/>
    <row r="639" ht="14.25" customHeight="1" s="38"/>
    <row r="640" ht="14.25" customHeight="1" s="38"/>
    <row r="641" ht="14.25" customHeight="1" s="38"/>
    <row r="642" ht="14.25" customHeight="1" s="38"/>
    <row r="643" ht="14.25" customHeight="1" s="38"/>
    <row r="644" ht="14.25" customHeight="1" s="38"/>
    <row r="645" ht="14.25" customHeight="1" s="38"/>
    <row r="646" ht="14.25" customHeight="1" s="38"/>
    <row r="647" ht="14.25" customHeight="1" s="38"/>
    <row r="648" ht="14.25" customHeight="1" s="38"/>
    <row r="649" ht="14.25" customHeight="1" s="38"/>
    <row r="650" ht="14.25" customHeight="1" s="38"/>
    <row r="651" ht="14.25" customHeight="1" s="38"/>
    <row r="652" ht="14.25" customHeight="1" s="38"/>
    <row r="653" ht="14.25" customHeight="1" s="38"/>
    <row r="654" ht="14.25" customHeight="1" s="38"/>
    <row r="655" ht="14.25" customHeight="1" s="38"/>
    <row r="656" ht="14.25" customHeight="1" s="38"/>
    <row r="657" ht="14.25" customHeight="1" s="38"/>
    <row r="658" ht="14.25" customHeight="1" s="38"/>
    <row r="659" ht="14.25" customHeight="1" s="38"/>
    <row r="660" ht="14.25" customHeight="1" s="38"/>
    <row r="661" ht="14.25" customHeight="1" s="38"/>
    <row r="662" ht="14.25" customHeight="1" s="38"/>
    <row r="663" ht="14.25" customHeight="1" s="38"/>
    <row r="664" ht="14.25" customHeight="1" s="38"/>
    <row r="665" ht="14.25" customHeight="1" s="38"/>
    <row r="666" ht="14.25" customHeight="1" s="38"/>
    <row r="667" ht="14.25" customHeight="1" s="38"/>
    <row r="668" ht="14.25" customHeight="1" s="38"/>
    <row r="669" ht="14.25" customHeight="1" s="38"/>
    <row r="670" ht="14.25" customHeight="1" s="38"/>
    <row r="671" ht="14.25" customHeight="1" s="38"/>
    <row r="672" ht="14.25" customHeight="1" s="38"/>
    <row r="673" ht="14.25" customHeight="1" s="38"/>
    <row r="674" ht="14.25" customHeight="1" s="38"/>
    <row r="675" ht="14.25" customHeight="1" s="38"/>
    <row r="676" ht="14.25" customHeight="1" s="38"/>
    <row r="677" ht="14.25" customHeight="1" s="38"/>
    <row r="678" ht="14.25" customHeight="1" s="38"/>
    <row r="679" ht="14.25" customHeight="1" s="38"/>
    <row r="680" ht="14.25" customHeight="1" s="38"/>
    <row r="681" ht="14.25" customHeight="1" s="38"/>
    <row r="682" ht="14.25" customHeight="1" s="38"/>
    <row r="683" ht="14.25" customHeight="1" s="38"/>
    <row r="684" ht="14.25" customHeight="1" s="38"/>
    <row r="685" ht="14.25" customHeight="1" s="38"/>
    <row r="686" ht="14.25" customHeight="1" s="38"/>
    <row r="687" ht="14.25" customHeight="1" s="38"/>
    <row r="688" ht="14.25" customHeight="1" s="38"/>
    <row r="689" ht="14.25" customHeight="1" s="38"/>
    <row r="690" ht="14.25" customHeight="1" s="38"/>
    <row r="691" ht="14.25" customHeight="1" s="38"/>
    <row r="692" ht="14.25" customHeight="1" s="38"/>
    <row r="693" ht="14.25" customHeight="1" s="38"/>
    <row r="694" ht="14.25" customHeight="1" s="38"/>
    <row r="695" ht="14.25" customHeight="1" s="38"/>
    <row r="696" ht="14.25" customHeight="1" s="38"/>
    <row r="697" ht="14.25" customHeight="1" s="38"/>
    <row r="698" ht="14.25" customHeight="1" s="38"/>
    <row r="699" ht="14.25" customHeight="1" s="38"/>
    <row r="700" ht="14.25" customHeight="1" s="38"/>
    <row r="701" ht="14.25" customHeight="1" s="38"/>
    <row r="702" ht="14.25" customHeight="1" s="38"/>
    <row r="703" ht="14.25" customHeight="1" s="38"/>
    <row r="704" ht="14.25" customHeight="1" s="38"/>
    <row r="705" ht="14.25" customHeight="1" s="38"/>
    <row r="706" ht="14.25" customHeight="1" s="38"/>
    <row r="707" ht="14.25" customHeight="1" s="38"/>
    <row r="708" ht="14.25" customHeight="1" s="38"/>
    <row r="709" ht="14.25" customHeight="1" s="38"/>
    <row r="710" ht="14.25" customHeight="1" s="38"/>
    <row r="711" ht="14.25" customHeight="1" s="38"/>
    <row r="712" ht="14.25" customHeight="1" s="38"/>
    <row r="713" ht="14.25" customHeight="1" s="38"/>
    <row r="714" ht="14.25" customHeight="1" s="38"/>
    <row r="715" ht="14.25" customHeight="1" s="38"/>
    <row r="716" ht="14.25" customHeight="1" s="38"/>
    <row r="717" ht="14.25" customHeight="1" s="38"/>
    <row r="718" ht="14.25" customHeight="1" s="38"/>
    <row r="719" ht="14.25" customHeight="1" s="38"/>
    <row r="720" ht="14.25" customHeight="1" s="38"/>
    <row r="721" ht="14.25" customHeight="1" s="38"/>
    <row r="722" ht="14.25" customHeight="1" s="38"/>
    <row r="723" ht="14.25" customHeight="1" s="38"/>
    <row r="724" ht="14.25" customHeight="1" s="38"/>
    <row r="725" ht="14.25" customHeight="1" s="38"/>
    <row r="726" ht="14.25" customHeight="1" s="38"/>
    <row r="727" ht="14.25" customHeight="1" s="38"/>
    <row r="728" ht="14.25" customHeight="1" s="38"/>
    <row r="729" ht="14.25" customHeight="1" s="38"/>
    <row r="730" ht="14.25" customHeight="1" s="38"/>
    <row r="731" ht="14.25" customHeight="1" s="38"/>
    <row r="732" ht="14.25" customHeight="1" s="38"/>
    <row r="733" ht="14.25" customHeight="1" s="38"/>
    <row r="734" ht="14.25" customHeight="1" s="38"/>
    <row r="735" ht="14.25" customHeight="1" s="38"/>
    <row r="736" ht="14.25" customHeight="1" s="38"/>
    <row r="737" ht="14.25" customHeight="1" s="38"/>
    <row r="738" ht="14.25" customHeight="1" s="38"/>
    <row r="739" ht="14.25" customHeight="1" s="38"/>
    <row r="740" ht="14.25" customHeight="1" s="38"/>
    <row r="741" ht="14.25" customHeight="1" s="38"/>
    <row r="742" ht="14.25" customHeight="1" s="38"/>
    <row r="743" ht="14.25" customHeight="1" s="38"/>
    <row r="744" ht="14.25" customHeight="1" s="38"/>
    <row r="745" ht="14.25" customHeight="1" s="38"/>
    <row r="746" ht="14.25" customHeight="1" s="38"/>
    <row r="747" ht="14.25" customHeight="1" s="38"/>
    <row r="748" ht="14.25" customHeight="1" s="38"/>
    <row r="749" ht="14.25" customHeight="1" s="38"/>
    <row r="750" ht="14.25" customHeight="1" s="38"/>
    <row r="751" ht="14.25" customHeight="1" s="38"/>
    <row r="752" ht="14.25" customHeight="1" s="38"/>
    <row r="753" ht="14.25" customHeight="1" s="38"/>
    <row r="754" ht="14.25" customHeight="1" s="38"/>
    <row r="755" ht="14.25" customHeight="1" s="38"/>
    <row r="756" ht="14.25" customHeight="1" s="38"/>
    <row r="757" ht="14.25" customHeight="1" s="38"/>
    <row r="758" ht="14.25" customHeight="1" s="38"/>
    <row r="759" ht="14.25" customHeight="1" s="38"/>
    <row r="760" ht="14.25" customHeight="1" s="38"/>
    <row r="761" ht="14.25" customHeight="1" s="38"/>
    <row r="762" ht="14.25" customHeight="1" s="38"/>
    <row r="763" ht="14.25" customHeight="1" s="38"/>
    <row r="764" ht="14.25" customHeight="1" s="38"/>
    <row r="765" ht="14.25" customHeight="1" s="38"/>
    <row r="766" ht="14.25" customHeight="1" s="38"/>
    <row r="767" ht="14.25" customHeight="1" s="38"/>
    <row r="768" ht="14.25" customHeight="1" s="38"/>
    <row r="769" ht="14.25" customHeight="1" s="38"/>
    <row r="770" ht="14.25" customHeight="1" s="38"/>
    <row r="771" ht="14.25" customHeight="1" s="38"/>
    <row r="772" ht="14.25" customHeight="1" s="38"/>
    <row r="773" ht="14.25" customHeight="1" s="38"/>
    <row r="774" ht="14.25" customHeight="1" s="38"/>
    <row r="775" ht="14.25" customHeight="1" s="38"/>
    <row r="776" ht="14.25" customHeight="1" s="38"/>
    <row r="777" ht="14.25" customHeight="1" s="38"/>
    <row r="778" ht="14.25" customHeight="1" s="38"/>
    <row r="779" ht="14.25" customHeight="1" s="38"/>
    <row r="780" ht="14.25" customHeight="1" s="38"/>
    <row r="781" ht="14.25" customHeight="1" s="38"/>
    <row r="782" ht="14.25" customHeight="1" s="38"/>
    <row r="783" ht="14.25" customHeight="1" s="38"/>
    <row r="784" ht="14.25" customHeight="1" s="38"/>
    <row r="785" ht="14.25" customHeight="1" s="38"/>
    <row r="786" ht="14.25" customHeight="1" s="38"/>
    <row r="787" ht="14.25" customHeight="1" s="38"/>
    <row r="788" ht="14.25" customHeight="1" s="38"/>
    <row r="789" ht="14.25" customHeight="1" s="38"/>
    <row r="790" ht="14.25" customHeight="1" s="38"/>
    <row r="791" ht="14.25" customHeight="1" s="38"/>
    <row r="792" ht="14.25" customHeight="1" s="38"/>
    <row r="793" ht="14.25" customHeight="1" s="38"/>
    <row r="794" ht="14.25" customHeight="1" s="38"/>
    <row r="795" ht="14.25" customHeight="1" s="38"/>
    <row r="796" ht="14.25" customHeight="1" s="38"/>
    <row r="797" ht="14.25" customHeight="1" s="38"/>
    <row r="798" ht="14.25" customHeight="1" s="38"/>
    <row r="799" ht="14.25" customHeight="1" s="38"/>
    <row r="800" ht="14.25" customHeight="1" s="38"/>
    <row r="801" ht="14.25" customHeight="1" s="38"/>
    <row r="802" ht="14.25" customHeight="1" s="38"/>
    <row r="803" ht="14.25" customHeight="1" s="38"/>
    <row r="804" ht="14.25" customHeight="1" s="38"/>
    <row r="805" ht="14.25" customHeight="1" s="38"/>
    <row r="806" ht="14.25" customHeight="1" s="38"/>
    <row r="807" ht="14.25" customHeight="1" s="38"/>
    <row r="808" ht="14.25" customHeight="1" s="38"/>
    <row r="809" ht="14.25" customHeight="1" s="38"/>
    <row r="810" ht="14.25" customHeight="1" s="38"/>
    <row r="811" ht="14.25" customHeight="1" s="38"/>
    <row r="812" ht="14.25" customHeight="1" s="38"/>
    <row r="813" ht="14.25" customHeight="1" s="38"/>
    <row r="814" ht="14.25" customHeight="1" s="38"/>
    <row r="815" ht="14.25" customHeight="1" s="38"/>
    <row r="816" ht="14.25" customHeight="1" s="38"/>
    <row r="817" ht="14.25" customHeight="1" s="38"/>
    <row r="818" ht="14.25" customHeight="1" s="38"/>
    <row r="819" ht="14.25" customHeight="1" s="38"/>
    <row r="820" ht="14.25" customHeight="1" s="38"/>
    <row r="821" ht="14.25" customHeight="1" s="38"/>
    <row r="822" ht="14.25" customHeight="1" s="38"/>
    <row r="823" ht="14.25" customHeight="1" s="38"/>
    <row r="824" ht="14.25" customHeight="1" s="38"/>
    <row r="825" ht="14.25" customHeight="1" s="38"/>
    <row r="826" ht="14.25" customHeight="1" s="38"/>
    <row r="827" ht="14.25" customHeight="1" s="38"/>
    <row r="828" ht="14.25" customHeight="1" s="38"/>
    <row r="829" ht="14.25" customHeight="1" s="38"/>
    <row r="830" ht="14.25" customHeight="1" s="38"/>
    <row r="831" ht="14.25" customHeight="1" s="38"/>
    <row r="832" ht="14.25" customHeight="1" s="38"/>
    <row r="833" ht="14.25" customHeight="1" s="38"/>
    <row r="834" ht="14.25" customHeight="1" s="38"/>
    <row r="835" ht="14.25" customHeight="1" s="38"/>
    <row r="836" ht="14.25" customHeight="1" s="38"/>
    <row r="837" ht="14.25" customHeight="1" s="38"/>
    <row r="838" ht="14.25" customHeight="1" s="38"/>
    <row r="839" ht="14.25" customHeight="1" s="38"/>
    <row r="840" ht="14.25" customHeight="1" s="38"/>
    <row r="841" ht="14.25" customHeight="1" s="38"/>
    <row r="842" ht="14.25" customHeight="1" s="38"/>
    <row r="843" ht="14.25" customHeight="1" s="38"/>
    <row r="844" ht="14.25" customHeight="1" s="38"/>
    <row r="845" ht="14.25" customHeight="1" s="38"/>
    <row r="846" ht="14.25" customHeight="1" s="38"/>
    <row r="847" ht="14.25" customHeight="1" s="38"/>
    <row r="848" ht="14.25" customHeight="1" s="38"/>
    <row r="849" ht="14.25" customHeight="1" s="38"/>
    <row r="850" ht="14.25" customHeight="1" s="38"/>
    <row r="851" ht="14.25" customHeight="1" s="38"/>
    <row r="852" ht="14.25" customHeight="1" s="38"/>
    <row r="853" ht="14.25" customHeight="1" s="38"/>
    <row r="854" ht="14.25" customHeight="1" s="38"/>
    <row r="855" ht="14.25" customHeight="1" s="38"/>
    <row r="856" ht="14.25" customHeight="1" s="38"/>
    <row r="857" ht="14.25" customHeight="1" s="38"/>
    <row r="858" ht="14.25" customHeight="1" s="38"/>
    <row r="859" ht="14.25" customHeight="1" s="38"/>
    <row r="860" ht="14.25" customHeight="1" s="38"/>
    <row r="861" ht="14.25" customHeight="1" s="38"/>
    <row r="862" ht="14.25" customHeight="1" s="38"/>
    <row r="863" ht="14.25" customHeight="1" s="38"/>
    <row r="864" ht="14.25" customHeight="1" s="38"/>
    <row r="865" ht="14.25" customHeight="1" s="38"/>
    <row r="866" ht="14.25" customHeight="1" s="38"/>
    <row r="867" ht="14.25" customHeight="1" s="38"/>
    <row r="868" ht="14.25" customHeight="1" s="38"/>
    <row r="869" ht="14.25" customHeight="1" s="38"/>
    <row r="870" ht="14.25" customHeight="1" s="38"/>
    <row r="871" ht="14.25" customHeight="1" s="38"/>
    <row r="872" ht="14.25" customHeight="1" s="38"/>
    <row r="873" ht="14.25" customHeight="1" s="38"/>
    <row r="874" ht="14.25" customHeight="1" s="38"/>
    <row r="875" ht="14.25" customHeight="1" s="38"/>
    <row r="876" ht="14.25" customHeight="1" s="38"/>
    <row r="877" ht="14.25" customHeight="1" s="38"/>
    <row r="878" ht="14.25" customHeight="1" s="38"/>
    <row r="879" ht="14.25" customHeight="1" s="38"/>
    <row r="880" ht="14.25" customHeight="1" s="38"/>
    <row r="881" ht="14.25" customHeight="1" s="38"/>
    <row r="882" ht="14.25" customHeight="1" s="38"/>
    <row r="883" ht="14.25" customHeight="1" s="38"/>
    <row r="884" ht="14.25" customHeight="1" s="38"/>
    <row r="885" ht="14.25" customHeight="1" s="38"/>
    <row r="886" ht="14.25" customHeight="1" s="38"/>
    <row r="887" ht="14.25" customHeight="1" s="38"/>
    <row r="888" ht="14.25" customHeight="1" s="38"/>
    <row r="889" ht="14.25" customHeight="1" s="38"/>
    <row r="890" ht="14.25" customHeight="1" s="38"/>
    <row r="891" ht="14.25" customHeight="1" s="38"/>
    <row r="892" ht="14.25" customHeight="1" s="38"/>
    <row r="893" ht="14.25" customHeight="1" s="38"/>
    <row r="894" ht="14.25" customHeight="1" s="38"/>
    <row r="895" ht="14.25" customHeight="1" s="38"/>
    <row r="896" ht="14.25" customHeight="1" s="38"/>
    <row r="897" ht="14.25" customHeight="1" s="38"/>
    <row r="898" ht="14.25" customHeight="1" s="38"/>
    <row r="899" ht="14.25" customHeight="1" s="38"/>
    <row r="900" ht="14.25" customHeight="1" s="38"/>
    <row r="901" ht="14.25" customHeight="1" s="38"/>
    <row r="902" ht="14.25" customHeight="1" s="38"/>
    <row r="903" ht="14.25" customHeight="1" s="38"/>
    <row r="904" ht="14.25" customHeight="1" s="38"/>
    <row r="905" ht="14.25" customHeight="1" s="38"/>
    <row r="906" ht="14.25" customHeight="1" s="38"/>
    <row r="907" ht="14.25" customHeight="1" s="38"/>
    <row r="908" ht="14.25" customHeight="1" s="38"/>
    <row r="909" ht="14.25" customHeight="1" s="38"/>
    <row r="910" ht="14.25" customHeight="1" s="38"/>
    <row r="911" ht="14.25" customHeight="1" s="38"/>
    <row r="912" ht="14.25" customHeight="1" s="38"/>
    <row r="913" ht="14.25" customHeight="1" s="38"/>
    <row r="914" ht="14.25" customHeight="1" s="38"/>
    <row r="915" ht="14.25" customHeight="1" s="38"/>
    <row r="916" ht="14.25" customHeight="1" s="38"/>
    <row r="917" ht="14.25" customHeight="1" s="38"/>
    <row r="918" ht="14.25" customHeight="1" s="38"/>
    <row r="919" ht="14.25" customHeight="1" s="38"/>
    <row r="920" ht="14.25" customHeight="1" s="38"/>
    <row r="921" ht="14.25" customHeight="1" s="38"/>
    <row r="922" ht="14.25" customHeight="1" s="38"/>
    <row r="923" ht="14.25" customHeight="1" s="38"/>
    <row r="924" ht="14.25" customHeight="1" s="38"/>
    <row r="925" ht="14.25" customHeight="1" s="38"/>
    <row r="926" ht="14.25" customHeight="1" s="38"/>
    <row r="927" ht="14.25" customHeight="1" s="38"/>
    <row r="928" ht="14.25" customHeight="1" s="38"/>
    <row r="929" ht="14.25" customHeight="1" s="38"/>
    <row r="930" ht="14.25" customHeight="1" s="38"/>
    <row r="931" ht="14.25" customHeight="1" s="38"/>
    <row r="932" ht="14.25" customHeight="1" s="38"/>
    <row r="933" ht="14.25" customHeight="1" s="38"/>
    <row r="934" ht="14.25" customHeight="1" s="38"/>
    <row r="935" ht="14.25" customHeight="1" s="38"/>
    <row r="936" ht="14.25" customHeight="1" s="38"/>
    <row r="937" ht="14.25" customHeight="1" s="38"/>
    <row r="938" ht="14.25" customHeight="1" s="38"/>
    <row r="939" ht="14.25" customHeight="1" s="38"/>
    <row r="940" ht="14.25" customHeight="1" s="38"/>
    <row r="941" ht="14.25" customHeight="1" s="38"/>
    <row r="942" ht="14.25" customHeight="1" s="38"/>
    <row r="943" ht="14.25" customHeight="1" s="38"/>
    <row r="944" ht="14.25" customHeight="1" s="38"/>
    <row r="945" ht="14.25" customHeight="1" s="38"/>
    <row r="946" ht="14.25" customHeight="1" s="38"/>
    <row r="947" ht="14.25" customHeight="1" s="38"/>
    <row r="948" ht="14.25" customHeight="1" s="38"/>
    <row r="949" ht="14.25" customHeight="1" s="38"/>
    <row r="950" ht="14.25" customHeight="1" s="38"/>
    <row r="951" ht="14.25" customHeight="1" s="38"/>
    <row r="952" ht="14.25" customHeight="1" s="38"/>
    <row r="953" ht="14.25" customHeight="1" s="38"/>
    <row r="954" ht="14.25" customHeight="1" s="38"/>
    <row r="955" ht="14.25" customHeight="1" s="38"/>
    <row r="956" ht="14.25" customHeight="1" s="38"/>
    <row r="957" ht="14.25" customHeight="1" s="38"/>
    <row r="958" ht="14.25" customHeight="1" s="38"/>
    <row r="959" ht="14.25" customHeight="1" s="38"/>
    <row r="960" ht="14.25" customHeight="1" s="38"/>
    <row r="961" ht="14.25" customHeight="1" s="38"/>
    <row r="962" ht="14.25" customHeight="1" s="38"/>
    <row r="963" ht="14.25" customHeight="1" s="38"/>
    <row r="964" ht="14.25" customHeight="1" s="38"/>
    <row r="965" ht="14.25" customHeight="1" s="38"/>
    <row r="966" ht="14.25" customHeight="1" s="38"/>
    <row r="967" ht="14.25" customHeight="1" s="38"/>
    <row r="968" ht="14.25" customHeight="1" s="38"/>
    <row r="969" ht="14.25" customHeight="1" s="38"/>
    <row r="970" ht="14.25" customHeight="1" s="38"/>
    <row r="971" ht="14.25" customHeight="1" s="38"/>
    <row r="972" ht="14.25" customHeight="1" s="38"/>
    <row r="973" ht="14.25" customHeight="1" s="38"/>
    <row r="974" ht="14.25" customHeight="1" s="38"/>
    <row r="975" ht="14.25" customHeight="1" s="38"/>
    <row r="976" ht="14.25" customHeight="1" s="38"/>
    <row r="977" ht="14.25" customHeight="1" s="38"/>
    <row r="978" ht="14.25" customHeight="1" s="38"/>
    <row r="979" ht="14.25" customHeight="1" s="38"/>
    <row r="980" ht="14.25" customHeight="1" s="38"/>
    <row r="981" ht="14.25" customHeight="1" s="38"/>
    <row r="982" ht="14.25" customHeight="1" s="38"/>
    <row r="983" ht="14.25" customHeight="1" s="38"/>
    <row r="984" ht="14.25" customHeight="1" s="38"/>
    <row r="985" ht="14.25" customHeight="1" s="38"/>
    <row r="986" ht="14.25" customHeight="1" s="38"/>
    <row r="987" ht="14.25" customHeight="1" s="38"/>
    <row r="988" ht="14.25" customHeight="1" s="38"/>
    <row r="989" ht="14.25" customHeight="1" s="38"/>
    <row r="990" ht="14.25" customHeight="1" s="38"/>
    <row r="991" ht="14.25" customHeight="1" s="38"/>
    <row r="992" ht="14.25" customHeight="1" s="38"/>
    <row r="993" ht="14.25" customHeight="1" s="38"/>
    <row r="994" ht="14.25" customHeight="1" s="38"/>
    <row r="995" ht="14.25" customHeight="1" s="38"/>
    <row r="996" ht="14.25" customHeight="1" s="38"/>
    <row r="997" ht="14.25" customHeight="1" s="38"/>
    <row r="998" ht="14.25" customHeight="1" s="38"/>
    <row r="999" ht="14.25" customHeight="1" s="38"/>
    <row r="1000" ht="14.25" customHeight="1" s="38"/>
  </sheetData>
  <autoFilter ref="$A$1:$K$501"/>
  <dataValidations count="2">
    <dataValidation sqref="I2:I501" showDropDown="0" showInputMessage="0" showErrorMessage="0" allowBlank="1" type="list">
      <formula1>LIST!$B$2:$B$8</formula1>
    </dataValidation>
    <dataValidation sqref="E2:E501" showDropDown="0" showInputMessage="0" showErrorMessage="1" allowBlank="1" type="list">
      <formula1>LIST!$B$11:$B$27</formula1>
    </dataValidation>
  </dataValidations>
  <pageMargins left="0.25" right="0.25" top="0.35" bottom="0.35" header="0" footer="0"/>
  <pageSetup orientation="landscape" paperSize="9" fitToHeight="0"/>
  <headerFooter>
    <oddHeader/>
    <oddFooter>&amp;CParoki St. Klement I Sepinggan Balikpapan • Statistik 2026&amp;RHalaman &amp;P dari 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93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3" customWidth="1" style="38" min="1" max="1"/>
    <col width="12" customWidth="1" style="38" min="2" max="2"/>
    <col width="28" customWidth="1" style="38" min="3" max="3"/>
    <col width="18" customWidth="1" style="38" min="4" max="4"/>
    <col width="15" customWidth="1" style="38" min="5" max="5"/>
    <col width="13" customWidth="1" style="38" min="6" max="6"/>
    <col width="18" customWidth="1" style="38" min="7" max="7"/>
    <col width="22" customWidth="1" style="38" min="8" max="8"/>
    <col width="20" customWidth="1" style="38" min="9" max="9"/>
    <col width="22" customWidth="1" style="38" min="10" max="10"/>
    <col width="18" customWidth="1" style="38" min="11" max="11"/>
    <col width="15" customWidth="1" style="38" min="12" max="12"/>
    <col width="25" customWidth="1" style="38" min="13" max="13"/>
    <col width="16" customWidth="1" style="38" min="14" max="14"/>
    <col width="15" customWidth="1" style="38" min="15" max="15"/>
    <col width="25" customWidth="1" style="38" min="16" max="16"/>
    <col width="15" customWidth="1" style="38" min="17" max="17"/>
    <col width="25" customWidth="1" style="38" min="18" max="18"/>
    <col width="22" customWidth="1" style="38" min="19" max="19"/>
    <col width="24" customWidth="1" style="38" min="20" max="20"/>
    <col width="15" customWidth="1" style="38" min="21" max="21"/>
    <col width="20" customWidth="1" style="38" min="22" max="22"/>
    <col width="18" customWidth="1" style="38" min="23" max="24"/>
    <col width="25" customWidth="1" style="38" min="25" max="25"/>
    <col width="30" customWidth="1" style="38" min="26" max="26"/>
  </cols>
  <sheetData>
    <row r="1" ht="14.25" customHeight="1" s="38">
      <c r="A1" s="7" t="inlineStr">
        <is>
          <t>ID Umat</t>
        </is>
      </c>
      <c r="B1" s="7" t="inlineStr">
        <is>
          <t>ID KK</t>
        </is>
      </c>
      <c r="C1" s="7" t="inlineStr">
        <is>
          <t>Nama Lengkap</t>
        </is>
      </c>
      <c r="D1" s="7" t="inlineStr">
        <is>
          <t>Jenis Kelamin</t>
        </is>
      </c>
      <c r="E1" s="7" t="inlineStr">
        <is>
          <t>Tanggal Lahir</t>
        </is>
      </c>
      <c r="F1" s="7" t="inlineStr">
        <is>
          <t>Umur 31/12/2026</t>
        </is>
      </c>
      <c r="G1" s="7" t="inlineStr">
        <is>
          <t>Agama</t>
        </is>
      </c>
      <c r="H1" s="7" t="inlineStr">
        <is>
          <t>Lingkungan</t>
        </is>
      </c>
      <c r="I1" s="7" t="inlineStr">
        <is>
          <t>Basis/Stasi</t>
        </is>
      </c>
      <c r="J1" s="7" t="inlineStr">
        <is>
          <t>Daerah/Desa</t>
        </is>
      </c>
      <c r="K1" s="7" t="inlineStr">
        <is>
          <t>Status Umat</t>
        </is>
      </c>
      <c r="L1" s="7" t="inlineStr">
        <is>
          <t>Tanggal Baptis</t>
        </is>
      </c>
      <c r="M1" s="7" t="inlineStr">
        <is>
          <t>Paroki/Gereja Baptis</t>
        </is>
      </c>
      <c r="N1" s="7" t="inlineStr">
        <is>
          <t>No Buku Baptis</t>
        </is>
      </c>
      <c r="O1" s="7" t="inlineStr">
        <is>
          <t>Tanggal Komuni I</t>
        </is>
      </c>
      <c r="P1" s="7" t="inlineStr">
        <is>
          <t>Paroki/Gereja Komuni I</t>
        </is>
      </c>
      <c r="Q1" s="7" t="inlineStr">
        <is>
          <t>Tanggal Krisma</t>
        </is>
      </c>
      <c r="R1" s="7" t="inlineStr">
        <is>
          <t>Paroki/Gereja Krisma</t>
        </is>
      </c>
      <c r="S1" s="7" t="inlineStr">
        <is>
          <t>Pendidikan Terakhir</t>
        </is>
      </c>
      <c r="T1" s="7" t="inlineStr">
        <is>
          <t>Profesi</t>
        </is>
      </c>
      <c r="U1" s="7" t="inlineStr">
        <is>
          <t>Golongan Darah</t>
        </is>
      </c>
      <c r="V1" s="7" t="inlineStr">
        <is>
          <t>NIK (opsional)</t>
        </is>
      </c>
      <c r="W1" s="7" t="inlineStr">
        <is>
          <t>No KK (opsional)</t>
        </is>
      </c>
      <c r="X1" s="7" t="inlineStr">
        <is>
          <t>Telp/HP</t>
        </is>
      </c>
      <c r="Y1" s="7" t="inlineStr">
        <is>
          <t>Email</t>
        </is>
      </c>
      <c r="Z1" s="7" t="inlineStr">
        <is>
          <t>Keterangan</t>
        </is>
      </c>
    </row>
    <row r="2">
      <c r="A2" t="n">
        <v>1</v>
      </c>
      <c r="B2" s="0" t="inlineStr">
        <is>
          <t>6471055507570003</t>
        </is>
      </c>
      <c r="C2" s="0" t="inlineStr">
        <is>
          <t>Agnes Sri Subekti</t>
        </is>
      </c>
      <c r="D2" s="0" t="inlineStr">
        <is>
          <t>Wanita</t>
        </is>
      </c>
      <c r="E2" s="39" t="n">
        <v>21016</v>
      </c>
      <c r="G2" s="0" t="inlineStr">
        <is>
          <t>Katolik</t>
        </is>
      </c>
      <c r="H2" t="inlineStr"/>
      <c r="I2" t="inlineStr"/>
      <c r="K2" s="0" t="inlineStr">
        <is>
          <t>Masih Hidup</t>
        </is>
      </c>
      <c r="M2" s="0" t="inlineStr">
        <is>
          <t>Muntilan</t>
        </is>
      </c>
      <c r="N2" t="inlineStr">
        <is>
          <t>13 No 13278</t>
        </is>
      </c>
      <c r="S2" s="0" t="inlineStr">
        <is>
          <t>SLTA/SMA</t>
        </is>
      </c>
      <c r="T2" s="0" t="inlineStr">
        <is>
          <t>Pensiunan</t>
        </is>
      </c>
      <c r="U2" s="0" t="inlineStr">
        <is>
          <t>B</t>
        </is>
      </c>
      <c r="V2" s="0" t="inlineStr">
        <is>
          <t>6471055507570003</t>
        </is>
      </c>
      <c r="W2" s="0" t="inlineStr">
        <is>
          <t>6471055507570003</t>
        </is>
      </c>
      <c r="X2" s="0" t="inlineStr">
        <is>
          <t>085246233033</t>
        </is>
      </c>
      <c r="Y2" s="0" t="inlineStr">
        <is>
          <t>Srisubekti378@gmail.com</t>
        </is>
      </c>
    </row>
    <row r="3">
      <c r="A3" t="n">
        <v>2</v>
      </c>
      <c r="B3" s="0" t="inlineStr">
        <is>
          <t>6471051007060015</t>
        </is>
      </c>
      <c r="C3" s="0" t="inlineStr">
        <is>
          <t>Agnes Sri Subekti</t>
        </is>
      </c>
      <c r="D3" s="0" t="inlineStr">
        <is>
          <t>Wanita</t>
        </is>
      </c>
      <c r="E3" s="40" t="n">
        <v>21016</v>
      </c>
      <c r="G3" s="0" t="inlineStr">
        <is>
          <t>Katolik</t>
        </is>
      </c>
      <c r="H3" t="inlineStr"/>
      <c r="I3" t="inlineStr"/>
      <c r="K3" s="0" t="inlineStr">
        <is>
          <t>Masih Hidup</t>
        </is>
      </c>
      <c r="M3" s="0" t="inlineStr">
        <is>
          <t>Muntilan</t>
        </is>
      </c>
      <c r="N3" s="0" t="inlineStr">
        <is>
          <t>Buku 13 no. 13278</t>
        </is>
      </c>
      <c r="S3" s="0" t="inlineStr">
        <is>
          <t>SLTA/SMA</t>
        </is>
      </c>
      <c r="T3" s="0" t="inlineStr">
        <is>
          <t>Pensiun PNS</t>
        </is>
      </c>
      <c r="U3" s="0" t="inlineStr">
        <is>
          <t>B</t>
        </is>
      </c>
      <c r="V3" s="0" t="inlineStr">
        <is>
          <t>6471055507570003</t>
        </is>
      </c>
      <c r="W3" s="0" t="inlineStr">
        <is>
          <t>6471051007060015</t>
        </is>
      </c>
      <c r="X3" s="0" t="inlineStr">
        <is>
          <t>085246233033</t>
        </is>
      </c>
      <c r="Y3" s="0" t="inlineStr">
        <is>
          <t>Srisubekti378@gmail.com</t>
        </is>
      </c>
    </row>
    <row r="4">
      <c r="A4" t="n">
        <v>3</v>
      </c>
      <c r="B4" s="0" t="inlineStr">
        <is>
          <t>6471051097060015</t>
        </is>
      </c>
      <c r="C4" s="0" t="inlineStr">
        <is>
          <t>Albertus Benny Bimo Atmojo</t>
        </is>
      </c>
      <c r="D4" s="0" t="inlineStr">
        <is>
          <t>Pria</t>
        </is>
      </c>
      <c r="E4" s="40" t="n">
        <v>30970</v>
      </c>
      <c r="G4" s="0" t="inlineStr">
        <is>
          <t>Katolik</t>
        </is>
      </c>
      <c r="H4" t="inlineStr"/>
      <c r="I4" t="inlineStr"/>
      <c r="K4" s="0" t="inlineStr">
        <is>
          <t>Masih Hidup</t>
        </is>
      </c>
      <c r="M4" s="0" t="inlineStr">
        <is>
          <t>Santa Theresia Balikpapan</t>
        </is>
      </c>
      <c r="N4" s="0" t="inlineStr">
        <is>
          <t>no III /98/3004</t>
        </is>
      </c>
      <c r="S4" s="0" t="inlineStr">
        <is>
          <t>D3</t>
        </is>
      </c>
      <c r="T4" t="inlineStr">
        <is>
          <t>Pegawai swasta</t>
        </is>
      </c>
      <c r="U4" s="0" t="inlineStr">
        <is>
          <t>O</t>
        </is>
      </c>
      <c r="V4" s="0" t="inlineStr">
        <is>
          <t>6471050510840001</t>
        </is>
      </c>
      <c r="W4" s="0" t="inlineStr">
        <is>
          <t>6471051097060015</t>
        </is>
      </c>
      <c r="X4" s="0" t="inlineStr">
        <is>
          <t>081806753957</t>
        </is>
      </c>
      <c r="Y4" t="inlineStr"/>
    </row>
    <row r="5">
      <c r="A5" t="n">
        <v>4</v>
      </c>
      <c r="B5" s="0" t="inlineStr">
        <is>
          <t>6471052409210016</t>
        </is>
      </c>
      <c r="C5" s="0" t="inlineStr">
        <is>
          <t>ALFONS VICKY DANIELS</t>
        </is>
      </c>
      <c r="D5" s="0" t="inlineStr">
        <is>
          <t>Pria</t>
        </is>
      </c>
      <c r="E5" s="40" t="n">
        <v>33247</v>
      </c>
      <c r="G5" s="0" t="inlineStr">
        <is>
          <t>Katolik</t>
        </is>
      </c>
      <c r="H5" t="inlineStr"/>
      <c r="I5" t="inlineStr"/>
      <c r="K5" s="0" t="inlineStr">
        <is>
          <t>Masih Hidup</t>
        </is>
      </c>
      <c r="M5" s="0" t="inlineStr">
        <is>
          <t>Gereja katolik St. Martinus sepinggan</t>
        </is>
      </c>
      <c r="N5" s="0" t="inlineStr"/>
      <c r="S5" s="0" t="inlineStr">
        <is>
          <t>SLTA/SMA</t>
        </is>
      </c>
      <c r="T5" s="0" t="inlineStr">
        <is>
          <t>Karyawan swasta</t>
        </is>
      </c>
      <c r="U5" s="0" t="inlineStr">
        <is>
          <t>O</t>
        </is>
      </c>
      <c r="V5" s="0" t="inlineStr">
        <is>
          <t>6471050901900002</t>
        </is>
      </c>
      <c r="W5" s="0" t="inlineStr">
        <is>
          <t>6471052409210016</t>
        </is>
      </c>
      <c r="X5" s="0" t="inlineStr">
        <is>
          <t>08111149938</t>
        </is>
      </c>
      <c r="Y5" s="0" t="inlineStr">
        <is>
          <t>alfonsvickydaniels@gmail.com</t>
        </is>
      </c>
    </row>
    <row r="6">
      <c r="A6" t="n">
        <v>5</v>
      </c>
      <c r="B6" s="0" t="inlineStr">
        <is>
          <t>6471050204180019</t>
        </is>
      </c>
      <c r="C6" s="0" t="inlineStr">
        <is>
          <t>Andi putra lubis</t>
        </is>
      </c>
      <c r="D6" s="0" t="inlineStr">
        <is>
          <t>Pria</t>
        </is>
      </c>
      <c r="E6" s="39" t="n">
        <v>30681</v>
      </c>
      <c r="G6" s="0" t="inlineStr">
        <is>
          <t>Katolik</t>
        </is>
      </c>
      <c r="H6" t="inlineStr"/>
      <c r="I6" t="inlineStr"/>
      <c r="K6" s="0" t="inlineStr">
        <is>
          <t>Masih Hidup</t>
        </is>
      </c>
      <c r="M6" s="0" t="inlineStr">
        <is>
          <t>Santo fidelis</t>
        </is>
      </c>
      <c r="N6" s="0" t="inlineStr">
        <is>
          <t>Muara II</t>
        </is>
      </c>
      <c r="S6" s="0" t="inlineStr">
        <is>
          <t>SLTA/SMA</t>
        </is>
      </c>
      <c r="T6" s="0" t="inlineStr">
        <is>
          <t>Buruh</t>
        </is>
      </c>
      <c r="U6" s="0" t="inlineStr">
        <is>
          <t>O</t>
        </is>
      </c>
      <c r="V6" s="0" t="inlineStr">
        <is>
          <t>6472053112830060.0</t>
        </is>
      </c>
      <c r="W6" s="0" t="inlineStr">
        <is>
          <t>6471050204180019</t>
        </is>
      </c>
      <c r="X6" s="0" t="inlineStr">
        <is>
          <t>081256607766</t>
        </is>
      </c>
      <c r="Y6" t="inlineStr">
        <is>
          <t>ardelina1373@gmail.com</t>
        </is>
      </c>
    </row>
    <row r="7">
      <c r="A7" t="n">
        <v>6</v>
      </c>
      <c r="B7" s="0" t="inlineStr">
        <is>
          <t>6471051910220016</t>
        </is>
      </c>
      <c r="C7" s="0" t="inlineStr">
        <is>
          <t>Angelina Arista Jeli</t>
        </is>
      </c>
      <c r="D7" s="0" t="inlineStr">
        <is>
          <t>Wanita</t>
        </is>
      </c>
      <c r="E7" s="40" t="n">
        <v>34908</v>
      </c>
      <c r="G7" s="0" t="inlineStr">
        <is>
          <t>Katolik</t>
        </is>
      </c>
      <c r="H7" t="inlineStr"/>
      <c r="I7" t="inlineStr"/>
      <c r="K7" s="0" t="inlineStr">
        <is>
          <t>Masih Hidup</t>
        </is>
      </c>
      <c r="M7" s="0" t="inlineStr">
        <is>
          <t>Santa Maria Penolong Abadi Lawir</t>
        </is>
      </c>
      <c r="N7" s="0" t="inlineStr"/>
      <c r="S7" s="0" t="inlineStr">
        <is>
          <t>S1</t>
        </is>
      </c>
      <c r="T7" s="0" t="inlineStr">
        <is>
          <t>Guru</t>
        </is>
      </c>
      <c r="U7" s="0" t="inlineStr">
        <is>
          <t>Tidak tahu</t>
        </is>
      </c>
      <c r="V7" s="0" t="inlineStr">
        <is>
          <t>5319026807950003</t>
        </is>
      </c>
      <c r="W7" s="0" t="inlineStr">
        <is>
          <t>6471051910220016</t>
        </is>
      </c>
      <c r="X7" s="0" t="inlineStr">
        <is>
          <t>085330335006</t>
        </is>
      </c>
      <c r="Y7" s="0" t="inlineStr">
        <is>
          <t>angelinajeli287@gmail.com</t>
        </is>
      </c>
    </row>
    <row r="8">
      <c r="A8" t="n">
        <v>7</v>
      </c>
      <c r="B8" s="0" t="inlineStr">
        <is>
          <t>6471050901140019</t>
        </is>
      </c>
      <c r="C8" s="0" t="inlineStr">
        <is>
          <t>ANGELINA MARIA INAR PRADANTI</t>
        </is>
      </c>
      <c r="D8" s="0" t="inlineStr">
        <is>
          <t>Wanita</t>
        </is>
      </c>
      <c r="E8" s="40" t="n">
        <v>31799</v>
      </c>
      <c r="G8" s="0" t="inlineStr">
        <is>
          <t>Katolik</t>
        </is>
      </c>
      <c r="H8" t="inlineStr"/>
      <c r="I8" t="inlineStr"/>
      <c r="K8" s="0" t="inlineStr">
        <is>
          <t>Masih Hidup</t>
        </is>
      </c>
      <c r="M8" s="0" t="inlineStr">
        <is>
          <t>SANTA MARIA FATIMA MAGELANG</t>
        </is>
      </c>
      <c r="N8" t="inlineStr">
        <is>
          <t>III</t>
        </is>
      </c>
      <c r="S8" s="0" t="inlineStr">
        <is>
          <t>S1</t>
        </is>
      </c>
      <c r="T8" s="0" t="inlineStr">
        <is>
          <t>KARYAWAN SWASTA</t>
        </is>
      </c>
      <c r="U8" s="0" t="inlineStr">
        <is>
          <t>A</t>
        </is>
      </c>
      <c r="V8" s="0" t="inlineStr">
        <is>
          <t>3371026201870003</t>
        </is>
      </c>
      <c r="W8" s="0" t="inlineStr">
        <is>
          <t>6471050901140019</t>
        </is>
      </c>
      <c r="X8" s="0" t="inlineStr">
        <is>
          <t>081328197225</t>
        </is>
      </c>
      <c r="Y8" s="0" t="inlineStr">
        <is>
          <t>inarpradanti@gmail.com</t>
        </is>
      </c>
    </row>
    <row r="9">
      <c r="A9" t="n">
        <v>8</v>
      </c>
      <c r="B9" s="0" t="inlineStr">
        <is>
          <t>6471052707100031</t>
        </is>
      </c>
      <c r="C9" s="0" t="inlineStr">
        <is>
          <t>Anita yusdiyani</t>
        </is>
      </c>
      <c r="D9" s="0" t="inlineStr">
        <is>
          <t>Wanita</t>
        </is>
      </c>
      <c r="E9" s="40" t="n">
        <v>41874</v>
      </c>
      <c r="G9" s="0" t="inlineStr">
        <is>
          <t>Katolik</t>
        </is>
      </c>
      <c r="H9" t="inlineStr"/>
      <c r="I9" t="inlineStr"/>
      <c r="K9" s="0" t="inlineStr">
        <is>
          <t>Masih Hidup</t>
        </is>
      </c>
      <c r="M9" s="0" t="inlineStr">
        <is>
          <t>St, Klemens 1 Balikpapan</t>
        </is>
      </c>
      <c r="N9" s="0" t="inlineStr">
        <is>
          <t>1 hal, 133</t>
        </is>
      </c>
      <c r="S9" s="0" t="inlineStr">
        <is>
          <t>SD</t>
        </is>
      </c>
      <c r="T9" t="inlineStr"/>
      <c r="U9" s="0" t="inlineStr">
        <is>
          <t>A</t>
        </is>
      </c>
      <c r="V9" s="0" t="inlineStr">
        <is>
          <t>7471056308140003</t>
        </is>
      </c>
      <c r="W9" s="0" t="inlineStr">
        <is>
          <t>6471052707100031</t>
        </is>
      </c>
      <c r="X9" s="0" t="inlineStr">
        <is>
          <t>081253212457</t>
        </is>
      </c>
      <c r="Y9" t="inlineStr"/>
    </row>
    <row r="10">
      <c r="A10" t="n">
        <v>9</v>
      </c>
      <c r="B10" s="0" t="inlineStr">
        <is>
          <t>6471052011090035</t>
        </is>
      </c>
      <c r="C10" s="0" t="inlineStr">
        <is>
          <t>ANJELINA AGATHA</t>
        </is>
      </c>
      <c r="D10" s="0" t="inlineStr">
        <is>
          <t>Wanita</t>
        </is>
      </c>
      <c r="E10" s="40" t="n">
        <v>41624</v>
      </c>
      <c r="G10" s="0" t="inlineStr">
        <is>
          <t>Katolik</t>
        </is>
      </c>
      <c r="H10" t="inlineStr"/>
      <c r="I10" t="inlineStr"/>
      <c r="K10" s="0" t="inlineStr">
        <is>
          <t>Masih Hidup</t>
        </is>
      </c>
      <c r="M10" s="0" t="inlineStr">
        <is>
          <t>SANTO KLEMENS 1 BALIKPAPAN</t>
        </is>
      </c>
      <c r="N10" s="0" t="inlineStr">
        <is>
          <t>I</t>
        </is>
      </c>
      <c r="S10" s="0" t="inlineStr">
        <is>
          <t>SD</t>
        </is>
      </c>
      <c r="T10" s="0" t="inlineStr"/>
      <c r="U10" s="0" t="inlineStr">
        <is>
          <t>Tidak tahu</t>
        </is>
      </c>
      <c r="V10" s="0" t="inlineStr">
        <is>
          <t>6471055612130002</t>
        </is>
      </c>
      <c r="W10" s="0" t="inlineStr">
        <is>
          <t>6471052011090035</t>
        </is>
      </c>
      <c r="X10" s="0" t="inlineStr"/>
      <c r="Y10" t="inlineStr"/>
    </row>
    <row r="11">
      <c r="A11" t="n">
        <v>10</v>
      </c>
      <c r="B11" s="0" t="inlineStr">
        <is>
          <t>6471051803090046</t>
        </is>
      </c>
      <c r="C11" s="0" t="inlineStr">
        <is>
          <t>anthanosius koen broto driyatmo</t>
        </is>
      </c>
      <c r="D11" s="0" t="inlineStr">
        <is>
          <t>Pria</t>
        </is>
      </c>
      <c r="E11" s="40" t="n">
        <v>28977</v>
      </c>
      <c r="G11" s="0" t="inlineStr">
        <is>
          <t>Katolik</t>
        </is>
      </c>
      <c r="H11" t="inlineStr"/>
      <c r="I11" t="inlineStr"/>
      <c r="K11" s="0" t="inlineStr">
        <is>
          <t>Masih Hidup</t>
        </is>
      </c>
      <c r="M11" t="inlineStr">
        <is>
          <t>yohanes rasul wonogiri</t>
        </is>
      </c>
      <c r="N11" t="inlineStr"/>
      <c r="S11" s="0" t="inlineStr">
        <is>
          <t>S1</t>
        </is>
      </c>
      <c r="T11" s="0" t="inlineStr">
        <is>
          <t>guru</t>
        </is>
      </c>
      <c r="U11" s="0" t="inlineStr">
        <is>
          <t>B</t>
        </is>
      </c>
      <c r="V11" s="0" t="inlineStr">
        <is>
          <t>6471050205790010.0</t>
        </is>
      </c>
      <c r="W11" s="0" t="inlineStr">
        <is>
          <t>6471051803090046</t>
        </is>
      </c>
      <c r="X11" s="0" t="inlineStr">
        <is>
          <t>082154222442</t>
        </is>
      </c>
      <c r="Y11" s="0" t="inlineStr">
        <is>
          <t>koenbroto@gmail.com</t>
        </is>
      </c>
    </row>
    <row r="12">
      <c r="A12" t="n">
        <v>11</v>
      </c>
      <c r="B12" s="0" t="inlineStr">
        <is>
          <t>6471051007060015</t>
        </is>
      </c>
      <c r="C12" s="0" t="inlineStr">
        <is>
          <t>Antonius Dicky Permadi</t>
        </is>
      </c>
      <c r="D12" s="0" t="inlineStr">
        <is>
          <t>Pria</t>
        </is>
      </c>
      <c r="E12" s="40" t="n">
        <v>35839</v>
      </c>
      <c r="G12" s="0" t="inlineStr">
        <is>
          <t>Katolik</t>
        </is>
      </c>
      <c r="H12" t="inlineStr"/>
      <c r="I12" t="inlineStr"/>
      <c r="K12" s="0" t="inlineStr">
        <is>
          <t>Masih Hidup</t>
        </is>
      </c>
      <c r="M12" s="0" t="inlineStr">
        <is>
          <t>Santa Theresia Balikpapan</t>
        </is>
      </c>
      <c r="N12" s="0" t="inlineStr">
        <is>
          <t>V/32/315</t>
        </is>
      </c>
      <c r="S12" s="0" t="inlineStr">
        <is>
          <t>D4</t>
        </is>
      </c>
      <c r="T12" s="0" t="inlineStr">
        <is>
          <t>kuliah</t>
        </is>
      </c>
      <c r="U12" s="0" t="inlineStr">
        <is>
          <t>B</t>
        </is>
      </c>
      <c r="V12" s="0" t="inlineStr">
        <is>
          <t>64711050302980008</t>
        </is>
      </c>
      <c r="W12" s="0" t="inlineStr">
        <is>
          <t>6471051007060015</t>
        </is>
      </c>
      <c r="X12" s="0" t="inlineStr">
        <is>
          <t>88905224206.0</t>
        </is>
      </c>
      <c r="Y12" s="0" t="inlineStr"/>
    </row>
    <row r="13">
      <c r="A13" t="n">
        <v>12</v>
      </c>
      <c r="B13" s="0" t="inlineStr">
        <is>
          <t>6471050204180019</t>
        </is>
      </c>
      <c r="C13" s="0" t="inlineStr">
        <is>
          <t>Ardelina sinaga</t>
        </is>
      </c>
      <c r="D13" s="0" t="inlineStr">
        <is>
          <t>Wanita</t>
        </is>
      </c>
      <c r="E13" s="40" t="n">
        <v>30046</v>
      </c>
      <c r="G13" s="0" t="inlineStr">
        <is>
          <t>Protestan</t>
        </is>
      </c>
      <c r="H13" t="inlineStr"/>
      <c r="I13" t="inlineStr"/>
      <c r="K13" s="0" t="inlineStr">
        <is>
          <t>Masih Hidup</t>
        </is>
      </c>
      <c r="M13" s="0" t="inlineStr"/>
      <c r="N13" s="0" t="inlineStr"/>
      <c r="S13" s="0" t="inlineStr">
        <is>
          <t>SLTA/SMA</t>
        </is>
      </c>
      <c r="T13" s="0" t="inlineStr">
        <is>
          <t>Ibu rumah tangga</t>
        </is>
      </c>
      <c r="U13" s="0" t="inlineStr">
        <is>
          <t>A</t>
        </is>
      </c>
      <c r="V13" s="0" t="inlineStr">
        <is>
          <t>1208294504820002</t>
        </is>
      </c>
      <c r="W13" s="0" t="inlineStr">
        <is>
          <t>6471050204180019</t>
        </is>
      </c>
      <c r="X13" s="0" t="inlineStr">
        <is>
          <t>081256607766</t>
        </is>
      </c>
      <c r="Y13" s="0" t="inlineStr">
        <is>
          <t>ardelina1373@gmail.com</t>
        </is>
      </c>
    </row>
    <row r="14">
      <c r="A14" t="n">
        <v>13</v>
      </c>
      <c r="B14" s="0" t="inlineStr">
        <is>
          <t>6471015812520001</t>
        </is>
      </c>
      <c r="C14" s="0" t="inlineStr">
        <is>
          <t>Arthur anthonius runtu</t>
        </is>
      </c>
      <c r="D14" s="0" t="inlineStr">
        <is>
          <t>Pria</t>
        </is>
      </c>
      <c r="E14" s="40" t="n">
        <v>27269</v>
      </c>
      <c r="G14" s="0" t="inlineStr">
        <is>
          <t>Katolik</t>
        </is>
      </c>
      <c r="H14" t="inlineStr"/>
      <c r="I14" t="inlineStr"/>
      <c r="K14" s="0" t="inlineStr">
        <is>
          <t>Masih Hidup</t>
        </is>
      </c>
      <c r="M14" s="0" t="inlineStr">
        <is>
          <t>Santa theresia prapatan</t>
        </is>
      </c>
      <c r="N14" s="0" t="inlineStr">
        <is>
          <t>Menyusul</t>
        </is>
      </c>
      <c r="S14" s="0" t="inlineStr">
        <is>
          <t>SLTA/SMA</t>
        </is>
      </c>
      <c r="T14" s="0" t="inlineStr">
        <is>
          <t>Swasta</t>
        </is>
      </c>
      <c r="U14" s="0" t="inlineStr">
        <is>
          <t>O</t>
        </is>
      </c>
      <c r="V14" s="0" t="inlineStr">
        <is>
          <t>6471012808740006</t>
        </is>
      </c>
      <c r="W14" s="0" t="inlineStr">
        <is>
          <t>6471015812520001</t>
        </is>
      </c>
      <c r="X14" s="0" t="inlineStr">
        <is>
          <t>082351343230</t>
        </is>
      </c>
      <c r="Y14" s="0" t="inlineStr">
        <is>
          <t>Selfanicc@gmail.com</t>
        </is>
      </c>
    </row>
    <row r="15">
      <c r="A15" t="n">
        <v>14</v>
      </c>
      <c r="B15" s="0" t="inlineStr">
        <is>
          <t>6471051803210005</t>
        </is>
      </c>
      <c r="C15" s="0" t="inlineStr">
        <is>
          <t>Barbara Feny Odjan</t>
        </is>
      </c>
      <c r="D15" s="0" t="inlineStr">
        <is>
          <t>Wanita</t>
        </is>
      </c>
      <c r="E15" s="40" t="n">
        <v>33039</v>
      </c>
      <c r="G15" s="0" t="inlineStr">
        <is>
          <t>Katolik</t>
        </is>
      </c>
      <c r="H15" t="inlineStr"/>
      <c r="I15" t="inlineStr"/>
      <c r="K15" s="0" t="inlineStr">
        <is>
          <t>Masih Hidup</t>
        </is>
      </c>
      <c r="M15" s="0" t="inlineStr">
        <is>
          <t>St.Joseph Tanjung Balai Karimun</t>
        </is>
      </c>
      <c r="N15" s="0" t="inlineStr">
        <is>
          <t>III</t>
        </is>
      </c>
      <c r="S15" s="0" t="inlineStr">
        <is>
          <t>D3</t>
        </is>
      </c>
      <c r="T15" s="0" t="inlineStr">
        <is>
          <t>Ibu Rumah Tangga</t>
        </is>
      </c>
      <c r="U15" s="0" t="inlineStr">
        <is>
          <t>A</t>
        </is>
      </c>
      <c r="V15" s="0" t="inlineStr">
        <is>
          <t>5371025506900011</t>
        </is>
      </c>
      <c r="W15" s="0" t="inlineStr">
        <is>
          <t>6471051803210005</t>
        </is>
      </c>
      <c r="X15" s="0" t="inlineStr">
        <is>
          <t>081270098588</t>
        </is>
      </c>
      <c r="Y15" s="0" t="inlineStr">
        <is>
          <t>Barbarafenyodjan@gmail.com</t>
        </is>
      </c>
    </row>
    <row r="16">
      <c r="A16" t="n">
        <v>15</v>
      </c>
      <c r="B16" s="0" t="inlineStr">
        <is>
          <t>6471061006140007</t>
        </is>
      </c>
      <c r="C16" s="0" t="inlineStr">
        <is>
          <t>Barin Pradana</t>
        </is>
      </c>
      <c r="D16" s="0" t="inlineStr">
        <is>
          <t>Pria</t>
        </is>
      </c>
      <c r="E16" s="40" t="n">
        <v>41635</v>
      </c>
      <c r="G16" s="0" t="inlineStr">
        <is>
          <t>Katolik</t>
        </is>
      </c>
      <c r="H16" t="inlineStr"/>
      <c r="I16" t="inlineStr"/>
      <c r="K16" s="0" t="inlineStr">
        <is>
          <t>Masih Hidup</t>
        </is>
      </c>
      <c r="M16" s="0" t="inlineStr">
        <is>
          <t>st klement 1 sepinggan</t>
        </is>
      </c>
      <c r="N16" s="0" t="inlineStr">
        <is>
          <t>I</t>
        </is>
      </c>
      <c r="S16" s="0" t="inlineStr">
        <is>
          <t>SD</t>
        </is>
      </c>
      <c r="T16" s="0" t="inlineStr">
        <is>
          <t>pelajar</t>
        </is>
      </c>
      <c r="U16" s="0" t="inlineStr">
        <is>
          <t>A</t>
        </is>
      </c>
      <c r="V16" s="0" t="inlineStr">
        <is>
          <t>6472022712130002</t>
        </is>
      </c>
      <c r="W16" s="0" t="inlineStr">
        <is>
          <t>6471061006140007</t>
        </is>
      </c>
      <c r="X16" s="0" t="inlineStr">
        <is>
          <t>081346305051</t>
        </is>
      </c>
      <c r="Y16" s="0" t="inlineStr">
        <is>
          <t>barinpradana@gmail.com</t>
        </is>
      </c>
    </row>
    <row r="17">
      <c r="A17" t="n">
        <v>16</v>
      </c>
      <c r="B17" s="0" t="inlineStr">
        <is>
          <t>6471042602160005</t>
        </is>
      </c>
      <c r="C17" s="0" t="inlineStr">
        <is>
          <t>Casey matthew cozlov maengkom</t>
        </is>
      </c>
      <c r="D17" s="0" t="inlineStr">
        <is>
          <t>Pria</t>
        </is>
      </c>
      <c r="E17" s="40" t="n">
        <v>39317</v>
      </c>
      <c r="G17" s="0" t="inlineStr">
        <is>
          <t>Katolik</t>
        </is>
      </c>
      <c r="H17" t="inlineStr"/>
      <c r="I17" t="inlineStr"/>
      <c r="K17" s="0" t="inlineStr">
        <is>
          <t>Masih Hidup</t>
        </is>
      </c>
      <c r="M17" s="0" t="inlineStr">
        <is>
          <t>Hati kudus yesus tomohon</t>
        </is>
      </c>
      <c r="N17" t="inlineStr">
        <is>
          <t>LB xxii/326</t>
        </is>
      </c>
      <c r="S17" s="0" t="inlineStr">
        <is>
          <t>SLTP/SMP</t>
        </is>
      </c>
      <c r="T17" s="0" t="inlineStr">
        <is>
          <t>Smp</t>
        </is>
      </c>
      <c r="U17" s="0" t="inlineStr">
        <is>
          <t>O</t>
        </is>
      </c>
      <c r="V17" s="0" t="inlineStr">
        <is>
          <t>6471052308070001</t>
        </is>
      </c>
      <c r="W17" s="0" t="inlineStr">
        <is>
          <t>6471042602160005</t>
        </is>
      </c>
      <c r="X17" s="0" t="inlineStr">
        <is>
          <t>082351343230</t>
        </is>
      </c>
      <c r="Y17" s="0" t="inlineStr">
        <is>
          <t>Selfanicc@gmail.com</t>
        </is>
      </c>
    </row>
    <row r="18">
      <c r="A18" t="n">
        <v>17</v>
      </c>
      <c r="B18" s="0" t="inlineStr">
        <is>
          <t>6471050909090037</t>
        </is>
      </c>
      <c r="C18" s="0" t="inlineStr">
        <is>
          <t>Celine Nathalia kusuma</t>
        </is>
      </c>
      <c r="D18" s="0" t="inlineStr">
        <is>
          <t>Wanita</t>
        </is>
      </c>
      <c r="E18" s="40" t="n">
        <v>41390</v>
      </c>
      <c r="G18" s="0" t="inlineStr">
        <is>
          <t>Katolik</t>
        </is>
      </c>
      <c r="H18" t="inlineStr"/>
      <c r="I18" t="inlineStr"/>
      <c r="K18" s="0" t="inlineStr">
        <is>
          <t>Masih Hidup</t>
        </is>
      </c>
      <c r="M18" s="0" t="inlineStr">
        <is>
          <t>St klemens 1</t>
        </is>
      </c>
      <c r="N18" t="inlineStr"/>
      <c r="S18" s="0" t="inlineStr">
        <is>
          <t>SD</t>
        </is>
      </c>
      <c r="T18" s="0" t="inlineStr">
        <is>
          <t>Siswa</t>
        </is>
      </c>
      <c r="U18" s="0" t="inlineStr">
        <is>
          <t>A</t>
        </is>
      </c>
      <c r="V18" s="0" t="inlineStr">
        <is>
          <t>6471066604130001</t>
        </is>
      </c>
      <c r="W18" s="0" t="inlineStr">
        <is>
          <t>6471050909090037</t>
        </is>
      </c>
      <c r="X18" s="0" t="inlineStr">
        <is>
          <t>Blm ada</t>
        </is>
      </c>
      <c r="Y18" s="0" t="inlineStr">
        <is>
          <t>Blm ada</t>
        </is>
      </c>
    </row>
    <row r="19">
      <c r="A19" t="n">
        <v>18</v>
      </c>
      <c r="B19" s="0" t="inlineStr">
        <is>
          <t>6471050909090037</t>
        </is>
      </c>
      <c r="C19" s="0" t="inlineStr">
        <is>
          <t>Christian kusuma</t>
        </is>
      </c>
      <c r="D19" s="0" t="inlineStr">
        <is>
          <t>Pria</t>
        </is>
      </c>
      <c r="E19" s="40" t="n">
        <v>26829</v>
      </c>
      <c r="G19" s="0" t="inlineStr">
        <is>
          <t>Katolik</t>
        </is>
      </c>
      <c r="H19" t="inlineStr"/>
      <c r="I19" t="inlineStr"/>
      <c r="K19" s="0" t="inlineStr">
        <is>
          <t>Masih Hidup</t>
        </is>
      </c>
      <c r="M19" s="0" t="inlineStr">
        <is>
          <t>Gembala yang baik</t>
        </is>
      </c>
      <c r="N19" s="0" t="inlineStr"/>
      <c r="S19" s="0" t="inlineStr">
        <is>
          <t>S1</t>
        </is>
      </c>
      <c r="T19" s="0" t="inlineStr">
        <is>
          <t>Wiraswasta</t>
        </is>
      </c>
      <c r="U19" s="0" t="inlineStr">
        <is>
          <t>O</t>
        </is>
      </c>
      <c r="V19" s="0" t="inlineStr">
        <is>
          <t>6471051406730004</t>
        </is>
      </c>
      <c r="W19" s="0" t="inlineStr">
        <is>
          <t>6471050909090037</t>
        </is>
      </c>
      <c r="X19" s="0" t="inlineStr">
        <is>
          <t>0811545078</t>
        </is>
      </c>
      <c r="Y19" s="0" t="inlineStr">
        <is>
          <t>Christiankodok@yahoo.com</t>
        </is>
      </c>
    </row>
    <row r="20">
      <c r="A20" t="n">
        <v>19</v>
      </c>
      <c r="B20" s="0" t="inlineStr">
        <is>
          <t>6471042602160005</t>
        </is>
      </c>
      <c r="C20" s="0" t="inlineStr">
        <is>
          <t>Christina selfani runtu</t>
        </is>
      </c>
      <c r="D20" s="0" t="inlineStr">
        <is>
          <t>Wanita</t>
        </is>
      </c>
      <c r="E20" s="40" t="n">
        <v>28701</v>
      </c>
      <c r="G20" s="0" t="inlineStr">
        <is>
          <t>Katolik</t>
        </is>
      </c>
      <c r="H20" t="inlineStr"/>
      <c r="I20" t="inlineStr"/>
      <c r="K20" s="0" t="inlineStr">
        <is>
          <t>Masih Hidup</t>
        </is>
      </c>
      <c r="M20" s="0" t="inlineStr">
        <is>
          <t>Santa theresia</t>
        </is>
      </c>
      <c r="N20" s="0" t="inlineStr">
        <is>
          <t>Menyusul</t>
        </is>
      </c>
      <c r="S20" s="0" t="inlineStr">
        <is>
          <t>D1</t>
        </is>
      </c>
      <c r="T20" s="0" t="inlineStr">
        <is>
          <t>Irt/swasta</t>
        </is>
      </c>
      <c r="U20" s="0" t="inlineStr">
        <is>
          <t>O</t>
        </is>
      </c>
      <c r="V20" s="0" t="inlineStr">
        <is>
          <t>6471057007780002</t>
        </is>
      </c>
      <c r="W20" s="0" t="inlineStr">
        <is>
          <t>6471042602160005</t>
        </is>
      </c>
      <c r="X20" s="0" t="inlineStr">
        <is>
          <t>082351343230</t>
        </is>
      </c>
      <c r="Y20" s="0" t="inlineStr">
        <is>
          <t>Selfanicc@gmail.com</t>
        </is>
      </c>
    </row>
    <row r="21">
      <c r="A21" t="n">
        <v>20</v>
      </c>
      <c r="B21" s="0" t="inlineStr">
        <is>
          <t>6471052011090035</t>
        </is>
      </c>
      <c r="C21" s="0" t="inlineStr">
        <is>
          <t>CRISTOPORUS COLOMBUS</t>
        </is>
      </c>
      <c r="D21" s="0" t="inlineStr">
        <is>
          <t>Pria</t>
        </is>
      </c>
      <c r="E21" s="40" t="n">
        <v>36679</v>
      </c>
      <c r="G21" s="0" t="inlineStr">
        <is>
          <t>Katolik</t>
        </is>
      </c>
      <c r="H21" t="inlineStr"/>
      <c r="I21" t="inlineStr"/>
      <c r="K21" s="0" t="inlineStr">
        <is>
          <t>Masih Hidup</t>
        </is>
      </c>
      <c r="M21" s="0" t="inlineStr">
        <is>
          <t>SANTO MIKAEL LABASA</t>
        </is>
      </c>
      <c r="N21" s="0" t="inlineStr">
        <is>
          <t>IV-C</t>
        </is>
      </c>
      <c r="S21" s="0" t="inlineStr">
        <is>
          <t>SLTA/SMA</t>
        </is>
      </c>
      <c r="T21" s="0" t="inlineStr">
        <is>
          <t>Karyawan swasta</t>
        </is>
      </c>
      <c r="U21" s="0" t="inlineStr">
        <is>
          <t>B</t>
        </is>
      </c>
      <c r="V21" s="0" t="inlineStr">
        <is>
          <t>6471050206000004</t>
        </is>
      </c>
      <c r="W21" s="0" t="inlineStr">
        <is>
          <t>6471052011090035</t>
        </is>
      </c>
      <c r="X21" s="0" t="inlineStr">
        <is>
          <t>081346435198</t>
        </is>
      </c>
      <c r="Y21" s="0" t="inlineStr">
        <is>
          <t>Colombuslombus@gmail.com</t>
        </is>
      </c>
    </row>
    <row r="22">
      <c r="A22" t="n">
        <v>21</v>
      </c>
      <c r="B22" s="0" t="inlineStr">
        <is>
          <t>6471051803210005</t>
        </is>
      </c>
      <c r="C22" s="0" t="inlineStr">
        <is>
          <t>Densius Christian Naga</t>
        </is>
      </c>
      <c r="D22" s="0" t="inlineStr">
        <is>
          <t>Pria</t>
        </is>
      </c>
      <c r="E22" s="40" t="n">
        <v>32505</v>
      </c>
      <c r="G22" s="0" t="inlineStr">
        <is>
          <t>Katolik</t>
        </is>
      </c>
      <c r="H22" t="inlineStr"/>
      <c r="I22" t="inlineStr"/>
      <c r="K22" s="0" t="inlineStr">
        <is>
          <t>Masih Hidup</t>
        </is>
      </c>
      <c r="M22" s="0" t="inlineStr">
        <is>
          <t>St. Yoseph Pekerja Penfui</t>
        </is>
      </c>
      <c r="N22" s="0" t="inlineStr">
        <is>
          <t>III</t>
        </is>
      </c>
      <c r="S22" s="0" t="inlineStr">
        <is>
          <t>S1</t>
        </is>
      </c>
      <c r="T22" s="0" t="inlineStr">
        <is>
          <t>Pegawai Negeri Sipil</t>
        </is>
      </c>
      <c r="U22" s="0" t="inlineStr">
        <is>
          <t>B</t>
        </is>
      </c>
      <c r="V22" s="0" t="inlineStr">
        <is>
          <t>5371032812880002</t>
        </is>
      </c>
      <c r="W22" s="0" t="inlineStr">
        <is>
          <t>6471051803210005</t>
        </is>
      </c>
      <c r="X22" s="0" t="inlineStr">
        <is>
          <t>081282411516</t>
        </is>
      </c>
      <c r="Y22" s="0" t="inlineStr">
        <is>
          <t>Christiannaga88@gmail.com</t>
        </is>
      </c>
    </row>
    <row r="23">
      <c r="A23" t="n">
        <v>22</v>
      </c>
      <c r="B23" s="0" t="inlineStr">
        <is>
          <t>6471061006140007</t>
        </is>
      </c>
      <c r="C23" s="0" t="inlineStr">
        <is>
          <t>Diana Dewi Sukawati</t>
        </is>
      </c>
      <c r="D23" s="0" t="inlineStr">
        <is>
          <t>Wanita</t>
        </is>
      </c>
      <c r="E23" s="40" t="n">
        <v>28986</v>
      </c>
      <c r="G23" s="0" t="inlineStr">
        <is>
          <t>Katolik</t>
        </is>
      </c>
      <c r="H23" t="inlineStr"/>
      <c r="I23" t="inlineStr"/>
      <c r="K23" s="0" t="inlineStr">
        <is>
          <t>Masih Hidup</t>
        </is>
      </c>
      <c r="M23" s="0" t="inlineStr">
        <is>
          <t>Gereja SPM Terkandung tanpa noda tarakan</t>
        </is>
      </c>
      <c r="N23" s="0" t="inlineStr">
        <is>
          <t>III</t>
        </is>
      </c>
      <c r="S23" s="0" t="inlineStr">
        <is>
          <t>S1</t>
        </is>
      </c>
      <c r="T23" s="0" t="inlineStr">
        <is>
          <t>swasta</t>
        </is>
      </c>
      <c r="U23" s="0" t="inlineStr">
        <is>
          <t>Tidak tahu</t>
        </is>
      </c>
      <c r="V23" s="0" t="inlineStr">
        <is>
          <t>6472025105790006</t>
        </is>
      </c>
      <c r="W23" s="0" t="inlineStr">
        <is>
          <t>6471061006140007</t>
        </is>
      </c>
      <c r="X23" s="0" t="inlineStr">
        <is>
          <t>081346305051</t>
        </is>
      </c>
      <c r="Y23" s="0" t="inlineStr">
        <is>
          <t>Sukawatidiana@gmail.com</t>
        </is>
      </c>
    </row>
    <row r="24">
      <c r="A24" t="n">
        <v>23</v>
      </c>
      <c r="B24" s="0" t="inlineStr">
        <is>
          <t>6471052312200007</t>
        </is>
      </c>
      <c r="C24" s="0" t="inlineStr">
        <is>
          <t>Dina Wulandari</t>
        </is>
      </c>
      <c r="D24" s="0" t="inlineStr">
        <is>
          <t>Wanita</t>
        </is>
      </c>
      <c r="E24" s="40" t="n">
        <v>35404</v>
      </c>
      <c r="G24" s="0" t="inlineStr">
        <is>
          <t>Katolik</t>
        </is>
      </c>
      <c r="H24" t="inlineStr"/>
      <c r="I24" t="inlineStr"/>
      <c r="K24" s="0" t="inlineStr">
        <is>
          <t>Masih Hidup</t>
        </is>
      </c>
      <c r="M24" s="0" t="inlineStr">
        <is>
          <t>Santa Theresia Prapatan</t>
        </is>
      </c>
      <c r="N24" s="0" t="inlineStr">
        <is>
          <t>V</t>
        </is>
      </c>
      <c r="S24" s="0" t="inlineStr">
        <is>
          <t>S1</t>
        </is>
      </c>
      <c r="T24" s="0" t="inlineStr">
        <is>
          <t>Karyawan Swasta</t>
        </is>
      </c>
      <c r="U24" s="0" t="inlineStr">
        <is>
          <t>Tidak tahu</t>
        </is>
      </c>
      <c r="V24" s="0" t="inlineStr">
        <is>
          <t>6471054512960001</t>
        </is>
      </c>
      <c r="W24" s="0" t="inlineStr">
        <is>
          <t>6471052312200007</t>
        </is>
      </c>
      <c r="X24" s="0" t="inlineStr">
        <is>
          <t>081254771052</t>
        </is>
      </c>
      <c r="Y24" s="0" t="inlineStr">
        <is>
          <t>dina.wulandari13@gmail.com</t>
        </is>
      </c>
    </row>
    <row r="25">
      <c r="A25" t="n">
        <v>24</v>
      </c>
      <c r="B25" s="0" t="inlineStr">
        <is>
          <t>6471052312200007</t>
        </is>
      </c>
      <c r="C25" s="0" t="inlineStr">
        <is>
          <t>Dina Wulandari</t>
        </is>
      </c>
      <c r="D25" s="0" t="inlineStr">
        <is>
          <t>Wanita</t>
        </is>
      </c>
      <c r="E25" s="40" t="n">
        <v>35404</v>
      </c>
      <c r="G25" s="0" t="inlineStr">
        <is>
          <t>Katolik</t>
        </is>
      </c>
      <c r="H25" t="inlineStr"/>
      <c r="I25" t="inlineStr"/>
      <c r="K25" s="0" t="inlineStr">
        <is>
          <t>Masih Hidup</t>
        </is>
      </c>
      <c r="M25" s="0" t="inlineStr">
        <is>
          <t>Paroki Santa Theresia Prapatan Balikpapan</t>
        </is>
      </c>
      <c r="N25" s="0" t="inlineStr">
        <is>
          <t>V</t>
        </is>
      </c>
      <c r="S25" s="0" t="inlineStr">
        <is>
          <t>S1</t>
        </is>
      </c>
      <c r="T25" t="inlineStr">
        <is>
          <t>Karyawan Swasta</t>
        </is>
      </c>
      <c r="U25" s="0" t="inlineStr">
        <is>
          <t>Tidak tahu</t>
        </is>
      </c>
      <c r="V25" s="0" t="inlineStr">
        <is>
          <t>6471054512960001</t>
        </is>
      </c>
      <c r="W25" s="0" t="inlineStr">
        <is>
          <t>6471052312200007</t>
        </is>
      </c>
      <c r="X25" t="inlineStr">
        <is>
          <t>081254771052</t>
        </is>
      </c>
      <c r="Y25" t="inlineStr">
        <is>
          <t>dina.wulandari13@gmail.com</t>
        </is>
      </c>
    </row>
    <row r="26">
      <c r="A26" t="n">
        <v>25</v>
      </c>
      <c r="B26" s="0" t="inlineStr">
        <is>
          <t>6471011009090020</t>
        </is>
      </c>
      <c r="C26" s="0" t="inlineStr">
        <is>
          <t>Elisabeth Mantiri</t>
        </is>
      </c>
      <c r="D26" s="0" t="inlineStr">
        <is>
          <t>Wanita</t>
        </is>
      </c>
      <c r="E26" s="40" t="n">
        <v>19346</v>
      </c>
      <c r="G26" s="0" t="inlineStr">
        <is>
          <t>Katolik</t>
        </is>
      </c>
      <c r="H26" t="inlineStr"/>
      <c r="I26" t="inlineStr"/>
      <c r="K26" s="0" t="inlineStr">
        <is>
          <t>Masih Hidup</t>
        </is>
      </c>
      <c r="M26" s="0" t="inlineStr">
        <is>
          <t>Hati kudus yesus tomohon</t>
        </is>
      </c>
      <c r="N26" s="0" t="inlineStr">
        <is>
          <t>Menyusul</t>
        </is>
      </c>
      <c r="S26" s="0" t="inlineStr">
        <is>
          <t>D2</t>
        </is>
      </c>
      <c r="T26" s="0" t="inlineStr">
        <is>
          <t>Pensiunan guru</t>
        </is>
      </c>
      <c r="U26" s="0" t="inlineStr">
        <is>
          <t>O</t>
        </is>
      </c>
      <c r="V26" s="0" t="inlineStr">
        <is>
          <t>6471015812520001</t>
        </is>
      </c>
      <c r="W26" s="0" t="inlineStr">
        <is>
          <t>6471011009090020</t>
        </is>
      </c>
      <c r="X26" s="0" t="inlineStr">
        <is>
          <t>082351343230</t>
        </is>
      </c>
      <c r="Y26" t="inlineStr">
        <is>
          <t>Selfanicc@gmail.com</t>
        </is>
      </c>
    </row>
    <row r="27">
      <c r="A27" t="n">
        <v>26</v>
      </c>
      <c r="B27" s="0" t="inlineStr">
        <is>
          <t>6471010309190009</t>
        </is>
      </c>
      <c r="C27" s="0" t="inlineStr">
        <is>
          <t>Emanuel Juniarto Mere</t>
        </is>
      </c>
      <c r="D27" s="0" t="inlineStr">
        <is>
          <t>Wanita</t>
        </is>
      </c>
      <c r="E27" s="40" t="n">
        <v>42181</v>
      </c>
      <c r="G27" s="0" t="inlineStr">
        <is>
          <t>Katolik</t>
        </is>
      </c>
      <c r="H27" t="inlineStr"/>
      <c r="I27" t="inlineStr"/>
      <c r="K27" s="0" t="inlineStr">
        <is>
          <t>Masih Hidup</t>
        </is>
      </c>
      <c r="M27" s="0" t="inlineStr">
        <is>
          <t>Yesus Kerahiman Ilahi Aeramo</t>
        </is>
      </c>
      <c r="N27" t="inlineStr">
        <is>
          <t>IVCMXXXI</t>
        </is>
      </c>
      <c r="S27" s="0" t="inlineStr">
        <is>
          <t>KB/TK</t>
        </is>
      </c>
      <c r="T27" s="0" t="inlineStr"/>
      <c r="U27" s="0" t="inlineStr">
        <is>
          <t>Tidak tahu</t>
        </is>
      </c>
      <c r="V27" s="0" t="inlineStr">
        <is>
          <t>5316062606150001</t>
        </is>
      </c>
      <c r="W27" s="0" t="inlineStr">
        <is>
          <t>6471010309190009</t>
        </is>
      </c>
      <c r="X27" s="0" t="inlineStr"/>
      <c r="Y27" s="0" t="inlineStr"/>
    </row>
    <row r="28">
      <c r="A28" t="n">
        <v>27</v>
      </c>
      <c r="B28" s="0" t="inlineStr">
        <is>
          <t>6402060105090019</t>
        </is>
      </c>
      <c r="C28" s="0" t="inlineStr">
        <is>
          <t>EMELINDA FRANSISKA</t>
        </is>
      </c>
      <c r="D28" s="0" t="inlineStr">
        <is>
          <t>Wanita</t>
        </is>
      </c>
      <c r="E28" s="40" t="n">
        <v>34773</v>
      </c>
      <c r="G28" s="0" t="inlineStr">
        <is>
          <t>Katolik</t>
        </is>
      </c>
      <c r="H28" t="inlineStr"/>
      <c r="I28" t="inlineStr"/>
      <c r="K28" s="0" t="inlineStr">
        <is>
          <t>Masih Hidup</t>
        </is>
      </c>
      <c r="M28" s="0" t="inlineStr">
        <is>
          <t>ST. MARTINUS BONE - BONE</t>
        </is>
      </c>
      <c r="N28" s="0" t="inlineStr">
        <is>
          <t>1086/REG I</t>
        </is>
      </c>
      <c r="S28" s="0" t="inlineStr">
        <is>
          <t>S1</t>
        </is>
      </c>
      <c r="T28" s="0" t="inlineStr">
        <is>
          <t>BELUM BEKERJA</t>
        </is>
      </c>
      <c r="U28" s="0" t="inlineStr">
        <is>
          <t>Tidak tahu</t>
        </is>
      </c>
      <c r="V28" s="0" t="inlineStr">
        <is>
          <t>7322025503950002</t>
        </is>
      </c>
      <c r="W28" s="0" t="inlineStr">
        <is>
          <t>6402060105090019</t>
        </is>
      </c>
      <c r="X28" s="0" t="inlineStr">
        <is>
          <t>085342634570</t>
        </is>
      </c>
      <c r="Y28" s="0" t="inlineStr">
        <is>
          <t>Ajusecery@yahoo.com</t>
        </is>
      </c>
    </row>
    <row r="29">
      <c r="A29" t="n">
        <v>28</v>
      </c>
      <c r="B29" s="0" t="inlineStr">
        <is>
          <t>6471052409090031</t>
        </is>
      </c>
      <c r="C29" s="0" t="inlineStr">
        <is>
          <t>Endang Winarti Ningsih</t>
        </is>
      </c>
      <c r="D29" s="0" t="inlineStr">
        <is>
          <t>Wanita</t>
        </is>
      </c>
      <c r="E29" s="40" t="n">
        <v>22884</v>
      </c>
      <c r="G29" s="0" t="inlineStr">
        <is>
          <t>Katolik</t>
        </is>
      </c>
      <c r="H29" t="inlineStr"/>
      <c r="I29" t="inlineStr"/>
      <c r="K29" s="0" t="inlineStr">
        <is>
          <t>Masih Hidup</t>
        </is>
      </c>
      <c r="M29" s="0" t="inlineStr">
        <is>
          <t>Paroki Santa Theresia Prapatan Balikpapan</t>
        </is>
      </c>
      <c r="N29" s="0" t="inlineStr">
        <is>
          <t>III</t>
        </is>
      </c>
      <c r="S29" s="0" t="inlineStr">
        <is>
          <t>SD</t>
        </is>
      </c>
      <c r="T29" t="inlineStr">
        <is>
          <t>Ibu Rumah Tangga</t>
        </is>
      </c>
      <c r="U29" s="0" t="inlineStr">
        <is>
          <t>O</t>
        </is>
      </c>
      <c r="V29" s="0" t="inlineStr">
        <is>
          <t>6471056608620002</t>
        </is>
      </c>
      <c r="W29" s="0" t="inlineStr">
        <is>
          <t>6471052409090031</t>
        </is>
      </c>
      <c r="X29" s="0" t="inlineStr">
        <is>
          <t>085347992266</t>
        </is>
      </c>
      <c r="Y29" s="0" t="inlineStr"/>
    </row>
    <row r="30">
      <c r="A30" t="n">
        <v>29</v>
      </c>
      <c r="B30" s="0" t="inlineStr">
        <is>
          <t>6471051210090014</t>
        </is>
      </c>
      <c r="C30" s="0" t="inlineStr">
        <is>
          <t>Endang Yudhaningsih</t>
        </is>
      </c>
      <c r="D30" s="0" t="inlineStr">
        <is>
          <t>Wanita</t>
        </is>
      </c>
      <c r="E30" s="40" t="n">
        <v>18628</v>
      </c>
      <c r="G30" s="0" t="inlineStr">
        <is>
          <t>Katolik</t>
        </is>
      </c>
      <c r="H30" t="inlineStr"/>
      <c r="I30" t="inlineStr"/>
      <c r="K30" s="0" t="inlineStr">
        <is>
          <t>Masih Hidup</t>
        </is>
      </c>
      <c r="M30" s="0" t="inlineStr">
        <is>
          <t>St. Theresia Balikpapan</t>
        </is>
      </c>
      <c r="N30" s="0" t="inlineStr"/>
      <c r="S30" s="0" t="inlineStr">
        <is>
          <t>SLTA/SMA</t>
        </is>
      </c>
      <c r="T30" s="0" t="inlineStr">
        <is>
          <t>Ibu Rumah Tangga</t>
        </is>
      </c>
      <c r="U30" s="0" t="inlineStr">
        <is>
          <t>O</t>
        </is>
      </c>
      <c r="V30" s="0" t="inlineStr">
        <is>
          <t>6471057112500064</t>
        </is>
      </c>
      <c r="W30" s="0" t="inlineStr">
        <is>
          <t>6471051210090014</t>
        </is>
      </c>
      <c r="X30" s="0" t="inlineStr">
        <is>
          <t>085716012223</t>
        </is>
      </c>
      <c r="Y30" s="0" t="inlineStr">
        <is>
          <t>-</t>
        </is>
      </c>
    </row>
    <row r="31">
      <c r="A31" t="n">
        <v>30</v>
      </c>
      <c r="B31" s="0" t="inlineStr">
        <is>
          <t>6471052009120021</t>
        </is>
      </c>
      <c r="C31" s="0" t="inlineStr">
        <is>
          <t>Ernis Pindan Widyawati</t>
        </is>
      </c>
      <c r="D31" s="0" t="inlineStr">
        <is>
          <t>Wanita</t>
        </is>
      </c>
      <c r="E31" s="40" t="n">
        <v>28849</v>
      </c>
      <c r="G31" s="0" t="inlineStr">
        <is>
          <t>Katolik</t>
        </is>
      </c>
      <c r="H31" t="inlineStr"/>
      <c r="I31" t="inlineStr"/>
      <c r="K31" s="0" t="inlineStr">
        <is>
          <t>Masih Hidup</t>
        </is>
      </c>
      <c r="M31" s="0" t="inlineStr">
        <is>
          <t>Klemens 1</t>
        </is>
      </c>
      <c r="N31" s="0" t="inlineStr">
        <is>
          <t>I</t>
        </is>
      </c>
      <c r="S31" s="0" t="inlineStr">
        <is>
          <t>S1</t>
        </is>
      </c>
      <c r="T31" s="0" t="inlineStr">
        <is>
          <t>Ibu Rumah Tangga</t>
        </is>
      </c>
      <c r="U31" s="0" t="inlineStr">
        <is>
          <t>B</t>
        </is>
      </c>
      <c r="V31" s="0" t="inlineStr">
        <is>
          <t>6471056612780013</t>
        </is>
      </c>
      <c r="W31" s="0" t="inlineStr">
        <is>
          <t>6471052009120021</t>
        </is>
      </c>
      <c r="X31" s="0" t="inlineStr">
        <is>
          <t>+6281258002516</t>
        </is>
      </c>
      <c r="Y31" s="0" t="inlineStr"/>
    </row>
    <row r="32">
      <c r="A32" t="n">
        <v>31</v>
      </c>
      <c r="B32" s="0" t="inlineStr">
        <is>
          <t>6471052806160018</t>
        </is>
      </c>
      <c r="C32" s="0" t="inlineStr">
        <is>
          <t>Febrianty Anastasia Malau</t>
        </is>
      </c>
      <c r="D32" s="0" t="inlineStr">
        <is>
          <t>Wanita</t>
        </is>
      </c>
      <c r="E32" s="40" t="n">
        <v>36946</v>
      </c>
      <c r="G32" s="0" t="inlineStr">
        <is>
          <t>Katolik</t>
        </is>
      </c>
      <c r="H32" t="inlineStr"/>
      <c r="I32" t="inlineStr"/>
      <c r="K32" s="0" t="inlineStr">
        <is>
          <t>Masih Hidup</t>
        </is>
      </c>
      <c r="M32" s="0" t="inlineStr">
        <is>
          <t>Santo Petrus</t>
        </is>
      </c>
      <c r="N32" s="0" t="inlineStr">
        <is>
          <t>IV</t>
        </is>
      </c>
      <c r="S32" s="0" t="inlineStr">
        <is>
          <t>SLTA/SMA</t>
        </is>
      </c>
      <c r="T32" t="inlineStr"/>
      <c r="U32" s="0" t="inlineStr">
        <is>
          <t>O</t>
        </is>
      </c>
      <c r="V32" s="0" t="inlineStr">
        <is>
          <t>6471016402010004</t>
        </is>
      </c>
      <c r="W32" s="0" t="inlineStr">
        <is>
          <t>6471052806160018</t>
        </is>
      </c>
      <c r="X32" s="0" t="inlineStr">
        <is>
          <t>082122242908</t>
        </is>
      </c>
      <c r="Y32" s="0" t="inlineStr">
        <is>
          <t>agnesmonica2170@gmail.com</t>
        </is>
      </c>
    </row>
    <row r="33">
      <c r="A33" t="n">
        <v>32</v>
      </c>
      <c r="B33" s="0" t="inlineStr">
        <is>
          <t>6471052709120093</t>
        </is>
      </c>
      <c r="C33" s="0" t="inlineStr">
        <is>
          <t>Fenesia Friska Sinurat, S.Pd</t>
        </is>
      </c>
      <c r="D33" s="0" t="inlineStr">
        <is>
          <t>Wanita</t>
        </is>
      </c>
      <c r="E33" s="40" t="n">
        <v>28165</v>
      </c>
      <c r="G33" s="0" t="inlineStr">
        <is>
          <t>Katolik</t>
        </is>
      </c>
      <c r="H33" t="inlineStr"/>
      <c r="I33" t="inlineStr"/>
      <c r="K33" s="0" t="inlineStr">
        <is>
          <t>Masih Hidup</t>
        </is>
      </c>
      <c r="M33" s="0" t="inlineStr">
        <is>
          <t>Paroki St Mikael Pangururan</t>
        </is>
      </c>
      <c r="N33" s="0" t="inlineStr">
        <is>
          <t>XIV</t>
        </is>
      </c>
      <c r="S33" s="0" t="inlineStr">
        <is>
          <t>S1</t>
        </is>
      </c>
      <c r="T33" s="0" t="inlineStr">
        <is>
          <t>PNS (Guru)</t>
        </is>
      </c>
      <c r="U33" s="0" t="inlineStr">
        <is>
          <t>O</t>
        </is>
      </c>
      <c r="V33" s="0" t="inlineStr">
        <is>
          <t>6471054902770004</t>
        </is>
      </c>
      <c r="W33" s="0" t="inlineStr">
        <is>
          <t>6471052709120093</t>
        </is>
      </c>
      <c r="X33" s="0" t="inlineStr">
        <is>
          <t>08126328520</t>
        </is>
      </c>
      <c r="Y33" s="0" t="inlineStr">
        <is>
          <t>fenesiasiska@gmail.com</t>
        </is>
      </c>
    </row>
    <row r="34">
      <c r="A34" t="n">
        <v>33</v>
      </c>
      <c r="B34" s="0" t="inlineStr">
        <is>
          <t>6471052709120093</t>
        </is>
      </c>
      <c r="C34" s="0" t="inlineStr">
        <is>
          <t>Fenesia Friska Sinurat, S.Pd</t>
        </is>
      </c>
      <c r="D34" s="0" t="inlineStr">
        <is>
          <t>Wanita</t>
        </is>
      </c>
      <c r="E34" s="40" t="n">
        <v>28165</v>
      </c>
      <c r="G34" s="0" t="inlineStr">
        <is>
          <t>Katolik</t>
        </is>
      </c>
      <c r="H34" t="inlineStr"/>
      <c r="I34" t="inlineStr"/>
      <c r="K34" s="0" t="inlineStr">
        <is>
          <t>Masih Hidup</t>
        </is>
      </c>
      <c r="M34" s="0" t="inlineStr">
        <is>
          <t>St.Mikael Pangururan</t>
        </is>
      </c>
      <c r="N34" s="0" t="inlineStr">
        <is>
          <t>XIV</t>
        </is>
      </c>
      <c r="S34" s="0" t="inlineStr">
        <is>
          <t>S1</t>
        </is>
      </c>
      <c r="T34" s="0" t="inlineStr">
        <is>
          <t>PNS/Guru</t>
        </is>
      </c>
      <c r="U34" s="0" t="inlineStr">
        <is>
          <t>O</t>
        </is>
      </c>
      <c r="V34" s="0" t="inlineStr">
        <is>
          <t>64711054902770004</t>
        </is>
      </c>
      <c r="W34" s="0" t="inlineStr">
        <is>
          <t>6471052709120093</t>
        </is>
      </c>
      <c r="X34" s="0" t="inlineStr">
        <is>
          <t>08126328520</t>
        </is>
      </c>
      <c r="Y34" t="inlineStr">
        <is>
          <t>fenesiasiska@gmail.com</t>
        </is>
      </c>
    </row>
    <row r="35">
      <c r="A35" t="n">
        <v>34</v>
      </c>
      <c r="B35" s="0" t="inlineStr">
        <is>
          <t>6471051803090046</t>
        </is>
      </c>
      <c r="C35" s="0" t="inlineStr">
        <is>
          <t>fransisca gisella ayu rahmadhani</t>
        </is>
      </c>
      <c r="D35" s="0" t="inlineStr">
        <is>
          <t>Wanita</t>
        </is>
      </c>
      <c r="E35" s="40" t="n">
        <v>38444</v>
      </c>
      <c r="G35" s="0" t="inlineStr">
        <is>
          <t>Katolik</t>
        </is>
      </c>
      <c r="H35" t="inlineStr"/>
      <c r="I35" t="inlineStr"/>
      <c r="K35" s="0" t="inlineStr">
        <is>
          <t>Masih Hidup</t>
        </is>
      </c>
      <c r="M35" s="0" t="inlineStr">
        <is>
          <t>yohanes rasul wonogiri</t>
        </is>
      </c>
      <c r="N35" s="0" t="inlineStr"/>
      <c r="S35" s="0" t="inlineStr">
        <is>
          <t>SLTA/SMA</t>
        </is>
      </c>
      <c r="T35" s="0" t="inlineStr">
        <is>
          <t>pelajar</t>
        </is>
      </c>
      <c r="U35" s="0" t="inlineStr">
        <is>
          <t>AB</t>
        </is>
      </c>
      <c r="V35" s="0" t="inlineStr">
        <is>
          <t>6471054204050004</t>
        </is>
      </c>
      <c r="W35" s="0" t="inlineStr">
        <is>
          <t>6471051803090046</t>
        </is>
      </c>
      <c r="X35" s="0" t="inlineStr">
        <is>
          <t>+62 877-4934-6290</t>
        </is>
      </c>
      <c r="Y35" s="0" t="inlineStr"/>
    </row>
    <row r="36">
      <c r="A36" t="n">
        <v>35</v>
      </c>
      <c r="B36" s="0" t="inlineStr">
        <is>
          <t>6471050901140019</t>
        </is>
      </c>
      <c r="C36" s="0" t="inlineStr">
        <is>
          <t>GABRIEL NAIARA ADISTIA GANTARI</t>
        </is>
      </c>
      <c r="D36" s="0" t="inlineStr">
        <is>
          <t>Wanita</t>
        </is>
      </c>
      <c r="E36" s="39" t="n">
        <v>41373</v>
      </c>
      <c r="G36" s="0" t="inlineStr">
        <is>
          <t>Katolik</t>
        </is>
      </c>
      <c r="H36" t="inlineStr"/>
      <c r="I36" t="inlineStr"/>
      <c r="K36" s="0" t="inlineStr">
        <is>
          <t>Masih Hidup</t>
        </is>
      </c>
      <c r="M36" s="0" t="inlineStr">
        <is>
          <t>SANTO KLEMENS I BALIKPAPAN</t>
        </is>
      </c>
      <c r="N36" t="inlineStr">
        <is>
          <t>I</t>
        </is>
      </c>
      <c r="S36" s="0" t="inlineStr">
        <is>
          <t>KB/TK</t>
        </is>
      </c>
      <c r="T36" s="0" t="inlineStr"/>
      <c r="U36" s="0" t="inlineStr">
        <is>
          <t>A</t>
        </is>
      </c>
      <c r="V36" s="0" t="inlineStr">
        <is>
          <t>6471054904130005</t>
        </is>
      </c>
      <c r="W36" s="0" t="inlineStr">
        <is>
          <t>6471050901140019</t>
        </is>
      </c>
      <c r="X36" s="0" t="inlineStr"/>
      <c r="Y36" s="0" t="inlineStr"/>
    </row>
    <row r="37">
      <c r="A37" t="n">
        <v>36</v>
      </c>
      <c r="B37" s="0" t="inlineStr">
        <is>
          <t>6471052409090031</t>
        </is>
      </c>
      <c r="C37" s="0" t="inlineStr">
        <is>
          <t>Hadi Sujono</t>
        </is>
      </c>
      <c r="D37" s="0" t="inlineStr">
        <is>
          <t>Pria</t>
        </is>
      </c>
      <c r="E37" s="40" t="n">
        <v>19287</v>
      </c>
      <c r="G37" s="0" t="inlineStr">
        <is>
          <t>Katolik</t>
        </is>
      </c>
      <c r="H37" t="inlineStr"/>
      <c r="I37" t="inlineStr"/>
      <c r="K37" s="0" t="inlineStr">
        <is>
          <t>Masih Hidup</t>
        </is>
      </c>
      <c r="M37" s="0" t="inlineStr">
        <is>
          <t>Paroki Santa Theresia Prapatan Balikpapan</t>
        </is>
      </c>
      <c r="N37" s="0" t="inlineStr">
        <is>
          <t>III</t>
        </is>
      </c>
      <c r="S37" s="0" t="inlineStr">
        <is>
          <t>SLTP/SMP</t>
        </is>
      </c>
      <c r="T37" s="0" t="inlineStr">
        <is>
          <t>Buruh Harian Lepas</t>
        </is>
      </c>
      <c r="U37" s="0" t="inlineStr">
        <is>
          <t>AB</t>
        </is>
      </c>
      <c r="V37" s="0" t="inlineStr">
        <is>
          <t>6471052010520002</t>
        </is>
      </c>
      <c r="W37" s="0" t="inlineStr">
        <is>
          <t>6471052409090031</t>
        </is>
      </c>
      <c r="X37" s="0" t="inlineStr">
        <is>
          <t>085347992266</t>
        </is>
      </c>
      <c r="Y37" s="0" t="inlineStr"/>
    </row>
    <row r="38">
      <c r="A38" t="n">
        <v>37</v>
      </c>
      <c r="B38" s="0" t="inlineStr">
        <is>
          <t>6471051210090021</t>
        </is>
      </c>
      <c r="C38" s="0" t="inlineStr">
        <is>
          <t>HARIYOTEJO DWINANTO</t>
        </is>
      </c>
      <c r="D38" s="0" t="inlineStr">
        <is>
          <t>Pria</t>
        </is>
      </c>
      <c r="E38" s="40" t="n">
        <v>27396</v>
      </c>
      <c r="G38" s="0" t="inlineStr">
        <is>
          <t>Katolik</t>
        </is>
      </c>
      <c r="H38" t="inlineStr"/>
      <c r="I38" t="inlineStr"/>
      <c r="K38" s="0" t="inlineStr">
        <is>
          <t>Masih Hidup</t>
        </is>
      </c>
      <c r="M38" s="0" t="inlineStr">
        <is>
          <t>KEPANJEN</t>
        </is>
      </c>
      <c r="N38" s="0" t="inlineStr">
        <is>
          <t>II</t>
        </is>
      </c>
      <c r="S38" s="0" t="inlineStr">
        <is>
          <t>SLTA/SMA</t>
        </is>
      </c>
      <c r="T38" s="0" t="inlineStr">
        <is>
          <t>WIRASWASTA</t>
        </is>
      </c>
      <c r="U38" s="0" t="inlineStr">
        <is>
          <t>O</t>
        </is>
      </c>
      <c r="V38" s="0" t="inlineStr">
        <is>
          <t>6471050201750011</t>
        </is>
      </c>
      <c r="W38" s="0" t="inlineStr">
        <is>
          <t>6471051210090021</t>
        </is>
      </c>
      <c r="X38" s="0" t="inlineStr">
        <is>
          <t>081316900510</t>
        </is>
      </c>
      <c r="Y38" s="0" t="inlineStr">
        <is>
          <t>Hdwinanto.mwc@gmail.com</t>
        </is>
      </c>
    </row>
    <row r="39">
      <c r="A39" t="n">
        <v>38</v>
      </c>
      <c r="B39" s="0" t="inlineStr">
        <is>
          <t>6471051210090021</t>
        </is>
      </c>
      <c r="C39" s="0" t="inlineStr">
        <is>
          <t>Hastari Kusumawardhani</t>
        </is>
      </c>
      <c r="D39" s="0" t="inlineStr">
        <is>
          <t>Wanita</t>
        </is>
      </c>
      <c r="E39" s="40" t="n">
        <v>28761</v>
      </c>
      <c r="G39" s="0" t="inlineStr">
        <is>
          <t>Katolik</t>
        </is>
      </c>
      <c r="H39" t="inlineStr"/>
      <c r="I39" t="inlineStr"/>
      <c r="K39" s="0" t="inlineStr">
        <is>
          <t>Masih Hidup</t>
        </is>
      </c>
      <c r="M39" s="0" t="inlineStr">
        <is>
          <t>St. Maria Tak Bernoda Kepanjen</t>
        </is>
      </c>
      <c r="N39" t="inlineStr">
        <is>
          <t>II</t>
        </is>
      </c>
      <c r="S39" s="0" t="inlineStr">
        <is>
          <t>S1</t>
        </is>
      </c>
      <c r="T39" s="0" t="inlineStr">
        <is>
          <t>Wiraswasta</t>
        </is>
      </c>
      <c r="U39" s="0" t="inlineStr">
        <is>
          <t>O</t>
        </is>
      </c>
      <c r="V39" s="0" t="inlineStr">
        <is>
          <t>6471056809780005</t>
        </is>
      </c>
      <c r="W39" s="0" t="inlineStr">
        <is>
          <t>6471051210090021</t>
        </is>
      </c>
      <c r="X39" s="0" t="inlineStr">
        <is>
          <t>081548607099</t>
        </is>
      </c>
      <c r="Y39" s="0" t="inlineStr">
        <is>
          <t>dhwidodo@yahoo.com</t>
        </is>
      </c>
    </row>
    <row r="40">
      <c r="A40" t="n">
        <v>39</v>
      </c>
      <c r="B40" s="0" t="inlineStr">
        <is>
          <t>6471050102190004</t>
        </is>
      </c>
      <c r="C40" s="0" t="inlineStr">
        <is>
          <t>Hipolitus kanisius bogar</t>
        </is>
      </c>
      <c r="D40" s="0" t="inlineStr">
        <is>
          <t>Pria</t>
        </is>
      </c>
      <c r="E40" s="40" t="n">
        <v>18</v>
      </c>
      <c r="G40" s="0" t="inlineStr">
        <is>
          <t>Katolik</t>
        </is>
      </c>
      <c r="H40" t="inlineStr"/>
      <c r="I40" t="inlineStr"/>
      <c r="K40" s="0" t="inlineStr">
        <is>
          <t>Masih Hidup</t>
        </is>
      </c>
      <c r="M40" s="0" t="inlineStr">
        <is>
          <t>Paroki Santo Michael Nita</t>
        </is>
      </c>
      <c r="N40" t="inlineStr"/>
      <c r="S40" s="0" t="inlineStr">
        <is>
          <t>SLTP/SMP</t>
        </is>
      </c>
      <c r="T40" t="inlineStr">
        <is>
          <t>Driver</t>
        </is>
      </c>
      <c r="U40" s="0" t="inlineStr">
        <is>
          <t>O</t>
        </is>
      </c>
      <c r="V40" s="0" t="inlineStr">
        <is>
          <t>5301241907830001</t>
        </is>
      </c>
      <c r="W40" s="0" t="inlineStr">
        <is>
          <t>6471050102190004</t>
        </is>
      </c>
      <c r="X40" s="0" t="inlineStr">
        <is>
          <t>081351595667</t>
        </is>
      </c>
      <c r="Y40" t="inlineStr">
        <is>
          <t>Chievocaprio99@gmail.com</t>
        </is>
      </c>
    </row>
    <row r="41">
      <c r="A41" t="n">
        <v>40</v>
      </c>
      <c r="B41" s="0" t="inlineStr">
        <is>
          <t>6471051312120047</t>
        </is>
      </c>
      <c r="C41" s="0" t="inlineStr">
        <is>
          <t>IGNATIUS BUDIARIYANTO</t>
        </is>
      </c>
      <c r="D41" s="0" t="inlineStr">
        <is>
          <t>Pria</t>
        </is>
      </c>
      <c r="E41" s="40" t="n">
        <v>29776</v>
      </c>
      <c r="G41" s="0" t="inlineStr">
        <is>
          <t>Katolik</t>
        </is>
      </c>
      <c r="H41" t="inlineStr"/>
      <c r="I41" t="inlineStr"/>
      <c r="K41" s="0" t="inlineStr">
        <is>
          <t>Masih Hidup</t>
        </is>
      </c>
      <c r="M41" t="inlineStr">
        <is>
          <t>SANTO YUSUP BATURETNO</t>
        </is>
      </c>
      <c r="N41" t="inlineStr">
        <is>
          <t>VIII</t>
        </is>
      </c>
      <c r="S41" s="0" t="inlineStr">
        <is>
          <t>S1</t>
        </is>
      </c>
      <c r="T41" s="0" t="inlineStr">
        <is>
          <t>KARYAWAN SWASTA</t>
        </is>
      </c>
      <c r="U41" s="0" t="inlineStr">
        <is>
          <t>B</t>
        </is>
      </c>
      <c r="V41" s="0" t="inlineStr">
        <is>
          <t>6471050907810005</t>
        </is>
      </c>
      <c r="W41" s="0" t="inlineStr">
        <is>
          <t>6471051312120047</t>
        </is>
      </c>
      <c r="X41" s="0" t="inlineStr">
        <is>
          <t>081578757836</t>
        </is>
      </c>
      <c r="Y41" t="inlineStr">
        <is>
          <t>ignatius.budiariyanto@gmail.com</t>
        </is>
      </c>
    </row>
    <row r="42">
      <c r="A42" t="n">
        <v>41</v>
      </c>
      <c r="B42" s="0" t="inlineStr">
        <is>
          <t>6471052009120021</t>
        </is>
      </c>
      <c r="C42" s="0" t="inlineStr">
        <is>
          <t>IGNATIUS SUYATO</t>
        </is>
      </c>
      <c r="D42" s="0" t="inlineStr">
        <is>
          <t>Pria</t>
        </is>
      </c>
      <c r="E42" s="40" t="n">
        <v>29584</v>
      </c>
      <c r="G42" s="0" t="inlineStr">
        <is>
          <t>Katolik</t>
        </is>
      </c>
      <c r="H42" t="inlineStr"/>
      <c r="I42" t="inlineStr"/>
      <c r="K42" s="0" t="inlineStr">
        <is>
          <t>Masih Hidup</t>
        </is>
      </c>
      <c r="M42" t="inlineStr">
        <is>
          <t>St. Ignatius Danan</t>
        </is>
      </c>
      <c r="N42" t="inlineStr">
        <is>
          <t>IX</t>
        </is>
      </c>
      <c r="S42" s="0" t="inlineStr">
        <is>
          <t>S2</t>
        </is>
      </c>
      <c r="T42" s="0" t="inlineStr">
        <is>
          <t>Karyawan Swasta</t>
        </is>
      </c>
      <c r="U42" s="0" t="inlineStr">
        <is>
          <t>A</t>
        </is>
      </c>
      <c r="V42" s="0" t="inlineStr">
        <is>
          <t>6471052912800015</t>
        </is>
      </c>
      <c r="W42" s="0" t="inlineStr">
        <is>
          <t>6471052009120021</t>
        </is>
      </c>
      <c r="X42" s="0" t="inlineStr">
        <is>
          <t>085234025605</t>
        </is>
      </c>
      <c r="Y42" s="0" t="inlineStr">
        <is>
          <t>ignasiuscm@gmail.com</t>
        </is>
      </c>
    </row>
    <row r="43">
      <c r="A43" t="n">
        <v>42</v>
      </c>
      <c r="B43" s="0" t="inlineStr">
        <is>
          <t>6471062207190010.0</t>
        </is>
      </c>
      <c r="C43" s="0" t="inlineStr">
        <is>
          <t>Immanuel Meyer Tamba</t>
        </is>
      </c>
      <c r="D43" s="0" t="inlineStr">
        <is>
          <t>Pria</t>
        </is>
      </c>
      <c r="E43" s="40" t="n">
        <v>43687</v>
      </c>
      <c r="G43" s="0" t="inlineStr">
        <is>
          <t>Katolik</t>
        </is>
      </c>
      <c r="H43" t="inlineStr"/>
      <c r="I43" t="inlineStr"/>
      <c r="K43" s="0" t="inlineStr">
        <is>
          <t>Masih Hidup</t>
        </is>
      </c>
      <c r="M43" t="inlineStr">
        <is>
          <t>Santa Theresia</t>
        </is>
      </c>
      <c r="N43" t="inlineStr"/>
      <c r="S43" s="0" t="inlineStr">
        <is>
          <t>KB/TK</t>
        </is>
      </c>
      <c r="T43" s="0" t="inlineStr">
        <is>
          <t>Pelajar</t>
        </is>
      </c>
      <c r="U43" s="0" t="inlineStr">
        <is>
          <t>O</t>
        </is>
      </c>
      <c r="V43" s="0" t="inlineStr">
        <is>
          <t>6471061008190002</t>
        </is>
      </c>
      <c r="W43" s="0" t="inlineStr">
        <is>
          <t>6471062207190010.0</t>
        </is>
      </c>
      <c r="X43" s="0" t="inlineStr"/>
      <c r="Y43" s="0" t="inlineStr">
        <is>
          <t>septinuel@gmail.com</t>
        </is>
      </c>
    </row>
    <row r="44">
      <c r="A44" t="n">
        <v>43</v>
      </c>
      <c r="B44" s="0" t="inlineStr">
        <is>
          <t>6471052707100031</t>
        </is>
      </c>
      <c r="C44" s="0" t="inlineStr">
        <is>
          <t>Iwen inesto</t>
        </is>
      </c>
      <c r="D44" s="0" t="inlineStr">
        <is>
          <t>Pria</t>
        </is>
      </c>
      <c r="E44" s="40" t="n">
        <v>38447</v>
      </c>
      <c r="G44" s="0" t="inlineStr">
        <is>
          <t>Katolik</t>
        </is>
      </c>
      <c r="H44" t="inlineStr"/>
      <c r="I44" t="inlineStr"/>
      <c r="K44" s="0" t="inlineStr">
        <is>
          <t>Masih Hidup</t>
        </is>
      </c>
      <c r="M44" s="0" t="inlineStr">
        <is>
          <t>St, Maria desa lakapera</t>
        </is>
      </c>
      <c r="N44" s="0" t="inlineStr"/>
      <c r="S44" s="0" t="inlineStr">
        <is>
          <t>SLTA/SMA</t>
        </is>
      </c>
      <c r="T44" s="0" t="inlineStr"/>
      <c r="U44" s="0" t="inlineStr">
        <is>
          <t>A</t>
        </is>
      </c>
      <c r="V44" s="0" t="inlineStr">
        <is>
          <t>6471050504050004</t>
        </is>
      </c>
      <c r="W44" s="0" t="inlineStr">
        <is>
          <t>6471052707100031</t>
        </is>
      </c>
      <c r="X44" s="0" t="inlineStr">
        <is>
          <t>081253212457</t>
        </is>
      </c>
      <c r="Y44" s="0" t="inlineStr"/>
    </row>
    <row r="45">
      <c r="A45" t="n">
        <v>44</v>
      </c>
      <c r="B45" s="0" t="inlineStr">
        <is>
          <t>6471052709120093</t>
        </is>
      </c>
      <c r="C45" s="0" t="inlineStr">
        <is>
          <t>Janson Saragih</t>
        </is>
      </c>
      <c r="D45" s="0" t="inlineStr">
        <is>
          <t>Pria</t>
        </is>
      </c>
      <c r="E45" s="40" t="n">
        <v>22975</v>
      </c>
      <c r="G45" s="0" t="inlineStr">
        <is>
          <t>Protestan</t>
        </is>
      </c>
      <c r="H45" t="inlineStr"/>
      <c r="I45" t="inlineStr"/>
      <c r="K45" s="0" t="inlineStr">
        <is>
          <t>Masih Hidup</t>
        </is>
      </c>
      <c r="M45" s="0" t="inlineStr"/>
      <c r="N45" t="inlineStr"/>
      <c r="S45" s="0" t="inlineStr">
        <is>
          <t>S1</t>
        </is>
      </c>
      <c r="T45" s="0" t="inlineStr">
        <is>
          <t>pensiun Angkasa Pura</t>
        </is>
      </c>
      <c r="U45" s="0" t="inlineStr">
        <is>
          <t>A</t>
        </is>
      </c>
      <c r="V45" s="0" t="inlineStr">
        <is>
          <t>6471052511630001</t>
        </is>
      </c>
      <c r="W45" s="0" t="inlineStr">
        <is>
          <t>6471052709120093</t>
        </is>
      </c>
      <c r="X45" s="0" t="inlineStr">
        <is>
          <t>081159031</t>
        </is>
      </c>
      <c r="Y45" t="inlineStr"/>
    </row>
    <row r="46">
      <c r="A46" t="n">
        <v>45</v>
      </c>
      <c r="B46" s="0" t="inlineStr">
        <is>
          <t>6471052709120093</t>
        </is>
      </c>
      <c r="C46" s="0" t="inlineStr">
        <is>
          <t>Janson Saragih</t>
        </is>
      </c>
      <c r="D46" s="0" t="inlineStr">
        <is>
          <t>PRIA</t>
        </is>
      </c>
      <c r="E46" s="40" t="n">
        <v>22975</v>
      </c>
      <c r="G46" s="0" t="inlineStr">
        <is>
          <t>Protestan</t>
        </is>
      </c>
      <c r="H46" t="inlineStr"/>
      <c r="I46" t="inlineStr"/>
      <c r="K46" s="0" t="inlineStr">
        <is>
          <t>Masih Hidup</t>
        </is>
      </c>
      <c r="M46" s="0" t="inlineStr"/>
      <c r="N46" s="0" t="inlineStr"/>
      <c r="S46" s="0" t="inlineStr">
        <is>
          <t>S1</t>
        </is>
      </c>
      <c r="T46" s="0" t="inlineStr">
        <is>
          <t>prnsiunan</t>
        </is>
      </c>
      <c r="U46" s="0" t="inlineStr">
        <is>
          <t>A</t>
        </is>
      </c>
      <c r="V46" s="0" t="inlineStr">
        <is>
          <t>6471052511620001</t>
        </is>
      </c>
      <c r="W46" s="0" t="inlineStr">
        <is>
          <t>6471052709120093</t>
        </is>
      </c>
      <c r="X46" s="0" t="inlineStr">
        <is>
          <t>0811590321</t>
        </is>
      </c>
      <c r="Y46" s="0" t="inlineStr">
        <is>
          <t>fenesiasiska@gmail.com</t>
        </is>
      </c>
    </row>
    <row r="47">
      <c r="A47" t="n">
        <v>46</v>
      </c>
      <c r="B47" s="0" t="inlineStr">
        <is>
          <t>3173081810180030.0</t>
        </is>
      </c>
      <c r="C47" s="0" t="inlineStr">
        <is>
          <t>JOSEPH KUMARURUNG</t>
        </is>
      </c>
      <c r="D47" s="0" t="inlineStr">
        <is>
          <t>Pria</t>
        </is>
      </c>
      <c r="E47" s="40" t="n">
        <v>19822</v>
      </c>
      <c r="G47" s="0" t="inlineStr">
        <is>
          <t>Katolik</t>
        </is>
      </c>
      <c r="H47" t="inlineStr"/>
      <c r="I47" t="inlineStr"/>
      <c r="K47" s="0" t="inlineStr">
        <is>
          <t>Masih Hidup</t>
        </is>
      </c>
      <c r="M47" s="0" t="inlineStr"/>
      <c r="N47" t="inlineStr"/>
      <c r="S47" s="0" t="inlineStr">
        <is>
          <t>S1</t>
        </is>
      </c>
      <c r="T47" s="0" t="inlineStr">
        <is>
          <t>Wiraswasta</t>
        </is>
      </c>
      <c r="U47" s="0" t="inlineStr">
        <is>
          <t>B</t>
        </is>
      </c>
      <c r="V47" s="0" t="inlineStr">
        <is>
          <t>6474020804540005</t>
        </is>
      </c>
      <c r="W47" s="0" t="inlineStr">
        <is>
          <t>3173081810180030.0</t>
        </is>
      </c>
      <c r="X47" s="0" t="inlineStr">
        <is>
          <t>085225252937</t>
        </is>
      </c>
      <c r="Y47" s="0" t="inlineStr"/>
    </row>
    <row r="48">
      <c r="A48" t="n">
        <v>47</v>
      </c>
      <c r="B48" s="0" t="inlineStr">
        <is>
          <t>6471051809970001</t>
        </is>
      </c>
      <c r="C48" s="0" t="inlineStr">
        <is>
          <t>L Patrisia Dwi Wiyanti</t>
        </is>
      </c>
      <c r="D48" s="0" t="inlineStr">
        <is>
          <t>Wanita</t>
        </is>
      </c>
      <c r="E48" s="39" t="n">
        <v>27951</v>
      </c>
      <c r="G48" s="0" t="inlineStr">
        <is>
          <t>Katolik</t>
        </is>
      </c>
      <c r="H48" t="inlineStr"/>
      <c r="I48" t="inlineStr"/>
      <c r="K48" s="0" t="inlineStr">
        <is>
          <t>Masih Hidup</t>
        </is>
      </c>
      <c r="M48" s="0" t="inlineStr">
        <is>
          <t>St. Theresia Balikpapan</t>
        </is>
      </c>
      <c r="N48" t="inlineStr">
        <is>
          <t>II</t>
        </is>
      </c>
      <c r="S48" s="0" t="inlineStr">
        <is>
          <t>SLTA/SMA</t>
        </is>
      </c>
      <c r="T48" s="0" t="inlineStr">
        <is>
          <t>Karyawati perusahaan swasta</t>
        </is>
      </c>
      <c r="U48" s="0" t="inlineStr">
        <is>
          <t>O</t>
        </is>
      </c>
      <c r="V48" s="0" t="inlineStr">
        <is>
          <t>6471055007760002</t>
        </is>
      </c>
      <c r="W48" s="0" t="inlineStr">
        <is>
          <t>6471051809970001</t>
        </is>
      </c>
      <c r="X48" s="0" t="inlineStr">
        <is>
          <t>081346450297</t>
        </is>
      </c>
      <c r="Y48" s="0" t="inlineStr">
        <is>
          <t>patrisialidya@gmail.com</t>
        </is>
      </c>
    </row>
    <row r="49">
      <c r="A49" t="n">
        <v>48</v>
      </c>
      <c r="B49" s="0" t="inlineStr">
        <is>
          <t>6471052707100031</t>
        </is>
      </c>
      <c r="C49" s="0" t="inlineStr">
        <is>
          <t>La mbirita tadiyus</t>
        </is>
      </c>
      <c r="D49" s="0" t="inlineStr">
        <is>
          <t>Pria</t>
        </is>
      </c>
      <c r="E49" s="39" t="n">
        <v>29741</v>
      </c>
      <c r="G49" s="0" t="inlineStr">
        <is>
          <t>Katolik</t>
        </is>
      </c>
      <c r="H49" t="inlineStr"/>
      <c r="I49" t="inlineStr"/>
      <c r="K49" s="0" t="inlineStr">
        <is>
          <t>Masih Hidup</t>
        </is>
      </c>
      <c r="M49" s="0" t="inlineStr">
        <is>
          <t>St. Mikael labasa muna</t>
        </is>
      </c>
      <c r="N49" s="0" t="inlineStr"/>
      <c r="S49" s="0" t="inlineStr">
        <is>
          <t>SLTA/SMA</t>
        </is>
      </c>
      <c r="T49" s="0" t="inlineStr">
        <is>
          <t>Buruh harian lepas</t>
        </is>
      </c>
      <c r="U49" s="0" t="inlineStr">
        <is>
          <t>A</t>
        </is>
      </c>
      <c r="V49" s="0" t="inlineStr">
        <is>
          <t>6471050406810012</t>
        </is>
      </c>
      <c r="W49" s="0" t="inlineStr">
        <is>
          <t>6471052707100031</t>
        </is>
      </c>
      <c r="X49" s="0" t="inlineStr">
        <is>
          <t>081253212457</t>
        </is>
      </c>
      <c r="Y49" s="0" t="inlineStr"/>
    </row>
    <row r="50">
      <c r="A50" t="n">
        <v>49</v>
      </c>
      <c r="B50" s="0" t="inlineStr">
        <is>
          <t>6471061006140007</t>
        </is>
      </c>
      <c r="C50" s="0" t="inlineStr">
        <is>
          <t>Lalita Desi talia putri</t>
        </is>
      </c>
      <c r="D50" s="0" t="inlineStr">
        <is>
          <t>Wanita</t>
        </is>
      </c>
      <c r="E50" s="40" t="n">
        <v>38183</v>
      </c>
      <c r="G50" s="0" t="inlineStr">
        <is>
          <t>Katolik</t>
        </is>
      </c>
      <c r="H50" t="inlineStr"/>
      <c r="I50" t="inlineStr"/>
      <c r="K50" s="0" t="inlineStr">
        <is>
          <t>Masih Hidup</t>
        </is>
      </c>
      <c r="M50" s="0" t="inlineStr">
        <is>
          <t>st.theresia balikpapan</t>
        </is>
      </c>
      <c r="N50" s="0" t="inlineStr">
        <is>
          <t>VI</t>
        </is>
      </c>
      <c r="S50" s="0" t="inlineStr">
        <is>
          <t>S1</t>
        </is>
      </c>
      <c r="T50" s="0" t="inlineStr">
        <is>
          <t>mahasiswa</t>
        </is>
      </c>
      <c r="U50" s="0" t="inlineStr">
        <is>
          <t>Tidak tahu</t>
        </is>
      </c>
      <c r="V50" s="0" t="inlineStr">
        <is>
          <t>6472025507040006</t>
        </is>
      </c>
      <c r="W50" s="0" t="inlineStr">
        <is>
          <t>6471061006140007</t>
        </is>
      </c>
      <c r="X50" s="0" t="inlineStr">
        <is>
          <t>082353009304</t>
        </is>
      </c>
      <c r="Y50" s="0" t="inlineStr">
        <is>
          <t>lalitatalia12@gmail.com</t>
        </is>
      </c>
    </row>
    <row r="51">
      <c r="A51" t="n">
        <v>50</v>
      </c>
      <c r="B51" s="0" t="inlineStr">
        <is>
          <t>6471050909090037</t>
        </is>
      </c>
      <c r="C51" s="0" t="inlineStr">
        <is>
          <t>Lionel Sebastian kusuma</t>
        </is>
      </c>
      <c r="D51" s="0" t="inlineStr">
        <is>
          <t>Pria</t>
        </is>
      </c>
      <c r="E51" s="40" t="n">
        <v>40385</v>
      </c>
      <c r="G51" s="0" t="inlineStr">
        <is>
          <t>Katolik</t>
        </is>
      </c>
      <c r="H51" t="inlineStr"/>
      <c r="I51" t="inlineStr"/>
      <c r="K51" s="0" t="inlineStr">
        <is>
          <t>Masih Hidup</t>
        </is>
      </c>
      <c r="M51" s="0" t="inlineStr">
        <is>
          <t>St klemens1</t>
        </is>
      </c>
      <c r="N51" s="0" t="inlineStr"/>
      <c r="S51" s="0" t="inlineStr">
        <is>
          <t>SLTP/SMP</t>
        </is>
      </c>
      <c r="T51" s="0" t="inlineStr">
        <is>
          <t>Siswa</t>
        </is>
      </c>
      <c r="U51" s="0" t="inlineStr">
        <is>
          <t>O</t>
        </is>
      </c>
      <c r="V51" s="0" t="inlineStr">
        <is>
          <t>6471052607100003</t>
        </is>
      </c>
      <c r="W51" s="0" t="inlineStr">
        <is>
          <t>6471050909090037</t>
        </is>
      </c>
      <c r="X51" s="0" t="inlineStr">
        <is>
          <t>0895335797728</t>
        </is>
      </c>
      <c r="Y51" t="inlineStr">
        <is>
          <t>Blm ada</t>
        </is>
      </c>
    </row>
    <row r="52">
      <c r="A52" t="n">
        <v>51</v>
      </c>
      <c r="B52" s="0" t="inlineStr">
        <is>
          <t>6471060907190002</t>
        </is>
      </c>
      <c r="C52" s="0" t="inlineStr">
        <is>
          <t>Lusia yulmia</t>
        </is>
      </c>
      <c r="D52" s="0" t="inlineStr">
        <is>
          <t>Wanita</t>
        </is>
      </c>
      <c r="E52" s="40" t="n">
        <v>11</v>
      </c>
      <c r="G52" s="0" t="inlineStr">
        <is>
          <t>Katolik</t>
        </is>
      </c>
      <c r="H52" t="inlineStr"/>
      <c r="I52" t="inlineStr"/>
      <c r="K52" s="0" t="inlineStr">
        <is>
          <t>Masih Hidup</t>
        </is>
      </c>
      <c r="M52" s="0" t="inlineStr">
        <is>
          <t>Gereja Hati tak bernoda st. Perawan Maria Tilang</t>
        </is>
      </c>
      <c r="N52" s="0" t="inlineStr"/>
      <c r="S52" s="0" t="inlineStr">
        <is>
          <t>Lain-lain</t>
        </is>
      </c>
      <c r="T52" s="0" t="inlineStr">
        <is>
          <t>Karyawan swasta</t>
        </is>
      </c>
      <c r="U52" s="0" t="inlineStr">
        <is>
          <t>A</t>
        </is>
      </c>
      <c r="V52" s="0" t="inlineStr">
        <is>
          <t>5307045206890003</t>
        </is>
      </c>
      <c r="W52" s="0" t="inlineStr">
        <is>
          <t>6471060907190002</t>
        </is>
      </c>
      <c r="X52" s="0" t="inlineStr">
        <is>
          <t>081253330525</t>
        </is>
      </c>
      <c r="Y52" s="0" t="inlineStr">
        <is>
          <t>luciayulmia@gmail.com</t>
        </is>
      </c>
    </row>
    <row r="53">
      <c r="A53" t="n">
        <v>52</v>
      </c>
      <c r="B53" s="0" t="inlineStr">
        <is>
          <t>6471050402210028</t>
        </is>
      </c>
      <c r="C53" s="0" t="inlineStr">
        <is>
          <t>MARIA AFIA DEU GHOLO</t>
        </is>
      </c>
      <c r="D53" s="0" t="inlineStr">
        <is>
          <t>Wanita</t>
        </is>
      </c>
      <c r="E53" s="40" t="n">
        <v>34038</v>
      </c>
      <c r="G53" s="0" t="inlineStr">
        <is>
          <t>Katolik</t>
        </is>
      </c>
      <c r="H53" t="inlineStr"/>
      <c r="I53" t="inlineStr"/>
      <c r="K53" s="0" t="inlineStr">
        <is>
          <t>Masih Hidup</t>
        </is>
      </c>
      <c r="M53" s="0" t="inlineStr">
        <is>
          <t>Paroki salib suci soa</t>
        </is>
      </c>
      <c r="N53" s="0" t="inlineStr">
        <is>
          <t>-</t>
        </is>
      </c>
      <c r="S53" s="0" t="inlineStr">
        <is>
          <t>S1</t>
        </is>
      </c>
      <c r="T53" s="0" t="inlineStr">
        <is>
          <t>Guru</t>
        </is>
      </c>
      <c r="U53" s="0" t="inlineStr">
        <is>
          <t>A</t>
        </is>
      </c>
      <c r="V53" s="0" t="inlineStr">
        <is>
          <t>5309075003930004</t>
        </is>
      </c>
      <c r="W53" s="0" t="inlineStr">
        <is>
          <t>6471050402210028</t>
        </is>
      </c>
      <c r="X53" s="0" t="inlineStr">
        <is>
          <t>082266416706</t>
        </is>
      </c>
      <c r="Y53" s="0" t="inlineStr">
        <is>
          <t>-</t>
        </is>
      </c>
    </row>
    <row r="54">
      <c r="A54" t="n">
        <v>53</v>
      </c>
      <c r="B54" s="0" t="inlineStr">
        <is>
          <t>6471051908190015</t>
        </is>
      </c>
      <c r="C54" s="0" t="inlineStr">
        <is>
          <t>Maria Emakulata Mei</t>
        </is>
      </c>
      <c r="D54" s="0" t="inlineStr">
        <is>
          <t>Wanita</t>
        </is>
      </c>
      <c r="E54" s="40" t="n">
        <v>30817</v>
      </c>
      <c r="G54" s="0" t="inlineStr">
        <is>
          <t>Katolik</t>
        </is>
      </c>
      <c r="H54" t="inlineStr"/>
      <c r="I54" t="inlineStr"/>
      <c r="K54" s="0" t="inlineStr">
        <is>
          <t>Masih Hidup</t>
        </is>
      </c>
      <c r="M54" s="0" t="inlineStr">
        <is>
          <t>Paroki Santo Petrus dan Paulus Balikpapan</t>
        </is>
      </c>
      <c r="N54" t="inlineStr">
        <is>
          <t>III</t>
        </is>
      </c>
      <c r="S54" s="0" t="inlineStr">
        <is>
          <t>S1</t>
        </is>
      </c>
      <c r="T54" s="0" t="inlineStr">
        <is>
          <t>Guru</t>
        </is>
      </c>
      <c r="U54" s="0" t="inlineStr">
        <is>
          <t>O</t>
        </is>
      </c>
      <c r="V54" s="0" t="inlineStr">
        <is>
          <t>6409045505840005</t>
        </is>
      </c>
      <c r="W54" s="0" t="inlineStr">
        <is>
          <t>6471051908190015</t>
        </is>
      </c>
      <c r="X54" s="0" t="inlineStr">
        <is>
          <t>085245469420</t>
        </is>
      </c>
      <c r="Y54" s="0" t="inlineStr">
        <is>
          <t>emakulatamei@gmail.com</t>
        </is>
      </c>
    </row>
    <row r="55">
      <c r="A55" t="n">
        <v>54</v>
      </c>
      <c r="B55" s="0" t="inlineStr">
        <is>
          <t>6471052703120031</t>
        </is>
      </c>
      <c r="C55" s="0" t="inlineStr">
        <is>
          <t>MARIA SRITANTI HADIM</t>
        </is>
      </c>
      <c r="D55" s="0" t="inlineStr">
        <is>
          <t>Wanita</t>
        </is>
      </c>
      <c r="E55" s="40" t="n">
        <v>32748</v>
      </c>
      <c r="G55" s="0" t="inlineStr">
        <is>
          <t>Katolik</t>
        </is>
      </c>
      <c r="H55" t="inlineStr"/>
      <c r="I55" t="inlineStr"/>
      <c r="K55" s="0" t="inlineStr">
        <is>
          <t>Masih Hidup</t>
        </is>
      </c>
      <c r="M55" s="0" t="inlineStr">
        <is>
          <t>Labuan Bajo</t>
        </is>
      </c>
      <c r="N55" t="inlineStr">
        <is>
          <t>IV</t>
        </is>
      </c>
      <c r="S55" s="0" t="inlineStr">
        <is>
          <t>S1</t>
        </is>
      </c>
      <c r="T55" t="inlineStr">
        <is>
          <t>Karyawan Swasta</t>
        </is>
      </c>
      <c r="U55" s="0" t="inlineStr">
        <is>
          <t>B</t>
        </is>
      </c>
      <c r="V55" s="0" t="inlineStr">
        <is>
          <t>6471056808890002</t>
        </is>
      </c>
      <c r="W55" s="0" t="inlineStr">
        <is>
          <t>6471052703120031</t>
        </is>
      </c>
      <c r="X55" s="0" t="inlineStr">
        <is>
          <t>081350553136</t>
        </is>
      </c>
      <c r="Y55" s="0" t="inlineStr">
        <is>
          <t>mariasri02@gmail.com</t>
        </is>
      </c>
    </row>
    <row r="56">
      <c r="A56" t="n">
        <v>55</v>
      </c>
      <c r="B56" s="0" t="inlineStr">
        <is>
          <t>6471052011090035</t>
        </is>
      </c>
      <c r="C56" s="0" t="inlineStr">
        <is>
          <t>MARKUS HENDRIK</t>
        </is>
      </c>
      <c r="D56" s="0" t="inlineStr">
        <is>
          <t>Pria</t>
        </is>
      </c>
      <c r="E56" s="40" t="n">
        <v>25522</v>
      </c>
      <c r="G56" s="0" t="inlineStr">
        <is>
          <t>Katolik</t>
        </is>
      </c>
      <c r="H56" t="inlineStr"/>
      <c r="I56" t="inlineStr"/>
      <c r="K56" s="0" t="inlineStr">
        <is>
          <t>Masih Hidup</t>
        </is>
      </c>
      <c r="M56" t="inlineStr">
        <is>
          <t>SANTO MIKALE LABASA</t>
        </is>
      </c>
      <c r="N56" t="inlineStr">
        <is>
          <t>V-C</t>
        </is>
      </c>
      <c r="S56" t="inlineStr">
        <is>
          <t>SLTP/SMP</t>
        </is>
      </c>
      <c r="T56" t="inlineStr">
        <is>
          <t>Buruh harian lepas</t>
        </is>
      </c>
      <c r="U56" s="0" t="inlineStr">
        <is>
          <t>AB</t>
        </is>
      </c>
      <c r="V56" s="0" t="inlineStr">
        <is>
          <t>6471051511690004</t>
        </is>
      </c>
      <c r="W56" s="0" t="inlineStr">
        <is>
          <t>6471052011090035</t>
        </is>
      </c>
      <c r="X56" s="0" t="inlineStr">
        <is>
          <t>081346435198</t>
        </is>
      </c>
      <c r="Y56" s="0" t="inlineStr"/>
    </row>
    <row r="57">
      <c r="A57" t="n">
        <v>56</v>
      </c>
      <c r="B57" s="0" t="inlineStr">
        <is>
          <t>6471062207190010.0</t>
        </is>
      </c>
      <c r="C57" s="0" t="inlineStr">
        <is>
          <t>Martinus Apriadi Putra</t>
        </is>
      </c>
      <c r="D57" s="0" t="inlineStr">
        <is>
          <t>Pria</t>
        </is>
      </c>
      <c r="E57" s="40" t="n">
        <v>33717</v>
      </c>
      <c r="G57" s="0" t="inlineStr">
        <is>
          <t>Katolik</t>
        </is>
      </c>
      <c r="H57" t="inlineStr"/>
      <c r="I57" t="inlineStr"/>
      <c r="K57" s="0" t="inlineStr">
        <is>
          <t>Masih Hidup</t>
        </is>
      </c>
      <c r="M57" s="0" t="inlineStr">
        <is>
          <t>Santa Theresia</t>
        </is>
      </c>
      <c r="N57" t="inlineStr"/>
      <c r="S57" t="inlineStr">
        <is>
          <t>SLTA/SMA</t>
        </is>
      </c>
      <c r="T57" t="inlineStr">
        <is>
          <t>Karyawan Swasta</t>
        </is>
      </c>
      <c r="U57" s="0" t="inlineStr">
        <is>
          <t>O</t>
        </is>
      </c>
      <c r="V57" s="0" t="inlineStr">
        <is>
          <t>6471052304920004</t>
        </is>
      </c>
      <c r="W57" s="0" t="inlineStr">
        <is>
          <t>6471062207190010.0</t>
        </is>
      </c>
      <c r="X57" s="0" t="inlineStr">
        <is>
          <t>081249054200</t>
        </is>
      </c>
      <c r="Y57" s="0" t="inlineStr">
        <is>
          <t>martinus.putra@outlook.com</t>
        </is>
      </c>
    </row>
    <row r="58">
      <c r="A58" t="n">
        <v>57</v>
      </c>
      <c r="B58" s="0" t="inlineStr">
        <is>
          <t>6471050901140019</t>
        </is>
      </c>
      <c r="C58" s="0" t="inlineStr">
        <is>
          <t>MARTINUS PRASETYO ADI NUGROHO</t>
        </is>
      </c>
      <c r="D58" s="0" t="inlineStr">
        <is>
          <t>Pria</t>
        </is>
      </c>
      <c r="E58" s="40" t="n">
        <v>31126</v>
      </c>
      <c r="G58" s="0" t="inlineStr">
        <is>
          <t>Katolik</t>
        </is>
      </c>
      <c r="H58" t="inlineStr"/>
      <c r="I58" t="inlineStr"/>
      <c r="K58" s="0" t="inlineStr">
        <is>
          <t>Masih Hidup</t>
        </is>
      </c>
      <c r="M58" s="0" t="inlineStr">
        <is>
          <t>SANTO ANTONIUS KOTABARU YOGYAKARTA</t>
        </is>
      </c>
      <c r="N58" s="0" t="inlineStr">
        <is>
          <t>XXI</t>
        </is>
      </c>
      <c r="S58" s="0" t="inlineStr">
        <is>
          <t>S1</t>
        </is>
      </c>
      <c r="T58" t="inlineStr">
        <is>
          <t>WIRAUSAHA</t>
        </is>
      </c>
      <c r="U58" s="0" t="inlineStr">
        <is>
          <t>O</t>
        </is>
      </c>
      <c r="V58" s="0" t="inlineStr">
        <is>
          <t>3402122003850002</t>
        </is>
      </c>
      <c r="W58" s="0" t="inlineStr">
        <is>
          <t>6471050901140019</t>
        </is>
      </c>
      <c r="X58" s="0" t="inlineStr">
        <is>
          <t>081229888001</t>
        </is>
      </c>
      <c r="Y58" s="0" t="inlineStr">
        <is>
          <t>martinuspa@gmail.com</t>
        </is>
      </c>
    </row>
    <row r="59">
      <c r="A59" t="n">
        <v>58</v>
      </c>
      <c r="B59" s="0" t="inlineStr">
        <is>
          <t>6471051809970001</t>
        </is>
      </c>
      <c r="C59" s="0" t="inlineStr">
        <is>
          <t>Martinus Suratmin</t>
        </is>
      </c>
      <c r="D59" s="0" t="inlineStr">
        <is>
          <t>Pria</t>
        </is>
      </c>
      <c r="E59" s="40" t="n">
        <v>13925</v>
      </c>
      <c r="G59" s="0" t="inlineStr">
        <is>
          <t>Katolik</t>
        </is>
      </c>
      <c r="H59" t="inlineStr"/>
      <c r="I59" t="inlineStr"/>
      <c r="K59" s="0" t="inlineStr">
        <is>
          <t>Masih Hidup</t>
        </is>
      </c>
      <c r="M59" s="0" t="inlineStr">
        <is>
          <t>Paroki Ignasius</t>
        </is>
      </c>
      <c r="N59" s="0" t="inlineStr"/>
      <c r="S59" s="0" t="inlineStr">
        <is>
          <t>D3</t>
        </is>
      </c>
      <c r="T59" t="inlineStr"/>
      <c r="U59" s="0" t="inlineStr">
        <is>
          <t>O</t>
        </is>
      </c>
      <c r="V59" s="0" t="inlineStr">
        <is>
          <t>6471051402380001</t>
        </is>
      </c>
      <c r="W59" s="0" t="inlineStr">
        <is>
          <t>6471051809970001</t>
        </is>
      </c>
      <c r="X59" s="0" t="inlineStr">
        <is>
          <t>081346450297</t>
        </is>
      </c>
      <c r="Y59" s="0" t="inlineStr">
        <is>
          <t>patrisialidya@gmail.com</t>
        </is>
      </c>
    </row>
    <row r="60">
      <c r="A60" t="n">
        <v>59</v>
      </c>
      <c r="B60" s="0" t="inlineStr">
        <is>
          <t>6471012904150015</t>
        </is>
      </c>
      <c r="C60" s="0" t="inlineStr">
        <is>
          <t>MyKiandra Rosella Dani</t>
        </is>
      </c>
      <c r="D60" s="0" t="inlineStr">
        <is>
          <t>Wanita</t>
        </is>
      </c>
      <c r="E60" s="40" t="n">
        <v>42558</v>
      </c>
      <c r="G60" s="0" t="inlineStr">
        <is>
          <t>Katolik</t>
        </is>
      </c>
      <c r="H60" t="inlineStr"/>
      <c r="I60" t="inlineStr"/>
      <c r="K60" s="0" t="inlineStr">
        <is>
          <t>Masih Hidup</t>
        </is>
      </c>
      <c r="M60" s="0" t="inlineStr"/>
      <c r="N60" s="0" t="inlineStr"/>
      <c r="S60" s="0" t="inlineStr"/>
      <c r="T60" t="inlineStr"/>
      <c r="U60" s="0" t="inlineStr">
        <is>
          <t>A</t>
        </is>
      </c>
      <c r="V60" s="0" t="inlineStr">
        <is>
          <t>6471014707160001</t>
        </is>
      </c>
      <c r="W60" s="0" t="inlineStr">
        <is>
          <t>6471012904150015</t>
        </is>
      </c>
      <c r="X60" t="inlineStr">
        <is>
          <t>085754117806</t>
        </is>
      </c>
      <c r="Y60" t="inlineStr">
        <is>
          <t>taniakiandra07@gmail.com</t>
        </is>
      </c>
    </row>
    <row r="61">
      <c r="A61" t="n">
        <v>60</v>
      </c>
      <c r="B61" s="0" t="inlineStr">
        <is>
          <t>6471012904150015</t>
        </is>
      </c>
      <c r="C61" s="0" t="inlineStr">
        <is>
          <t>MyMiracle Tristania Dani</t>
        </is>
      </c>
      <c r="D61" s="0" t="inlineStr">
        <is>
          <t>Wanita</t>
        </is>
      </c>
      <c r="E61" s="40" t="n">
        <v>41117</v>
      </c>
      <c r="G61" s="0" t="inlineStr">
        <is>
          <t>Katolik</t>
        </is>
      </c>
      <c r="H61" t="inlineStr"/>
      <c r="I61" t="inlineStr"/>
      <c r="K61" s="0" t="inlineStr">
        <is>
          <t>Masih Hidup</t>
        </is>
      </c>
      <c r="M61" s="0" t="inlineStr">
        <is>
          <t>St theresia</t>
        </is>
      </c>
      <c r="N61" s="0" t="inlineStr"/>
      <c r="S61" s="0" t="inlineStr"/>
      <c r="T61" t="inlineStr"/>
      <c r="U61" s="0" t="inlineStr">
        <is>
          <t>A</t>
        </is>
      </c>
      <c r="V61" s="0" t="inlineStr">
        <is>
          <t>64710167071200004</t>
        </is>
      </c>
      <c r="W61" s="0" t="inlineStr">
        <is>
          <t>6471012904150015</t>
        </is>
      </c>
      <c r="X61" s="0" t="inlineStr">
        <is>
          <t>085754117806</t>
        </is>
      </c>
      <c r="Y61" s="0" t="inlineStr">
        <is>
          <t>taniakiandra07@gmail.com</t>
        </is>
      </c>
    </row>
    <row r="62">
      <c r="A62" t="n">
        <v>61</v>
      </c>
      <c r="B62" s="0" t="inlineStr">
        <is>
          <t>6471050204180019</t>
        </is>
      </c>
      <c r="C62" s="0" t="inlineStr">
        <is>
          <t>Naomi dunamaiti Theresia lubis</t>
        </is>
      </c>
      <c r="D62" s="0" t="inlineStr">
        <is>
          <t>Wanita</t>
        </is>
      </c>
      <c r="E62" s="40" t="n">
        <v>41479</v>
      </c>
      <c r="G62" s="0" t="inlineStr">
        <is>
          <t>Katolik</t>
        </is>
      </c>
      <c r="H62" t="inlineStr"/>
      <c r="I62" t="inlineStr"/>
      <c r="K62" s="0" t="inlineStr">
        <is>
          <t>Masih Hidup</t>
        </is>
      </c>
      <c r="M62" t="inlineStr">
        <is>
          <t>St.klemen I balikpapan greja Katolik st.martinus lanud balikpapan</t>
        </is>
      </c>
      <c r="N62" t="inlineStr">
        <is>
          <t>I hlm 138</t>
        </is>
      </c>
      <c r="S62" t="inlineStr">
        <is>
          <t>SD</t>
        </is>
      </c>
      <c r="T62" s="0" t="inlineStr"/>
      <c r="U62" s="0" t="inlineStr">
        <is>
          <t>O</t>
        </is>
      </c>
      <c r="V62" s="0" t="inlineStr">
        <is>
          <t>6472056407130002</t>
        </is>
      </c>
      <c r="W62" s="0" t="inlineStr">
        <is>
          <t>6471050204180019</t>
        </is>
      </c>
      <c r="X62" s="0" t="inlineStr">
        <is>
          <t>081256607766</t>
        </is>
      </c>
      <c r="Y62" s="0" t="inlineStr">
        <is>
          <t>ardelina1373@gmail.com</t>
        </is>
      </c>
    </row>
    <row r="63">
      <c r="A63" t="n">
        <v>62</v>
      </c>
      <c r="B63" s="0" t="inlineStr">
        <is>
          <t>6471050204180019</t>
        </is>
      </c>
      <c r="C63" s="0" t="inlineStr">
        <is>
          <t>Nathanael lubis</t>
        </is>
      </c>
      <c r="D63" s="0" t="inlineStr">
        <is>
          <t>Pria</t>
        </is>
      </c>
      <c r="E63" s="40" t="n">
        <v>43079</v>
      </c>
      <c r="G63" s="0" t="inlineStr">
        <is>
          <t>Katolik</t>
        </is>
      </c>
      <c r="H63" t="inlineStr"/>
      <c r="I63" t="inlineStr"/>
      <c r="K63" s="0" t="inlineStr">
        <is>
          <t>Masih Hidup</t>
        </is>
      </c>
      <c r="M63" s="0" t="inlineStr">
        <is>
          <t>Paroki Santo Klemen I/gereja Katolik Santo Martinus lanud balikpapan</t>
        </is>
      </c>
      <c r="N63" s="0" t="inlineStr">
        <is>
          <t>I hlm 161</t>
        </is>
      </c>
      <c r="S63" s="0" t="inlineStr">
        <is>
          <t>KB/TK</t>
        </is>
      </c>
      <c r="T63" s="0" t="inlineStr"/>
      <c r="U63" s="0" t="inlineStr">
        <is>
          <t>Tidak tahu</t>
        </is>
      </c>
      <c r="V63" s="0" t="inlineStr">
        <is>
          <t>6471051012170003</t>
        </is>
      </c>
      <c r="W63" s="0" t="inlineStr">
        <is>
          <t>6471050204180019</t>
        </is>
      </c>
      <c r="X63" t="inlineStr">
        <is>
          <t>081256607766</t>
        </is>
      </c>
      <c r="Y63" t="inlineStr">
        <is>
          <t>Ardelina1373@gmail.com</t>
        </is>
      </c>
    </row>
    <row r="64">
      <c r="A64" t="n">
        <v>63</v>
      </c>
      <c r="B64" s="0" t="inlineStr">
        <is>
          <t>6471010309190009</t>
        </is>
      </c>
      <c r="C64" s="0" t="inlineStr">
        <is>
          <t>Naysila Monika Nggua</t>
        </is>
      </c>
      <c r="D64" s="0" t="inlineStr">
        <is>
          <t>Wanita</t>
        </is>
      </c>
      <c r="E64" s="40" t="n">
        <v>43338</v>
      </c>
      <c r="G64" s="0" t="inlineStr">
        <is>
          <t>Katolik</t>
        </is>
      </c>
      <c r="H64" t="inlineStr"/>
      <c r="I64" t="inlineStr"/>
      <c r="K64" s="0" t="inlineStr">
        <is>
          <t>Masih Hidup</t>
        </is>
      </c>
      <c r="M64" s="0" t="inlineStr">
        <is>
          <t>ST Clement I Balikpapan</t>
        </is>
      </c>
      <c r="N64" s="0" t="inlineStr">
        <is>
          <t>MCCCXXI</t>
        </is>
      </c>
      <c r="S64" s="0" t="inlineStr">
        <is>
          <t>Lain-lain</t>
        </is>
      </c>
      <c r="T64" s="0" t="inlineStr"/>
      <c r="U64" s="0" t="inlineStr">
        <is>
          <t>Tidak tahu</t>
        </is>
      </c>
      <c r="V64" s="0" t="inlineStr">
        <is>
          <t>6471016608180002</t>
        </is>
      </c>
      <c r="W64" s="0" t="inlineStr">
        <is>
          <t>6471010309190009</t>
        </is>
      </c>
      <c r="X64" s="0" t="inlineStr"/>
      <c r="Y64" s="0" t="inlineStr"/>
    </row>
    <row r="65">
      <c r="A65" t="n">
        <v>64</v>
      </c>
      <c r="B65" s="0" t="inlineStr">
        <is>
          <t>6471040511190011</t>
        </is>
      </c>
      <c r="C65" s="0" t="inlineStr">
        <is>
          <t>Nisma Barus</t>
        </is>
      </c>
      <c r="D65" s="0" t="inlineStr">
        <is>
          <t>Wanita</t>
        </is>
      </c>
      <c r="E65" s="40" t="n">
        <v>35031</v>
      </c>
      <c r="G65" s="0" t="inlineStr">
        <is>
          <t>Katolik</t>
        </is>
      </c>
      <c r="H65" t="inlineStr"/>
      <c r="I65" t="inlineStr"/>
      <c r="K65" s="0" t="inlineStr">
        <is>
          <t>Masih Hidup</t>
        </is>
      </c>
      <c r="M65" s="0" t="inlineStr">
        <is>
          <t>St.Fransiskus Assisi Saribudolok</t>
        </is>
      </c>
      <c r="N65" s="0" t="inlineStr">
        <is>
          <t>XVI</t>
        </is>
      </c>
      <c r="S65" s="0" t="inlineStr">
        <is>
          <t>SLTA/SMA</t>
        </is>
      </c>
      <c r="T65" s="0" t="inlineStr"/>
      <c r="U65" s="0" t="inlineStr">
        <is>
          <t>O</t>
        </is>
      </c>
      <c r="V65" s="0" t="inlineStr">
        <is>
          <t>1208266811950001</t>
        </is>
      </c>
      <c r="W65" s="0" t="inlineStr">
        <is>
          <t>6471040511190011</t>
        </is>
      </c>
      <c r="X65" s="0" t="inlineStr">
        <is>
          <t>081349690331</t>
        </is>
      </c>
      <c r="Y65" s="0" t="inlineStr">
        <is>
          <t>Horasbersaudara77@gmail.com</t>
        </is>
      </c>
    </row>
    <row r="66">
      <c r="A66" t="n">
        <v>65</v>
      </c>
      <c r="B66" s="0" t="inlineStr">
        <is>
          <t>6471052709120093</t>
        </is>
      </c>
      <c r="C66" s="0" t="inlineStr">
        <is>
          <t>Pascal Frizzy Anjas Simarmata</t>
        </is>
      </c>
      <c r="D66" s="0" t="inlineStr">
        <is>
          <t>Pria</t>
        </is>
      </c>
      <c r="E66" s="40" t="n">
        <v>38822</v>
      </c>
      <c r="G66" s="0" t="inlineStr">
        <is>
          <t>Protestan</t>
        </is>
      </c>
      <c r="H66" t="inlineStr"/>
      <c r="I66" t="inlineStr"/>
      <c r="K66" s="0" t="inlineStr">
        <is>
          <t>Masih Hidup</t>
        </is>
      </c>
      <c r="M66" s="0" t="inlineStr"/>
      <c r="N66" s="0" t="inlineStr"/>
      <c r="S66" s="0" t="inlineStr"/>
      <c r="T66" t="inlineStr">
        <is>
          <t>Masih sekolah</t>
        </is>
      </c>
      <c r="U66" s="0" t="inlineStr">
        <is>
          <t>A</t>
        </is>
      </c>
      <c r="V66" s="0" t="inlineStr">
        <is>
          <t>6471051504060001</t>
        </is>
      </c>
      <c r="W66" s="0" t="inlineStr">
        <is>
          <t>6471052709120093</t>
        </is>
      </c>
      <c r="X66" s="0" t="inlineStr">
        <is>
          <t>08126328520</t>
        </is>
      </c>
      <c r="Y66" t="inlineStr"/>
    </row>
    <row r="67">
      <c r="A67" t="n">
        <v>66</v>
      </c>
      <c r="B67" s="0" t="inlineStr">
        <is>
          <t>6471052709120093</t>
        </is>
      </c>
      <c r="C67" s="0" t="inlineStr">
        <is>
          <t>Pascal Frizzy Anjas Simarmata</t>
        </is>
      </c>
      <c r="D67" s="0" t="inlineStr">
        <is>
          <t>PRIA</t>
        </is>
      </c>
      <c r="E67" s="40" t="n">
        <v>38822</v>
      </c>
      <c r="G67" s="0" t="inlineStr">
        <is>
          <t>Protestan</t>
        </is>
      </c>
      <c r="H67" t="inlineStr"/>
      <c r="I67" t="inlineStr"/>
      <c r="K67" s="0" t="inlineStr">
        <is>
          <t>Masih Hidup</t>
        </is>
      </c>
      <c r="M67" s="0" t="inlineStr"/>
      <c r="N67" s="0" t="inlineStr"/>
      <c r="S67" s="0" t="inlineStr">
        <is>
          <t>SLTA/SMA</t>
        </is>
      </c>
      <c r="T67" t="inlineStr"/>
      <c r="U67" s="0" t="inlineStr">
        <is>
          <t>A</t>
        </is>
      </c>
      <c r="V67" s="0" t="inlineStr">
        <is>
          <t>6471051504060001</t>
        </is>
      </c>
      <c r="W67" s="0" t="inlineStr">
        <is>
          <t>6471052709120093</t>
        </is>
      </c>
      <c r="X67" s="0" t="inlineStr"/>
      <c r="Y67" s="0" t="inlineStr">
        <is>
          <t>fenesiasiska@gmail.com</t>
        </is>
      </c>
    </row>
    <row r="68">
      <c r="A68" t="n">
        <v>67</v>
      </c>
      <c r="B68" s="0" t="inlineStr">
        <is>
          <t>6471010309190009</t>
        </is>
      </c>
      <c r="C68" s="0" t="inlineStr">
        <is>
          <t>Petrus Ua</t>
        </is>
      </c>
      <c r="D68" s="0" t="inlineStr">
        <is>
          <t>Pria</t>
        </is>
      </c>
      <c r="E68" s="40" t="n">
        <v>31830</v>
      </c>
      <c r="G68" s="0" t="inlineStr">
        <is>
          <t>Katolik</t>
        </is>
      </c>
      <c r="H68" t="inlineStr"/>
      <c r="I68" t="inlineStr"/>
      <c r="K68" s="0" t="inlineStr">
        <is>
          <t>Masih Hidup</t>
        </is>
      </c>
      <c r="M68" s="0" t="inlineStr">
        <is>
          <t>St Hubertus Wekaseko</t>
        </is>
      </c>
      <c r="N68" t="inlineStr">
        <is>
          <t>DCCCXXX</t>
        </is>
      </c>
      <c r="S68" s="0" t="inlineStr">
        <is>
          <t>SLTA/SMA</t>
        </is>
      </c>
      <c r="T68" s="0" t="inlineStr">
        <is>
          <t>Security</t>
        </is>
      </c>
      <c r="U68" s="0" t="inlineStr">
        <is>
          <t>Tidak tahu</t>
        </is>
      </c>
      <c r="V68" s="0" t="inlineStr">
        <is>
          <t>5316062202870001</t>
        </is>
      </c>
      <c r="W68" s="0" t="inlineStr">
        <is>
          <t>6471010309190009</t>
        </is>
      </c>
      <c r="X68" s="0" t="inlineStr"/>
      <c r="Y68" s="0" t="inlineStr"/>
    </row>
    <row r="69">
      <c r="A69" t="n">
        <v>68</v>
      </c>
      <c r="B69" s="0" t="inlineStr">
        <is>
          <t>6471052312200007</t>
        </is>
      </c>
      <c r="C69" s="0" t="inlineStr">
        <is>
          <t>Polonius Dosi Miten</t>
        </is>
      </c>
      <c r="D69" s="0" t="inlineStr">
        <is>
          <t>Pria</t>
        </is>
      </c>
      <c r="E69" s="40" t="n">
        <v>32776</v>
      </c>
      <c r="G69" s="0" t="inlineStr">
        <is>
          <t>Katolik</t>
        </is>
      </c>
      <c r="H69" t="inlineStr"/>
      <c r="I69" t="inlineStr"/>
      <c r="K69" s="0" t="inlineStr">
        <is>
          <t>Masih Hidup</t>
        </is>
      </c>
      <c r="M69" s="0" t="inlineStr">
        <is>
          <t>Paroki Santa Theresia Kanak-Kanak Yesus Kiwangona - Adonara Timur</t>
        </is>
      </c>
      <c r="N69" s="0" t="inlineStr">
        <is>
          <t>VI</t>
        </is>
      </c>
      <c r="S69" s="0" t="inlineStr">
        <is>
          <t>S2</t>
        </is>
      </c>
      <c r="T69" s="0" t="inlineStr">
        <is>
          <t>Karyawan Swasta</t>
        </is>
      </c>
      <c r="U69" s="0" t="inlineStr">
        <is>
          <t>A</t>
        </is>
      </c>
      <c r="V69" s="0" t="inlineStr">
        <is>
          <t>6408102509890001</t>
        </is>
      </c>
      <c r="W69" s="0" t="inlineStr">
        <is>
          <t>6471052312200007</t>
        </is>
      </c>
      <c r="X69" s="0" t="inlineStr">
        <is>
          <t>081348223047</t>
        </is>
      </c>
      <c r="Y69" s="0" t="inlineStr">
        <is>
          <t>poloniusriantoby29@gmail.com</t>
        </is>
      </c>
    </row>
    <row r="70">
      <c r="A70" t="n">
        <v>69</v>
      </c>
      <c r="B70" s="0" t="inlineStr">
        <is>
          <t>6471051803090046</t>
        </is>
      </c>
      <c r="C70" s="0" t="inlineStr">
        <is>
          <t>puji lestari</t>
        </is>
      </c>
      <c r="D70" s="0" t="inlineStr">
        <is>
          <t>Wanita</t>
        </is>
      </c>
      <c r="E70" s="40" t="n">
        <v>29681</v>
      </c>
      <c r="G70" s="0" t="inlineStr">
        <is>
          <t>Katolik</t>
        </is>
      </c>
      <c r="H70" t="inlineStr"/>
      <c r="I70" t="inlineStr"/>
      <c r="K70" s="0" t="inlineStr">
        <is>
          <t>Masih Hidup</t>
        </is>
      </c>
      <c r="M70" s="0" t="inlineStr">
        <is>
          <t>klepu</t>
        </is>
      </c>
      <c r="N70" s="0" t="inlineStr"/>
      <c r="S70" s="0" t="inlineStr">
        <is>
          <t>S1</t>
        </is>
      </c>
      <c r="T70" s="0" t="inlineStr">
        <is>
          <t>guru</t>
        </is>
      </c>
      <c r="U70" s="0" t="inlineStr">
        <is>
          <t>A</t>
        </is>
      </c>
      <c r="V70" s="0" t="inlineStr">
        <is>
          <t>6471054504810013</t>
        </is>
      </c>
      <c r="W70" s="0" t="inlineStr">
        <is>
          <t>6471051803090046</t>
        </is>
      </c>
      <c r="X70" s="0" t="inlineStr">
        <is>
          <t>081802796302</t>
        </is>
      </c>
      <c r="Y70" s="0" t="inlineStr">
        <is>
          <t>bugurupuji@gmail.com</t>
        </is>
      </c>
    </row>
    <row r="71">
      <c r="A71" t="n">
        <v>70</v>
      </c>
      <c r="B71" s="0" t="inlineStr">
        <is>
          <t>6471050901140019</t>
        </is>
      </c>
      <c r="C71" s="0" t="inlineStr">
        <is>
          <t>RAFAEL RANITA ESTU ALINDYA</t>
        </is>
      </c>
      <c r="D71" s="0" t="inlineStr">
        <is>
          <t>Wanita</t>
        </is>
      </c>
      <c r="E71" s="39" t="n">
        <v>42441</v>
      </c>
      <c r="G71" s="0" t="inlineStr">
        <is>
          <t>Katolik</t>
        </is>
      </c>
      <c r="H71" t="inlineStr"/>
      <c r="I71" t="inlineStr"/>
      <c r="K71" s="0" t="inlineStr">
        <is>
          <t>Masih Hidup</t>
        </is>
      </c>
      <c r="M71" s="0" t="inlineStr">
        <is>
          <t>SANTO KLEMENS I BALIKPAPAN</t>
        </is>
      </c>
      <c r="N71" s="0" t="inlineStr">
        <is>
          <t>I</t>
        </is>
      </c>
      <c r="S71" s="0" t="inlineStr">
        <is>
          <t>KB/TK</t>
        </is>
      </c>
      <c r="T71" s="0" t="inlineStr">
        <is>
          <t>PELAJAR</t>
        </is>
      </c>
      <c r="U71" s="0" t="inlineStr">
        <is>
          <t>A</t>
        </is>
      </c>
      <c r="V71" s="0" t="inlineStr">
        <is>
          <t>6471055203160004</t>
        </is>
      </c>
      <c r="W71" s="0" t="inlineStr">
        <is>
          <t>6471050901140019</t>
        </is>
      </c>
      <c r="X71" s="0" t="inlineStr"/>
      <c r="Y71" s="0" t="inlineStr"/>
    </row>
    <row r="72">
      <c r="A72" t="n">
        <v>71</v>
      </c>
      <c r="B72" s="0" t="inlineStr">
        <is>
          <t>6471052707100031</t>
        </is>
      </c>
      <c r="C72" s="0" t="inlineStr">
        <is>
          <t>Refly yusdiani</t>
        </is>
      </c>
      <c r="D72" s="0" t="inlineStr">
        <is>
          <t>Pria</t>
        </is>
      </c>
      <c r="E72" s="40" t="n">
        <v>38894</v>
      </c>
      <c r="G72" s="0" t="inlineStr">
        <is>
          <t>Katolik</t>
        </is>
      </c>
      <c r="H72" t="inlineStr"/>
      <c r="I72" t="inlineStr"/>
      <c r="K72" s="0" t="inlineStr">
        <is>
          <t>Masih Hidup</t>
        </is>
      </c>
      <c r="M72" s="0" t="inlineStr">
        <is>
          <t>St, Klemens 1 Sepinggan Balikpapan</t>
        </is>
      </c>
      <c r="N72" s="0" t="inlineStr">
        <is>
          <t>1 hal, 87</t>
        </is>
      </c>
      <c r="S72" s="0" t="inlineStr">
        <is>
          <t>SLTP/SMP</t>
        </is>
      </c>
      <c r="T72" s="0" t="inlineStr"/>
      <c r="U72" s="0" t="inlineStr">
        <is>
          <t>A</t>
        </is>
      </c>
      <c r="V72" s="0" t="inlineStr">
        <is>
          <t>6471052608060007</t>
        </is>
      </c>
      <c r="W72" s="0" t="inlineStr">
        <is>
          <t>6471052707100031</t>
        </is>
      </c>
      <c r="X72" s="0" t="inlineStr">
        <is>
          <t>081253212457</t>
        </is>
      </c>
      <c r="Y72" s="0" t="inlineStr"/>
    </row>
    <row r="73">
      <c r="A73" t="n">
        <v>72</v>
      </c>
      <c r="B73" s="0" t="inlineStr">
        <is>
          <t>6471052009120021</t>
        </is>
      </c>
      <c r="C73" s="0" t="inlineStr">
        <is>
          <t>Richardus Fidelis Hansel</t>
        </is>
      </c>
      <c r="D73" s="0" t="inlineStr">
        <is>
          <t>Pria</t>
        </is>
      </c>
      <c r="E73" s="40" t="n">
        <v>41722</v>
      </c>
      <c r="G73" s="0" t="inlineStr">
        <is>
          <t>Katolik</t>
        </is>
      </c>
      <c r="H73" t="inlineStr"/>
      <c r="I73" t="inlineStr"/>
      <c r="K73" s="0" t="inlineStr">
        <is>
          <t>Masih Hidup</t>
        </is>
      </c>
      <c r="M73" s="0" t="inlineStr">
        <is>
          <t>Klamens 1</t>
        </is>
      </c>
      <c r="N73" t="inlineStr">
        <is>
          <t>I</t>
        </is>
      </c>
      <c r="S73" s="0" t="inlineStr">
        <is>
          <t>SD</t>
        </is>
      </c>
      <c r="T73" s="0" t="inlineStr"/>
      <c r="U73" s="0" t="inlineStr">
        <is>
          <t>Tidak tahu</t>
        </is>
      </c>
      <c r="V73" s="0" t="inlineStr">
        <is>
          <t>6471052403140002</t>
        </is>
      </c>
      <c r="W73" s="0" t="inlineStr">
        <is>
          <t>6471052009120021</t>
        </is>
      </c>
      <c r="X73" s="0" t="inlineStr"/>
      <c r="Y73" s="0" t="inlineStr"/>
    </row>
    <row r="74">
      <c r="A74" t="n">
        <v>73</v>
      </c>
      <c r="B74" s="0" t="inlineStr">
        <is>
          <t>6471012904150015</t>
        </is>
      </c>
      <c r="C74" s="0" t="inlineStr">
        <is>
          <t>Ristianti S</t>
        </is>
      </c>
      <c r="D74" s="0" t="inlineStr">
        <is>
          <t>Wanita</t>
        </is>
      </c>
      <c r="E74" s="40" t="n">
        <v>29696</v>
      </c>
      <c r="G74" s="0" t="inlineStr">
        <is>
          <t>Katolik</t>
        </is>
      </c>
      <c r="H74" t="inlineStr"/>
      <c r="I74" t="inlineStr"/>
      <c r="K74" s="0" t="inlineStr">
        <is>
          <t>Masih Hidup</t>
        </is>
      </c>
      <c r="M74" s="0" t="inlineStr">
        <is>
          <t>St klement sepinggan</t>
        </is>
      </c>
      <c r="N74" s="0" t="inlineStr"/>
      <c r="S74" s="0" t="inlineStr">
        <is>
          <t>S1</t>
        </is>
      </c>
      <c r="T74" t="inlineStr">
        <is>
          <t>Ibu Rumah Tangga</t>
        </is>
      </c>
      <c r="U74" s="0" t="inlineStr">
        <is>
          <t>A</t>
        </is>
      </c>
      <c r="V74" s="0" t="inlineStr">
        <is>
          <t>6402136004810002</t>
        </is>
      </c>
      <c r="W74" s="0" t="inlineStr">
        <is>
          <t>6471012904150015</t>
        </is>
      </c>
      <c r="X74" s="0" t="inlineStr">
        <is>
          <t>085754117806</t>
        </is>
      </c>
      <c r="Y74" s="0" t="inlineStr">
        <is>
          <t>taniakiandra07@gmail.com</t>
        </is>
      </c>
    </row>
    <row r="75">
      <c r="A75" t="n">
        <v>74</v>
      </c>
      <c r="B75" s="0" t="inlineStr">
        <is>
          <t>3174042101096142</t>
        </is>
      </c>
      <c r="C75" s="0" t="inlineStr">
        <is>
          <t>Ryoga Adityo Dipowikoro</t>
        </is>
      </c>
      <c r="D75" s="0" t="inlineStr">
        <is>
          <t>Pria</t>
        </is>
      </c>
      <c r="E75" s="39" t="n">
        <v>34735</v>
      </c>
      <c r="G75" s="0" t="inlineStr">
        <is>
          <t>Katolik</t>
        </is>
      </c>
      <c r="H75" t="inlineStr"/>
      <c r="I75" t="inlineStr"/>
      <c r="K75" s="0" t="inlineStr">
        <is>
          <t>Masih Hidup</t>
        </is>
      </c>
      <c r="M75" s="0" t="inlineStr">
        <is>
          <t>ST. Klement I Sepinggan - Balikpapan</t>
        </is>
      </c>
      <c r="N75" s="0" t="inlineStr">
        <is>
          <t>Liber I</t>
        </is>
      </c>
      <c r="S75" s="0" t="inlineStr">
        <is>
          <t>S2</t>
        </is>
      </c>
      <c r="T75" s="0" t="inlineStr">
        <is>
          <t>Arsitek / Pemborong</t>
        </is>
      </c>
      <c r="U75" s="0" t="inlineStr">
        <is>
          <t>A</t>
        </is>
      </c>
      <c r="V75" s="0" t="inlineStr">
        <is>
          <t>3174040502950003</t>
        </is>
      </c>
      <c r="W75" s="0" t="inlineStr">
        <is>
          <t>3174042101096142</t>
        </is>
      </c>
      <c r="X75" s="0" t="inlineStr">
        <is>
          <t>0811599500</t>
        </is>
      </c>
      <c r="Y75" s="0" t="inlineStr">
        <is>
          <t>r.dipowikoro@gmail.com</t>
        </is>
      </c>
    </row>
    <row r="76">
      <c r="A76" t="n">
        <v>75</v>
      </c>
      <c r="B76" s="0" t="inlineStr">
        <is>
          <t>6471040511190011</t>
        </is>
      </c>
      <c r="C76" s="0" t="inlineStr">
        <is>
          <t>Saut Parlindungan Sitanggang</t>
        </is>
      </c>
      <c r="D76" s="0" t="inlineStr">
        <is>
          <t>Pria</t>
        </is>
      </c>
      <c r="E76" s="40" t="n">
        <v>33396</v>
      </c>
      <c r="G76" s="0" t="inlineStr">
        <is>
          <t>Katolik</t>
        </is>
      </c>
      <c r="H76" t="inlineStr"/>
      <c r="I76" t="inlineStr"/>
      <c r="K76" s="0" t="inlineStr">
        <is>
          <t>Masih Hidup</t>
        </is>
      </c>
      <c r="M76" s="0" t="inlineStr">
        <is>
          <t>St Petrus dan Paulus dahor</t>
        </is>
      </c>
      <c r="N76" s="0" t="inlineStr">
        <is>
          <t>III</t>
        </is>
      </c>
      <c r="S76" s="0" t="inlineStr">
        <is>
          <t>S1</t>
        </is>
      </c>
      <c r="T76" s="0" t="inlineStr">
        <is>
          <t>Karyawan Swasta</t>
        </is>
      </c>
      <c r="U76" s="0" t="inlineStr">
        <is>
          <t>O</t>
        </is>
      </c>
      <c r="V76" s="0" t="inlineStr">
        <is>
          <t>6471040706910004</t>
        </is>
      </c>
      <c r="W76" s="0" t="inlineStr">
        <is>
          <t>6471040511190011</t>
        </is>
      </c>
      <c r="X76" s="0" t="inlineStr">
        <is>
          <t>081255056902</t>
        </is>
      </c>
      <c r="Y76" s="0" t="inlineStr">
        <is>
          <t>Horasbersaudara77@gmail.com</t>
        </is>
      </c>
    </row>
    <row r="77">
      <c r="A77" t="n">
        <v>76</v>
      </c>
      <c r="B77" s="0" t="inlineStr">
        <is>
          <t>6471062207190010.0</t>
        </is>
      </c>
      <c r="C77" s="0" t="inlineStr">
        <is>
          <t>Septiwanty Roulis Situmorang</t>
        </is>
      </c>
      <c r="D77" s="0" t="inlineStr">
        <is>
          <t>Wanita</t>
        </is>
      </c>
      <c r="E77" s="40" t="n">
        <v>33875</v>
      </c>
      <c r="G77" s="0" t="inlineStr">
        <is>
          <t>Katolik</t>
        </is>
      </c>
      <c r="H77" t="inlineStr"/>
      <c r="I77" t="inlineStr"/>
      <c r="K77" s="0" t="inlineStr">
        <is>
          <t>Masih Hidup</t>
        </is>
      </c>
      <c r="M77" s="0" t="inlineStr">
        <is>
          <t>Santa Theresia</t>
        </is>
      </c>
      <c r="N77" s="0" t="inlineStr"/>
      <c r="S77" s="0" t="inlineStr">
        <is>
          <t>S1</t>
        </is>
      </c>
      <c r="T77" s="0" t="inlineStr">
        <is>
          <t>Kepala Sekolah</t>
        </is>
      </c>
      <c r="U77" s="0" t="inlineStr">
        <is>
          <t>O</t>
        </is>
      </c>
      <c r="V77" s="0" t="inlineStr">
        <is>
          <t>6471056809920003</t>
        </is>
      </c>
      <c r="W77" s="0" t="inlineStr">
        <is>
          <t>6471062207190010.0</t>
        </is>
      </c>
      <c r="X77" s="0" t="inlineStr">
        <is>
          <t>087840453320</t>
        </is>
      </c>
      <c r="Y77" s="0" t="inlineStr">
        <is>
          <t>septinuel@gmail.com</t>
        </is>
      </c>
    </row>
    <row r="78">
      <c r="A78" t="n">
        <v>77</v>
      </c>
      <c r="B78" s="0" t="inlineStr">
        <is>
          <t>6402060105090019</t>
        </is>
      </c>
      <c r="C78" s="0" t="inlineStr">
        <is>
          <t>SERVINUS</t>
        </is>
      </c>
      <c r="D78" s="0" t="inlineStr">
        <is>
          <t>Pria</t>
        </is>
      </c>
      <c r="E78" s="39" t="n">
        <v>34228</v>
      </c>
      <c r="G78" s="0" t="inlineStr">
        <is>
          <t>Katolik</t>
        </is>
      </c>
      <c r="H78" t="inlineStr"/>
      <c r="I78" t="inlineStr"/>
      <c r="K78" s="0" t="inlineStr">
        <is>
          <t>Masih Hidup</t>
        </is>
      </c>
      <c r="M78" s="0" t="inlineStr">
        <is>
          <t>SIMON PETRUS GEMBALA SUNGGUMINASA</t>
        </is>
      </c>
      <c r="N78" s="0" t="inlineStr">
        <is>
          <t>382/REG I</t>
        </is>
      </c>
      <c r="S78" s="0" t="inlineStr">
        <is>
          <t>S1</t>
        </is>
      </c>
      <c r="T78" s="0" t="inlineStr">
        <is>
          <t>MAHASISWA S2</t>
        </is>
      </c>
      <c r="U78" s="0" t="inlineStr">
        <is>
          <t>Tidak tahu</t>
        </is>
      </c>
      <c r="V78" s="0" t="inlineStr">
        <is>
          <t>7322021609930001</t>
        </is>
      </c>
      <c r="W78" s="0" t="inlineStr">
        <is>
          <t>6402060105090019</t>
        </is>
      </c>
      <c r="X78" s="0" t="inlineStr">
        <is>
          <t>087819995293</t>
        </is>
      </c>
      <c r="Y78" t="inlineStr">
        <is>
          <t>Ajuseceryl@yahoo.com</t>
        </is>
      </c>
    </row>
    <row r="79">
      <c r="A79" t="n">
        <v>78</v>
      </c>
      <c r="B79" s="0" t="inlineStr">
        <is>
          <t>6471040511190011</t>
        </is>
      </c>
      <c r="C79" s="0" t="inlineStr">
        <is>
          <t>Shaenette Olivia Sitanggang</t>
        </is>
      </c>
      <c r="D79" s="0" t="inlineStr">
        <is>
          <t>Wanita</t>
        </is>
      </c>
      <c r="E79" s="40" t="n">
        <v>44043</v>
      </c>
      <c r="G79" s="0" t="inlineStr">
        <is>
          <t>Katolik</t>
        </is>
      </c>
      <c r="H79" t="inlineStr"/>
      <c r="I79" t="inlineStr"/>
      <c r="K79" s="0" t="inlineStr">
        <is>
          <t>Masih Hidup</t>
        </is>
      </c>
      <c r="M79" s="0" t="inlineStr">
        <is>
          <t>St Petrus &amp; Paulus Balikpapan</t>
        </is>
      </c>
      <c r="N79" s="0" t="inlineStr">
        <is>
          <t>VI</t>
        </is>
      </c>
      <c r="S79" s="0" t="inlineStr">
        <is>
          <t>Lain-lain</t>
        </is>
      </c>
      <c r="T79" s="0" t="inlineStr"/>
      <c r="U79" s="0" t="inlineStr">
        <is>
          <t>O</t>
        </is>
      </c>
      <c r="V79" s="0" t="inlineStr">
        <is>
          <t>6471047107200001</t>
        </is>
      </c>
      <c r="W79" s="0" t="inlineStr">
        <is>
          <t>6471040511190011</t>
        </is>
      </c>
      <c r="X79" s="0" t="inlineStr"/>
      <c r="Y79" s="0" t="inlineStr"/>
    </row>
    <row r="80">
      <c r="A80" t="n">
        <v>79</v>
      </c>
      <c r="B80" s="0" t="inlineStr">
        <is>
          <t>6471041504090026</t>
        </is>
      </c>
      <c r="C80" s="0" t="inlineStr">
        <is>
          <t>Simon Santi</t>
        </is>
      </c>
      <c r="D80" s="0" t="inlineStr">
        <is>
          <t>Pria</t>
        </is>
      </c>
      <c r="E80" s="40" t="n">
        <v>26</v>
      </c>
      <c r="G80" s="0" t="inlineStr">
        <is>
          <t>Katolik</t>
        </is>
      </c>
      <c r="H80" t="inlineStr"/>
      <c r="I80" t="inlineStr"/>
      <c r="K80" s="0" t="inlineStr">
        <is>
          <t>Masih Hidup</t>
        </is>
      </c>
      <c r="M80" s="0" t="inlineStr">
        <is>
          <t>Lengkon ajang</t>
        </is>
      </c>
      <c r="N80" s="0" t="inlineStr">
        <is>
          <t>12.0</t>
        </is>
      </c>
      <c r="S80" s="0" t="inlineStr">
        <is>
          <t>SLTA/SMA</t>
        </is>
      </c>
      <c r="T80" s="0" t="inlineStr">
        <is>
          <t>Buruh bangunan</t>
        </is>
      </c>
      <c r="U80" s="0" t="inlineStr">
        <is>
          <t>A</t>
        </is>
      </c>
      <c r="V80" s="0" t="inlineStr">
        <is>
          <t>64710422711790005</t>
        </is>
      </c>
      <c r="W80" s="0" t="inlineStr">
        <is>
          <t>6471041504090026</t>
        </is>
      </c>
      <c r="X80" s="0" t="inlineStr">
        <is>
          <t>082155686618</t>
        </is>
      </c>
      <c r="Y80" s="0" t="inlineStr">
        <is>
          <t>Simonsanti64 Gmail de com</t>
        </is>
      </c>
    </row>
    <row r="81">
      <c r="A81" t="n">
        <v>80</v>
      </c>
      <c r="B81" s="0" t="inlineStr">
        <is>
          <t>6471050404190019</t>
        </is>
      </c>
      <c r="C81" s="0" t="inlineStr">
        <is>
          <t>SISILIA BRIGITA YULIANI REDJO</t>
        </is>
      </c>
      <c r="D81" s="0" t="inlineStr">
        <is>
          <t>Wanita</t>
        </is>
      </c>
      <c r="E81" s="13" t="n"/>
      <c r="G81" s="0" t="inlineStr">
        <is>
          <t>Katolik</t>
        </is>
      </c>
      <c r="H81" t="inlineStr"/>
      <c r="I81" t="inlineStr"/>
      <c r="K81" s="0" t="inlineStr">
        <is>
          <t>Masih Hidup</t>
        </is>
      </c>
      <c r="M81" s="0" t="inlineStr">
        <is>
          <t>Santo paulus pekanbaru</t>
        </is>
      </c>
      <c r="N81" s="0" t="inlineStr">
        <is>
          <t>1.0</t>
        </is>
      </c>
      <c r="S81" s="0" t="inlineStr">
        <is>
          <t>D3</t>
        </is>
      </c>
      <c r="T81" s="0" t="inlineStr">
        <is>
          <t>Karyawan swasta</t>
        </is>
      </c>
      <c r="U81" s="0" t="inlineStr">
        <is>
          <t>Tidak tahu</t>
        </is>
      </c>
      <c r="V81" s="0" t="inlineStr">
        <is>
          <t>1408045607940004</t>
        </is>
      </c>
      <c r="W81" s="0" t="inlineStr">
        <is>
          <t>6471050404190019</t>
        </is>
      </c>
      <c r="X81" s="0" t="inlineStr">
        <is>
          <t>082284081518</t>
        </is>
      </c>
      <c r="Y81" s="0" t="inlineStr">
        <is>
          <t>Redjosisilia@gmail.com</t>
        </is>
      </c>
    </row>
    <row r="82">
      <c r="A82" t="n">
        <v>81</v>
      </c>
      <c r="B82" s="0" t="inlineStr">
        <is>
          <t>6471052011090035</t>
        </is>
      </c>
      <c r="C82" s="0" t="inlineStr">
        <is>
          <t>TERESIA WALISA</t>
        </is>
      </c>
      <c r="D82" s="0" t="inlineStr">
        <is>
          <t>Wanita</t>
        </is>
      </c>
      <c r="E82" s="40" t="n">
        <v>28531</v>
      </c>
      <c r="G82" s="0" t="inlineStr">
        <is>
          <t>Katolik</t>
        </is>
      </c>
      <c r="H82" t="inlineStr"/>
      <c r="I82" t="inlineStr"/>
      <c r="K82" s="0" t="inlineStr">
        <is>
          <t>Masih Hidup</t>
        </is>
      </c>
      <c r="M82" s="0" t="inlineStr">
        <is>
          <t>SANTO MIKAEL LABASA</t>
        </is>
      </c>
      <c r="N82" t="inlineStr">
        <is>
          <t>IV-C</t>
        </is>
      </c>
      <c r="S82" s="0" t="inlineStr">
        <is>
          <t>SD</t>
        </is>
      </c>
      <c r="T82" s="0" t="inlineStr">
        <is>
          <t>Ibu rumah tangga</t>
        </is>
      </c>
      <c r="U82" s="0" t="inlineStr">
        <is>
          <t>B</t>
        </is>
      </c>
      <c r="V82" s="0" t="inlineStr">
        <is>
          <t>6471055002780005</t>
        </is>
      </c>
      <c r="W82" s="0" t="inlineStr">
        <is>
          <t>6471052011090035</t>
        </is>
      </c>
      <c r="X82" s="0" t="inlineStr">
        <is>
          <t>081346435198</t>
        </is>
      </c>
      <c r="Y82" s="0" t="inlineStr">
        <is>
          <t>Colombuslombus@gmail.com</t>
        </is>
      </c>
    </row>
    <row r="83">
      <c r="A83" t="n">
        <v>82</v>
      </c>
      <c r="B83" s="0" t="inlineStr">
        <is>
          <t>6471010309190009</t>
        </is>
      </c>
      <c r="C83" s="0" t="inlineStr">
        <is>
          <t>Theresia Monika Eju</t>
        </is>
      </c>
      <c r="D83" s="0" t="inlineStr">
        <is>
          <t>Wanita</t>
        </is>
      </c>
      <c r="E83" s="40" t="n">
        <v>33579</v>
      </c>
      <c r="G83" s="0" t="inlineStr">
        <is>
          <t>Katolik</t>
        </is>
      </c>
      <c r="H83" t="inlineStr"/>
      <c r="I83" t="inlineStr"/>
      <c r="K83" s="0" t="inlineStr">
        <is>
          <t>Masih Hidup</t>
        </is>
      </c>
      <c r="M83" s="0" t="inlineStr">
        <is>
          <t>Yesus Kerahiman Ilahi Aeramo</t>
        </is>
      </c>
      <c r="N83" t="inlineStr">
        <is>
          <t>MMCXXII</t>
        </is>
      </c>
      <c r="S83" s="0" t="inlineStr">
        <is>
          <t>S1</t>
        </is>
      </c>
      <c r="T83" s="0" t="inlineStr">
        <is>
          <t>Guru</t>
        </is>
      </c>
      <c r="U83" s="0" t="inlineStr">
        <is>
          <t>Tidak tahu</t>
        </is>
      </c>
      <c r="V83" s="0" t="inlineStr">
        <is>
          <t>5316014712910003</t>
        </is>
      </c>
      <c r="W83" s="0" t="inlineStr">
        <is>
          <t>6471010309190009</t>
        </is>
      </c>
      <c r="X83" s="0" t="inlineStr">
        <is>
          <t>081257213432</t>
        </is>
      </c>
      <c r="Y83" s="0" t="inlineStr">
        <is>
          <t>naysilajuan@gmail.com</t>
        </is>
      </c>
    </row>
    <row r="84">
      <c r="A84" t="n">
        <v>83</v>
      </c>
      <c r="B84" s="0" t="inlineStr">
        <is>
          <t>6471051007060015</t>
        </is>
      </c>
      <c r="C84" s="0" t="inlineStr">
        <is>
          <t>Thomas Sakino</t>
        </is>
      </c>
      <c r="D84" s="0" t="inlineStr">
        <is>
          <t>Pria</t>
        </is>
      </c>
      <c r="E84" s="40" t="n">
        <v>19292</v>
      </c>
      <c r="G84" s="0" t="inlineStr">
        <is>
          <t>Katolik</t>
        </is>
      </c>
      <c r="H84" t="inlineStr"/>
      <c r="I84" t="inlineStr"/>
      <c r="K84" s="0" t="inlineStr">
        <is>
          <t>Masih Hidup</t>
        </is>
      </c>
      <c r="M84" t="inlineStr">
        <is>
          <t>S.P. Maria Ratu , Kebayoran Baru</t>
        </is>
      </c>
      <c r="N84" t="inlineStr">
        <is>
          <t>IV/215/81</t>
        </is>
      </c>
      <c r="S84" s="0" t="inlineStr">
        <is>
          <t>D3</t>
        </is>
      </c>
      <c r="T84" s="0" t="inlineStr">
        <is>
          <t>wira usaha</t>
        </is>
      </c>
      <c r="U84" s="0" t="inlineStr">
        <is>
          <t>O</t>
        </is>
      </c>
      <c r="V84" s="0" t="inlineStr">
        <is>
          <t>6471052510520001</t>
        </is>
      </c>
      <c r="W84" s="0" t="inlineStr">
        <is>
          <t>6471051007060015</t>
        </is>
      </c>
      <c r="X84" t="inlineStr">
        <is>
          <t>081345459244</t>
        </is>
      </c>
      <c r="Y84" t="inlineStr"/>
    </row>
    <row r="85">
      <c r="A85" t="n">
        <v>84</v>
      </c>
      <c r="B85" s="0" t="inlineStr">
        <is>
          <t>6402060105090019</t>
        </is>
      </c>
      <c r="C85" s="0" t="inlineStr">
        <is>
          <t>VERONICA</t>
        </is>
      </c>
      <c r="D85" s="0" t="inlineStr">
        <is>
          <t>Wanita</t>
        </is>
      </c>
      <c r="E85" s="39" t="n">
        <v>31233</v>
      </c>
      <c r="G85" s="0" t="inlineStr">
        <is>
          <t>Katolik</t>
        </is>
      </c>
      <c r="H85" t="inlineStr"/>
      <c r="I85" t="inlineStr"/>
      <c r="K85" s="0" t="inlineStr">
        <is>
          <t>Masih Hidup</t>
        </is>
      </c>
      <c r="M85" s="0" t="inlineStr">
        <is>
          <t>GEREJA ST. JACOBUS</t>
        </is>
      </c>
      <c r="N85" t="inlineStr">
        <is>
          <t>1999/REG VI</t>
        </is>
      </c>
      <c r="S85" s="0" t="inlineStr">
        <is>
          <t>S1</t>
        </is>
      </c>
      <c r="T85" s="0" t="inlineStr">
        <is>
          <t>SWASTA</t>
        </is>
      </c>
      <c r="U85" s="0" t="inlineStr">
        <is>
          <t>AB</t>
        </is>
      </c>
      <c r="V85" s="0" t="inlineStr">
        <is>
          <t>7322024507850002</t>
        </is>
      </c>
      <c r="W85" s="0" t="inlineStr">
        <is>
          <t>6402060105090019</t>
        </is>
      </c>
      <c r="X85" s="0" t="inlineStr">
        <is>
          <t>081343674806</t>
        </is>
      </c>
      <c r="Y85" t="inlineStr">
        <is>
          <t>Ajuseceryl@yahoo.com</t>
        </is>
      </c>
    </row>
    <row r="86">
      <c r="A86" t="n">
        <v>85</v>
      </c>
      <c r="B86" s="0" t="inlineStr">
        <is>
          <t>6471050404190019</t>
        </is>
      </c>
      <c r="C86" s="0" t="inlineStr">
        <is>
          <t>Willis saputra</t>
        </is>
      </c>
      <c r="D86" s="0" t="inlineStr">
        <is>
          <t>Pria</t>
        </is>
      </c>
      <c r="E86" s="40" t="n">
        <v>33246</v>
      </c>
      <c r="G86" s="0" t="inlineStr">
        <is>
          <t>Katolik</t>
        </is>
      </c>
      <c r="H86" t="inlineStr"/>
      <c r="I86" t="inlineStr"/>
      <c r="K86" s="0" t="inlineStr">
        <is>
          <t>Masih Hidup</t>
        </is>
      </c>
      <c r="M86" s="0" t="inlineStr">
        <is>
          <t>Santo Klemens</t>
        </is>
      </c>
      <c r="N86" t="inlineStr">
        <is>
          <t>I</t>
        </is>
      </c>
      <c r="S86" s="0" t="inlineStr">
        <is>
          <t>D3</t>
        </is>
      </c>
      <c r="T86" s="0" t="inlineStr">
        <is>
          <t>Karyawan swasta</t>
        </is>
      </c>
      <c r="U86" s="0" t="inlineStr">
        <is>
          <t>AB</t>
        </is>
      </c>
      <c r="V86" s="0" t="inlineStr">
        <is>
          <t>1408040801910003</t>
        </is>
      </c>
      <c r="W86" s="0" t="inlineStr">
        <is>
          <t>6471050404190019</t>
        </is>
      </c>
      <c r="X86" s="0" t="inlineStr">
        <is>
          <t>082284081405</t>
        </is>
      </c>
      <c r="Y86" s="0" t="inlineStr">
        <is>
          <t>Williscmp24@gmail.com</t>
        </is>
      </c>
    </row>
    <row r="87">
      <c r="A87" t="n">
        <v>86</v>
      </c>
      <c r="B87" s="0" t="inlineStr">
        <is>
          <t>6471051312120047</t>
        </is>
      </c>
      <c r="C87" s="0" t="inlineStr">
        <is>
          <t>WORO VIDYA AYUNINGTYAS</t>
        </is>
      </c>
      <c r="D87" s="0" t="inlineStr">
        <is>
          <t>Wanita</t>
        </is>
      </c>
      <c r="E87" s="40" t="n">
        <v>30706</v>
      </c>
      <c r="G87" s="0" t="inlineStr">
        <is>
          <t>Katolik</t>
        </is>
      </c>
      <c r="H87" t="inlineStr"/>
      <c r="I87" t="inlineStr"/>
      <c r="K87" s="0" t="inlineStr">
        <is>
          <t>Masih Hidup</t>
        </is>
      </c>
      <c r="M87" s="0" t="inlineStr">
        <is>
          <t>ECCLESIA CORDIS KRAMAT RAYA JAKARTA</t>
        </is>
      </c>
      <c r="N87" t="inlineStr">
        <is>
          <t>XX</t>
        </is>
      </c>
      <c r="S87" s="0" t="inlineStr">
        <is>
          <t>S1</t>
        </is>
      </c>
      <c r="T87" s="0" t="inlineStr">
        <is>
          <t>GURU SD</t>
        </is>
      </c>
      <c r="U87" s="0" t="inlineStr">
        <is>
          <t>A</t>
        </is>
      </c>
      <c r="V87" s="0" t="inlineStr">
        <is>
          <t>6471056501840008</t>
        </is>
      </c>
      <c r="W87" s="0" t="inlineStr">
        <is>
          <t>6471051312120047</t>
        </is>
      </c>
      <c r="X87" s="0" t="inlineStr">
        <is>
          <t>08156857988</t>
        </is>
      </c>
      <c r="Y87" s="0" t="inlineStr"/>
    </row>
    <row r="88">
      <c r="A88" t="n">
        <v>87</v>
      </c>
      <c r="B88" s="0" t="inlineStr">
        <is>
          <t>6471052707100031</t>
        </is>
      </c>
      <c r="C88" s="0" t="inlineStr">
        <is>
          <t>Yani Anastasia</t>
        </is>
      </c>
      <c r="D88" s="0" t="inlineStr">
        <is>
          <t>Wanita</t>
        </is>
      </c>
      <c r="E88" s="40" t="n">
        <v>32342</v>
      </c>
      <c r="G88" s="0" t="inlineStr">
        <is>
          <t>Katolik</t>
        </is>
      </c>
      <c r="H88" t="inlineStr"/>
      <c r="I88" t="inlineStr"/>
      <c r="K88" s="0" t="inlineStr">
        <is>
          <t>Masih Hidup</t>
        </is>
      </c>
      <c r="M88" s="0" t="inlineStr">
        <is>
          <t>St, Maria desa lakapera</t>
        </is>
      </c>
      <c r="N88" t="inlineStr"/>
      <c r="S88" s="0" t="inlineStr">
        <is>
          <t>SLTP/SMP</t>
        </is>
      </c>
      <c r="T88" s="0" t="inlineStr">
        <is>
          <t>Ibu rumah tangga</t>
        </is>
      </c>
      <c r="U88" s="0" t="inlineStr">
        <is>
          <t>A</t>
        </is>
      </c>
      <c r="V88" s="0" t="inlineStr">
        <is>
          <t>6471055807880007</t>
        </is>
      </c>
      <c r="W88" s="0" t="inlineStr">
        <is>
          <t>6471052707100031</t>
        </is>
      </c>
      <c r="X88" s="0" t="inlineStr">
        <is>
          <t>081253212457</t>
        </is>
      </c>
      <c r="Y88" s="0" t="inlineStr"/>
    </row>
    <row r="89">
      <c r="A89" t="n">
        <v>88</v>
      </c>
      <c r="B89" s="0" t="inlineStr">
        <is>
          <t>6471051803090046</t>
        </is>
      </c>
      <c r="C89" s="0" t="inlineStr">
        <is>
          <t>yohana adeeva prameswari</t>
        </is>
      </c>
      <c r="D89" s="0" t="inlineStr">
        <is>
          <t>Wanita</t>
        </is>
      </c>
      <c r="E89" s="40" t="n">
        <v>41709</v>
      </c>
      <c r="G89" s="0" t="inlineStr">
        <is>
          <t>Katolik</t>
        </is>
      </c>
      <c r="H89" t="inlineStr"/>
      <c r="I89" t="inlineStr"/>
      <c r="K89" s="0" t="inlineStr">
        <is>
          <t>Masih Hidup</t>
        </is>
      </c>
      <c r="M89" s="0" t="inlineStr">
        <is>
          <t>santo clemen sepinggan</t>
        </is>
      </c>
      <c r="N89" t="inlineStr"/>
      <c r="S89" s="0" t="inlineStr">
        <is>
          <t>SD</t>
        </is>
      </c>
      <c r="T89" s="0" t="inlineStr"/>
      <c r="U89" s="0" t="inlineStr">
        <is>
          <t>O</t>
        </is>
      </c>
      <c r="V89" s="0" t="inlineStr">
        <is>
          <t>6471055103140002</t>
        </is>
      </c>
      <c r="W89" s="0" t="inlineStr">
        <is>
          <t>6471051803090046</t>
        </is>
      </c>
      <c r="X89" s="0" t="inlineStr"/>
      <c r="Y89" s="0" t="inlineStr">
        <is>
          <t>yohanaadeevaprameswari@gmail.com</t>
        </is>
      </c>
    </row>
    <row r="90">
      <c r="A90" t="n">
        <v>89</v>
      </c>
      <c r="B90" s="0" t="inlineStr">
        <is>
          <t>6471051909160003</t>
        </is>
      </c>
      <c r="C90" s="0" t="inlineStr">
        <is>
          <t>YOHANES WASKITO</t>
        </is>
      </c>
      <c r="D90" s="0" t="inlineStr">
        <is>
          <t>Pria</t>
        </is>
      </c>
      <c r="E90" s="40" t="n">
        <v>31238</v>
      </c>
      <c r="G90" s="0" t="inlineStr">
        <is>
          <t>Katolik</t>
        </is>
      </c>
      <c r="H90" t="inlineStr"/>
      <c r="I90" t="inlineStr"/>
      <c r="K90" s="0" t="inlineStr">
        <is>
          <t>Masih Hidup</t>
        </is>
      </c>
      <c r="M90" s="0" t="inlineStr">
        <is>
          <t>St. Ignatius Danan</t>
        </is>
      </c>
      <c r="N90" t="inlineStr"/>
      <c r="S90" s="0" t="inlineStr">
        <is>
          <t>D3</t>
        </is>
      </c>
      <c r="T90" t="inlineStr">
        <is>
          <t>Berdagang</t>
        </is>
      </c>
      <c r="U90" s="0" t="inlineStr">
        <is>
          <t>AB</t>
        </is>
      </c>
      <c r="V90" s="0" t="inlineStr">
        <is>
          <t>3372011007850004</t>
        </is>
      </c>
      <c r="W90" s="0" t="inlineStr">
        <is>
          <t>6471051909160003</t>
        </is>
      </c>
      <c r="X90" s="0" t="inlineStr">
        <is>
          <t>085647323103</t>
        </is>
      </c>
      <c r="Y90" s="0" t="inlineStr">
        <is>
          <t>yohan.waskito@gmail.com</t>
        </is>
      </c>
    </row>
    <row r="91">
      <c r="A91" t="n">
        <v>90</v>
      </c>
      <c r="B91" t="inlineStr">
        <is>
          <t>6471051501200002</t>
        </is>
      </c>
      <c r="C91" t="inlineStr">
        <is>
          <t>Yosefa Pratiwi Winarti</t>
        </is>
      </c>
      <c r="D91" t="inlineStr">
        <is>
          <t>Wanita</t>
        </is>
      </c>
      <c r="E91" s="39" t="n">
        <v>26933</v>
      </c>
      <c r="G91" t="inlineStr">
        <is>
          <t>Katolik</t>
        </is>
      </c>
      <c r="H91" t="inlineStr"/>
      <c r="I91" t="inlineStr"/>
      <c r="K91" t="inlineStr">
        <is>
          <t>Masih Hidup</t>
        </is>
      </c>
      <c r="M91" t="inlineStr">
        <is>
          <t>St. Theresia Balikpapan</t>
        </is>
      </c>
      <c r="N91" t="inlineStr"/>
      <c r="S91" t="inlineStr">
        <is>
          <t>D3</t>
        </is>
      </c>
      <c r="T91" t="inlineStr">
        <is>
          <t>Ibu rumah tangga</t>
        </is>
      </c>
      <c r="U91" t="inlineStr">
        <is>
          <t>A</t>
        </is>
      </c>
      <c r="V91" t="inlineStr">
        <is>
          <t>6471056609730003</t>
        </is>
      </c>
      <c r="W91" t="inlineStr">
        <is>
          <t>6471051501200002</t>
        </is>
      </c>
      <c r="X91" t="inlineStr">
        <is>
          <t>081346450297</t>
        </is>
      </c>
      <c r="Y91" t="inlineStr">
        <is>
          <t>patrisialidya@gmail.com</t>
        </is>
      </c>
    </row>
    <row r="92">
      <c r="A92" t="n">
        <v>91</v>
      </c>
      <c r="B92" t="inlineStr">
        <is>
          <t>6471012904150015</t>
        </is>
      </c>
      <c r="C92" t="inlineStr">
        <is>
          <t>YUSTINUS DANI APRIANTO</t>
        </is>
      </c>
      <c r="D92" t="inlineStr">
        <is>
          <t>Pria</t>
        </is>
      </c>
      <c r="E92" s="39" t="n">
        <v>29316</v>
      </c>
      <c r="G92" t="inlineStr">
        <is>
          <t>Katolik</t>
        </is>
      </c>
      <c r="H92" t="inlineStr"/>
      <c r="I92" t="inlineStr"/>
      <c r="K92" t="inlineStr">
        <is>
          <t>Masih Hidup</t>
        </is>
      </c>
      <c r="M92" t="inlineStr">
        <is>
          <t>Santa Maria tak bercela surabaya</t>
        </is>
      </c>
      <c r="N92" t="inlineStr"/>
      <c r="S92" t="inlineStr">
        <is>
          <t>S1</t>
        </is>
      </c>
      <c r="T92" t="inlineStr">
        <is>
          <t>Pegawai swasta</t>
        </is>
      </c>
      <c r="U92" t="inlineStr">
        <is>
          <t>AB</t>
        </is>
      </c>
      <c r="V92" t="inlineStr">
        <is>
          <t>6471010504800005</t>
        </is>
      </c>
      <c r="W92" t="inlineStr">
        <is>
          <t>6471012904150015</t>
        </is>
      </c>
      <c r="X92" t="inlineStr">
        <is>
          <t>082157819885</t>
        </is>
      </c>
      <c r="Y92" t="inlineStr">
        <is>
          <t>tristankiandra07@gmail.com</t>
        </is>
      </c>
    </row>
    <row r="93">
      <c r="A93" t="n">
        <v>92</v>
      </c>
      <c r="B93" t="inlineStr">
        <is>
          <t>3173081810180031</t>
        </is>
      </c>
      <c r="C93" t="inlineStr">
        <is>
          <t>YVONNE DE WINTER</t>
        </is>
      </c>
      <c r="D93" t="inlineStr">
        <is>
          <t>Wanita</t>
        </is>
      </c>
      <c r="E93" s="39" t="n">
        <v>17735</v>
      </c>
      <c r="G93" t="inlineStr">
        <is>
          <t>Katolik</t>
        </is>
      </c>
      <c r="H93" t="inlineStr"/>
      <c r="I93" t="inlineStr"/>
      <c r="K93" t="inlineStr">
        <is>
          <t>Masih Hidup</t>
        </is>
      </c>
      <c r="M93" t="inlineStr"/>
      <c r="N93" t="inlineStr"/>
      <c r="S93" t="inlineStr">
        <is>
          <t>SLTA/SMA</t>
        </is>
      </c>
      <c r="T93" t="inlineStr">
        <is>
          <t>Wiraswasta</t>
        </is>
      </c>
      <c r="U93" t="inlineStr">
        <is>
          <t>A</t>
        </is>
      </c>
      <c r="V93" t="inlineStr">
        <is>
          <t>6474026107490001</t>
        </is>
      </c>
      <c r="W93" t="inlineStr">
        <is>
          <t>3173081810180031</t>
        </is>
      </c>
      <c r="X93" t="inlineStr"/>
      <c r="Y93" t="inlineStr"/>
    </row>
  </sheetData>
  <autoFilter ref="$A$1:$Z$2001"/>
  <conditionalFormatting sqref="C2:C2001">
    <cfRule type="expression" priority="1" dxfId="5">
      <formula>AND($A2&lt;&gt;"",$C2="")</formula>
    </cfRule>
  </conditionalFormatting>
  <conditionalFormatting sqref="H2:H2001">
    <cfRule type="expression" priority="2" dxfId="5">
      <formula>AND($A2&lt;&gt;"",$H2="")</formula>
    </cfRule>
  </conditionalFormatting>
  <dataValidations count="5">
    <dataValidation sqref="K2:K2001" showDropDown="0" showInputMessage="0" showErrorMessage="0" allowBlank="1" type="list">
      <formula1>LIST!$C$2:$C$5</formula1>
    </dataValidation>
    <dataValidation sqref="B2" showDropDown="0" showInputMessage="0" showErrorMessage="1" allowBlank="1" type="list">
      <formula1>'DATA KK'!$A$2:$A$501</formula1>
    </dataValidation>
    <dataValidation sqref="G2:G2001" showDropDown="0" showInputMessage="0" showErrorMessage="0" allowBlank="1" type="list">
      <formula1>LIST!$B$2:$B$8</formula1>
    </dataValidation>
    <dataValidation sqref="H2" showDropDown="0" showInputMessage="0" showErrorMessage="1" allowBlank="1" type="list">
      <formula1>LIST!$B$11:$B$27</formula1>
    </dataValidation>
    <dataValidation sqref="D2:D2001" showDropDown="0" showInputMessage="0" showErrorMessage="0" allowBlank="1" type="list">
      <formula1>LIST!$A$2:$A$3</formula1>
    </dataValidation>
  </dataValidations>
  <pageMargins left="0.25" right="0.25" top="0.35" bottom="0.35" header="0" footer="0"/>
  <pageSetup orientation="landscape" paperSize="9" fitToHeight="0"/>
  <headerFooter>
    <oddHeader/>
    <oddFooter>&amp;CParoki St. Klement I Sepinggan Balikpapan • Statistik 2026&amp;RHalaman &amp;P dari 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38" min="1" max="1"/>
    <col width="28" customWidth="1" style="38" min="2" max="2"/>
    <col width="22" customWidth="1" style="38" min="3" max="3"/>
    <col width="18" customWidth="1" style="38" min="4" max="4"/>
    <col width="15" customWidth="1" style="38" min="5" max="6"/>
    <col width="17" customWidth="1" style="38" min="7" max="7"/>
    <col width="30" customWidth="1" style="38" min="8" max="8"/>
    <col width="9" customWidth="1" style="38" min="9" max="26"/>
  </cols>
  <sheetData>
    <row r="1" ht="14.25" customHeight="1" s="38">
      <c r="A1" s="7" t="inlineStr">
        <is>
          <t>ID Umat</t>
        </is>
      </c>
      <c r="B1" s="7" t="inlineStr">
        <is>
          <t>Nama</t>
        </is>
      </c>
      <c r="C1" s="7" t="inlineStr">
        <is>
          <t>Lingkungan</t>
        </is>
      </c>
      <c r="D1" s="7" t="inlineStr">
        <is>
          <t>Jenis Kelamin</t>
        </is>
      </c>
      <c r="E1" s="7" t="inlineStr">
        <is>
          <t>Tanggal Lahir</t>
        </is>
      </c>
      <c r="F1" s="7" t="inlineStr">
        <is>
          <t>Tanggal Baptis</t>
        </is>
      </c>
      <c r="G1" s="7" t="inlineStr">
        <is>
          <t>Umur Saat Baptis</t>
        </is>
      </c>
      <c r="H1" s="7" t="inlineStr">
        <is>
          <t>Keterangan</t>
        </is>
      </c>
    </row>
  </sheetData>
  <autoFilter ref="$A$1:$H$1001"/>
  <pageMargins left="0.25" right="0.25" top="0.35" bottom="0.35" header="0" footer="0"/>
  <pageSetup orientation="landscape" paperSize="9" fitToHeight="0"/>
  <headerFooter>
    <oddHeader/>
    <oddFooter>&amp;CParoki St. Klement I Sepinggan Balikpapan • Statistik 2026&amp;RHalaman &amp;P dari 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1001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38" min="1" max="1"/>
    <col width="28" customWidth="1" style="38" min="2" max="2"/>
    <col width="22" customWidth="1" style="38" min="3" max="3"/>
    <col width="15" customWidth="1" style="38" min="4" max="4"/>
    <col width="30" customWidth="1" style="38" min="5" max="5"/>
    <col width="15" customWidth="1" style="38" min="6" max="6"/>
    <col width="30" customWidth="1" style="38" min="7" max="7"/>
    <col width="9" customWidth="1" style="38" min="8" max="26"/>
  </cols>
  <sheetData>
    <row r="1" ht="14.25" customHeight="1" s="38">
      <c r="A1" s="7" t="inlineStr">
        <is>
          <t>ID Umat</t>
        </is>
      </c>
      <c r="B1" s="7" t="inlineStr">
        <is>
          <t>Nama</t>
        </is>
      </c>
      <c r="C1" s="7" t="inlineStr">
        <is>
          <t>Lingkungan</t>
        </is>
      </c>
      <c r="D1" s="7" t="inlineStr">
        <is>
          <t>Tanggal Masuk</t>
        </is>
      </c>
      <c r="E1" s="7" t="inlineStr">
        <is>
          <t>Asal Gereja Kristen</t>
        </is>
      </c>
      <c r="F1" s="7" t="inlineStr">
        <is>
          <t>Tanpa Baptis</t>
        </is>
      </c>
      <c r="G1" s="7" t="inlineStr">
        <is>
          <t>Keterangan</t>
        </is>
      </c>
    </row>
    <row r="2" ht="14.25" customHeight="1" s="38">
      <c r="A2" s="9" t="n"/>
      <c r="B2" s="9" t="n"/>
      <c r="C2" s="9" t="n"/>
      <c r="D2" s="9" t="n"/>
      <c r="E2" s="9" t="n"/>
      <c r="F2" s="9" t="n"/>
      <c r="G2" s="9" t="n"/>
    </row>
    <row r="3" ht="14.25" customHeight="1" s="38">
      <c r="A3" s="9" t="n"/>
      <c r="B3" s="9" t="n"/>
      <c r="C3" s="9" t="n"/>
      <c r="D3" s="9" t="n"/>
      <c r="E3" s="9" t="n"/>
      <c r="F3" s="9" t="n"/>
      <c r="G3" s="9" t="n"/>
    </row>
    <row r="4" ht="14.25" customHeight="1" s="38">
      <c r="A4" s="9" t="n"/>
      <c r="B4" s="9" t="n"/>
      <c r="C4" s="9" t="n"/>
      <c r="D4" s="9" t="n"/>
      <c r="E4" s="9" t="n"/>
      <c r="F4" s="9" t="n"/>
      <c r="G4" s="9" t="n"/>
    </row>
    <row r="5" ht="14.25" customHeight="1" s="38">
      <c r="A5" s="9" t="n"/>
      <c r="B5" s="9" t="n"/>
      <c r="C5" s="9" t="n"/>
      <c r="D5" s="9" t="n"/>
      <c r="E5" s="9" t="n"/>
      <c r="F5" s="9" t="n"/>
      <c r="G5" s="9" t="n"/>
    </row>
    <row r="6" ht="14.25" customHeight="1" s="38">
      <c r="A6" s="9" t="n"/>
      <c r="B6" s="9" t="n"/>
      <c r="C6" s="9" t="n"/>
      <c r="D6" s="9" t="n"/>
      <c r="E6" s="9" t="n"/>
      <c r="F6" s="9" t="n"/>
      <c r="G6" s="9" t="n"/>
    </row>
    <row r="7" ht="14.25" customHeight="1" s="38">
      <c r="A7" s="9" t="n"/>
      <c r="B7" s="9" t="n"/>
      <c r="C7" s="9" t="n"/>
      <c r="D7" s="9" t="n"/>
      <c r="E7" s="9" t="n"/>
      <c r="F7" s="9" t="n"/>
      <c r="G7" s="9" t="n"/>
    </row>
    <row r="8" ht="14.25" customHeight="1" s="38">
      <c r="A8" s="9" t="n"/>
      <c r="B8" s="9" t="n"/>
      <c r="C8" s="9" t="n"/>
      <c r="D8" s="9" t="n"/>
      <c r="E8" s="9" t="n"/>
      <c r="F8" s="9" t="n"/>
      <c r="G8" s="9" t="n"/>
    </row>
    <row r="9" ht="14.25" customHeight="1" s="38">
      <c r="A9" s="9" t="n"/>
      <c r="B9" s="9" t="n"/>
      <c r="C9" s="9" t="n"/>
      <c r="D9" s="9" t="n"/>
      <c r="E9" s="9" t="n"/>
      <c r="F9" s="9" t="n"/>
      <c r="G9" s="9" t="n"/>
    </row>
    <row r="10" ht="14.25" customHeight="1" s="38">
      <c r="A10" s="9" t="n"/>
      <c r="B10" s="9" t="n"/>
      <c r="C10" s="9" t="n"/>
      <c r="D10" s="9" t="n"/>
      <c r="E10" s="9" t="n"/>
      <c r="F10" s="9" t="n"/>
      <c r="G10" s="9" t="n"/>
    </row>
    <row r="11" ht="14.25" customHeight="1" s="38">
      <c r="A11" s="9" t="n"/>
      <c r="B11" s="9" t="n"/>
      <c r="C11" s="9" t="n"/>
      <c r="D11" s="9" t="n"/>
      <c r="E11" s="9" t="n"/>
      <c r="F11" s="9" t="n"/>
      <c r="G11" s="9" t="n"/>
    </row>
    <row r="12" ht="14.25" customHeight="1" s="38">
      <c r="A12" s="9" t="n"/>
      <c r="B12" s="9" t="n"/>
      <c r="C12" s="9" t="n"/>
      <c r="D12" s="9" t="n"/>
      <c r="E12" s="9" t="n"/>
      <c r="F12" s="9" t="n"/>
      <c r="G12" s="9" t="n"/>
    </row>
    <row r="13" ht="14.25" customHeight="1" s="38">
      <c r="A13" s="9" t="n"/>
      <c r="B13" s="9" t="n"/>
      <c r="C13" s="9" t="n"/>
      <c r="D13" s="9" t="n"/>
      <c r="E13" s="9" t="n"/>
      <c r="F13" s="9" t="n"/>
      <c r="G13" s="9" t="n"/>
    </row>
    <row r="14" ht="14.25" customHeight="1" s="38">
      <c r="A14" s="9" t="n"/>
      <c r="B14" s="9" t="n"/>
      <c r="C14" s="9" t="n"/>
      <c r="D14" s="9" t="n"/>
      <c r="E14" s="9" t="n"/>
      <c r="F14" s="9" t="n"/>
      <c r="G14" s="9" t="n"/>
    </row>
    <row r="15" ht="14.25" customHeight="1" s="38">
      <c r="A15" s="9" t="n"/>
      <c r="B15" s="9" t="n"/>
      <c r="C15" s="9" t="n"/>
      <c r="D15" s="9" t="n"/>
      <c r="E15" s="9" t="n"/>
      <c r="F15" s="9" t="n"/>
      <c r="G15" s="9" t="n"/>
    </row>
    <row r="16" ht="14.25" customHeight="1" s="38">
      <c r="A16" s="9" t="n"/>
      <c r="B16" s="9" t="n"/>
      <c r="C16" s="9" t="n"/>
      <c r="D16" s="9" t="n"/>
      <c r="E16" s="9" t="n"/>
      <c r="F16" s="9" t="n"/>
      <c r="G16" s="9" t="n"/>
    </row>
    <row r="17" ht="14.25" customHeight="1" s="38">
      <c r="A17" s="9" t="n"/>
      <c r="B17" s="9" t="n"/>
      <c r="C17" s="9" t="n"/>
      <c r="D17" s="9" t="n"/>
      <c r="E17" s="9" t="n"/>
      <c r="F17" s="9" t="n"/>
      <c r="G17" s="9" t="n"/>
    </row>
    <row r="18" ht="14.25" customHeight="1" s="38">
      <c r="A18" s="9" t="n"/>
      <c r="B18" s="9" t="n"/>
      <c r="C18" s="9" t="n"/>
      <c r="D18" s="9" t="n"/>
      <c r="E18" s="9" t="n"/>
      <c r="F18" s="9" t="n"/>
      <c r="G18" s="9" t="n"/>
    </row>
    <row r="19" ht="14.25" customHeight="1" s="38">
      <c r="A19" s="9" t="n"/>
      <c r="B19" s="9" t="n"/>
      <c r="C19" s="9" t="n"/>
      <c r="D19" s="9" t="n"/>
      <c r="E19" s="9" t="n"/>
      <c r="F19" s="9" t="n"/>
      <c r="G19" s="9" t="n"/>
    </row>
    <row r="20" ht="14.25" customHeight="1" s="38">
      <c r="A20" s="9" t="n"/>
      <c r="B20" s="9" t="n"/>
      <c r="C20" s="9" t="n"/>
      <c r="D20" s="9" t="n"/>
      <c r="E20" s="9" t="n"/>
      <c r="F20" s="9" t="n"/>
      <c r="G20" s="9" t="n"/>
    </row>
    <row r="21" ht="14.25" customHeight="1" s="38">
      <c r="A21" s="9" t="n"/>
      <c r="B21" s="9" t="n"/>
      <c r="C21" s="9" t="n"/>
      <c r="D21" s="9" t="n"/>
      <c r="E21" s="9" t="n"/>
      <c r="F21" s="9" t="n"/>
      <c r="G21" s="9" t="n"/>
    </row>
    <row r="22" ht="14.25" customHeight="1" s="38">
      <c r="A22" s="9" t="n"/>
      <c r="B22" s="9" t="n"/>
      <c r="C22" s="9" t="n"/>
      <c r="D22" s="9" t="n"/>
      <c r="E22" s="9" t="n"/>
      <c r="F22" s="9" t="n"/>
      <c r="G22" s="9" t="n"/>
    </row>
    <row r="23" ht="14.25" customHeight="1" s="38">
      <c r="A23" s="9" t="n"/>
      <c r="B23" s="9" t="n"/>
      <c r="C23" s="9" t="n"/>
      <c r="D23" s="9" t="n"/>
      <c r="E23" s="9" t="n"/>
      <c r="F23" s="9" t="n"/>
      <c r="G23" s="9" t="n"/>
    </row>
    <row r="24" ht="14.25" customHeight="1" s="38">
      <c r="A24" s="9" t="n"/>
      <c r="B24" s="9" t="n"/>
      <c r="C24" s="9" t="n"/>
      <c r="D24" s="9" t="n"/>
      <c r="E24" s="9" t="n"/>
      <c r="F24" s="9" t="n"/>
      <c r="G24" s="9" t="n"/>
    </row>
    <row r="25" ht="14.25" customHeight="1" s="38">
      <c r="A25" s="9" t="n"/>
      <c r="B25" s="9" t="n"/>
      <c r="C25" s="9" t="n"/>
      <c r="D25" s="9" t="n"/>
      <c r="E25" s="9" t="n"/>
      <c r="F25" s="9" t="n"/>
      <c r="G25" s="9" t="n"/>
    </row>
    <row r="26" ht="14.25" customHeight="1" s="38">
      <c r="A26" s="9" t="n"/>
      <c r="B26" s="9" t="n"/>
      <c r="C26" s="9" t="n"/>
      <c r="D26" s="9" t="n"/>
      <c r="E26" s="9" t="n"/>
      <c r="F26" s="9" t="n"/>
      <c r="G26" s="9" t="n"/>
    </row>
    <row r="27" ht="14.25" customHeight="1" s="38">
      <c r="A27" s="9" t="n"/>
      <c r="B27" s="9" t="n"/>
      <c r="C27" s="9" t="n"/>
      <c r="D27" s="9" t="n"/>
      <c r="E27" s="9" t="n"/>
      <c r="F27" s="9" t="n"/>
      <c r="G27" s="9" t="n"/>
    </row>
    <row r="28" ht="14.25" customHeight="1" s="38">
      <c r="A28" s="9" t="n"/>
      <c r="B28" s="9" t="n"/>
      <c r="C28" s="9" t="n"/>
      <c r="D28" s="9" t="n"/>
      <c r="E28" s="9" t="n"/>
      <c r="F28" s="9" t="n"/>
      <c r="G28" s="9" t="n"/>
    </row>
    <row r="29" ht="14.25" customHeight="1" s="38">
      <c r="A29" s="9" t="n"/>
      <c r="B29" s="9" t="n"/>
      <c r="C29" s="9" t="n"/>
      <c r="D29" s="9" t="n"/>
      <c r="E29" s="9" t="n"/>
      <c r="F29" s="9" t="n"/>
      <c r="G29" s="9" t="n"/>
    </row>
    <row r="30" ht="14.25" customHeight="1" s="38">
      <c r="A30" s="9" t="n"/>
      <c r="B30" s="9" t="n"/>
      <c r="C30" s="9" t="n"/>
      <c r="D30" s="9" t="n"/>
      <c r="E30" s="9" t="n"/>
      <c r="F30" s="9" t="n"/>
      <c r="G30" s="9" t="n"/>
    </row>
    <row r="31" ht="14.25" customHeight="1" s="38">
      <c r="A31" s="9" t="n"/>
      <c r="B31" s="9" t="n"/>
      <c r="C31" s="9" t="n"/>
      <c r="D31" s="9" t="n"/>
      <c r="E31" s="9" t="n"/>
      <c r="F31" s="9" t="n"/>
      <c r="G31" s="9" t="n"/>
    </row>
    <row r="32" ht="14.25" customHeight="1" s="38">
      <c r="A32" s="9" t="n"/>
      <c r="B32" s="9" t="n"/>
      <c r="C32" s="9" t="n"/>
      <c r="D32" s="9" t="n"/>
      <c r="E32" s="9" t="n"/>
      <c r="F32" s="9" t="n"/>
      <c r="G32" s="9" t="n"/>
    </row>
    <row r="33" ht="14.25" customHeight="1" s="38">
      <c r="A33" s="9" t="n"/>
      <c r="B33" s="9" t="n"/>
      <c r="C33" s="9" t="n"/>
      <c r="D33" s="9" t="n"/>
      <c r="E33" s="9" t="n"/>
      <c r="F33" s="9" t="n"/>
      <c r="G33" s="9" t="n"/>
    </row>
    <row r="34" ht="14.25" customHeight="1" s="38">
      <c r="A34" s="9" t="n"/>
      <c r="B34" s="9" t="n"/>
      <c r="C34" s="9" t="n"/>
      <c r="D34" s="9" t="n"/>
      <c r="E34" s="9" t="n"/>
      <c r="F34" s="9" t="n"/>
      <c r="G34" s="9" t="n"/>
    </row>
    <row r="35" ht="14.25" customHeight="1" s="38">
      <c r="A35" s="9" t="n"/>
      <c r="B35" s="9" t="n"/>
      <c r="C35" s="9" t="n"/>
      <c r="D35" s="9" t="n"/>
      <c r="E35" s="9" t="n"/>
      <c r="F35" s="9" t="n"/>
      <c r="G35" s="9" t="n"/>
    </row>
    <row r="36" ht="14.25" customHeight="1" s="38">
      <c r="A36" s="9" t="n"/>
      <c r="B36" s="9" t="n"/>
      <c r="C36" s="9" t="n"/>
      <c r="D36" s="9" t="n"/>
      <c r="E36" s="9" t="n"/>
      <c r="F36" s="9" t="n"/>
      <c r="G36" s="9" t="n"/>
    </row>
    <row r="37" ht="14.25" customHeight="1" s="38">
      <c r="A37" s="9" t="n"/>
      <c r="B37" s="9" t="n"/>
      <c r="C37" s="9" t="n"/>
      <c r="D37" s="9" t="n"/>
      <c r="E37" s="9" t="n"/>
      <c r="F37" s="9" t="n"/>
      <c r="G37" s="9" t="n"/>
    </row>
    <row r="38" ht="14.25" customHeight="1" s="38">
      <c r="A38" s="9" t="n"/>
      <c r="B38" s="9" t="n"/>
      <c r="C38" s="9" t="n"/>
      <c r="D38" s="9" t="n"/>
      <c r="E38" s="9" t="n"/>
      <c r="F38" s="9" t="n"/>
      <c r="G38" s="9" t="n"/>
    </row>
    <row r="39" ht="14.25" customHeight="1" s="38">
      <c r="A39" s="9" t="n"/>
      <c r="B39" s="9" t="n"/>
      <c r="C39" s="9" t="n"/>
      <c r="D39" s="9" t="n"/>
      <c r="E39" s="9" t="n"/>
      <c r="F39" s="9" t="n"/>
      <c r="G39" s="9" t="n"/>
    </row>
    <row r="40" ht="14.25" customHeight="1" s="38">
      <c r="A40" s="9" t="n"/>
      <c r="B40" s="9" t="n"/>
      <c r="C40" s="9" t="n"/>
      <c r="D40" s="9" t="n"/>
      <c r="E40" s="9" t="n"/>
      <c r="F40" s="9" t="n"/>
      <c r="G40" s="9" t="n"/>
    </row>
    <row r="41" ht="14.25" customHeight="1" s="38">
      <c r="A41" s="9" t="n"/>
      <c r="B41" s="9" t="n"/>
      <c r="C41" s="9" t="n"/>
      <c r="D41" s="9" t="n"/>
      <c r="E41" s="9" t="n"/>
      <c r="F41" s="9" t="n"/>
      <c r="G41" s="9" t="n"/>
    </row>
    <row r="42" ht="14.25" customHeight="1" s="38">
      <c r="A42" s="9" t="n"/>
      <c r="B42" s="9" t="n"/>
      <c r="C42" s="9" t="n"/>
      <c r="D42" s="9" t="n"/>
      <c r="E42" s="9" t="n"/>
      <c r="F42" s="9" t="n"/>
      <c r="G42" s="9" t="n"/>
    </row>
    <row r="43" ht="14.25" customHeight="1" s="38">
      <c r="A43" s="9" t="n"/>
      <c r="B43" s="9" t="n"/>
      <c r="C43" s="9" t="n"/>
      <c r="D43" s="9" t="n"/>
      <c r="E43" s="9" t="n"/>
      <c r="F43" s="9" t="n"/>
      <c r="G43" s="9" t="n"/>
    </row>
    <row r="44" ht="14.25" customHeight="1" s="38">
      <c r="A44" s="9" t="n"/>
      <c r="B44" s="9" t="n"/>
      <c r="C44" s="9" t="n"/>
      <c r="D44" s="9" t="n"/>
      <c r="E44" s="9" t="n"/>
      <c r="F44" s="9" t="n"/>
      <c r="G44" s="9" t="n"/>
    </row>
    <row r="45" ht="14.25" customHeight="1" s="38">
      <c r="A45" s="9" t="n"/>
      <c r="B45" s="9" t="n"/>
      <c r="C45" s="9" t="n"/>
      <c r="D45" s="9" t="n"/>
      <c r="E45" s="9" t="n"/>
      <c r="F45" s="9" t="n"/>
      <c r="G45" s="9" t="n"/>
    </row>
    <row r="46" ht="14.25" customHeight="1" s="38">
      <c r="A46" s="9" t="n"/>
      <c r="B46" s="9" t="n"/>
      <c r="C46" s="9" t="n"/>
      <c r="D46" s="9" t="n"/>
      <c r="E46" s="9" t="n"/>
      <c r="F46" s="9" t="n"/>
      <c r="G46" s="9" t="n"/>
    </row>
    <row r="47" ht="14.25" customHeight="1" s="38">
      <c r="A47" s="9" t="n"/>
      <c r="B47" s="9" t="n"/>
      <c r="C47" s="9" t="n"/>
      <c r="D47" s="9" t="n"/>
      <c r="E47" s="9" t="n"/>
      <c r="F47" s="9" t="n"/>
      <c r="G47" s="9" t="n"/>
    </row>
    <row r="48" ht="14.25" customHeight="1" s="38">
      <c r="A48" s="9" t="n"/>
      <c r="B48" s="9" t="n"/>
      <c r="C48" s="9" t="n"/>
      <c r="D48" s="9" t="n"/>
      <c r="E48" s="9" t="n"/>
      <c r="F48" s="9" t="n"/>
      <c r="G48" s="9" t="n"/>
    </row>
    <row r="49" ht="14.25" customHeight="1" s="38">
      <c r="A49" s="9" t="n"/>
      <c r="B49" s="9" t="n"/>
      <c r="C49" s="9" t="n"/>
      <c r="D49" s="9" t="n"/>
      <c r="E49" s="9" t="n"/>
      <c r="F49" s="9" t="n"/>
      <c r="G49" s="9" t="n"/>
    </row>
    <row r="50" ht="14.25" customHeight="1" s="38">
      <c r="A50" s="9" t="n"/>
      <c r="B50" s="9" t="n"/>
      <c r="C50" s="9" t="n"/>
      <c r="D50" s="9" t="n"/>
      <c r="E50" s="9" t="n"/>
      <c r="F50" s="9" t="n"/>
      <c r="G50" s="9" t="n"/>
    </row>
    <row r="51" ht="14.25" customHeight="1" s="38">
      <c r="A51" s="9" t="n"/>
      <c r="B51" s="9" t="n"/>
      <c r="C51" s="9" t="n"/>
      <c r="D51" s="9" t="n"/>
      <c r="E51" s="9" t="n"/>
      <c r="F51" s="9" t="n"/>
      <c r="G51" s="9" t="n"/>
    </row>
    <row r="52" ht="14.25" customHeight="1" s="38">
      <c r="A52" s="9" t="n"/>
      <c r="B52" s="9" t="n"/>
      <c r="C52" s="9" t="n"/>
      <c r="D52" s="9" t="n"/>
      <c r="E52" s="9" t="n"/>
      <c r="F52" s="9" t="n"/>
      <c r="G52" s="9" t="n"/>
    </row>
    <row r="53" ht="14.25" customHeight="1" s="38">
      <c r="A53" s="9" t="n"/>
      <c r="B53" s="9" t="n"/>
      <c r="C53" s="9" t="n"/>
      <c r="D53" s="9" t="n"/>
      <c r="E53" s="9" t="n"/>
      <c r="F53" s="9" t="n"/>
      <c r="G53" s="9" t="n"/>
    </row>
    <row r="54" ht="14.25" customHeight="1" s="38">
      <c r="A54" s="9" t="n"/>
      <c r="B54" s="9" t="n"/>
      <c r="C54" s="9" t="n"/>
      <c r="D54" s="9" t="n"/>
      <c r="E54" s="9" t="n"/>
      <c r="F54" s="9" t="n"/>
      <c r="G54" s="9" t="n"/>
    </row>
    <row r="55" ht="14.25" customHeight="1" s="38">
      <c r="A55" s="9" t="n"/>
      <c r="B55" s="9" t="n"/>
      <c r="C55" s="9" t="n"/>
      <c r="D55" s="9" t="n"/>
      <c r="E55" s="9" t="n"/>
      <c r="F55" s="9" t="n"/>
      <c r="G55" s="9" t="n"/>
    </row>
    <row r="56" ht="14.25" customHeight="1" s="38">
      <c r="A56" s="9" t="n"/>
      <c r="B56" s="9" t="n"/>
      <c r="C56" s="9" t="n"/>
      <c r="D56" s="9" t="n"/>
      <c r="E56" s="9" t="n"/>
      <c r="F56" s="9" t="n"/>
      <c r="G56" s="9" t="n"/>
    </row>
    <row r="57" ht="14.25" customHeight="1" s="38">
      <c r="A57" s="9" t="n"/>
      <c r="B57" s="9" t="n"/>
      <c r="C57" s="9" t="n"/>
      <c r="D57" s="9" t="n"/>
      <c r="E57" s="9" t="n"/>
      <c r="F57" s="9" t="n"/>
      <c r="G57" s="9" t="n"/>
    </row>
    <row r="58" ht="14.25" customHeight="1" s="38">
      <c r="A58" s="9" t="n"/>
      <c r="B58" s="9" t="n"/>
      <c r="C58" s="9" t="n"/>
      <c r="D58" s="9" t="n"/>
      <c r="E58" s="9" t="n"/>
      <c r="F58" s="9" t="n"/>
      <c r="G58" s="9" t="n"/>
    </row>
    <row r="59" ht="14.25" customHeight="1" s="38">
      <c r="A59" s="9" t="n"/>
      <c r="B59" s="9" t="n"/>
      <c r="C59" s="9" t="n"/>
      <c r="D59" s="9" t="n"/>
      <c r="E59" s="9" t="n"/>
      <c r="F59" s="9" t="n"/>
      <c r="G59" s="9" t="n"/>
    </row>
    <row r="60" ht="14.25" customHeight="1" s="38">
      <c r="A60" s="9" t="n"/>
      <c r="B60" s="9" t="n"/>
      <c r="C60" s="9" t="n"/>
      <c r="D60" s="9" t="n"/>
      <c r="E60" s="9" t="n"/>
      <c r="F60" s="9" t="n"/>
      <c r="G60" s="9" t="n"/>
    </row>
    <row r="61" ht="14.25" customHeight="1" s="38">
      <c r="A61" s="9" t="n"/>
      <c r="B61" s="9" t="n"/>
      <c r="C61" s="9" t="n"/>
      <c r="D61" s="9" t="n"/>
      <c r="E61" s="9" t="n"/>
      <c r="F61" s="9" t="n"/>
      <c r="G61" s="9" t="n"/>
    </row>
    <row r="62" ht="14.25" customHeight="1" s="38">
      <c r="A62" s="9" t="n"/>
      <c r="B62" s="9" t="n"/>
      <c r="C62" s="9" t="n"/>
      <c r="D62" s="9" t="n"/>
      <c r="E62" s="9" t="n"/>
      <c r="F62" s="9" t="n"/>
      <c r="G62" s="9" t="n"/>
    </row>
    <row r="63" ht="14.25" customHeight="1" s="38">
      <c r="A63" s="9" t="n"/>
      <c r="B63" s="9" t="n"/>
      <c r="C63" s="9" t="n"/>
      <c r="D63" s="9" t="n"/>
      <c r="E63" s="9" t="n"/>
      <c r="F63" s="9" t="n"/>
      <c r="G63" s="9" t="n"/>
    </row>
    <row r="64" ht="14.25" customHeight="1" s="38">
      <c r="A64" s="9" t="n"/>
      <c r="B64" s="9" t="n"/>
      <c r="C64" s="9" t="n"/>
      <c r="D64" s="9" t="n"/>
      <c r="E64" s="9" t="n"/>
      <c r="F64" s="9" t="n"/>
      <c r="G64" s="9" t="n"/>
    </row>
    <row r="65" ht="14.25" customHeight="1" s="38">
      <c r="A65" s="9" t="n"/>
      <c r="B65" s="9" t="n"/>
      <c r="C65" s="9" t="n"/>
      <c r="D65" s="9" t="n"/>
      <c r="E65" s="9" t="n"/>
      <c r="F65" s="9" t="n"/>
      <c r="G65" s="9" t="n"/>
    </row>
    <row r="66" ht="14.25" customHeight="1" s="38">
      <c r="A66" s="9" t="n"/>
      <c r="B66" s="9" t="n"/>
      <c r="C66" s="9" t="n"/>
      <c r="D66" s="9" t="n"/>
      <c r="E66" s="9" t="n"/>
      <c r="F66" s="9" t="n"/>
      <c r="G66" s="9" t="n"/>
    </row>
    <row r="67" ht="14.25" customHeight="1" s="38">
      <c r="A67" s="9" t="n"/>
      <c r="B67" s="9" t="n"/>
      <c r="C67" s="9" t="n"/>
      <c r="D67" s="9" t="n"/>
      <c r="E67" s="9" t="n"/>
      <c r="F67" s="9" t="n"/>
      <c r="G67" s="9" t="n"/>
    </row>
    <row r="68" ht="14.25" customHeight="1" s="38">
      <c r="A68" s="9" t="n"/>
      <c r="B68" s="9" t="n"/>
      <c r="C68" s="9" t="n"/>
      <c r="D68" s="9" t="n"/>
      <c r="E68" s="9" t="n"/>
      <c r="F68" s="9" t="n"/>
      <c r="G68" s="9" t="n"/>
    </row>
    <row r="69" ht="14.25" customHeight="1" s="38">
      <c r="A69" s="9" t="n"/>
      <c r="B69" s="9" t="n"/>
      <c r="C69" s="9" t="n"/>
      <c r="D69" s="9" t="n"/>
      <c r="E69" s="9" t="n"/>
      <c r="F69" s="9" t="n"/>
      <c r="G69" s="9" t="n"/>
    </row>
    <row r="70" ht="14.25" customHeight="1" s="38">
      <c r="A70" s="9" t="n"/>
      <c r="B70" s="9" t="n"/>
      <c r="C70" s="9" t="n"/>
      <c r="D70" s="9" t="n"/>
      <c r="E70" s="9" t="n"/>
      <c r="F70" s="9" t="n"/>
      <c r="G70" s="9" t="n"/>
    </row>
    <row r="71" ht="14.25" customHeight="1" s="38">
      <c r="A71" s="9" t="n"/>
      <c r="B71" s="9" t="n"/>
      <c r="C71" s="9" t="n"/>
      <c r="D71" s="9" t="n"/>
      <c r="E71" s="9" t="n"/>
      <c r="F71" s="9" t="n"/>
      <c r="G71" s="9" t="n"/>
    </row>
    <row r="72" ht="14.25" customHeight="1" s="38">
      <c r="A72" s="9" t="n"/>
      <c r="B72" s="9" t="n"/>
      <c r="C72" s="9" t="n"/>
      <c r="D72" s="9" t="n"/>
      <c r="E72" s="9" t="n"/>
      <c r="F72" s="9" t="n"/>
      <c r="G72" s="9" t="n"/>
    </row>
    <row r="73" ht="14.25" customHeight="1" s="38">
      <c r="A73" s="9" t="n"/>
      <c r="B73" s="9" t="n"/>
      <c r="C73" s="9" t="n"/>
      <c r="D73" s="9" t="n"/>
      <c r="E73" s="9" t="n"/>
      <c r="F73" s="9" t="n"/>
      <c r="G73" s="9" t="n"/>
    </row>
    <row r="74" ht="14.25" customHeight="1" s="38">
      <c r="A74" s="9" t="n"/>
      <c r="B74" s="9" t="n"/>
      <c r="C74" s="9" t="n"/>
      <c r="D74" s="9" t="n"/>
      <c r="E74" s="9" t="n"/>
      <c r="F74" s="9" t="n"/>
      <c r="G74" s="9" t="n"/>
    </row>
    <row r="75" ht="14.25" customHeight="1" s="38">
      <c r="A75" s="9" t="n"/>
      <c r="B75" s="9" t="n"/>
      <c r="C75" s="9" t="n"/>
      <c r="D75" s="9" t="n"/>
      <c r="E75" s="9" t="n"/>
      <c r="F75" s="9" t="n"/>
      <c r="G75" s="9" t="n"/>
    </row>
    <row r="76" ht="14.25" customHeight="1" s="38">
      <c r="A76" s="9" t="n"/>
      <c r="B76" s="9" t="n"/>
      <c r="C76" s="9" t="n"/>
      <c r="D76" s="9" t="n"/>
      <c r="E76" s="9" t="n"/>
      <c r="F76" s="9" t="n"/>
      <c r="G76" s="9" t="n"/>
    </row>
    <row r="77" ht="14.25" customHeight="1" s="38">
      <c r="A77" s="9" t="n"/>
      <c r="B77" s="9" t="n"/>
      <c r="C77" s="9" t="n"/>
      <c r="D77" s="9" t="n"/>
      <c r="E77" s="9" t="n"/>
      <c r="F77" s="9" t="n"/>
      <c r="G77" s="9" t="n"/>
    </row>
    <row r="78" ht="14.25" customHeight="1" s="38">
      <c r="A78" s="9" t="n"/>
      <c r="B78" s="9" t="n"/>
      <c r="C78" s="9" t="n"/>
      <c r="D78" s="9" t="n"/>
      <c r="E78" s="9" t="n"/>
      <c r="F78" s="9" t="n"/>
      <c r="G78" s="9" t="n"/>
    </row>
    <row r="79" ht="14.25" customHeight="1" s="38">
      <c r="A79" s="9" t="n"/>
      <c r="B79" s="9" t="n"/>
      <c r="C79" s="9" t="n"/>
      <c r="D79" s="9" t="n"/>
      <c r="E79" s="9" t="n"/>
      <c r="F79" s="9" t="n"/>
      <c r="G79" s="9" t="n"/>
    </row>
    <row r="80" ht="14.25" customHeight="1" s="38">
      <c r="A80" s="9" t="n"/>
      <c r="B80" s="9" t="n"/>
      <c r="C80" s="9" t="n"/>
      <c r="D80" s="9" t="n"/>
      <c r="E80" s="9" t="n"/>
      <c r="F80" s="9" t="n"/>
      <c r="G80" s="9" t="n"/>
    </row>
    <row r="81" ht="14.25" customHeight="1" s="38">
      <c r="A81" s="9" t="n"/>
      <c r="B81" s="9" t="n"/>
      <c r="C81" s="9" t="n"/>
      <c r="D81" s="9" t="n"/>
      <c r="E81" s="9" t="n"/>
      <c r="F81" s="9" t="n"/>
      <c r="G81" s="9" t="n"/>
    </row>
    <row r="82" ht="14.25" customHeight="1" s="38">
      <c r="A82" s="9" t="n"/>
      <c r="B82" s="9" t="n"/>
      <c r="C82" s="9" t="n"/>
      <c r="D82" s="9" t="n"/>
      <c r="E82" s="9" t="n"/>
      <c r="F82" s="9" t="n"/>
      <c r="G82" s="9" t="n"/>
    </row>
    <row r="83" ht="14.25" customHeight="1" s="38">
      <c r="A83" s="9" t="n"/>
      <c r="B83" s="9" t="n"/>
      <c r="C83" s="9" t="n"/>
      <c r="D83" s="9" t="n"/>
      <c r="E83" s="9" t="n"/>
      <c r="F83" s="9" t="n"/>
      <c r="G83" s="9" t="n"/>
    </row>
    <row r="84" ht="14.25" customHeight="1" s="38">
      <c r="A84" s="9" t="n"/>
      <c r="B84" s="9" t="n"/>
      <c r="C84" s="9" t="n"/>
      <c r="D84" s="9" t="n"/>
      <c r="E84" s="9" t="n"/>
      <c r="F84" s="9" t="n"/>
      <c r="G84" s="9" t="n"/>
    </row>
    <row r="85" ht="14.25" customHeight="1" s="38">
      <c r="A85" s="9" t="n"/>
      <c r="B85" s="9" t="n"/>
      <c r="C85" s="9" t="n"/>
      <c r="D85" s="9" t="n"/>
      <c r="E85" s="9" t="n"/>
      <c r="F85" s="9" t="n"/>
      <c r="G85" s="9" t="n"/>
    </row>
    <row r="86" ht="14.25" customHeight="1" s="38">
      <c r="A86" s="9" t="n"/>
      <c r="B86" s="9" t="n"/>
      <c r="C86" s="9" t="n"/>
      <c r="D86" s="9" t="n"/>
      <c r="E86" s="9" t="n"/>
      <c r="F86" s="9" t="n"/>
      <c r="G86" s="9" t="n"/>
    </row>
    <row r="87" ht="14.25" customHeight="1" s="38">
      <c r="A87" s="9" t="n"/>
      <c r="B87" s="9" t="n"/>
      <c r="C87" s="9" t="n"/>
      <c r="D87" s="9" t="n"/>
      <c r="E87" s="9" t="n"/>
      <c r="F87" s="9" t="n"/>
      <c r="G87" s="9" t="n"/>
    </row>
    <row r="88" ht="14.25" customHeight="1" s="38">
      <c r="A88" s="9" t="n"/>
      <c r="B88" s="9" t="n"/>
      <c r="C88" s="9" t="n"/>
      <c r="D88" s="9" t="n"/>
      <c r="E88" s="9" t="n"/>
      <c r="F88" s="9" t="n"/>
      <c r="G88" s="9" t="n"/>
    </row>
    <row r="89" ht="14.25" customHeight="1" s="38">
      <c r="A89" s="9" t="n"/>
      <c r="B89" s="9" t="n"/>
      <c r="C89" s="9" t="n"/>
      <c r="D89" s="9" t="n"/>
      <c r="E89" s="9" t="n"/>
      <c r="F89" s="9" t="n"/>
      <c r="G89" s="9" t="n"/>
    </row>
    <row r="90" ht="14.25" customHeight="1" s="38">
      <c r="A90" s="9" t="n"/>
      <c r="B90" s="9" t="n"/>
      <c r="C90" s="9" t="n"/>
      <c r="D90" s="9" t="n"/>
      <c r="E90" s="9" t="n"/>
      <c r="F90" s="9" t="n"/>
      <c r="G90" s="9" t="n"/>
    </row>
    <row r="91" ht="14.25" customHeight="1" s="38">
      <c r="A91" s="9" t="n"/>
      <c r="B91" s="9" t="n"/>
      <c r="C91" s="9" t="n"/>
      <c r="D91" s="9" t="n"/>
      <c r="E91" s="9" t="n"/>
      <c r="F91" s="9" t="n"/>
      <c r="G91" s="9" t="n"/>
    </row>
    <row r="92" ht="14.25" customHeight="1" s="38">
      <c r="A92" s="9" t="n"/>
      <c r="B92" s="9" t="n"/>
      <c r="C92" s="9" t="n"/>
      <c r="D92" s="9" t="n"/>
      <c r="E92" s="9" t="n"/>
      <c r="F92" s="9" t="n"/>
      <c r="G92" s="9" t="n"/>
    </row>
    <row r="93" ht="14.25" customHeight="1" s="38">
      <c r="A93" s="9" t="n"/>
      <c r="B93" s="9" t="n"/>
      <c r="C93" s="9" t="n"/>
      <c r="D93" s="9" t="n"/>
      <c r="E93" s="9" t="n"/>
      <c r="F93" s="9" t="n"/>
      <c r="G93" s="9" t="n"/>
    </row>
    <row r="94" ht="14.25" customHeight="1" s="38">
      <c r="A94" s="9" t="n"/>
      <c r="B94" s="9" t="n"/>
      <c r="C94" s="9" t="n"/>
      <c r="D94" s="9" t="n"/>
      <c r="E94" s="9" t="n"/>
      <c r="F94" s="9" t="n"/>
      <c r="G94" s="9" t="n"/>
    </row>
    <row r="95" ht="14.25" customHeight="1" s="38">
      <c r="A95" s="9" t="n"/>
      <c r="B95" s="9" t="n"/>
      <c r="C95" s="9" t="n"/>
      <c r="D95" s="9" t="n"/>
      <c r="E95" s="9" t="n"/>
      <c r="F95" s="9" t="n"/>
      <c r="G95" s="9" t="n"/>
    </row>
    <row r="96" ht="14.25" customHeight="1" s="38">
      <c r="A96" s="9" t="n"/>
      <c r="B96" s="9" t="n"/>
      <c r="C96" s="9" t="n"/>
      <c r="D96" s="9" t="n"/>
      <c r="E96" s="9" t="n"/>
      <c r="F96" s="9" t="n"/>
      <c r="G96" s="9" t="n"/>
    </row>
    <row r="97" ht="14.25" customHeight="1" s="38">
      <c r="A97" s="9" t="n"/>
      <c r="B97" s="9" t="n"/>
      <c r="C97" s="9" t="n"/>
      <c r="D97" s="9" t="n"/>
      <c r="E97" s="9" t="n"/>
      <c r="F97" s="9" t="n"/>
      <c r="G97" s="9" t="n"/>
    </row>
    <row r="98" ht="14.25" customHeight="1" s="38">
      <c r="A98" s="9" t="n"/>
      <c r="B98" s="9" t="n"/>
      <c r="C98" s="9" t="n"/>
      <c r="D98" s="9" t="n"/>
      <c r="E98" s="9" t="n"/>
      <c r="F98" s="9" t="n"/>
      <c r="G98" s="9" t="n"/>
    </row>
    <row r="99" ht="14.25" customHeight="1" s="38">
      <c r="A99" s="9" t="n"/>
      <c r="B99" s="9" t="n"/>
      <c r="C99" s="9" t="n"/>
      <c r="D99" s="9" t="n"/>
      <c r="E99" s="9" t="n"/>
      <c r="F99" s="9" t="n"/>
      <c r="G99" s="9" t="n"/>
    </row>
    <row r="100" ht="14.25" customHeight="1" s="38">
      <c r="A100" s="9" t="n"/>
      <c r="B100" s="9" t="n"/>
      <c r="C100" s="9" t="n"/>
      <c r="D100" s="9" t="n"/>
      <c r="E100" s="9" t="n"/>
      <c r="F100" s="9" t="n"/>
      <c r="G100" s="9" t="n"/>
    </row>
    <row r="101" ht="14.25" customHeight="1" s="38">
      <c r="A101" s="9" t="n"/>
      <c r="B101" s="9" t="n"/>
      <c r="C101" s="9" t="n"/>
      <c r="D101" s="9" t="n"/>
      <c r="E101" s="9" t="n"/>
      <c r="F101" s="9" t="n"/>
      <c r="G101" s="9" t="n"/>
    </row>
    <row r="102" ht="14.25" customHeight="1" s="38">
      <c r="A102" s="9" t="n"/>
      <c r="B102" s="9" t="n"/>
      <c r="C102" s="9" t="n"/>
      <c r="D102" s="9" t="n"/>
      <c r="E102" s="9" t="n"/>
      <c r="F102" s="9" t="n"/>
      <c r="G102" s="9" t="n"/>
    </row>
    <row r="103" ht="14.25" customHeight="1" s="38">
      <c r="A103" s="9" t="n"/>
      <c r="B103" s="9" t="n"/>
      <c r="C103" s="9" t="n"/>
      <c r="D103" s="9" t="n"/>
      <c r="E103" s="9" t="n"/>
      <c r="F103" s="9" t="n"/>
      <c r="G103" s="9" t="n"/>
    </row>
    <row r="104" ht="14.25" customHeight="1" s="38">
      <c r="A104" s="9" t="n"/>
      <c r="B104" s="9" t="n"/>
      <c r="C104" s="9" t="n"/>
      <c r="D104" s="9" t="n"/>
      <c r="E104" s="9" t="n"/>
      <c r="F104" s="9" t="n"/>
      <c r="G104" s="9" t="n"/>
    </row>
    <row r="105" ht="14.25" customHeight="1" s="38">
      <c r="A105" s="9" t="n"/>
      <c r="B105" s="9" t="n"/>
      <c r="C105" s="9" t="n"/>
      <c r="D105" s="9" t="n"/>
      <c r="E105" s="9" t="n"/>
      <c r="F105" s="9" t="n"/>
      <c r="G105" s="9" t="n"/>
    </row>
    <row r="106" ht="14.25" customHeight="1" s="38">
      <c r="A106" s="9" t="n"/>
      <c r="B106" s="9" t="n"/>
      <c r="C106" s="9" t="n"/>
      <c r="D106" s="9" t="n"/>
      <c r="E106" s="9" t="n"/>
      <c r="F106" s="9" t="n"/>
      <c r="G106" s="9" t="n"/>
    </row>
    <row r="107" ht="14.25" customHeight="1" s="38">
      <c r="A107" s="9" t="n"/>
      <c r="B107" s="9" t="n"/>
      <c r="C107" s="9" t="n"/>
      <c r="D107" s="9" t="n"/>
      <c r="E107" s="9" t="n"/>
      <c r="F107" s="9" t="n"/>
      <c r="G107" s="9" t="n"/>
    </row>
    <row r="108" ht="14.25" customHeight="1" s="38">
      <c r="A108" s="9" t="n"/>
      <c r="B108" s="9" t="n"/>
      <c r="C108" s="9" t="n"/>
      <c r="D108" s="9" t="n"/>
      <c r="E108" s="9" t="n"/>
      <c r="F108" s="9" t="n"/>
      <c r="G108" s="9" t="n"/>
    </row>
    <row r="109" ht="14.25" customHeight="1" s="38">
      <c r="A109" s="9" t="n"/>
      <c r="B109" s="9" t="n"/>
      <c r="C109" s="9" t="n"/>
      <c r="D109" s="9" t="n"/>
      <c r="E109" s="9" t="n"/>
      <c r="F109" s="9" t="n"/>
      <c r="G109" s="9" t="n"/>
    </row>
    <row r="110" ht="14.25" customHeight="1" s="38">
      <c r="A110" s="9" t="n"/>
      <c r="B110" s="9" t="n"/>
      <c r="C110" s="9" t="n"/>
      <c r="D110" s="9" t="n"/>
      <c r="E110" s="9" t="n"/>
      <c r="F110" s="9" t="n"/>
      <c r="G110" s="9" t="n"/>
    </row>
    <row r="111" ht="14.25" customHeight="1" s="38">
      <c r="A111" s="9" t="n"/>
      <c r="B111" s="9" t="n"/>
      <c r="C111" s="9" t="n"/>
      <c r="D111" s="9" t="n"/>
      <c r="E111" s="9" t="n"/>
      <c r="F111" s="9" t="n"/>
      <c r="G111" s="9" t="n"/>
    </row>
    <row r="112" ht="14.25" customHeight="1" s="38">
      <c r="A112" s="9" t="n"/>
      <c r="B112" s="9" t="n"/>
      <c r="C112" s="9" t="n"/>
      <c r="D112" s="9" t="n"/>
      <c r="E112" s="9" t="n"/>
      <c r="F112" s="9" t="n"/>
      <c r="G112" s="9" t="n"/>
    </row>
    <row r="113" ht="14.25" customHeight="1" s="38">
      <c r="A113" s="9" t="n"/>
      <c r="B113" s="9" t="n"/>
      <c r="C113" s="9" t="n"/>
      <c r="D113" s="9" t="n"/>
      <c r="E113" s="9" t="n"/>
      <c r="F113" s="9" t="n"/>
      <c r="G113" s="9" t="n"/>
    </row>
    <row r="114" ht="14.25" customHeight="1" s="38">
      <c r="A114" s="9" t="n"/>
      <c r="B114" s="9" t="n"/>
      <c r="C114" s="9" t="n"/>
      <c r="D114" s="9" t="n"/>
      <c r="E114" s="9" t="n"/>
      <c r="F114" s="9" t="n"/>
      <c r="G114" s="9" t="n"/>
    </row>
    <row r="115" ht="14.25" customHeight="1" s="38">
      <c r="A115" s="9" t="n"/>
      <c r="B115" s="9" t="n"/>
      <c r="C115" s="9" t="n"/>
      <c r="D115" s="9" t="n"/>
      <c r="E115" s="9" t="n"/>
      <c r="F115" s="9" t="n"/>
      <c r="G115" s="9" t="n"/>
    </row>
    <row r="116" ht="14.25" customHeight="1" s="38">
      <c r="A116" s="9" t="n"/>
      <c r="B116" s="9" t="n"/>
      <c r="C116" s="9" t="n"/>
      <c r="D116" s="9" t="n"/>
      <c r="E116" s="9" t="n"/>
      <c r="F116" s="9" t="n"/>
      <c r="G116" s="9" t="n"/>
    </row>
    <row r="117" ht="14.25" customHeight="1" s="38">
      <c r="A117" s="9" t="n"/>
      <c r="B117" s="9" t="n"/>
      <c r="C117" s="9" t="n"/>
      <c r="D117" s="9" t="n"/>
      <c r="E117" s="9" t="n"/>
      <c r="F117" s="9" t="n"/>
      <c r="G117" s="9" t="n"/>
    </row>
    <row r="118" ht="14.25" customHeight="1" s="38">
      <c r="A118" s="9" t="n"/>
      <c r="B118" s="9" t="n"/>
      <c r="C118" s="9" t="n"/>
      <c r="D118" s="9" t="n"/>
      <c r="E118" s="9" t="n"/>
      <c r="F118" s="9" t="n"/>
      <c r="G118" s="9" t="n"/>
    </row>
    <row r="119" ht="14.25" customHeight="1" s="38">
      <c r="A119" s="9" t="n"/>
      <c r="B119" s="9" t="n"/>
      <c r="C119" s="9" t="n"/>
      <c r="D119" s="9" t="n"/>
      <c r="E119" s="9" t="n"/>
      <c r="F119" s="9" t="n"/>
      <c r="G119" s="9" t="n"/>
    </row>
    <row r="120" ht="14.25" customHeight="1" s="38">
      <c r="A120" s="9" t="n"/>
      <c r="B120" s="9" t="n"/>
      <c r="C120" s="9" t="n"/>
      <c r="D120" s="9" t="n"/>
      <c r="E120" s="9" t="n"/>
      <c r="F120" s="9" t="n"/>
      <c r="G120" s="9" t="n"/>
    </row>
    <row r="121" ht="14.25" customHeight="1" s="38">
      <c r="A121" s="9" t="n"/>
      <c r="B121" s="9" t="n"/>
      <c r="C121" s="9" t="n"/>
      <c r="D121" s="9" t="n"/>
      <c r="E121" s="9" t="n"/>
      <c r="F121" s="9" t="n"/>
      <c r="G121" s="9" t="n"/>
    </row>
    <row r="122" ht="14.25" customHeight="1" s="38">
      <c r="A122" s="9" t="n"/>
      <c r="B122" s="9" t="n"/>
      <c r="C122" s="9" t="n"/>
      <c r="D122" s="9" t="n"/>
      <c r="E122" s="9" t="n"/>
      <c r="F122" s="9" t="n"/>
      <c r="G122" s="9" t="n"/>
    </row>
    <row r="123" ht="14.25" customHeight="1" s="38">
      <c r="A123" s="9" t="n"/>
      <c r="B123" s="9" t="n"/>
      <c r="C123" s="9" t="n"/>
      <c r="D123" s="9" t="n"/>
      <c r="E123" s="9" t="n"/>
      <c r="F123" s="9" t="n"/>
      <c r="G123" s="9" t="n"/>
    </row>
    <row r="124" ht="14.25" customHeight="1" s="38">
      <c r="A124" s="9" t="n"/>
      <c r="B124" s="9" t="n"/>
      <c r="C124" s="9" t="n"/>
      <c r="D124" s="9" t="n"/>
      <c r="E124" s="9" t="n"/>
      <c r="F124" s="9" t="n"/>
      <c r="G124" s="9" t="n"/>
    </row>
    <row r="125" ht="14.25" customHeight="1" s="38">
      <c r="A125" s="9" t="n"/>
      <c r="B125" s="9" t="n"/>
      <c r="C125" s="9" t="n"/>
      <c r="D125" s="9" t="n"/>
      <c r="E125" s="9" t="n"/>
      <c r="F125" s="9" t="n"/>
      <c r="G125" s="9" t="n"/>
    </row>
    <row r="126" ht="14.25" customHeight="1" s="38">
      <c r="A126" s="9" t="n"/>
      <c r="B126" s="9" t="n"/>
      <c r="C126" s="9" t="n"/>
      <c r="D126" s="9" t="n"/>
      <c r="E126" s="9" t="n"/>
      <c r="F126" s="9" t="n"/>
      <c r="G126" s="9" t="n"/>
    </row>
    <row r="127" ht="14.25" customHeight="1" s="38">
      <c r="A127" s="9" t="n"/>
      <c r="B127" s="9" t="n"/>
      <c r="C127" s="9" t="n"/>
      <c r="D127" s="9" t="n"/>
      <c r="E127" s="9" t="n"/>
      <c r="F127" s="9" t="n"/>
      <c r="G127" s="9" t="n"/>
    </row>
    <row r="128" ht="14.25" customHeight="1" s="38">
      <c r="A128" s="9" t="n"/>
      <c r="B128" s="9" t="n"/>
      <c r="C128" s="9" t="n"/>
      <c r="D128" s="9" t="n"/>
      <c r="E128" s="9" t="n"/>
      <c r="F128" s="9" t="n"/>
      <c r="G128" s="9" t="n"/>
    </row>
    <row r="129" ht="14.25" customHeight="1" s="38">
      <c r="A129" s="9" t="n"/>
      <c r="B129" s="9" t="n"/>
      <c r="C129" s="9" t="n"/>
      <c r="D129" s="9" t="n"/>
      <c r="E129" s="9" t="n"/>
      <c r="F129" s="9" t="n"/>
      <c r="G129" s="9" t="n"/>
    </row>
    <row r="130" ht="14.25" customHeight="1" s="38">
      <c r="A130" s="9" t="n"/>
      <c r="B130" s="9" t="n"/>
      <c r="C130" s="9" t="n"/>
      <c r="D130" s="9" t="n"/>
      <c r="E130" s="9" t="n"/>
      <c r="F130" s="9" t="n"/>
      <c r="G130" s="9" t="n"/>
    </row>
    <row r="131" ht="14.25" customHeight="1" s="38">
      <c r="A131" s="9" t="n"/>
      <c r="B131" s="9" t="n"/>
      <c r="C131" s="9" t="n"/>
      <c r="D131" s="9" t="n"/>
      <c r="E131" s="9" t="n"/>
      <c r="F131" s="9" t="n"/>
      <c r="G131" s="9" t="n"/>
    </row>
    <row r="132" ht="14.25" customHeight="1" s="38">
      <c r="A132" s="9" t="n"/>
      <c r="B132" s="9" t="n"/>
      <c r="C132" s="9" t="n"/>
      <c r="D132" s="9" t="n"/>
      <c r="E132" s="9" t="n"/>
      <c r="F132" s="9" t="n"/>
      <c r="G132" s="9" t="n"/>
    </row>
    <row r="133" ht="14.25" customHeight="1" s="38">
      <c r="A133" s="9" t="n"/>
      <c r="B133" s="9" t="n"/>
      <c r="C133" s="9" t="n"/>
      <c r="D133" s="9" t="n"/>
      <c r="E133" s="9" t="n"/>
      <c r="F133" s="9" t="n"/>
      <c r="G133" s="9" t="n"/>
    </row>
    <row r="134" ht="14.25" customHeight="1" s="38">
      <c r="A134" s="9" t="n"/>
      <c r="B134" s="9" t="n"/>
      <c r="C134" s="9" t="n"/>
      <c r="D134" s="9" t="n"/>
      <c r="E134" s="9" t="n"/>
      <c r="F134" s="9" t="n"/>
      <c r="G134" s="9" t="n"/>
    </row>
    <row r="135" ht="14.25" customHeight="1" s="38">
      <c r="A135" s="9" t="n"/>
      <c r="B135" s="9" t="n"/>
      <c r="C135" s="9" t="n"/>
      <c r="D135" s="9" t="n"/>
      <c r="E135" s="9" t="n"/>
      <c r="F135" s="9" t="n"/>
      <c r="G135" s="9" t="n"/>
    </row>
    <row r="136" ht="14.25" customHeight="1" s="38">
      <c r="A136" s="9" t="n"/>
      <c r="B136" s="9" t="n"/>
      <c r="C136" s="9" t="n"/>
      <c r="D136" s="9" t="n"/>
      <c r="E136" s="9" t="n"/>
      <c r="F136" s="9" t="n"/>
      <c r="G136" s="9" t="n"/>
    </row>
    <row r="137" ht="14.25" customHeight="1" s="38">
      <c r="A137" s="9" t="n"/>
      <c r="B137" s="9" t="n"/>
      <c r="C137" s="9" t="n"/>
      <c r="D137" s="9" t="n"/>
      <c r="E137" s="9" t="n"/>
      <c r="F137" s="9" t="n"/>
      <c r="G137" s="9" t="n"/>
    </row>
    <row r="138" ht="14.25" customHeight="1" s="38">
      <c r="A138" s="9" t="n"/>
      <c r="B138" s="9" t="n"/>
      <c r="C138" s="9" t="n"/>
      <c r="D138" s="9" t="n"/>
      <c r="E138" s="9" t="n"/>
      <c r="F138" s="9" t="n"/>
      <c r="G138" s="9" t="n"/>
    </row>
    <row r="139" ht="14.25" customHeight="1" s="38">
      <c r="A139" s="9" t="n"/>
      <c r="B139" s="9" t="n"/>
      <c r="C139" s="9" t="n"/>
      <c r="D139" s="9" t="n"/>
      <c r="E139" s="9" t="n"/>
      <c r="F139" s="9" t="n"/>
      <c r="G139" s="9" t="n"/>
    </row>
    <row r="140" ht="14.25" customHeight="1" s="38">
      <c r="A140" s="9" t="n"/>
      <c r="B140" s="9" t="n"/>
      <c r="C140" s="9" t="n"/>
      <c r="D140" s="9" t="n"/>
      <c r="E140" s="9" t="n"/>
      <c r="F140" s="9" t="n"/>
      <c r="G140" s="9" t="n"/>
    </row>
    <row r="141" ht="14.25" customHeight="1" s="38">
      <c r="A141" s="9" t="n"/>
      <c r="B141" s="9" t="n"/>
      <c r="C141" s="9" t="n"/>
      <c r="D141" s="9" t="n"/>
      <c r="E141" s="9" t="n"/>
      <c r="F141" s="9" t="n"/>
      <c r="G141" s="9" t="n"/>
    </row>
    <row r="142" ht="14.25" customHeight="1" s="38">
      <c r="A142" s="9" t="n"/>
      <c r="B142" s="9" t="n"/>
      <c r="C142" s="9" t="n"/>
      <c r="D142" s="9" t="n"/>
      <c r="E142" s="9" t="n"/>
      <c r="F142" s="9" t="n"/>
      <c r="G142" s="9" t="n"/>
    </row>
    <row r="143" ht="14.25" customHeight="1" s="38">
      <c r="A143" s="9" t="n"/>
      <c r="B143" s="9" t="n"/>
      <c r="C143" s="9" t="n"/>
      <c r="D143" s="9" t="n"/>
      <c r="E143" s="9" t="n"/>
      <c r="F143" s="9" t="n"/>
      <c r="G143" s="9" t="n"/>
    </row>
    <row r="144" ht="14.25" customHeight="1" s="38">
      <c r="A144" s="9" t="n"/>
      <c r="B144" s="9" t="n"/>
      <c r="C144" s="9" t="n"/>
      <c r="D144" s="9" t="n"/>
      <c r="E144" s="9" t="n"/>
      <c r="F144" s="9" t="n"/>
      <c r="G144" s="9" t="n"/>
    </row>
    <row r="145" ht="14.25" customHeight="1" s="38">
      <c r="A145" s="9" t="n"/>
      <c r="B145" s="9" t="n"/>
      <c r="C145" s="9" t="n"/>
      <c r="D145" s="9" t="n"/>
      <c r="E145" s="9" t="n"/>
      <c r="F145" s="9" t="n"/>
      <c r="G145" s="9" t="n"/>
    </row>
    <row r="146" ht="14.25" customHeight="1" s="38">
      <c r="A146" s="9" t="n"/>
      <c r="B146" s="9" t="n"/>
      <c r="C146" s="9" t="n"/>
      <c r="D146" s="9" t="n"/>
      <c r="E146" s="9" t="n"/>
      <c r="F146" s="9" t="n"/>
      <c r="G146" s="9" t="n"/>
    </row>
    <row r="147" ht="14.25" customHeight="1" s="38">
      <c r="A147" s="9" t="n"/>
      <c r="B147" s="9" t="n"/>
      <c r="C147" s="9" t="n"/>
      <c r="D147" s="9" t="n"/>
      <c r="E147" s="9" t="n"/>
      <c r="F147" s="9" t="n"/>
      <c r="G147" s="9" t="n"/>
    </row>
    <row r="148" ht="14.25" customHeight="1" s="38">
      <c r="A148" s="9" t="n"/>
      <c r="B148" s="9" t="n"/>
      <c r="C148" s="9" t="n"/>
      <c r="D148" s="9" t="n"/>
      <c r="E148" s="9" t="n"/>
      <c r="F148" s="9" t="n"/>
      <c r="G148" s="9" t="n"/>
    </row>
    <row r="149" ht="14.25" customHeight="1" s="38">
      <c r="A149" s="9" t="n"/>
      <c r="B149" s="9" t="n"/>
      <c r="C149" s="9" t="n"/>
      <c r="D149" s="9" t="n"/>
      <c r="E149" s="9" t="n"/>
      <c r="F149" s="9" t="n"/>
      <c r="G149" s="9" t="n"/>
    </row>
    <row r="150" ht="14.25" customHeight="1" s="38">
      <c r="A150" s="9" t="n"/>
      <c r="B150" s="9" t="n"/>
      <c r="C150" s="9" t="n"/>
      <c r="D150" s="9" t="n"/>
      <c r="E150" s="9" t="n"/>
      <c r="F150" s="9" t="n"/>
      <c r="G150" s="9" t="n"/>
    </row>
    <row r="151" ht="14.25" customHeight="1" s="38">
      <c r="A151" s="9" t="n"/>
      <c r="B151" s="9" t="n"/>
      <c r="C151" s="9" t="n"/>
      <c r="D151" s="9" t="n"/>
      <c r="E151" s="9" t="n"/>
      <c r="F151" s="9" t="n"/>
      <c r="G151" s="9" t="n"/>
    </row>
    <row r="152" ht="14.25" customHeight="1" s="38">
      <c r="A152" s="9" t="n"/>
      <c r="B152" s="9" t="n"/>
      <c r="C152" s="9" t="n"/>
      <c r="D152" s="9" t="n"/>
      <c r="E152" s="9" t="n"/>
      <c r="F152" s="9" t="n"/>
      <c r="G152" s="9" t="n"/>
    </row>
    <row r="153" ht="14.25" customHeight="1" s="38">
      <c r="A153" s="9" t="n"/>
      <c r="B153" s="9" t="n"/>
      <c r="C153" s="9" t="n"/>
      <c r="D153" s="9" t="n"/>
      <c r="E153" s="9" t="n"/>
      <c r="F153" s="9" t="n"/>
      <c r="G153" s="9" t="n"/>
    </row>
    <row r="154" ht="14.25" customHeight="1" s="38">
      <c r="A154" s="9" t="n"/>
      <c r="B154" s="9" t="n"/>
      <c r="C154" s="9" t="n"/>
      <c r="D154" s="9" t="n"/>
      <c r="E154" s="9" t="n"/>
      <c r="F154" s="9" t="n"/>
      <c r="G154" s="9" t="n"/>
    </row>
    <row r="155" ht="14.25" customHeight="1" s="38">
      <c r="A155" s="9" t="n"/>
      <c r="B155" s="9" t="n"/>
      <c r="C155" s="9" t="n"/>
      <c r="D155" s="9" t="n"/>
      <c r="E155" s="9" t="n"/>
      <c r="F155" s="9" t="n"/>
      <c r="G155" s="9" t="n"/>
    </row>
    <row r="156" ht="14.25" customHeight="1" s="38">
      <c r="A156" s="9" t="n"/>
      <c r="B156" s="9" t="n"/>
      <c r="C156" s="9" t="n"/>
      <c r="D156" s="9" t="n"/>
      <c r="E156" s="9" t="n"/>
      <c r="F156" s="9" t="n"/>
      <c r="G156" s="9" t="n"/>
    </row>
    <row r="157" ht="14.25" customHeight="1" s="38">
      <c r="A157" s="9" t="n"/>
      <c r="B157" s="9" t="n"/>
      <c r="C157" s="9" t="n"/>
      <c r="D157" s="9" t="n"/>
      <c r="E157" s="9" t="n"/>
      <c r="F157" s="9" t="n"/>
      <c r="G157" s="9" t="n"/>
    </row>
    <row r="158" ht="14.25" customHeight="1" s="38">
      <c r="A158" s="9" t="n"/>
      <c r="B158" s="9" t="n"/>
      <c r="C158" s="9" t="n"/>
      <c r="D158" s="9" t="n"/>
      <c r="E158" s="9" t="n"/>
      <c r="F158" s="9" t="n"/>
      <c r="G158" s="9" t="n"/>
    </row>
    <row r="159" ht="14.25" customHeight="1" s="38">
      <c r="A159" s="9" t="n"/>
      <c r="B159" s="9" t="n"/>
      <c r="C159" s="9" t="n"/>
      <c r="D159" s="9" t="n"/>
      <c r="E159" s="9" t="n"/>
      <c r="F159" s="9" t="n"/>
      <c r="G159" s="9" t="n"/>
    </row>
    <row r="160" ht="14.25" customHeight="1" s="38">
      <c r="A160" s="9" t="n"/>
      <c r="B160" s="9" t="n"/>
      <c r="C160" s="9" t="n"/>
      <c r="D160" s="9" t="n"/>
      <c r="E160" s="9" t="n"/>
      <c r="F160" s="9" t="n"/>
      <c r="G160" s="9" t="n"/>
    </row>
    <row r="161" ht="14.25" customHeight="1" s="38">
      <c r="A161" s="9" t="n"/>
      <c r="B161" s="9" t="n"/>
      <c r="C161" s="9" t="n"/>
      <c r="D161" s="9" t="n"/>
      <c r="E161" s="9" t="n"/>
      <c r="F161" s="9" t="n"/>
      <c r="G161" s="9" t="n"/>
    </row>
    <row r="162" ht="14.25" customHeight="1" s="38">
      <c r="A162" s="9" t="n"/>
      <c r="B162" s="9" t="n"/>
      <c r="C162" s="9" t="n"/>
      <c r="D162" s="9" t="n"/>
      <c r="E162" s="9" t="n"/>
      <c r="F162" s="9" t="n"/>
      <c r="G162" s="9" t="n"/>
    </row>
    <row r="163" ht="14.25" customHeight="1" s="38">
      <c r="A163" s="9" t="n"/>
      <c r="B163" s="9" t="n"/>
      <c r="C163" s="9" t="n"/>
      <c r="D163" s="9" t="n"/>
      <c r="E163" s="9" t="n"/>
      <c r="F163" s="9" t="n"/>
      <c r="G163" s="9" t="n"/>
    </row>
    <row r="164" ht="14.25" customHeight="1" s="38">
      <c r="A164" s="9" t="n"/>
      <c r="B164" s="9" t="n"/>
      <c r="C164" s="9" t="n"/>
      <c r="D164" s="9" t="n"/>
      <c r="E164" s="9" t="n"/>
      <c r="F164" s="9" t="n"/>
      <c r="G164" s="9" t="n"/>
    </row>
    <row r="165" ht="14.25" customHeight="1" s="38">
      <c r="A165" s="9" t="n"/>
      <c r="B165" s="9" t="n"/>
      <c r="C165" s="9" t="n"/>
      <c r="D165" s="9" t="n"/>
      <c r="E165" s="9" t="n"/>
      <c r="F165" s="9" t="n"/>
      <c r="G165" s="9" t="n"/>
    </row>
    <row r="166" ht="14.25" customHeight="1" s="38">
      <c r="A166" s="9" t="n"/>
      <c r="B166" s="9" t="n"/>
      <c r="C166" s="9" t="n"/>
      <c r="D166" s="9" t="n"/>
      <c r="E166" s="9" t="n"/>
      <c r="F166" s="9" t="n"/>
      <c r="G166" s="9" t="n"/>
    </row>
    <row r="167" ht="14.25" customHeight="1" s="38">
      <c r="A167" s="9" t="n"/>
      <c r="B167" s="9" t="n"/>
      <c r="C167" s="9" t="n"/>
      <c r="D167" s="9" t="n"/>
      <c r="E167" s="9" t="n"/>
      <c r="F167" s="9" t="n"/>
      <c r="G167" s="9" t="n"/>
    </row>
    <row r="168" ht="14.25" customHeight="1" s="38">
      <c r="A168" s="9" t="n"/>
      <c r="B168" s="9" t="n"/>
      <c r="C168" s="9" t="n"/>
      <c r="D168" s="9" t="n"/>
      <c r="E168" s="9" t="n"/>
      <c r="F168" s="9" t="n"/>
      <c r="G168" s="9" t="n"/>
    </row>
    <row r="169" ht="14.25" customHeight="1" s="38">
      <c r="A169" s="9" t="n"/>
      <c r="B169" s="9" t="n"/>
      <c r="C169" s="9" t="n"/>
      <c r="D169" s="9" t="n"/>
      <c r="E169" s="9" t="n"/>
      <c r="F169" s="9" t="n"/>
      <c r="G169" s="9" t="n"/>
    </row>
    <row r="170" ht="14.25" customHeight="1" s="38">
      <c r="A170" s="9" t="n"/>
      <c r="B170" s="9" t="n"/>
      <c r="C170" s="9" t="n"/>
      <c r="D170" s="9" t="n"/>
      <c r="E170" s="9" t="n"/>
      <c r="F170" s="9" t="n"/>
      <c r="G170" s="9" t="n"/>
    </row>
    <row r="171" ht="14.25" customHeight="1" s="38">
      <c r="A171" s="9" t="n"/>
      <c r="B171" s="9" t="n"/>
      <c r="C171" s="9" t="n"/>
      <c r="D171" s="9" t="n"/>
      <c r="E171" s="9" t="n"/>
      <c r="F171" s="9" t="n"/>
      <c r="G171" s="9" t="n"/>
    </row>
    <row r="172" ht="14.25" customHeight="1" s="38">
      <c r="A172" s="9" t="n"/>
      <c r="B172" s="9" t="n"/>
      <c r="C172" s="9" t="n"/>
      <c r="D172" s="9" t="n"/>
      <c r="E172" s="9" t="n"/>
      <c r="F172" s="9" t="n"/>
      <c r="G172" s="9" t="n"/>
    </row>
    <row r="173" ht="14.25" customHeight="1" s="38">
      <c r="A173" s="9" t="n"/>
      <c r="B173" s="9" t="n"/>
      <c r="C173" s="9" t="n"/>
      <c r="D173" s="9" t="n"/>
      <c r="E173" s="9" t="n"/>
      <c r="F173" s="9" t="n"/>
      <c r="G173" s="9" t="n"/>
    </row>
    <row r="174" ht="14.25" customHeight="1" s="38">
      <c r="A174" s="9" t="n"/>
      <c r="B174" s="9" t="n"/>
      <c r="C174" s="9" t="n"/>
      <c r="D174" s="9" t="n"/>
      <c r="E174" s="9" t="n"/>
      <c r="F174" s="9" t="n"/>
      <c r="G174" s="9" t="n"/>
    </row>
    <row r="175" ht="14.25" customHeight="1" s="38">
      <c r="A175" s="9" t="n"/>
      <c r="B175" s="9" t="n"/>
      <c r="C175" s="9" t="n"/>
      <c r="D175" s="9" t="n"/>
      <c r="E175" s="9" t="n"/>
      <c r="F175" s="9" t="n"/>
      <c r="G175" s="9" t="n"/>
    </row>
    <row r="176" ht="14.25" customHeight="1" s="38">
      <c r="A176" s="9" t="n"/>
      <c r="B176" s="9" t="n"/>
      <c r="C176" s="9" t="n"/>
      <c r="D176" s="9" t="n"/>
      <c r="E176" s="9" t="n"/>
      <c r="F176" s="9" t="n"/>
      <c r="G176" s="9" t="n"/>
    </row>
    <row r="177" ht="14.25" customHeight="1" s="38">
      <c r="A177" s="9" t="n"/>
      <c r="B177" s="9" t="n"/>
      <c r="C177" s="9" t="n"/>
      <c r="D177" s="9" t="n"/>
      <c r="E177" s="9" t="n"/>
      <c r="F177" s="9" t="n"/>
      <c r="G177" s="9" t="n"/>
    </row>
    <row r="178" ht="14.25" customHeight="1" s="38">
      <c r="A178" s="9" t="n"/>
      <c r="B178" s="9" t="n"/>
      <c r="C178" s="9" t="n"/>
      <c r="D178" s="9" t="n"/>
      <c r="E178" s="9" t="n"/>
      <c r="F178" s="9" t="n"/>
      <c r="G178" s="9" t="n"/>
    </row>
    <row r="179" ht="14.25" customHeight="1" s="38">
      <c r="A179" s="9" t="n"/>
      <c r="B179" s="9" t="n"/>
      <c r="C179" s="9" t="n"/>
      <c r="D179" s="9" t="n"/>
      <c r="E179" s="9" t="n"/>
      <c r="F179" s="9" t="n"/>
      <c r="G179" s="9" t="n"/>
    </row>
    <row r="180" ht="14.25" customHeight="1" s="38">
      <c r="A180" s="9" t="n"/>
      <c r="B180" s="9" t="n"/>
      <c r="C180" s="9" t="n"/>
      <c r="D180" s="9" t="n"/>
      <c r="E180" s="9" t="n"/>
      <c r="F180" s="9" t="n"/>
      <c r="G180" s="9" t="n"/>
    </row>
    <row r="181" ht="14.25" customHeight="1" s="38">
      <c r="A181" s="9" t="n"/>
      <c r="B181" s="9" t="n"/>
      <c r="C181" s="9" t="n"/>
      <c r="D181" s="9" t="n"/>
      <c r="E181" s="9" t="n"/>
      <c r="F181" s="9" t="n"/>
      <c r="G181" s="9" t="n"/>
    </row>
    <row r="182" ht="14.25" customHeight="1" s="38">
      <c r="A182" s="9" t="n"/>
      <c r="B182" s="9" t="n"/>
      <c r="C182" s="9" t="n"/>
      <c r="D182" s="9" t="n"/>
      <c r="E182" s="9" t="n"/>
      <c r="F182" s="9" t="n"/>
      <c r="G182" s="9" t="n"/>
    </row>
    <row r="183" ht="14.25" customHeight="1" s="38">
      <c r="A183" s="9" t="n"/>
      <c r="B183" s="9" t="n"/>
      <c r="C183" s="9" t="n"/>
      <c r="D183" s="9" t="n"/>
      <c r="E183" s="9" t="n"/>
      <c r="F183" s="9" t="n"/>
      <c r="G183" s="9" t="n"/>
    </row>
    <row r="184" ht="14.25" customHeight="1" s="38">
      <c r="A184" s="9" t="n"/>
      <c r="B184" s="9" t="n"/>
      <c r="C184" s="9" t="n"/>
      <c r="D184" s="9" t="n"/>
      <c r="E184" s="9" t="n"/>
      <c r="F184" s="9" t="n"/>
      <c r="G184" s="9" t="n"/>
    </row>
    <row r="185" ht="14.25" customHeight="1" s="38">
      <c r="A185" s="9" t="n"/>
      <c r="B185" s="9" t="n"/>
      <c r="C185" s="9" t="n"/>
      <c r="D185" s="9" t="n"/>
      <c r="E185" s="9" t="n"/>
      <c r="F185" s="9" t="n"/>
      <c r="G185" s="9" t="n"/>
    </row>
    <row r="186" ht="14.25" customHeight="1" s="38">
      <c r="A186" s="9" t="n"/>
      <c r="B186" s="9" t="n"/>
      <c r="C186" s="9" t="n"/>
      <c r="D186" s="9" t="n"/>
      <c r="E186" s="9" t="n"/>
      <c r="F186" s="9" t="n"/>
      <c r="G186" s="9" t="n"/>
    </row>
    <row r="187" ht="14.25" customHeight="1" s="38">
      <c r="A187" s="9" t="n"/>
      <c r="B187" s="9" t="n"/>
      <c r="C187" s="9" t="n"/>
      <c r="D187" s="9" t="n"/>
      <c r="E187" s="9" t="n"/>
      <c r="F187" s="9" t="n"/>
      <c r="G187" s="9" t="n"/>
    </row>
    <row r="188" ht="14.25" customHeight="1" s="38">
      <c r="A188" s="9" t="n"/>
      <c r="B188" s="9" t="n"/>
      <c r="C188" s="9" t="n"/>
      <c r="D188" s="9" t="n"/>
      <c r="E188" s="9" t="n"/>
      <c r="F188" s="9" t="n"/>
      <c r="G188" s="9" t="n"/>
    </row>
    <row r="189" ht="14.25" customHeight="1" s="38">
      <c r="A189" s="9" t="n"/>
      <c r="B189" s="9" t="n"/>
      <c r="C189" s="9" t="n"/>
      <c r="D189" s="9" t="n"/>
      <c r="E189" s="9" t="n"/>
      <c r="F189" s="9" t="n"/>
      <c r="G189" s="9" t="n"/>
    </row>
    <row r="190" ht="14.25" customHeight="1" s="38">
      <c r="A190" s="9" t="n"/>
      <c r="B190" s="9" t="n"/>
      <c r="C190" s="9" t="n"/>
      <c r="D190" s="9" t="n"/>
      <c r="E190" s="9" t="n"/>
      <c r="F190" s="9" t="n"/>
      <c r="G190" s="9" t="n"/>
    </row>
    <row r="191" ht="14.25" customHeight="1" s="38">
      <c r="A191" s="9" t="n"/>
      <c r="B191" s="9" t="n"/>
      <c r="C191" s="9" t="n"/>
      <c r="D191" s="9" t="n"/>
      <c r="E191" s="9" t="n"/>
      <c r="F191" s="9" t="n"/>
      <c r="G191" s="9" t="n"/>
    </row>
    <row r="192" ht="14.25" customHeight="1" s="38">
      <c r="A192" s="9" t="n"/>
      <c r="B192" s="9" t="n"/>
      <c r="C192" s="9" t="n"/>
      <c r="D192" s="9" t="n"/>
      <c r="E192" s="9" t="n"/>
      <c r="F192" s="9" t="n"/>
      <c r="G192" s="9" t="n"/>
    </row>
    <row r="193" ht="14.25" customHeight="1" s="38">
      <c r="A193" s="9" t="n"/>
      <c r="B193" s="9" t="n"/>
      <c r="C193" s="9" t="n"/>
      <c r="D193" s="9" t="n"/>
      <c r="E193" s="9" t="n"/>
      <c r="F193" s="9" t="n"/>
      <c r="G193" s="9" t="n"/>
    </row>
    <row r="194" ht="14.25" customHeight="1" s="38">
      <c r="A194" s="9" t="n"/>
      <c r="B194" s="9" t="n"/>
      <c r="C194" s="9" t="n"/>
      <c r="D194" s="9" t="n"/>
      <c r="E194" s="9" t="n"/>
      <c r="F194" s="9" t="n"/>
      <c r="G194" s="9" t="n"/>
    </row>
    <row r="195" ht="14.25" customHeight="1" s="38">
      <c r="A195" s="9" t="n"/>
      <c r="B195" s="9" t="n"/>
      <c r="C195" s="9" t="n"/>
      <c r="D195" s="9" t="n"/>
      <c r="E195" s="9" t="n"/>
      <c r="F195" s="9" t="n"/>
      <c r="G195" s="9" t="n"/>
    </row>
    <row r="196" ht="14.25" customHeight="1" s="38">
      <c r="A196" s="9" t="n"/>
      <c r="B196" s="9" t="n"/>
      <c r="C196" s="9" t="n"/>
      <c r="D196" s="9" t="n"/>
      <c r="E196" s="9" t="n"/>
      <c r="F196" s="9" t="n"/>
      <c r="G196" s="9" t="n"/>
    </row>
    <row r="197" ht="14.25" customHeight="1" s="38">
      <c r="A197" s="9" t="n"/>
      <c r="B197" s="9" t="n"/>
      <c r="C197" s="9" t="n"/>
      <c r="D197" s="9" t="n"/>
      <c r="E197" s="9" t="n"/>
      <c r="F197" s="9" t="n"/>
      <c r="G197" s="9" t="n"/>
    </row>
    <row r="198" ht="14.25" customHeight="1" s="38">
      <c r="A198" s="9" t="n"/>
      <c r="B198" s="9" t="n"/>
      <c r="C198" s="9" t="n"/>
      <c r="D198" s="9" t="n"/>
      <c r="E198" s="9" t="n"/>
      <c r="F198" s="9" t="n"/>
      <c r="G198" s="9" t="n"/>
    </row>
    <row r="199" ht="14.25" customHeight="1" s="38">
      <c r="A199" s="9" t="n"/>
      <c r="B199" s="9" t="n"/>
      <c r="C199" s="9" t="n"/>
      <c r="D199" s="9" t="n"/>
      <c r="E199" s="9" t="n"/>
      <c r="F199" s="9" t="n"/>
      <c r="G199" s="9" t="n"/>
    </row>
    <row r="200" ht="14.25" customHeight="1" s="38">
      <c r="A200" s="9" t="n"/>
      <c r="B200" s="9" t="n"/>
      <c r="C200" s="9" t="n"/>
      <c r="D200" s="9" t="n"/>
      <c r="E200" s="9" t="n"/>
      <c r="F200" s="9" t="n"/>
      <c r="G200" s="9" t="n"/>
    </row>
    <row r="201" ht="14.25" customHeight="1" s="38">
      <c r="A201" s="9" t="n"/>
      <c r="B201" s="9" t="n"/>
      <c r="C201" s="9" t="n"/>
      <c r="D201" s="9" t="n"/>
      <c r="E201" s="9" t="n"/>
      <c r="F201" s="9" t="n"/>
      <c r="G201" s="9" t="n"/>
    </row>
    <row r="202" ht="14.25" customHeight="1" s="38">
      <c r="A202" s="9" t="n"/>
      <c r="B202" s="9" t="n"/>
      <c r="C202" s="9" t="n"/>
      <c r="D202" s="9" t="n"/>
      <c r="E202" s="9" t="n"/>
      <c r="F202" s="9" t="n"/>
      <c r="G202" s="9" t="n"/>
    </row>
    <row r="203" ht="14.25" customHeight="1" s="38">
      <c r="A203" s="9" t="n"/>
      <c r="B203" s="9" t="n"/>
      <c r="C203" s="9" t="n"/>
      <c r="D203" s="9" t="n"/>
      <c r="E203" s="9" t="n"/>
      <c r="F203" s="9" t="n"/>
      <c r="G203" s="9" t="n"/>
    </row>
    <row r="204" ht="14.25" customHeight="1" s="38">
      <c r="A204" s="9" t="n"/>
      <c r="B204" s="9" t="n"/>
      <c r="C204" s="9" t="n"/>
      <c r="D204" s="9" t="n"/>
      <c r="E204" s="9" t="n"/>
      <c r="F204" s="9" t="n"/>
      <c r="G204" s="9" t="n"/>
    </row>
    <row r="205" ht="14.25" customHeight="1" s="38">
      <c r="A205" s="9" t="n"/>
      <c r="B205" s="9" t="n"/>
      <c r="C205" s="9" t="n"/>
      <c r="D205" s="9" t="n"/>
      <c r="E205" s="9" t="n"/>
      <c r="F205" s="9" t="n"/>
      <c r="G205" s="9" t="n"/>
    </row>
    <row r="206" ht="14.25" customHeight="1" s="38">
      <c r="A206" s="9" t="n"/>
      <c r="B206" s="9" t="n"/>
      <c r="C206" s="9" t="n"/>
      <c r="D206" s="9" t="n"/>
      <c r="E206" s="9" t="n"/>
      <c r="F206" s="9" t="n"/>
      <c r="G206" s="9" t="n"/>
    </row>
    <row r="207" ht="14.25" customHeight="1" s="38">
      <c r="A207" s="9" t="n"/>
      <c r="B207" s="9" t="n"/>
      <c r="C207" s="9" t="n"/>
      <c r="D207" s="9" t="n"/>
      <c r="E207" s="9" t="n"/>
      <c r="F207" s="9" t="n"/>
      <c r="G207" s="9" t="n"/>
    </row>
    <row r="208" ht="14.25" customHeight="1" s="38">
      <c r="A208" s="9" t="n"/>
      <c r="B208" s="9" t="n"/>
      <c r="C208" s="9" t="n"/>
      <c r="D208" s="9" t="n"/>
      <c r="E208" s="9" t="n"/>
      <c r="F208" s="9" t="n"/>
      <c r="G208" s="9" t="n"/>
    </row>
    <row r="209" ht="14.25" customHeight="1" s="38">
      <c r="A209" s="9" t="n"/>
      <c r="B209" s="9" t="n"/>
      <c r="C209" s="9" t="n"/>
      <c r="D209" s="9" t="n"/>
      <c r="E209" s="9" t="n"/>
      <c r="F209" s="9" t="n"/>
      <c r="G209" s="9" t="n"/>
    </row>
    <row r="210" ht="14.25" customHeight="1" s="38">
      <c r="A210" s="9" t="n"/>
      <c r="B210" s="9" t="n"/>
      <c r="C210" s="9" t="n"/>
      <c r="D210" s="9" t="n"/>
      <c r="E210" s="9" t="n"/>
      <c r="F210" s="9" t="n"/>
      <c r="G210" s="9" t="n"/>
    </row>
    <row r="211" ht="14.25" customHeight="1" s="38">
      <c r="A211" s="9" t="n"/>
      <c r="B211" s="9" t="n"/>
      <c r="C211" s="9" t="n"/>
      <c r="D211" s="9" t="n"/>
      <c r="E211" s="9" t="n"/>
      <c r="F211" s="9" t="n"/>
      <c r="G211" s="9" t="n"/>
    </row>
    <row r="212" ht="14.25" customHeight="1" s="38">
      <c r="A212" s="9" t="n"/>
      <c r="B212" s="9" t="n"/>
      <c r="C212" s="9" t="n"/>
      <c r="D212" s="9" t="n"/>
      <c r="E212" s="9" t="n"/>
      <c r="F212" s="9" t="n"/>
      <c r="G212" s="9" t="n"/>
    </row>
    <row r="213" ht="14.25" customHeight="1" s="38">
      <c r="A213" s="9" t="n"/>
      <c r="B213" s="9" t="n"/>
      <c r="C213" s="9" t="n"/>
      <c r="D213" s="9" t="n"/>
      <c r="E213" s="9" t="n"/>
      <c r="F213" s="9" t="n"/>
      <c r="G213" s="9" t="n"/>
    </row>
    <row r="214" ht="14.25" customHeight="1" s="38">
      <c r="A214" s="9" t="n"/>
      <c r="B214" s="9" t="n"/>
      <c r="C214" s="9" t="n"/>
      <c r="D214" s="9" t="n"/>
      <c r="E214" s="9" t="n"/>
      <c r="F214" s="9" t="n"/>
      <c r="G214" s="9" t="n"/>
    </row>
    <row r="215" ht="14.25" customHeight="1" s="38">
      <c r="A215" s="9" t="n"/>
      <c r="B215" s="9" t="n"/>
      <c r="C215" s="9" t="n"/>
      <c r="D215" s="9" t="n"/>
      <c r="E215" s="9" t="n"/>
      <c r="F215" s="9" t="n"/>
      <c r="G215" s="9" t="n"/>
    </row>
    <row r="216" ht="14.25" customHeight="1" s="38">
      <c r="A216" s="9" t="n"/>
      <c r="B216" s="9" t="n"/>
      <c r="C216" s="9" t="n"/>
      <c r="D216" s="9" t="n"/>
      <c r="E216" s="9" t="n"/>
      <c r="F216" s="9" t="n"/>
      <c r="G216" s="9" t="n"/>
    </row>
    <row r="217" ht="14.25" customHeight="1" s="38">
      <c r="A217" s="9" t="n"/>
      <c r="B217" s="9" t="n"/>
      <c r="C217" s="9" t="n"/>
      <c r="D217" s="9" t="n"/>
      <c r="E217" s="9" t="n"/>
      <c r="F217" s="9" t="n"/>
      <c r="G217" s="9" t="n"/>
    </row>
    <row r="218" ht="14.25" customHeight="1" s="38">
      <c r="A218" s="9" t="n"/>
      <c r="B218" s="9" t="n"/>
      <c r="C218" s="9" t="n"/>
      <c r="D218" s="9" t="n"/>
      <c r="E218" s="9" t="n"/>
      <c r="F218" s="9" t="n"/>
      <c r="G218" s="9" t="n"/>
    </row>
    <row r="219" ht="14.25" customHeight="1" s="38">
      <c r="A219" s="9" t="n"/>
      <c r="B219" s="9" t="n"/>
      <c r="C219" s="9" t="n"/>
      <c r="D219" s="9" t="n"/>
      <c r="E219" s="9" t="n"/>
      <c r="F219" s="9" t="n"/>
      <c r="G219" s="9" t="n"/>
    </row>
    <row r="220" ht="14.25" customHeight="1" s="38">
      <c r="A220" s="9" t="n"/>
      <c r="B220" s="9" t="n"/>
      <c r="C220" s="9" t="n"/>
      <c r="D220" s="9" t="n"/>
      <c r="E220" s="9" t="n"/>
      <c r="F220" s="9" t="n"/>
      <c r="G220" s="9" t="n"/>
    </row>
    <row r="221" ht="14.25" customHeight="1" s="38">
      <c r="F221" s="11" t="n"/>
    </row>
    <row r="222" ht="14.25" customHeight="1" s="38">
      <c r="F222" s="11" t="n"/>
    </row>
    <row r="223" ht="14.25" customHeight="1" s="38">
      <c r="F223" s="11" t="n"/>
    </row>
    <row r="224" ht="14.25" customHeight="1" s="38">
      <c r="F224" s="11" t="n"/>
    </row>
    <row r="225" ht="14.25" customHeight="1" s="38">
      <c r="F225" s="11" t="n"/>
    </row>
    <row r="226" ht="14.25" customHeight="1" s="38">
      <c r="F226" s="11" t="n"/>
    </row>
    <row r="227" ht="14.25" customHeight="1" s="38">
      <c r="F227" s="11" t="n"/>
    </row>
    <row r="228" ht="14.25" customHeight="1" s="38">
      <c r="F228" s="11" t="n"/>
    </row>
    <row r="229" ht="14.25" customHeight="1" s="38">
      <c r="F229" s="11" t="n"/>
    </row>
    <row r="230" ht="14.25" customHeight="1" s="38">
      <c r="F230" s="11" t="n"/>
    </row>
    <row r="231" ht="14.25" customHeight="1" s="38">
      <c r="F231" s="11" t="n"/>
    </row>
    <row r="232" ht="14.25" customHeight="1" s="38">
      <c r="F232" s="11" t="n"/>
    </row>
    <row r="233" ht="14.25" customHeight="1" s="38">
      <c r="F233" s="11" t="n"/>
    </row>
    <row r="234" ht="14.25" customHeight="1" s="38">
      <c r="F234" s="11" t="n"/>
    </row>
    <row r="235" ht="14.25" customHeight="1" s="38">
      <c r="F235" s="11" t="n"/>
    </row>
    <row r="236" ht="14.25" customHeight="1" s="38">
      <c r="F236" s="11" t="n"/>
    </row>
    <row r="237" ht="14.25" customHeight="1" s="38">
      <c r="F237" s="11" t="n"/>
    </row>
    <row r="238" ht="14.25" customHeight="1" s="38">
      <c r="F238" s="11" t="n"/>
    </row>
    <row r="239" ht="14.25" customHeight="1" s="38">
      <c r="F239" s="11" t="n"/>
    </row>
    <row r="240" ht="14.25" customHeight="1" s="38">
      <c r="F240" s="11" t="n"/>
    </row>
    <row r="241" ht="14.25" customHeight="1" s="38">
      <c r="F241" s="11" t="n"/>
    </row>
    <row r="242" ht="14.25" customHeight="1" s="38">
      <c r="F242" s="11" t="n"/>
    </row>
    <row r="243" ht="14.25" customHeight="1" s="38">
      <c r="F243" s="11" t="n"/>
    </row>
    <row r="244" ht="14.25" customHeight="1" s="38">
      <c r="F244" s="11" t="n"/>
    </row>
    <row r="245" ht="14.25" customHeight="1" s="38">
      <c r="F245" s="11" t="n"/>
    </row>
    <row r="246" ht="14.25" customHeight="1" s="38">
      <c r="F246" s="11" t="n"/>
    </row>
    <row r="247" ht="14.25" customHeight="1" s="38">
      <c r="F247" s="11" t="n"/>
    </row>
    <row r="248" ht="14.25" customHeight="1" s="38">
      <c r="F248" s="11" t="n"/>
    </row>
    <row r="249" ht="14.25" customHeight="1" s="38">
      <c r="F249" s="11" t="n"/>
    </row>
    <row r="250" ht="14.25" customHeight="1" s="38">
      <c r="F250" s="11" t="n"/>
    </row>
    <row r="251" ht="14.25" customHeight="1" s="38">
      <c r="F251" s="11" t="n"/>
    </row>
    <row r="252" ht="14.25" customHeight="1" s="38">
      <c r="F252" s="11" t="n"/>
    </row>
    <row r="253" ht="14.25" customHeight="1" s="38">
      <c r="F253" s="11" t="n"/>
    </row>
    <row r="254" ht="14.25" customHeight="1" s="38">
      <c r="F254" s="11" t="n"/>
    </row>
    <row r="255" ht="14.25" customHeight="1" s="38">
      <c r="F255" s="11" t="n"/>
    </row>
    <row r="256" ht="14.25" customHeight="1" s="38">
      <c r="F256" s="11" t="n"/>
    </row>
    <row r="257" ht="14.25" customHeight="1" s="38">
      <c r="F257" s="11" t="n"/>
    </row>
    <row r="258" ht="14.25" customHeight="1" s="38">
      <c r="F258" s="11" t="n"/>
    </row>
    <row r="259" ht="14.25" customHeight="1" s="38">
      <c r="F259" s="11" t="n"/>
    </row>
    <row r="260" ht="14.25" customHeight="1" s="38">
      <c r="F260" s="11" t="n"/>
    </row>
    <row r="261" ht="14.25" customHeight="1" s="38">
      <c r="F261" s="11" t="n"/>
    </row>
    <row r="262" ht="14.25" customHeight="1" s="38">
      <c r="F262" s="11" t="n"/>
    </row>
    <row r="263" ht="14.25" customHeight="1" s="38">
      <c r="F263" s="11" t="n"/>
    </row>
    <row r="264" ht="14.25" customHeight="1" s="38">
      <c r="F264" s="11" t="n"/>
    </row>
    <row r="265" ht="14.25" customHeight="1" s="38">
      <c r="F265" s="11" t="n"/>
    </row>
    <row r="266" ht="14.25" customHeight="1" s="38">
      <c r="F266" s="11" t="n"/>
    </row>
    <row r="267" ht="14.25" customHeight="1" s="38">
      <c r="F267" s="11" t="n"/>
    </row>
    <row r="268" ht="14.25" customHeight="1" s="38">
      <c r="F268" s="11" t="n"/>
    </row>
    <row r="269" ht="14.25" customHeight="1" s="38">
      <c r="F269" s="11" t="n"/>
    </row>
    <row r="270" ht="14.25" customHeight="1" s="38">
      <c r="F270" s="11" t="n"/>
    </row>
    <row r="271" ht="14.25" customHeight="1" s="38">
      <c r="F271" s="11" t="n"/>
    </row>
    <row r="272" ht="14.25" customHeight="1" s="38">
      <c r="F272" s="11" t="n"/>
    </row>
    <row r="273" ht="14.25" customHeight="1" s="38">
      <c r="F273" s="11" t="n"/>
    </row>
    <row r="274" ht="14.25" customHeight="1" s="38">
      <c r="F274" s="11" t="n"/>
    </row>
    <row r="275" ht="14.25" customHeight="1" s="38">
      <c r="F275" s="11" t="n"/>
    </row>
    <row r="276" ht="14.25" customHeight="1" s="38">
      <c r="F276" s="11" t="n"/>
    </row>
    <row r="277" ht="14.25" customHeight="1" s="38">
      <c r="F277" s="11" t="n"/>
    </row>
    <row r="278" ht="14.25" customHeight="1" s="38">
      <c r="F278" s="11" t="n"/>
    </row>
    <row r="279" ht="14.25" customHeight="1" s="38">
      <c r="F279" s="11" t="n"/>
    </row>
    <row r="280" ht="14.25" customHeight="1" s="38">
      <c r="F280" s="11" t="n"/>
    </row>
    <row r="281" ht="14.25" customHeight="1" s="38">
      <c r="F281" s="11" t="n"/>
    </row>
    <row r="282" ht="14.25" customHeight="1" s="38">
      <c r="F282" s="11" t="n"/>
    </row>
    <row r="283" ht="14.25" customHeight="1" s="38">
      <c r="F283" s="11" t="n"/>
    </row>
    <row r="284" ht="14.25" customHeight="1" s="38">
      <c r="F284" s="11" t="n"/>
    </row>
    <row r="285" ht="14.25" customHeight="1" s="38">
      <c r="F285" s="11" t="n"/>
    </row>
    <row r="286" ht="14.25" customHeight="1" s="38">
      <c r="F286" s="11" t="n"/>
    </row>
    <row r="287" ht="14.25" customHeight="1" s="38">
      <c r="F287" s="11" t="n"/>
    </row>
    <row r="288" ht="14.25" customHeight="1" s="38">
      <c r="F288" s="11" t="n"/>
    </row>
    <row r="289" ht="14.25" customHeight="1" s="38">
      <c r="F289" s="11" t="n"/>
    </row>
    <row r="290" ht="14.25" customHeight="1" s="38">
      <c r="F290" s="11" t="n"/>
    </row>
    <row r="291" ht="14.25" customHeight="1" s="38">
      <c r="F291" s="11" t="n"/>
    </row>
    <row r="292" ht="14.25" customHeight="1" s="38">
      <c r="F292" s="11" t="n"/>
    </row>
    <row r="293" ht="14.25" customHeight="1" s="38">
      <c r="F293" s="11" t="n"/>
    </row>
    <row r="294" ht="14.25" customHeight="1" s="38">
      <c r="F294" s="11" t="n"/>
    </row>
    <row r="295" ht="14.25" customHeight="1" s="38">
      <c r="F295" s="11" t="n"/>
    </row>
    <row r="296" ht="14.25" customHeight="1" s="38">
      <c r="F296" s="11" t="n"/>
    </row>
    <row r="297" ht="14.25" customHeight="1" s="38">
      <c r="F297" s="11" t="n"/>
    </row>
    <row r="298" ht="14.25" customHeight="1" s="38">
      <c r="F298" s="11" t="n"/>
    </row>
    <row r="299" ht="14.25" customHeight="1" s="38">
      <c r="F299" s="11" t="n"/>
    </row>
    <row r="300" ht="14.25" customHeight="1" s="38">
      <c r="F300" s="11" t="n"/>
    </row>
    <row r="301" ht="14.25" customHeight="1" s="38">
      <c r="F301" s="11" t="n"/>
    </row>
    <row r="302" ht="14.25" customHeight="1" s="38">
      <c r="F302" s="11" t="n"/>
    </row>
    <row r="303" ht="14.25" customHeight="1" s="38">
      <c r="F303" s="11" t="n"/>
    </row>
    <row r="304" ht="14.25" customHeight="1" s="38">
      <c r="F304" s="11" t="n"/>
    </row>
    <row r="305" ht="14.25" customHeight="1" s="38">
      <c r="F305" s="11" t="n"/>
    </row>
    <row r="306" ht="14.25" customHeight="1" s="38">
      <c r="F306" s="11" t="n"/>
    </row>
    <row r="307" ht="14.25" customHeight="1" s="38">
      <c r="F307" s="11" t="n"/>
    </row>
    <row r="308" ht="14.25" customHeight="1" s="38">
      <c r="F308" s="11" t="n"/>
    </row>
    <row r="309" ht="14.25" customHeight="1" s="38">
      <c r="F309" s="11" t="n"/>
    </row>
    <row r="310" ht="14.25" customHeight="1" s="38">
      <c r="F310" s="11" t="n"/>
    </row>
    <row r="311" ht="14.25" customHeight="1" s="38">
      <c r="F311" s="11" t="n"/>
    </row>
    <row r="312" ht="14.25" customHeight="1" s="38">
      <c r="F312" s="11" t="n"/>
    </row>
    <row r="313" ht="14.25" customHeight="1" s="38">
      <c r="F313" s="11" t="n"/>
    </row>
    <row r="314" ht="14.25" customHeight="1" s="38">
      <c r="F314" s="11" t="n"/>
    </row>
    <row r="315" ht="14.25" customHeight="1" s="38">
      <c r="F315" s="11" t="n"/>
    </row>
    <row r="316" ht="14.25" customHeight="1" s="38">
      <c r="F316" s="11" t="n"/>
    </row>
    <row r="317" ht="14.25" customHeight="1" s="38">
      <c r="F317" s="11" t="n"/>
    </row>
    <row r="318" ht="14.25" customHeight="1" s="38">
      <c r="F318" s="11" t="n"/>
    </row>
    <row r="319" ht="14.25" customHeight="1" s="38">
      <c r="F319" s="11" t="n"/>
    </row>
    <row r="320" ht="14.25" customHeight="1" s="38">
      <c r="F320" s="11" t="n"/>
    </row>
    <row r="321" ht="14.25" customHeight="1" s="38">
      <c r="F321" s="11" t="n"/>
    </row>
    <row r="322" ht="14.25" customHeight="1" s="38">
      <c r="F322" s="11" t="n"/>
    </row>
    <row r="323" ht="14.25" customHeight="1" s="38">
      <c r="F323" s="11" t="n"/>
    </row>
    <row r="324" ht="14.25" customHeight="1" s="38">
      <c r="F324" s="11" t="n"/>
    </row>
    <row r="325" ht="14.25" customHeight="1" s="38">
      <c r="F325" s="11" t="n"/>
    </row>
    <row r="326" ht="14.25" customHeight="1" s="38">
      <c r="F326" s="11" t="n"/>
    </row>
    <row r="327" ht="14.25" customHeight="1" s="38">
      <c r="F327" s="11" t="n"/>
    </row>
    <row r="328" ht="14.25" customHeight="1" s="38">
      <c r="F328" s="11" t="n"/>
    </row>
    <row r="329" ht="14.25" customHeight="1" s="38">
      <c r="F329" s="11" t="n"/>
    </row>
    <row r="330" ht="14.25" customHeight="1" s="38">
      <c r="F330" s="11" t="n"/>
    </row>
    <row r="331" ht="14.25" customHeight="1" s="38">
      <c r="F331" s="11" t="n"/>
    </row>
    <row r="332" ht="14.25" customHeight="1" s="38">
      <c r="F332" s="11" t="n"/>
    </row>
    <row r="333" ht="14.25" customHeight="1" s="38">
      <c r="F333" s="11" t="n"/>
    </row>
    <row r="334" ht="14.25" customHeight="1" s="38">
      <c r="F334" s="11" t="n"/>
    </row>
    <row r="335" ht="14.25" customHeight="1" s="38">
      <c r="F335" s="11" t="n"/>
    </row>
    <row r="336" ht="14.25" customHeight="1" s="38">
      <c r="F336" s="11" t="n"/>
    </row>
    <row r="337" ht="14.25" customHeight="1" s="38">
      <c r="F337" s="11" t="n"/>
    </row>
    <row r="338" ht="14.25" customHeight="1" s="38">
      <c r="F338" s="11" t="n"/>
    </row>
    <row r="339" ht="14.25" customHeight="1" s="38">
      <c r="F339" s="11" t="n"/>
    </row>
    <row r="340" ht="14.25" customHeight="1" s="38">
      <c r="F340" s="11" t="n"/>
    </row>
    <row r="341" ht="14.25" customHeight="1" s="38">
      <c r="F341" s="11" t="n"/>
    </row>
    <row r="342" ht="14.25" customHeight="1" s="38">
      <c r="F342" s="11" t="n"/>
    </row>
    <row r="343" ht="14.25" customHeight="1" s="38">
      <c r="F343" s="11" t="n"/>
    </row>
    <row r="344" ht="14.25" customHeight="1" s="38">
      <c r="F344" s="11" t="n"/>
    </row>
    <row r="345" ht="14.25" customHeight="1" s="38">
      <c r="F345" s="11" t="n"/>
    </row>
    <row r="346" ht="14.25" customHeight="1" s="38">
      <c r="F346" s="11" t="n"/>
    </row>
    <row r="347" ht="14.25" customHeight="1" s="38">
      <c r="F347" s="11" t="n"/>
    </row>
    <row r="348" ht="14.25" customHeight="1" s="38">
      <c r="F348" s="11" t="n"/>
    </row>
    <row r="349" ht="14.25" customHeight="1" s="38">
      <c r="F349" s="11" t="n"/>
    </row>
    <row r="350" ht="14.25" customHeight="1" s="38">
      <c r="F350" s="11" t="n"/>
    </row>
    <row r="351" ht="14.25" customHeight="1" s="38">
      <c r="F351" s="11" t="n"/>
    </row>
    <row r="352" ht="14.25" customHeight="1" s="38">
      <c r="F352" s="11" t="n"/>
    </row>
    <row r="353" ht="14.25" customHeight="1" s="38">
      <c r="F353" s="11" t="n"/>
    </row>
    <row r="354" ht="14.25" customHeight="1" s="38">
      <c r="F354" s="11" t="n"/>
    </row>
    <row r="355" ht="14.25" customHeight="1" s="38">
      <c r="F355" s="11" t="n"/>
    </row>
    <row r="356" ht="14.25" customHeight="1" s="38">
      <c r="F356" s="11" t="n"/>
    </row>
    <row r="357" ht="14.25" customHeight="1" s="38">
      <c r="F357" s="11" t="n"/>
    </row>
    <row r="358" ht="14.25" customHeight="1" s="38">
      <c r="F358" s="11" t="n"/>
    </row>
    <row r="359" ht="14.25" customHeight="1" s="38">
      <c r="F359" s="11" t="n"/>
    </row>
    <row r="360" ht="14.25" customHeight="1" s="38">
      <c r="F360" s="11" t="n"/>
    </row>
    <row r="361" ht="14.25" customHeight="1" s="38">
      <c r="F361" s="11" t="n"/>
    </row>
    <row r="362" ht="14.25" customHeight="1" s="38">
      <c r="F362" s="11" t="n"/>
    </row>
    <row r="363" ht="14.25" customHeight="1" s="38">
      <c r="F363" s="11" t="n"/>
    </row>
    <row r="364" ht="14.25" customHeight="1" s="38">
      <c r="F364" s="11" t="n"/>
    </row>
    <row r="365" ht="14.25" customHeight="1" s="38">
      <c r="F365" s="11" t="n"/>
    </row>
    <row r="366" ht="14.25" customHeight="1" s="38">
      <c r="F366" s="11" t="n"/>
    </row>
    <row r="367" ht="14.25" customHeight="1" s="38">
      <c r="F367" s="11" t="n"/>
    </row>
    <row r="368" ht="14.25" customHeight="1" s="38">
      <c r="F368" s="11" t="n"/>
    </row>
    <row r="369" ht="14.25" customHeight="1" s="38">
      <c r="F369" s="11" t="n"/>
    </row>
    <row r="370" ht="14.25" customHeight="1" s="38">
      <c r="F370" s="11" t="n"/>
    </row>
    <row r="371" ht="14.25" customHeight="1" s="38">
      <c r="F371" s="11" t="n"/>
    </row>
    <row r="372" ht="14.25" customHeight="1" s="38">
      <c r="F372" s="11" t="n"/>
    </row>
    <row r="373" ht="14.25" customHeight="1" s="38">
      <c r="F373" s="11" t="n"/>
    </row>
    <row r="374" ht="14.25" customHeight="1" s="38">
      <c r="F374" s="11" t="n"/>
    </row>
    <row r="375" ht="14.25" customHeight="1" s="38">
      <c r="F375" s="11" t="n"/>
    </row>
    <row r="376" ht="14.25" customHeight="1" s="38">
      <c r="F376" s="11" t="n"/>
    </row>
    <row r="377" ht="14.25" customHeight="1" s="38">
      <c r="F377" s="11" t="n"/>
    </row>
    <row r="378" ht="14.25" customHeight="1" s="38">
      <c r="F378" s="11" t="n"/>
    </row>
    <row r="379" ht="14.25" customHeight="1" s="38">
      <c r="F379" s="11" t="n"/>
    </row>
    <row r="380" ht="14.25" customHeight="1" s="38">
      <c r="F380" s="11" t="n"/>
    </row>
    <row r="381" ht="14.25" customHeight="1" s="38">
      <c r="F381" s="11" t="n"/>
    </row>
    <row r="382" ht="14.25" customHeight="1" s="38">
      <c r="F382" s="11" t="n"/>
    </row>
    <row r="383" ht="14.25" customHeight="1" s="38">
      <c r="F383" s="11" t="n"/>
    </row>
    <row r="384" ht="14.25" customHeight="1" s="38">
      <c r="F384" s="11" t="n"/>
    </row>
    <row r="385" ht="14.25" customHeight="1" s="38">
      <c r="F385" s="11" t="n"/>
    </row>
    <row r="386" ht="14.25" customHeight="1" s="38">
      <c r="F386" s="11" t="n"/>
    </row>
    <row r="387" ht="14.25" customHeight="1" s="38">
      <c r="F387" s="11" t="n"/>
    </row>
    <row r="388" ht="14.25" customHeight="1" s="38">
      <c r="F388" s="11" t="n"/>
    </row>
    <row r="389" ht="14.25" customHeight="1" s="38">
      <c r="F389" s="11" t="n"/>
    </row>
    <row r="390" ht="14.25" customHeight="1" s="38">
      <c r="F390" s="11" t="n"/>
    </row>
    <row r="391" ht="14.25" customHeight="1" s="38">
      <c r="F391" s="11" t="n"/>
    </row>
    <row r="392" ht="14.25" customHeight="1" s="38">
      <c r="F392" s="11" t="n"/>
    </row>
    <row r="393" ht="14.25" customHeight="1" s="38">
      <c r="F393" s="11" t="n"/>
    </row>
    <row r="394" ht="14.25" customHeight="1" s="38">
      <c r="F394" s="11" t="n"/>
    </row>
    <row r="395" ht="14.25" customHeight="1" s="38">
      <c r="F395" s="11" t="n"/>
    </row>
    <row r="396" ht="14.25" customHeight="1" s="38">
      <c r="F396" s="11" t="n"/>
    </row>
    <row r="397" ht="14.25" customHeight="1" s="38">
      <c r="F397" s="11" t="n"/>
    </row>
    <row r="398" ht="14.25" customHeight="1" s="38">
      <c r="F398" s="11" t="n"/>
    </row>
    <row r="399" ht="14.25" customHeight="1" s="38">
      <c r="F399" s="11" t="n"/>
    </row>
    <row r="400" ht="14.25" customHeight="1" s="38">
      <c r="F400" s="11" t="n"/>
    </row>
    <row r="401" ht="14.25" customHeight="1" s="38">
      <c r="F401" s="11" t="n"/>
    </row>
    <row r="402" ht="14.25" customHeight="1" s="38">
      <c r="F402" s="11" t="n"/>
    </row>
    <row r="403" ht="14.25" customHeight="1" s="38">
      <c r="F403" s="11" t="n"/>
    </row>
    <row r="404" ht="14.25" customHeight="1" s="38">
      <c r="F404" s="11" t="n"/>
    </row>
    <row r="405" ht="14.25" customHeight="1" s="38">
      <c r="F405" s="11" t="n"/>
    </row>
    <row r="406" ht="14.25" customHeight="1" s="38">
      <c r="F406" s="11" t="n"/>
    </row>
    <row r="407" ht="14.25" customHeight="1" s="38">
      <c r="F407" s="11" t="n"/>
    </row>
    <row r="408" ht="14.25" customHeight="1" s="38">
      <c r="F408" s="11" t="n"/>
    </row>
    <row r="409" ht="14.25" customHeight="1" s="38">
      <c r="F409" s="11" t="n"/>
    </row>
    <row r="410" ht="14.25" customHeight="1" s="38">
      <c r="F410" s="11" t="n"/>
    </row>
    <row r="411" ht="14.25" customHeight="1" s="38">
      <c r="F411" s="11" t="n"/>
    </row>
    <row r="412" ht="14.25" customHeight="1" s="38">
      <c r="F412" s="11" t="n"/>
    </row>
    <row r="413" ht="14.25" customHeight="1" s="38">
      <c r="F413" s="11" t="n"/>
    </row>
    <row r="414" ht="14.25" customHeight="1" s="38">
      <c r="F414" s="11" t="n"/>
    </row>
    <row r="415" ht="14.25" customHeight="1" s="38">
      <c r="F415" s="11" t="n"/>
    </row>
    <row r="416" ht="14.25" customHeight="1" s="38">
      <c r="F416" s="11" t="n"/>
    </row>
    <row r="417" ht="14.25" customHeight="1" s="38">
      <c r="F417" s="11" t="n"/>
    </row>
    <row r="418" ht="14.25" customHeight="1" s="38">
      <c r="F418" s="11" t="n"/>
    </row>
    <row r="419" ht="14.25" customHeight="1" s="38">
      <c r="F419" s="11" t="n"/>
    </row>
    <row r="420" ht="14.25" customHeight="1" s="38">
      <c r="F420" s="11" t="n"/>
    </row>
    <row r="421" ht="14.25" customHeight="1" s="38">
      <c r="F421" s="11" t="n"/>
    </row>
    <row r="422" ht="14.25" customHeight="1" s="38">
      <c r="F422" s="11" t="n"/>
    </row>
    <row r="423" ht="14.25" customHeight="1" s="38">
      <c r="F423" s="11" t="n"/>
    </row>
    <row r="424" ht="14.25" customHeight="1" s="38">
      <c r="F424" s="11" t="n"/>
    </row>
    <row r="425" ht="14.25" customHeight="1" s="38">
      <c r="F425" s="11" t="n"/>
    </row>
    <row r="426" ht="14.25" customHeight="1" s="38">
      <c r="F426" s="11" t="n"/>
    </row>
    <row r="427" ht="14.25" customHeight="1" s="38">
      <c r="F427" s="11" t="n"/>
    </row>
    <row r="428" ht="14.25" customHeight="1" s="38">
      <c r="F428" s="11" t="n"/>
    </row>
    <row r="429" ht="14.25" customHeight="1" s="38">
      <c r="F429" s="11" t="n"/>
    </row>
    <row r="430" ht="14.25" customHeight="1" s="38">
      <c r="F430" s="11" t="n"/>
    </row>
    <row r="431" ht="14.25" customHeight="1" s="38">
      <c r="F431" s="11" t="n"/>
    </row>
    <row r="432" ht="14.25" customHeight="1" s="38">
      <c r="F432" s="11" t="n"/>
    </row>
    <row r="433" ht="14.25" customHeight="1" s="38">
      <c r="F433" s="11" t="n"/>
    </row>
    <row r="434" ht="14.25" customHeight="1" s="38">
      <c r="F434" s="11" t="n"/>
    </row>
    <row r="435" ht="14.25" customHeight="1" s="38">
      <c r="F435" s="11" t="n"/>
    </row>
    <row r="436" ht="14.25" customHeight="1" s="38">
      <c r="F436" s="11" t="n"/>
    </row>
    <row r="437" ht="14.25" customHeight="1" s="38">
      <c r="F437" s="11" t="n"/>
    </row>
    <row r="438" ht="14.25" customHeight="1" s="38">
      <c r="F438" s="11" t="n"/>
    </row>
    <row r="439" ht="14.25" customHeight="1" s="38">
      <c r="F439" s="11" t="n"/>
    </row>
    <row r="440" ht="14.25" customHeight="1" s="38">
      <c r="F440" s="11" t="n"/>
    </row>
    <row r="441" ht="14.25" customHeight="1" s="38">
      <c r="F441" s="11" t="n"/>
    </row>
    <row r="442" ht="14.25" customHeight="1" s="38">
      <c r="F442" s="11" t="n"/>
    </row>
    <row r="443" ht="14.25" customHeight="1" s="38">
      <c r="F443" s="11" t="n"/>
    </row>
    <row r="444" ht="14.25" customHeight="1" s="38">
      <c r="F444" s="11" t="n"/>
    </row>
    <row r="445" ht="14.25" customHeight="1" s="38">
      <c r="F445" s="11" t="n"/>
    </row>
    <row r="446" ht="14.25" customHeight="1" s="38">
      <c r="F446" s="11" t="n"/>
    </row>
    <row r="447" ht="14.25" customHeight="1" s="38">
      <c r="F447" s="11" t="n"/>
    </row>
    <row r="448" ht="14.25" customHeight="1" s="38">
      <c r="F448" s="11" t="n"/>
    </row>
    <row r="449" ht="14.25" customHeight="1" s="38">
      <c r="F449" s="11" t="n"/>
    </row>
    <row r="450" ht="14.25" customHeight="1" s="38">
      <c r="F450" s="11" t="n"/>
    </row>
    <row r="451" ht="14.25" customHeight="1" s="38">
      <c r="F451" s="11" t="n"/>
    </row>
    <row r="452" ht="14.25" customHeight="1" s="38">
      <c r="F452" s="11" t="n"/>
    </row>
    <row r="453" ht="14.25" customHeight="1" s="38">
      <c r="F453" s="11" t="n"/>
    </row>
    <row r="454" ht="14.25" customHeight="1" s="38">
      <c r="F454" s="11" t="n"/>
    </row>
    <row r="455" ht="14.25" customHeight="1" s="38">
      <c r="F455" s="11" t="n"/>
    </row>
    <row r="456" ht="14.25" customHeight="1" s="38">
      <c r="F456" s="11" t="n"/>
    </row>
    <row r="457" ht="14.25" customHeight="1" s="38">
      <c r="F457" s="11" t="n"/>
    </row>
    <row r="458" ht="14.25" customHeight="1" s="38">
      <c r="F458" s="11" t="n"/>
    </row>
    <row r="459" ht="14.25" customHeight="1" s="38">
      <c r="F459" s="11" t="n"/>
    </row>
    <row r="460" ht="14.25" customHeight="1" s="38">
      <c r="F460" s="11" t="n"/>
    </row>
    <row r="461" ht="14.25" customHeight="1" s="38">
      <c r="F461" s="11" t="n"/>
    </row>
    <row r="462" ht="14.25" customHeight="1" s="38">
      <c r="F462" s="11" t="n"/>
    </row>
    <row r="463" ht="14.25" customHeight="1" s="38">
      <c r="F463" s="11" t="n"/>
    </row>
    <row r="464" ht="14.25" customHeight="1" s="38">
      <c r="F464" s="11" t="n"/>
    </row>
    <row r="465" ht="14.25" customHeight="1" s="38">
      <c r="F465" s="11" t="n"/>
    </row>
    <row r="466" ht="14.25" customHeight="1" s="38">
      <c r="F466" s="11" t="n"/>
    </row>
    <row r="467" ht="14.25" customHeight="1" s="38">
      <c r="F467" s="11" t="n"/>
    </row>
    <row r="468" ht="14.25" customHeight="1" s="38">
      <c r="F468" s="11" t="n"/>
    </row>
    <row r="469" ht="14.25" customHeight="1" s="38">
      <c r="F469" s="11" t="n"/>
    </row>
    <row r="470" ht="14.25" customHeight="1" s="38">
      <c r="F470" s="11" t="n"/>
    </row>
    <row r="471" ht="14.25" customHeight="1" s="38">
      <c r="F471" s="11" t="n"/>
    </row>
    <row r="472" ht="14.25" customHeight="1" s="38">
      <c r="F472" s="11" t="n"/>
    </row>
    <row r="473" ht="14.25" customHeight="1" s="38">
      <c r="F473" s="11" t="n"/>
    </row>
    <row r="474" ht="14.25" customHeight="1" s="38">
      <c r="F474" s="11" t="n"/>
    </row>
    <row r="475" ht="14.25" customHeight="1" s="38">
      <c r="F475" s="11" t="n"/>
    </row>
    <row r="476" ht="14.25" customHeight="1" s="38">
      <c r="F476" s="11" t="n"/>
    </row>
    <row r="477" ht="14.25" customHeight="1" s="38">
      <c r="F477" s="11" t="n"/>
    </row>
    <row r="478" ht="14.25" customHeight="1" s="38">
      <c r="F478" s="11" t="n"/>
    </row>
    <row r="479" ht="14.25" customHeight="1" s="38">
      <c r="F479" s="11" t="n"/>
    </row>
    <row r="480" ht="14.25" customHeight="1" s="38">
      <c r="F480" s="11" t="n"/>
    </row>
    <row r="481" ht="14.25" customHeight="1" s="38">
      <c r="F481" s="11" t="n"/>
    </row>
    <row r="482" ht="14.25" customHeight="1" s="38">
      <c r="F482" s="11" t="n"/>
    </row>
    <row r="483" ht="14.25" customHeight="1" s="38">
      <c r="F483" s="11" t="n"/>
    </row>
    <row r="484" ht="14.25" customHeight="1" s="38">
      <c r="F484" s="11" t="n"/>
    </row>
    <row r="485" ht="14.25" customHeight="1" s="38">
      <c r="F485" s="11" t="n"/>
    </row>
    <row r="486" ht="14.25" customHeight="1" s="38">
      <c r="F486" s="11" t="n"/>
    </row>
    <row r="487" ht="14.25" customHeight="1" s="38">
      <c r="F487" s="11" t="n"/>
    </row>
    <row r="488" ht="14.25" customHeight="1" s="38">
      <c r="F488" s="11" t="n"/>
    </row>
    <row r="489" ht="14.25" customHeight="1" s="38">
      <c r="F489" s="11" t="n"/>
    </row>
    <row r="490" ht="14.25" customHeight="1" s="38">
      <c r="F490" s="11" t="n"/>
    </row>
    <row r="491" ht="14.25" customHeight="1" s="38">
      <c r="F491" s="11" t="n"/>
    </row>
    <row r="492" ht="14.25" customHeight="1" s="38">
      <c r="F492" s="11" t="n"/>
    </row>
    <row r="493" ht="14.25" customHeight="1" s="38">
      <c r="F493" s="11" t="n"/>
    </row>
    <row r="494" ht="14.25" customHeight="1" s="38">
      <c r="F494" s="11" t="n"/>
    </row>
    <row r="495" ht="14.25" customHeight="1" s="38">
      <c r="F495" s="11" t="n"/>
    </row>
    <row r="496" ht="14.25" customHeight="1" s="38">
      <c r="F496" s="11" t="n"/>
    </row>
    <row r="497" ht="14.25" customHeight="1" s="38">
      <c r="F497" s="11" t="n"/>
    </row>
    <row r="498" ht="14.25" customHeight="1" s="38">
      <c r="F498" s="11" t="n"/>
    </row>
    <row r="499" ht="14.25" customHeight="1" s="38">
      <c r="F499" s="11" t="n"/>
    </row>
    <row r="500" ht="14.25" customHeight="1" s="38">
      <c r="F500" s="11" t="n"/>
    </row>
    <row r="501" ht="14.25" customHeight="1" s="38">
      <c r="F501" s="11" t="n"/>
    </row>
    <row r="502" ht="14.25" customHeight="1" s="38">
      <c r="F502" s="11" t="n"/>
    </row>
    <row r="503" ht="14.25" customHeight="1" s="38">
      <c r="F503" s="11" t="n"/>
    </row>
    <row r="504" ht="14.25" customHeight="1" s="38">
      <c r="F504" s="11" t="n"/>
    </row>
    <row r="505" ht="14.25" customHeight="1" s="38">
      <c r="F505" s="11" t="n"/>
    </row>
    <row r="506" ht="14.25" customHeight="1" s="38">
      <c r="F506" s="11" t="n"/>
    </row>
    <row r="507" ht="14.25" customHeight="1" s="38">
      <c r="F507" s="11" t="n"/>
    </row>
    <row r="508" ht="14.25" customHeight="1" s="38">
      <c r="F508" s="11" t="n"/>
    </row>
    <row r="509" ht="14.25" customHeight="1" s="38">
      <c r="F509" s="11" t="n"/>
    </row>
    <row r="510" ht="14.25" customHeight="1" s="38">
      <c r="F510" s="11" t="n"/>
    </row>
    <row r="511" ht="14.25" customHeight="1" s="38">
      <c r="F511" s="11" t="n"/>
    </row>
    <row r="512" ht="14.25" customHeight="1" s="38">
      <c r="F512" s="11" t="n"/>
    </row>
    <row r="513" ht="14.25" customHeight="1" s="38">
      <c r="F513" s="11" t="n"/>
    </row>
    <row r="514" ht="14.25" customHeight="1" s="38">
      <c r="F514" s="11" t="n"/>
    </row>
    <row r="515" ht="14.25" customHeight="1" s="38">
      <c r="F515" s="11" t="n"/>
    </row>
    <row r="516" ht="14.25" customHeight="1" s="38">
      <c r="F516" s="11" t="n"/>
    </row>
    <row r="517" ht="14.25" customHeight="1" s="38">
      <c r="F517" s="11" t="n"/>
    </row>
    <row r="518" ht="14.25" customHeight="1" s="38">
      <c r="F518" s="11" t="n"/>
    </row>
    <row r="519" ht="14.25" customHeight="1" s="38">
      <c r="F519" s="11" t="n"/>
    </row>
    <row r="520" ht="14.25" customHeight="1" s="38">
      <c r="F520" s="11" t="n"/>
    </row>
    <row r="521" ht="14.25" customHeight="1" s="38">
      <c r="F521" s="11" t="n"/>
    </row>
    <row r="522" ht="14.25" customHeight="1" s="38">
      <c r="F522" s="11" t="n"/>
    </row>
    <row r="523" ht="14.25" customHeight="1" s="38">
      <c r="F523" s="11" t="n"/>
    </row>
    <row r="524" ht="14.25" customHeight="1" s="38">
      <c r="F524" s="11" t="n"/>
    </row>
    <row r="525" ht="14.25" customHeight="1" s="38">
      <c r="F525" s="11" t="n"/>
    </row>
    <row r="526" ht="14.25" customHeight="1" s="38">
      <c r="F526" s="11" t="n"/>
    </row>
    <row r="527" ht="14.25" customHeight="1" s="38">
      <c r="F527" s="11" t="n"/>
    </row>
    <row r="528" ht="14.25" customHeight="1" s="38">
      <c r="F528" s="11" t="n"/>
    </row>
    <row r="529" ht="14.25" customHeight="1" s="38">
      <c r="F529" s="11" t="n"/>
    </row>
    <row r="530" ht="14.25" customHeight="1" s="38">
      <c r="F530" s="11" t="n"/>
    </row>
    <row r="531" ht="14.25" customHeight="1" s="38">
      <c r="F531" s="11" t="n"/>
    </row>
    <row r="532" ht="14.25" customHeight="1" s="38">
      <c r="F532" s="11" t="n"/>
    </row>
    <row r="533" ht="14.25" customHeight="1" s="38">
      <c r="F533" s="11" t="n"/>
    </row>
    <row r="534" ht="14.25" customHeight="1" s="38">
      <c r="F534" s="11" t="n"/>
    </row>
    <row r="535" ht="14.25" customHeight="1" s="38">
      <c r="F535" s="11" t="n"/>
    </row>
    <row r="536" ht="14.25" customHeight="1" s="38">
      <c r="F536" s="11" t="n"/>
    </row>
    <row r="537" ht="14.25" customHeight="1" s="38">
      <c r="F537" s="11" t="n"/>
    </row>
    <row r="538" ht="14.25" customHeight="1" s="38">
      <c r="F538" s="11" t="n"/>
    </row>
    <row r="539" ht="14.25" customHeight="1" s="38">
      <c r="F539" s="11" t="n"/>
    </row>
    <row r="540" ht="14.25" customHeight="1" s="38">
      <c r="F540" s="11" t="n"/>
    </row>
    <row r="541" ht="14.25" customHeight="1" s="38">
      <c r="F541" s="11" t="n"/>
    </row>
    <row r="542" ht="14.25" customHeight="1" s="38">
      <c r="F542" s="11" t="n"/>
    </row>
    <row r="543" ht="14.25" customHeight="1" s="38">
      <c r="F543" s="11" t="n"/>
    </row>
    <row r="544" ht="14.25" customHeight="1" s="38">
      <c r="F544" s="11" t="n"/>
    </row>
    <row r="545" ht="14.25" customHeight="1" s="38">
      <c r="F545" s="11" t="n"/>
    </row>
    <row r="546" ht="14.25" customHeight="1" s="38">
      <c r="F546" s="11" t="n"/>
    </row>
    <row r="547" ht="14.25" customHeight="1" s="38">
      <c r="F547" s="11" t="n"/>
    </row>
    <row r="548" ht="14.25" customHeight="1" s="38">
      <c r="F548" s="11" t="n"/>
    </row>
    <row r="549" ht="14.25" customHeight="1" s="38">
      <c r="F549" s="11" t="n"/>
    </row>
    <row r="550" ht="14.25" customHeight="1" s="38">
      <c r="F550" s="11" t="n"/>
    </row>
    <row r="551" ht="14.25" customHeight="1" s="38">
      <c r="F551" s="11" t="n"/>
    </row>
    <row r="552" ht="14.25" customHeight="1" s="38">
      <c r="F552" s="11" t="n"/>
    </row>
    <row r="553" ht="14.25" customHeight="1" s="38">
      <c r="F553" s="11" t="n"/>
    </row>
    <row r="554" ht="14.25" customHeight="1" s="38">
      <c r="F554" s="11" t="n"/>
    </row>
    <row r="555" ht="14.25" customHeight="1" s="38">
      <c r="F555" s="11" t="n"/>
    </row>
    <row r="556" ht="14.25" customHeight="1" s="38">
      <c r="F556" s="11" t="n"/>
    </row>
    <row r="557" ht="14.25" customHeight="1" s="38">
      <c r="F557" s="11" t="n"/>
    </row>
    <row r="558" ht="14.25" customHeight="1" s="38">
      <c r="F558" s="11" t="n"/>
    </row>
    <row r="559" ht="14.25" customHeight="1" s="38">
      <c r="F559" s="11" t="n"/>
    </row>
    <row r="560" ht="14.25" customHeight="1" s="38">
      <c r="F560" s="11" t="n"/>
    </row>
    <row r="561" ht="14.25" customHeight="1" s="38">
      <c r="F561" s="11" t="n"/>
    </row>
    <row r="562" ht="14.25" customHeight="1" s="38">
      <c r="F562" s="11" t="n"/>
    </row>
    <row r="563" ht="14.25" customHeight="1" s="38">
      <c r="F563" s="11" t="n"/>
    </row>
    <row r="564" ht="14.25" customHeight="1" s="38">
      <c r="F564" s="11" t="n"/>
    </row>
    <row r="565" ht="14.25" customHeight="1" s="38">
      <c r="F565" s="11" t="n"/>
    </row>
    <row r="566" ht="14.25" customHeight="1" s="38">
      <c r="F566" s="11" t="n"/>
    </row>
    <row r="567" ht="14.25" customHeight="1" s="38">
      <c r="F567" s="11" t="n"/>
    </row>
    <row r="568" ht="14.25" customHeight="1" s="38">
      <c r="F568" s="11" t="n"/>
    </row>
    <row r="569" ht="14.25" customHeight="1" s="38">
      <c r="F569" s="11" t="n"/>
    </row>
    <row r="570" ht="14.25" customHeight="1" s="38">
      <c r="F570" s="11" t="n"/>
    </row>
    <row r="571" ht="14.25" customHeight="1" s="38">
      <c r="F571" s="11" t="n"/>
    </row>
    <row r="572" ht="14.25" customHeight="1" s="38">
      <c r="F572" s="11" t="n"/>
    </row>
    <row r="573" ht="14.25" customHeight="1" s="38">
      <c r="F573" s="11" t="n"/>
    </row>
    <row r="574" ht="14.25" customHeight="1" s="38">
      <c r="F574" s="11" t="n"/>
    </row>
    <row r="575" ht="14.25" customHeight="1" s="38">
      <c r="F575" s="11" t="n"/>
    </row>
    <row r="576" ht="14.25" customHeight="1" s="38">
      <c r="F576" s="11" t="n"/>
    </row>
    <row r="577" ht="14.25" customHeight="1" s="38">
      <c r="F577" s="11" t="n"/>
    </row>
    <row r="578" ht="14.25" customHeight="1" s="38">
      <c r="F578" s="11" t="n"/>
    </row>
    <row r="579" ht="14.25" customHeight="1" s="38">
      <c r="F579" s="11" t="n"/>
    </row>
    <row r="580" ht="14.25" customHeight="1" s="38">
      <c r="F580" s="11" t="n"/>
    </row>
    <row r="581" ht="14.25" customHeight="1" s="38">
      <c r="F581" s="11" t="n"/>
    </row>
    <row r="582" ht="14.25" customHeight="1" s="38">
      <c r="F582" s="11" t="n"/>
    </row>
    <row r="583" ht="14.25" customHeight="1" s="38">
      <c r="F583" s="11" t="n"/>
    </row>
    <row r="584" ht="14.25" customHeight="1" s="38">
      <c r="F584" s="11" t="n"/>
    </row>
    <row r="585" ht="14.25" customHeight="1" s="38">
      <c r="F585" s="11" t="n"/>
    </row>
    <row r="586" ht="14.25" customHeight="1" s="38">
      <c r="F586" s="11" t="n"/>
    </row>
    <row r="587" ht="14.25" customHeight="1" s="38">
      <c r="F587" s="11" t="n"/>
    </row>
    <row r="588" ht="14.25" customHeight="1" s="38">
      <c r="F588" s="11" t="n"/>
    </row>
    <row r="589" ht="14.25" customHeight="1" s="38">
      <c r="F589" s="11" t="n"/>
    </row>
    <row r="590" ht="14.25" customHeight="1" s="38">
      <c r="F590" s="11" t="n"/>
    </row>
    <row r="591" ht="14.25" customHeight="1" s="38">
      <c r="F591" s="11" t="n"/>
    </row>
    <row r="592" ht="14.25" customHeight="1" s="38">
      <c r="F592" s="11" t="n"/>
    </row>
    <row r="593" ht="14.25" customHeight="1" s="38">
      <c r="F593" s="11" t="n"/>
    </row>
    <row r="594" ht="14.25" customHeight="1" s="38">
      <c r="F594" s="11" t="n"/>
    </row>
    <row r="595" ht="14.25" customHeight="1" s="38">
      <c r="F595" s="11" t="n"/>
    </row>
    <row r="596" ht="14.25" customHeight="1" s="38">
      <c r="F596" s="11" t="n"/>
    </row>
    <row r="597" ht="14.25" customHeight="1" s="38">
      <c r="F597" s="11" t="n"/>
    </row>
    <row r="598" ht="14.25" customHeight="1" s="38">
      <c r="F598" s="11" t="n"/>
    </row>
    <row r="599" ht="14.25" customHeight="1" s="38">
      <c r="F599" s="11" t="n"/>
    </row>
    <row r="600" ht="14.25" customHeight="1" s="38">
      <c r="F600" s="11" t="n"/>
    </row>
    <row r="601" ht="14.25" customHeight="1" s="38">
      <c r="F601" s="11" t="n"/>
    </row>
    <row r="602" ht="14.25" customHeight="1" s="38">
      <c r="F602" s="11" t="n"/>
    </row>
    <row r="603" ht="14.25" customHeight="1" s="38">
      <c r="F603" s="11" t="n"/>
    </row>
    <row r="604" ht="14.25" customHeight="1" s="38">
      <c r="F604" s="11" t="n"/>
    </row>
    <row r="605" ht="14.25" customHeight="1" s="38">
      <c r="F605" s="11" t="n"/>
    </row>
    <row r="606" ht="14.25" customHeight="1" s="38">
      <c r="F606" s="11" t="n"/>
    </row>
    <row r="607" ht="14.25" customHeight="1" s="38">
      <c r="F607" s="11" t="n"/>
    </row>
    <row r="608" ht="14.25" customHeight="1" s="38">
      <c r="F608" s="11" t="n"/>
    </row>
    <row r="609" ht="14.25" customHeight="1" s="38">
      <c r="F609" s="11" t="n"/>
    </row>
    <row r="610" ht="14.25" customHeight="1" s="38">
      <c r="F610" s="11" t="n"/>
    </row>
    <row r="611" ht="14.25" customHeight="1" s="38">
      <c r="F611" s="11" t="n"/>
    </row>
    <row r="612" ht="14.25" customHeight="1" s="38">
      <c r="F612" s="11" t="n"/>
    </row>
    <row r="613" ht="14.25" customHeight="1" s="38">
      <c r="F613" s="11" t="n"/>
    </row>
    <row r="614" ht="14.25" customHeight="1" s="38">
      <c r="F614" s="11" t="n"/>
    </row>
    <row r="615" ht="14.25" customHeight="1" s="38">
      <c r="F615" s="11" t="n"/>
    </row>
    <row r="616" ht="14.25" customHeight="1" s="38">
      <c r="F616" s="11" t="n"/>
    </row>
    <row r="617" ht="14.25" customHeight="1" s="38">
      <c r="F617" s="11" t="n"/>
    </row>
    <row r="618" ht="14.25" customHeight="1" s="38">
      <c r="F618" s="11" t="n"/>
    </row>
    <row r="619" ht="14.25" customHeight="1" s="38">
      <c r="F619" s="11" t="n"/>
    </row>
    <row r="620" ht="14.25" customHeight="1" s="38">
      <c r="F620" s="11" t="n"/>
    </row>
    <row r="621" ht="14.25" customHeight="1" s="38">
      <c r="F621" s="11" t="n"/>
    </row>
    <row r="622" ht="14.25" customHeight="1" s="38">
      <c r="F622" s="11" t="n"/>
    </row>
    <row r="623" ht="14.25" customHeight="1" s="38">
      <c r="F623" s="11" t="n"/>
    </row>
    <row r="624" ht="14.25" customHeight="1" s="38">
      <c r="F624" s="11" t="n"/>
    </row>
    <row r="625" ht="14.25" customHeight="1" s="38">
      <c r="F625" s="11" t="n"/>
    </row>
    <row r="626" ht="14.25" customHeight="1" s="38">
      <c r="F626" s="11" t="n"/>
    </row>
    <row r="627" ht="14.25" customHeight="1" s="38">
      <c r="F627" s="11" t="n"/>
    </row>
    <row r="628" ht="14.25" customHeight="1" s="38">
      <c r="F628" s="11" t="n"/>
    </row>
    <row r="629" ht="14.25" customHeight="1" s="38">
      <c r="F629" s="11" t="n"/>
    </row>
    <row r="630" ht="14.25" customHeight="1" s="38">
      <c r="F630" s="11" t="n"/>
    </row>
    <row r="631" ht="14.25" customHeight="1" s="38">
      <c r="F631" s="11" t="n"/>
    </row>
    <row r="632" ht="14.25" customHeight="1" s="38">
      <c r="F632" s="11" t="n"/>
    </row>
    <row r="633" ht="14.25" customHeight="1" s="38">
      <c r="F633" s="11" t="n"/>
    </row>
    <row r="634" ht="14.25" customHeight="1" s="38">
      <c r="F634" s="11" t="n"/>
    </row>
    <row r="635" ht="14.25" customHeight="1" s="38">
      <c r="F635" s="11" t="n"/>
    </row>
    <row r="636" ht="14.25" customHeight="1" s="38">
      <c r="F636" s="11" t="n"/>
    </row>
    <row r="637" ht="14.25" customHeight="1" s="38">
      <c r="F637" s="11" t="n"/>
    </row>
    <row r="638" ht="14.25" customHeight="1" s="38">
      <c r="F638" s="11" t="n"/>
    </row>
    <row r="639" ht="14.25" customHeight="1" s="38">
      <c r="F639" s="11" t="n"/>
    </row>
    <row r="640" ht="14.25" customHeight="1" s="38">
      <c r="F640" s="11" t="n"/>
    </row>
    <row r="641" ht="14.25" customHeight="1" s="38">
      <c r="F641" s="11" t="n"/>
    </row>
    <row r="642" ht="14.25" customHeight="1" s="38">
      <c r="F642" s="11" t="n"/>
    </row>
    <row r="643" ht="14.25" customHeight="1" s="38">
      <c r="F643" s="11" t="n"/>
    </row>
    <row r="644" ht="14.25" customHeight="1" s="38">
      <c r="F644" s="11" t="n"/>
    </row>
    <row r="645" ht="14.25" customHeight="1" s="38">
      <c r="F645" s="11" t="n"/>
    </row>
    <row r="646" ht="14.25" customHeight="1" s="38">
      <c r="F646" s="11" t="n"/>
    </row>
    <row r="647" ht="14.25" customHeight="1" s="38">
      <c r="F647" s="11" t="n"/>
    </row>
    <row r="648" ht="14.25" customHeight="1" s="38">
      <c r="F648" s="11" t="n"/>
    </row>
    <row r="649" ht="14.25" customHeight="1" s="38">
      <c r="F649" s="11" t="n"/>
    </row>
    <row r="650" ht="14.25" customHeight="1" s="38">
      <c r="F650" s="11" t="n"/>
    </row>
    <row r="651" ht="14.25" customHeight="1" s="38">
      <c r="F651" s="11" t="n"/>
    </row>
    <row r="652" ht="14.25" customHeight="1" s="38">
      <c r="F652" s="11" t="n"/>
    </row>
    <row r="653" ht="14.25" customHeight="1" s="38">
      <c r="F653" s="11" t="n"/>
    </row>
    <row r="654" ht="14.25" customHeight="1" s="38">
      <c r="F654" s="11" t="n"/>
    </row>
    <row r="655" ht="14.25" customHeight="1" s="38">
      <c r="F655" s="11" t="n"/>
    </row>
    <row r="656" ht="14.25" customHeight="1" s="38">
      <c r="F656" s="11" t="n"/>
    </row>
    <row r="657" ht="14.25" customHeight="1" s="38">
      <c r="F657" s="11" t="n"/>
    </row>
    <row r="658" ht="14.25" customHeight="1" s="38">
      <c r="F658" s="11" t="n"/>
    </row>
    <row r="659" ht="14.25" customHeight="1" s="38">
      <c r="F659" s="11" t="n"/>
    </row>
    <row r="660" ht="14.25" customHeight="1" s="38">
      <c r="F660" s="11" t="n"/>
    </row>
    <row r="661" ht="14.25" customHeight="1" s="38">
      <c r="F661" s="11" t="n"/>
    </row>
    <row r="662" ht="14.25" customHeight="1" s="38">
      <c r="F662" s="11" t="n"/>
    </row>
    <row r="663" ht="14.25" customHeight="1" s="38">
      <c r="F663" s="11" t="n"/>
    </row>
    <row r="664" ht="14.25" customHeight="1" s="38">
      <c r="F664" s="11" t="n"/>
    </row>
    <row r="665" ht="14.25" customHeight="1" s="38">
      <c r="F665" s="11" t="n"/>
    </row>
    <row r="666" ht="14.25" customHeight="1" s="38">
      <c r="F666" s="11" t="n"/>
    </row>
    <row r="667" ht="14.25" customHeight="1" s="38">
      <c r="F667" s="11" t="n"/>
    </row>
    <row r="668" ht="14.25" customHeight="1" s="38">
      <c r="F668" s="11" t="n"/>
    </row>
    <row r="669" ht="14.25" customHeight="1" s="38">
      <c r="F669" s="11" t="n"/>
    </row>
    <row r="670" ht="14.25" customHeight="1" s="38">
      <c r="F670" s="11" t="n"/>
    </row>
    <row r="671" ht="14.25" customHeight="1" s="38">
      <c r="F671" s="11" t="n"/>
    </row>
    <row r="672" ht="14.25" customHeight="1" s="38">
      <c r="F672" s="11" t="n"/>
    </row>
    <row r="673" ht="14.25" customHeight="1" s="38">
      <c r="F673" s="11" t="n"/>
    </row>
    <row r="674" ht="14.25" customHeight="1" s="38">
      <c r="F674" s="11" t="n"/>
    </row>
    <row r="675" ht="14.25" customHeight="1" s="38">
      <c r="F675" s="11" t="n"/>
    </row>
    <row r="676" ht="14.25" customHeight="1" s="38">
      <c r="F676" s="11" t="n"/>
    </row>
    <row r="677" ht="14.25" customHeight="1" s="38">
      <c r="F677" s="11" t="n"/>
    </row>
    <row r="678" ht="14.25" customHeight="1" s="38">
      <c r="F678" s="11" t="n"/>
    </row>
    <row r="679" ht="14.25" customHeight="1" s="38">
      <c r="F679" s="11" t="n"/>
    </row>
    <row r="680" ht="14.25" customHeight="1" s="38">
      <c r="F680" s="11" t="n"/>
    </row>
    <row r="681" ht="14.25" customHeight="1" s="38">
      <c r="F681" s="11" t="n"/>
    </row>
    <row r="682" ht="14.25" customHeight="1" s="38">
      <c r="F682" s="11" t="n"/>
    </row>
    <row r="683" ht="14.25" customHeight="1" s="38">
      <c r="F683" s="11" t="n"/>
    </row>
    <row r="684" ht="14.25" customHeight="1" s="38">
      <c r="F684" s="11" t="n"/>
    </row>
    <row r="685" ht="14.25" customHeight="1" s="38">
      <c r="F685" s="11" t="n"/>
    </row>
    <row r="686" ht="14.25" customHeight="1" s="38">
      <c r="F686" s="11" t="n"/>
    </row>
    <row r="687" ht="14.25" customHeight="1" s="38">
      <c r="F687" s="11" t="n"/>
    </row>
    <row r="688" ht="14.25" customHeight="1" s="38">
      <c r="F688" s="11" t="n"/>
    </row>
    <row r="689" ht="14.25" customHeight="1" s="38">
      <c r="F689" s="11" t="n"/>
    </row>
    <row r="690" ht="14.25" customHeight="1" s="38">
      <c r="F690" s="11" t="n"/>
    </row>
    <row r="691" ht="14.25" customHeight="1" s="38">
      <c r="F691" s="11" t="n"/>
    </row>
    <row r="692" ht="14.25" customHeight="1" s="38">
      <c r="F692" s="11" t="n"/>
    </row>
    <row r="693" ht="14.25" customHeight="1" s="38">
      <c r="F693" s="11" t="n"/>
    </row>
    <row r="694" ht="14.25" customHeight="1" s="38">
      <c r="F694" s="11" t="n"/>
    </row>
    <row r="695" ht="14.25" customHeight="1" s="38">
      <c r="F695" s="11" t="n"/>
    </row>
    <row r="696" ht="14.25" customHeight="1" s="38">
      <c r="F696" s="11" t="n"/>
    </row>
    <row r="697" ht="14.25" customHeight="1" s="38">
      <c r="F697" s="11" t="n"/>
    </row>
    <row r="698" ht="14.25" customHeight="1" s="38">
      <c r="F698" s="11" t="n"/>
    </row>
    <row r="699" ht="14.25" customHeight="1" s="38">
      <c r="F699" s="11" t="n"/>
    </row>
    <row r="700" ht="14.25" customHeight="1" s="38">
      <c r="F700" s="11" t="n"/>
    </row>
    <row r="701" ht="14.25" customHeight="1" s="38">
      <c r="F701" s="11" t="n"/>
    </row>
    <row r="702" ht="14.25" customHeight="1" s="38">
      <c r="F702" s="11" t="n"/>
    </row>
    <row r="703" ht="14.25" customHeight="1" s="38">
      <c r="F703" s="11" t="n"/>
    </row>
    <row r="704" ht="14.25" customHeight="1" s="38">
      <c r="F704" s="11" t="n"/>
    </row>
    <row r="705" ht="14.25" customHeight="1" s="38">
      <c r="F705" s="11" t="n"/>
    </row>
    <row r="706" ht="14.25" customHeight="1" s="38">
      <c r="F706" s="11" t="n"/>
    </row>
    <row r="707" ht="14.25" customHeight="1" s="38">
      <c r="F707" s="11" t="n"/>
    </row>
    <row r="708" ht="14.25" customHeight="1" s="38">
      <c r="F708" s="11" t="n"/>
    </row>
    <row r="709" ht="14.25" customHeight="1" s="38">
      <c r="F709" s="11" t="n"/>
    </row>
    <row r="710" ht="14.25" customHeight="1" s="38">
      <c r="F710" s="11" t="n"/>
    </row>
    <row r="711" ht="14.25" customHeight="1" s="38">
      <c r="F711" s="11" t="n"/>
    </row>
    <row r="712" ht="14.25" customHeight="1" s="38">
      <c r="F712" s="11" t="n"/>
    </row>
    <row r="713" ht="14.25" customHeight="1" s="38">
      <c r="F713" s="11" t="n"/>
    </row>
    <row r="714" ht="14.25" customHeight="1" s="38">
      <c r="F714" s="11" t="n"/>
    </row>
    <row r="715" ht="14.25" customHeight="1" s="38">
      <c r="F715" s="11" t="n"/>
    </row>
    <row r="716" ht="14.25" customHeight="1" s="38">
      <c r="F716" s="11" t="n"/>
    </row>
    <row r="717" ht="14.25" customHeight="1" s="38">
      <c r="F717" s="11" t="n"/>
    </row>
    <row r="718" ht="14.25" customHeight="1" s="38">
      <c r="F718" s="11" t="n"/>
    </row>
    <row r="719" ht="14.25" customHeight="1" s="38">
      <c r="F719" s="11" t="n"/>
    </row>
    <row r="720" ht="14.25" customHeight="1" s="38">
      <c r="F720" s="11" t="n"/>
    </row>
    <row r="721" ht="14.25" customHeight="1" s="38">
      <c r="F721" s="11" t="n"/>
    </row>
    <row r="722" ht="14.25" customHeight="1" s="38">
      <c r="F722" s="11" t="n"/>
    </row>
    <row r="723" ht="14.25" customHeight="1" s="38">
      <c r="F723" s="11" t="n"/>
    </row>
    <row r="724" ht="14.25" customHeight="1" s="38">
      <c r="F724" s="11" t="n"/>
    </row>
    <row r="725" ht="14.25" customHeight="1" s="38">
      <c r="F725" s="11" t="n"/>
    </row>
    <row r="726" ht="14.25" customHeight="1" s="38">
      <c r="F726" s="11" t="n"/>
    </row>
    <row r="727" ht="14.25" customHeight="1" s="38">
      <c r="F727" s="11" t="n"/>
    </row>
    <row r="728" ht="14.25" customHeight="1" s="38">
      <c r="F728" s="11" t="n"/>
    </row>
    <row r="729" ht="14.25" customHeight="1" s="38">
      <c r="F729" s="11" t="n"/>
    </row>
    <row r="730" ht="14.25" customHeight="1" s="38">
      <c r="F730" s="11" t="n"/>
    </row>
    <row r="731" ht="14.25" customHeight="1" s="38">
      <c r="F731" s="11" t="n"/>
    </row>
    <row r="732" ht="14.25" customHeight="1" s="38">
      <c r="F732" s="11" t="n"/>
    </row>
    <row r="733" ht="14.25" customHeight="1" s="38">
      <c r="F733" s="11" t="n"/>
    </row>
    <row r="734" ht="14.25" customHeight="1" s="38">
      <c r="F734" s="11" t="n"/>
    </row>
    <row r="735" ht="14.25" customHeight="1" s="38">
      <c r="F735" s="11" t="n"/>
    </row>
    <row r="736" ht="14.25" customHeight="1" s="38">
      <c r="F736" s="11" t="n"/>
    </row>
    <row r="737" ht="14.25" customHeight="1" s="38">
      <c r="F737" s="11" t="n"/>
    </row>
    <row r="738" ht="14.25" customHeight="1" s="38">
      <c r="F738" s="11" t="n"/>
    </row>
    <row r="739" ht="14.25" customHeight="1" s="38">
      <c r="F739" s="11" t="n"/>
    </row>
    <row r="740" ht="14.25" customHeight="1" s="38">
      <c r="F740" s="11" t="n"/>
    </row>
    <row r="741" ht="14.25" customHeight="1" s="38">
      <c r="F741" s="11" t="n"/>
    </row>
    <row r="742" ht="14.25" customHeight="1" s="38">
      <c r="F742" s="11" t="n"/>
    </row>
    <row r="743" ht="14.25" customHeight="1" s="38">
      <c r="F743" s="11" t="n"/>
    </row>
    <row r="744" ht="14.25" customHeight="1" s="38">
      <c r="F744" s="11" t="n"/>
    </row>
    <row r="745" ht="14.25" customHeight="1" s="38">
      <c r="F745" s="11" t="n"/>
    </row>
    <row r="746" ht="14.25" customHeight="1" s="38">
      <c r="F746" s="11" t="n"/>
    </row>
    <row r="747" ht="14.25" customHeight="1" s="38">
      <c r="F747" s="11" t="n"/>
    </row>
    <row r="748" ht="14.25" customHeight="1" s="38">
      <c r="F748" s="11" t="n"/>
    </row>
    <row r="749" ht="14.25" customHeight="1" s="38">
      <c r="F749" s="11" t="n"/>
    </row>
    <row r="750" ht="14.25" customHeight="1" s="38">
      <c r="F750" s="11" t="n"/>
    </row>
    <row r="751" ht="14.25" customHeight="1" s="38">
      <c r="F751" s="11" t="n"/>
    </row>
    <row r="752" ht="14.25" customHeight="1" s="38">
      <c r="F752" s="11" t="n"/>
    </row>
    <row r="753" ht="14.25" customHeight="1" s="38">
      <c r="F753" s="11" t="n"/>
    </row>
    <row r="754" ht="14.25" customHeight="1" s="38">
      <c r="F754" s="11" t="n"/>
    </row>
    <row r="755" ht="14.25" customHeight="1" s="38">
      <c r="F755" s="11" t="n"/>
    </row>
    <row r="756" ht="14.25" customHeight="1" s="38">
      <c r="F756" s="11" t="n"/>
    </row>
    <row r="757" ht="14.25" customHeight="1" s="38">
      <c r="F757" s="11" t="n"/>
    </row>
    <row r="758" ht="14.25" customHeight="1" s="38">
      <c r="F758" s="11" t="n"/>
    </row>
    <row r="759" ht="14.25" customHeight="1" s="38">
      <c r="F759" s="11" t="n"/>
    </row>
    <row r="760" ht="14.25" customHeight="1" s="38">
      <c r="F760" s="11" t="n"/>
    </row>
    <row r="761" ht="14.25" customHeight="1" s="38">
      <c r="F761" s="11" t="n"/>
    </row>
    <row r="762" ht="14.25" customHeight="1" s="38">
      <c r="F762" s="11" t="n"/>
    </row>
    <row r="763" ht="14.25" customHeight="1" s="38">
      <c r="F763" s="11" t="n"/>
    </row>
    <row r="764" ht="14.25" customHeight="1" s="38">
      <c r="F764" s="11" t="n"/>
    </row>
    <row r="765" ht="14.25" customHeight="1" s="38">
      <c r="F765" s="11" t="n"/>
    </row>
    <row r="766" ht="14.25" customHeight="1" s="38">
      <c r="F766" s="11" t="n"/>
    </row>
    <row r="767" ht="14.25" customHeight="1" s="38">
      <c r="F767" s="11" t="n"/>
    </row>
    <row r="768" ht="14.25" customHeight="1" s="38">
      <c r="F768" s="11" t="n"/>
    </row>
    <row r="769" ht="14.25" customHeight="1" s="38">
      <c r="F769" s="11" t="n"/>
    </row>
    <row r="770" ht="14.25" customHeight="1" s="38">
      <c r="F770" s="11" t="n"/>
    </row>
    <row r="771" ht="14.25" customHeight="1" s="38">
      <c r="F771" s="11" t="n"/>
    </row>
    <row r="772" ht="14.25" customHeight="1" s="38">
      <c r="F772" s="11" t="n"/>
    </row>
    <row r="773" ht="14.25" customHeight="1" s="38">
      <c r="F773" s="11" t="n"/>
    </row>
    <row r="774" ht="14.25" customHeight="1" s="38">
      <c r="F774" s="11" t="n"/>
    </row>
    <row r="775" ht="14.25" customHeight="1" s="38">
      <c r="F775" s="11" t="n"/>
    </row>
    <row r="776" ht="14.25" customHeight="1" s="38">
      <c r="F776" s="11" t="n"/>
    </row>
    <row r="777" ht="14.25" customHeight="1" s="38">
      <c r="F777" s="11" t="n"/>
    </row>
    <row r="778" ht="14.25" customHeight="1" s="38">
      <c r="F778" s="11" t="n"/>
    </row>
    <row r="779" ht="14.25" customHeight="1" s="38">
      <c r="F779" s="11" t="n"/>
    </row>
    <row r="780" ht="14.25" customHeight="1" s="38">
      <c r="F780" s="11" t="n"/>
    </row>
    <row r="781" ht="14.25" customHeight="1" s="38">
      <c r="F781" s="11" t="n"/>
    </row>
    <row r="782" ht="14.25" customHeight="1" s="38">
      <c r="F782" s="11" t="n"/>
    </row>
    <row r="783" ht="14.25" customHeight="1" s="38">
      <c r="F783" s="11" t="n"/>
    </row>
    <row r="784" ht="14.25" customHeight="1" s="38">
      <c r="F784" s="11" t="n"/>
    </row>
    <row r="785" ht="14.25" customHeight="1" s="38">
      <c r="F785" s="11" t="n"/>
    </row>
    <row r="786" ht="14.25" customHeight="1" s="38">
      <c r="F786" s="11" t="n"/>
    </row>
    <row r="787" ht="14.25" customHeight="1" s="38">
      <c r="F787" s="11" t="n"/>
    </row>
    <row r="788" ht="14.25" customHeight="1" s="38">
      <c r="F788" s="11" t="n"/>
    </row>
    <row r="789" ht="14.25" customHeight="1" s="38">
      <c r="F789" s="11" t="n"/>
    </row>
    <row r="790" ht="14.25" customHeight="1" s="38">
      <c r="F790" s="11" t="n"/>
    </row>
    <row r="791" ht="14.25" customHeight="1" s="38">
      <c r="F791" s="11" t="n"/>
    </row>
    <row r="792" ht="14.25" customHeight="1" s="38">
      <c r="F792" s="11" t="n"/>
    </row>
    <row r="793" ht="14.25" customHeight="1" s="38">
      <c r="F793" s="11" t="n"/>
    </row>
    <row r="794" ht="14.25" customHeight="1" s="38">
      <c r="F794" s="11" t="n"/>
    </row>
    <row r="795" ht="14.25" customHeight="1" s="38">
      <c r="F795" s="11" t="n"/>
    </row>
    <row r="796" ht="14.25" customHeight="1" s="38">
      <c r="F796" s="11" t="n"/>
    </row>
    <row r="797" ht="14.25" customHeight="1" s="38">
      <c r="F797" s="11" t="n"/>
    </row>
    <row r="798" ht="14.25" customHeight="1" s="38">
      <c r="F798" s="11" t="n"/>
    </row>
    <row r="799" ht="14.25" customHeight="1" s="38">
      <c r="F799" s="11" t="n"/>
    </row>
    <row r="800" ht="14.25" customHeight="1" s="38">
      <c r="F800" s="11" t="n"/>
    </row>
    <row r="801" ht="14.25" customHeight="1" s="38">
      <c r="F801" s="11" t="n"/>
    </row>
    <row r="802" ht="14.25" customHeight="1" s="38">
      <c r="F802" s="11" t="n"/>
    </row>
    <row r="803" ht="14.25" customHeight="1" s="38">
      <c r="F803" s="11" t="n"/>
    </row>
    <row r="804" ht="14.25" customHeight="1" s="38">
      <c r="F804" s="11" t="n"/>
    </row>
    <row r="805" ht="14.25" customHeight="1" s="38">
      <c r="F805" s="11" t="n"/>
    </row>
    <row r="806" ht="14.25" customHeight="1" s="38">
      <c r="F806" s="11" t="n"/>
    </row>
    <row r="807" ht="14.25" customHeight="1" s="38">
      <c r="F807" s="11" t="n"/>
    </row>
    <row r="808" ht="14.25" customHeight="1" s="38">
      <c r="F808" s="11" t="n"/>
    </row>
    <row r="809" ht="14.25" customHeight="1" s="38">
      <c r="F809" s="11" t="n"/>
    </row>
    <row r="810" ht="14.25" customHeight="1" s="38">
      <c r="F810" s="11" t="n"/>
    </row>
    <row r="811" ht="14.25" customHeight="1" s="38">
      <c r="F811" s="11" t="n"/>
    </row>
    <row r="812" ht="14.25" customHeight="1" s="38">
      <c r="F812" s="11" t="n"/>
    </row>
    <row r="813" ht="14.25" customHeight="1" s="38">
      <c r="F813" s="11" t="n"/>
    </row>
    <row r="814" ht="14.25" customHeight="1" s="38">
      <c r="F814" s="11" t="n"/>
    </row>
    <row r="815" ht="14.25" customHeight="1" s="38">
      <c r="F815" s="11" t="n"/>
    </row>
    <row r="816" ht="14.25" customHeight="1" s="38">
      <c r="F816" s="11" t="n"/>
    </row>
    <row r="817" ht="14.25" customHeight="1" s="38">
      <c r="F817" s="11" t="n"/>
    </row>
    <row r="818" ht="14.25" customHeight="1" s="38">
      <c r="F818" s="11" t="n"/>
    </row>
    <row r="819" ht="14.25" customHeight="1" s="38">
      <c r="F819" s="11" t="n"/>
    </row>
    <row r="820" ht="14.25" customHeight="1" s="38">
      <c r="F820" s="11" t="n"/>
    </row>
    <row r="821" ht="14.25" customHeight="1" s="38">
      <c r="F821" s="11" t="n"/>
    </row>
    <row r="822" ht="14.25" customHeight="1" s="38">
      <c r="F822" s="11" t="n"/>
    </row>
    <row r="823" ht="14.25" customHeight="1" s="38">
      <c r="F823" s="11" t="n"/>
    </row>
    <row r="824" ht="14.25" customHeight="1" s="38">
      <c r="F824" s="11" t="n"/>
    </row>
    <row r="825" ht="14.25" customHeight="1" s="38">
      <c r="F825" s="11" t="n"/>
    </row>
    <row r="826" ht="14.25" customHeight="1" s="38">
      <c r="F826" s="11" t="n"/>
    </row>
    <row r="827" ht="14.25" customHeight="1" s="38">
      <c r="F827" s="11" t="n"/>
    </row>
    <row r="828" ht="14.25" customHeight="1" s="38">
      <c r="F828" s="11" t="n"/>
    </row>
    <row r="829" ht="14.25" customHeight="1" s="38">
      <c r="F829" s="11" t="n"/>
    </row>
    <row r="830" ht="14.25" customHeight="1" s="38">
      <c r="F830" s="11" t="n"/>
    </row>
    <row r="831" ht="14.25" customHeight="1" s="38">
      <c r="F831" s="11" t="n"/>
    </row>
    <row r="832" ht="14.25" customHeight="1" s="38">
      <c r="F832" s="11" t="n"/>
    </row>
    <row r="833" ht="14.25" customHeight="1" s="38">
      <c r="F833" s="11" t="n"/>
    </row>
    <row r="834" ht="14.25" customHeight="1" s="38">
      <c r="F834" s="11" t="n"/>
    </row>
    <row r="835" ht="14.25" customHeight="1" s="38">
      <c r="F835" s="11" t="n"/>
    </row>
    <row r="836" ht="14.25" customHeight="1" s="38">
      <c r="F836" s="11" t="n"/>
    </row>
    <row r="837" ht="14.25" customHeight="1" s="38">
      <c r="F837" s="11" t="n"/>
    </row>
    <row r="838" ht="14.25" customHeight="1" s="38">
      <c r="F838" s="11" t="n"/>
    </row>
    <row r="839" ht="14.25" customHeight="1" s="38">
      <c r="F839" s="11" t="n"/>
    </row>
    <row r="840" ht="14.25" customHeight="1" s="38">
      <c r="F840" s="11" t="n"/>
    </row>
    <row r="841" ht="14.25" customHeight="1" s="38">
      <c r="F841" s="11" t="n"/>
    </row>
    <row r="842" ht="14.25" customHeight="1" s="38">
      <c r="F842" s="11" t="n"/>
    </row>
    <row r="843" ht="14.25" customHeight="1" s="38">
      <c r="F843" s="11" t="n"/>
    </row>
    <row r="844" ht="14.25" customHeight="1" s="38">
      <c r="F844" s="11" t="n"/>
    </row>
    <row r="845" ht="14.25" customHeight="1" s="38">
      <c r="F845" s="11" t="n"/>
    </row>
    <row r="846" ht="14.25" customHeight="1" s="38">
      <c r="F846" s="11" t="n"/>
    </row>
    <row r="847" ht="14.25" customHeight="1" s="38">
      <c r="F847" s="11" t="n"/>
    </row>
    <row r="848" ht="14.25" customHeight="1" s="38">
      <c r="F848" s="11" t="n"/>
    </row>
    <row r="849" ht="14.25" customHeight="1" s="38">
      <c r="F849" s="11" t="n"/>
    </row>
    <row r="850" ht="14.25" customHeight="1" s="38">
      <c r="F850" s="11" t="n"/>
    </row>
    <row r="851" ht="14.25" customHeight="1" s="38">
      <c r="F851" s="11" t="n"/>
    </row>
    <row r="852" ht="14.25" customHeight="1" s="38">
      <c r="F852" s="11" t="n"/>
    </row>
    <row r="853" ht="14.25" customHeight="1" s="38">
      <c r="F853" s="11" t="n"/>
    </row>
    <row r="854" ht="14.25" customHeight="1" s="38">
      <c r="F854" s="11" t="n"/>
    </row>
    <row r="855" ht="14.25" customHeight="1" s="38">
      <c r="F855" s="11" t="n"/>
    </row>
    <row r="856" ht="14.25" customHeight="1" s="38">
      <c r="F856" s="11" t="n"/>
    </row>
    <row r="857" ht="14.25" customHeight="1" s="38">
      <c r="F857" s="11" t="n"/>
    </row>
    <row r="858" ht="14.25" customHeight="1" s="38">
      <c r="F858" s="11" t="n"/>
    </row>
    <row r="859" ht="14.25" customHeight="1" s="38">
      <c r="F859" s="11" t="n"/>
    </row>
    <row r="860" ht="14.25" customHeight="1" s="38">
      <c r="F860" s="11" t="n"/>
    </row>
    <row r="861" ht="14.25" customHeight="1" s="38">
      <c r="F861" s="11" t="n"/>
    </row>
    <row r="862" ht="14.25" customHeight="1" s="38">
      <c r="F862" s="11" t="n"/>
    </row>
    <row r="863" ht="14.25" customHeight="1" s="38">
      <c r="F863" s="11" t="n"/>
    </row>
    <row r="864" ht="14.25" customHeight="1" s="38">
      <c r="F864" s="11" t="n"/>
    </row>
    <row r="865" ht="14.25" customHeight="1" s="38">
      <c r="F865" s="11" t="n"/>
    </row>
    <row r="866" ht="14.25" customHeight="1" s="38">
      <c r="F866" s="11" t="n"/>
    </row>
    <row r="867" ht="14.25" customHeight="1" s="38">
      <c r="F867" s="11" t="n"/>
    </row>
    <row r="868" ht="14.25" customHeight="1" s="38">
      <c r="F868" s="11" t="n"/>
    </row>
    <row r="869" ht="14.25" customHeight="1" s="38">
      <c r="F869" s="11" t="n"/>
    </row>
    <row r="870" ht="14.25" customHeight="1" s="38">
      <c r="F870" s="11" t="n"/>
    </row>
    <row r="871" ht="14.25" customHeight="1" s="38">
      <c r="F871" s="11" t="n"/>
    </row>
    <row r="872" ht="14.25" customHeight="1" s="38">
      <c r="F872" s="11" t="n"/>
    </row>
    <row r="873" ht="14.25" customHeight="1" s="38">
      <c r="F873" s="11" t="n"/>
    </row>
    <row r="874" ht="14.25" customHeight="1" s="38">
      <c r="F874" s="11" t="n"/>
    </row>
    <row r="875" ht="14.25" customHeight="1" s="38">
      <c r="F875" s="11" t="n"/>
    </row>
    <row r="876" ht="14.25" customHeight="1" s="38">
      <c r="F876" s="11" t="n"/>
    </row>
    <row r="877" ht="14.25" customHeight="1" s="38">
      <c r="F877" s="11" t="n"/>
    </row>
    <row r="878" ht="14.25" customHeight="1" s="38">
      <c r="F878" s="11" t="n"/>
    </row>
    <row r="879" ht="14.25" customHeight="1" s="38">
      <c r="F879" s="11" t="n"/>
    </row>
    <row r="880" ht="14.25" customHeight="1" s="38">
      <c r="F880" s="11" t="n"/>
    </row>
    <row r="881" ht="14.25" customHeight="1" s="38">
      <c r="F881" s="11" t="n"/>
    </row>
    <row r="882" ht="14.25" customHeight="1" s="38">
      <c r="F882" s="11" t="n"/>
    </row>
    <row r="883" ht="14.25" customHeight="1" s="38">
      <c r="F883" s="11" t="n"/>
    </row>
    <row r="884" ht="14.25" customHeight="1" s="38">
      <c r="F884" s="11" t="n"/>
    </row>
    <row r="885" ht="14.25" customHeight="1" s="38">
      <c r="F885" s="11" t="n"/>
    </row>
    <row r="886" ht="14.25" customHeight="1" s="38">
      <c r="F886" s="11" t="n"/>
    </row>
    <row r="887" ht="14.25" customHeight="1" s="38">
      <c r="F887" s="11" t="n"/>
    </row>
    <row r="888" ht="14.25" customHeight="1" s="38">
      <c r="F888" s="11" t="n"/>
    </row>
    <row r="889" ht="14.25" customHeight="1" s="38">
      <c r="F889" s="11" t="n"/>
    </row>
    <row r="890" ht="14.25" customHeight="1" s="38">
      <c r="F890" s="11" t="n"/>
    </row>
    <row r="891" ht="14.25" customHeight="1" s="38">
      <c r="F891" s="11" t="n"/>
    </row>
    <row r="892" ht="14.25" customHeight="1" s="38">
      <c r="F892" s="11" t="n"/>
    </row>
    <row r="893" ht="14.25" customHeight="1" s="38">
      <c r="F893" s="11" t="n"/>
    </row>
    <row r="894" ht="14.25" customHeight="1" s="38">
      <c r="F894" s="11" t="n"/>
    </row>
    <row r="895" ht="14.25" customHeight="1" s="38">
      <c r="F895" s="11" t="n"/>
    </row>
    <row r="896" ht="14.25" customHeight="1" s="38">
      <c r="F896" s="11" t="n"/>
    </row>
    <row r="897" ht="14.25" customHeight="1" s="38">
      <c r="F897" s="11" t="n"/>
    </row>
    <row r="898" ht="14.25" customHeight="1" s="38">
      <c r="F898" s="11" t="n"/>
    </row>
    <row r="899" ht="14.25" customHeight="1" s="38">
      <c r="F899" s="11" t="n"/>
    </row>
    <row r="900" ht="14.25" customHeight="1" s="38">
      <c r="F900" s="11" t="n"/>
    </row>
    <row r="901" ht="14.25" customHeight="1" s="38">
      <c r="F901" s="11" t="n"/>
    </row>
    <row r="902" ht="14.25" customHeight="1" s="38">
      <c r="F902" s="11" t="n"/>
    </row>
    <row r="903" ht="14.25" customHeight="1" s="38">
      <c r="F903" s="11" t="n"/>
    </row>
    <row r="904" ht="14.25" customHeight="1" s="38">
      <c r="F904" s="11" t="n"/>
    </row>
    <row r="905" ht="14.25" customHeight="1" s="38">
      <c r="F905" s="11" t="n"/>
    </row>
    <row r="906" ht="14.25" customHeight="1" s="38">
      <c r="F906" s="11" t="n"/>
    </row>
    <row r="907" ht="14.25" customHeight="1" s="38">
      <c r="F907" s="11" t="n"/>
    </row>
    <row r="908" ht="14.25" customHeight="1" s="38">
      <c r="F908" s="11" t="n"/>
    </row>
    <row r="909" ht="14.25" customHeight="1" s="38">
      <c r="F909" s="11" t="n"/>
    </row>
    <row r="910" ht="14.25" customHeight="1" s="38">
      <c r="F910" s="11" t="n"/>
    </row>
    <row r="911" ht="14.25" customHeight="1" s="38">
      <c r="F911" s="11" t="n"/>
    </row>
    <row r="912" ht="14.25" customHeight="1" s="38">
      <c r="F912" s="11" t="n"/>
    </row>
    <row r="913" ht="14.25" customHeight="1" s="38">
      <c r="F913" s="11" t="n"/>
    </row>
    <row r="914" ht="14.25" customHeight="1" s="38">
      <c r="F914" s="11" t="n"/>
    </row>
    <row r="915" ht="14.25" customHeight="1" s="38">
      <c r="F915" s="11" t="n"/>
    </row>
    <row r="916" ht="14.25" customHeight="1" s="38">
      <c r="F916" s="11" t="n"/>
    </row>
    <row r="917" ht="14.25" customHeight="1" s="38">
      <c r="F917" s="11" t="n"/>
    </row>
    <row r="918" ht="14.25" customHeight="1" s="38">
      <c r="F918" s="11" t="n"/>
    </row>
    <row r="919" ht="14.25" customHeight="1" s="38">
      <c r="F919" s="11" t="n"/>
    </row>
    <row r="920" ht="14.25" customHeight="1" s="38">
      <c r="F920" s="11" t="n"/>
    </row>
    <row r="921" ht="14.25" customHeight="1" s="38">
      <c r="F921" s="11" t="n"/>
    </row>
    <row r="922" ht="14.25" customHeight="1" s="38">
      <c r="F922" s="11" t="n"/>
    </row>
    <row r="923" ht="14.25" customHeight="1" s="38">
      <c r="F923" s="11" t="n"/>
    </row>
    <row r="924" ht="14.25" customHeight="1" s="38">
      <c r="F924" s="11" t="n"/>
    </row>
    <row r="925" ht="14.25" customHeight="1" s="38">
      <c r="F925" s="11" t="n"/>
    </row>
    <row r="926" ht="14.25" customHeight="1" s="38">
      <c r="F926" s="11" t="n"/>
    </row>
    <row r="927" ht="14.25" customHeight="1" s="38">
      <c r="F927" s="11" t="n"/>
    </row>
    <row r="928" ht="14.25" customHeight="1" s="38">
      <c r="F928" s="11" t="n"/>
    </row>
    <row r="929" ht="14.25" customHeight="1" s="38">
      <c r="F929" s="11" t="n"/>
    </row>
    <row r="930" ht="14.25" customHeight="1" s="38">
      <c r="F930" s="11" t="n"/>
    </row>
    <row r="931" ht="14.25" customHeight="1" s="38">
      <c r="F931" s="11" t="n"/>
    </row>
    <row r="932" ht="14.25" customHeight="1" s="38">
      <c r="F932" s="11" t="n"/>
    </row>
    <row r="933" ht="14.25" customHeight="1" s="38">
      <c r="F933" s="11" t="n"/>
    </row>
    <row r="934" ht="14.25" customHeight="1" s="38">
      <c r="F934" s="11" t="n"/>
    </row>
    <row r="935" ht="14.25" customHeight="1" s="38">
      <c r="F935" s="11" t="n"/>
    </row>
    <row r="936" ht="14.25" customHeight="1" s="38">
      <c r="F936" s="11" t="n"/>
    </row>
    <row r="937" ht="14.25" customHeight="1" s="38">
      <c r="F937" s="11" t="n"/>
    </row>
    <row r="938" ht="14.25" customHeight="1" s="38">
      <c r="F938" s="11" t="n"/>
    </row>
    <row r="939" ht="14.25" customHeight="1" s="38">
      <c r="F939" s="11" t="n"/>
    </row>
    <row r="940" ht="14.25" customHeight="1" s="38">
      <c r="F940" s="11" t="n"/>
    </row>
    <row r="941" ht="14.25" customHeight="1" s="38">
      <c r="F941" s="11" t="n"/>
    </row>
    <row r="942" ht="14.25" customHeight="1" s="38">
      <c r="F942" s="11" t="n"/>
    </row>
    <row r="943" ht="14.25" customHeight="1" s="38">
      <c r="F943" s="11" t="n"/>
    </row>
    <row r="944" ht="14.25" customHeight="1" s="38">
      <c r="F944" s="11" t="n"/>
    </row>
    <row r="945" ht="14.25" customHeight="1" s="38">
      <c r="F945" s="11" t="n"/>
    </row>
    <row r="946" ht="14.25" customHeight="1" s="38">
      <c r="F946" s="11" t="n"/>
    </row>
    <row r="947" ht="14.25" customHeight="1" s="38">
      <c r="F947" s="11" t="n"/>
    </row>
    <row r="948" ht="14.25" customHeight="1" s="38">
      <c r="F948" s="11" t="n"/>
    </row>
    <row r="949" ht="14.25" customHeight="1" s="38">
      <c r="F949" s="11" t="n"/>
    </row>
    <row r="950" ht="14.25" customHeight="1" s="38">
      <c r="F950" s="11" t="n"/>
    </row>
    <row r="951" ht="14.25" customHeight="1" s="38">
      <c r="F951" s="11" t="n"/>
    </row>
    <row r="952" ht="14.25" customHeight="1" s="38">
      <c r="F952" s="11" t="n"/>
    </row>
    <row r="953" ht="14.25" customHeight="1" s="38">
      <c r="F953" s="11" t="n"/>
    </row>
    <row r="954" ht="14.25" customHeight="1" s="38">
      <c r="F954" s="11" t="n"/>
    </row>
    <row r="955" ht="14.25" customHeight="1" s="38">
      <c r="F955" s="11" t="n"/>
    </row>
    <row r="956" ht="14.25" customHeight="1" s="38">
      <c r="F956" s="11" t="n"/>
    </row>
    <row r="957" ht="14.25" customHeight="1" s="38">
      <c r="F957" s="11" t="n"/>
    </row>
    <row r="958" ht="14.25" customHeight="1" s="38">
      <c r="F958" s="11" t="n"/>
    </row>
    <row r="959" ht="14.25" customHeight="1" s="38">
      <c r="F959" s="11" t="n"/>
    </row>
    <row r="960" ht="14.25" customHeight="1" s="38">
      <c r="F960" s="11" t="n"/>
    </row>
    <row r="961" ht="14.25" customHeight="1" s="38">
      <c r="F961" s="11" t="n"/>
    </row>
    <row r="962" ht="14.25" customHeight="1" s="38">
      <c r="F962" s="11" t="n"/>
    </row>
    <row r="963" ht="14.25" customHeight="1" s="38">
      <c r="F963" s="11" t="n"/>
    </row>
    <row r="964" ht="14.25" customHeight="1" s="38">
      <c r="F964" s="11" t="n"/>
    </row>
    <row r="965" ht="14.25" customHeight="1" s="38">
      <c r="F965" s="11" t="n"/>
    </row>
    <row r="966" ht="14.25" customHeight="1" s="38">
      <c r="F966" s="11" t="n"/>
    </row>
    <row r="967" ht="14.25" customHeight="1" s="38">
      <c r="F967" s="11" t="n"/>
    </row>
    <row r="968" ht="14.25" customHeight="1" s="38">
      <c r="F968" s="11" t="n"/>
    </row>
    <row r="969" ht="14.25" customHeight="1" s="38">
      <c r="F969" s="11" t="n"/>
    </row>
    <row r="970" ht="14.25" customHeight="1" s="38">
      <c r="F970" s="11" t="n"/>
    </row>
    <row r="971" ht="14.25" customHeight="1" s="38">
      <c r="F971" s="11" t="n"/>
    </row>
    <row r="972" ht="14.25" customHeight="1" s="38">
      <c r="F972" s="11" t="n"/>
    </row>
    <row r="973" ht="14.25" customHeight="1" s="38">
      <c r="F973" s="11" t="n"/>
    </row>
    <row r="974" ht="14.25" customHeight="1" s="38">
      <c r="F974" s="11" t="n"/>
    </row>
    <row r="975" ht="14.25" customHeight="1" s="38">
      <c r="F975" s="11" t="n"/>
    </row>
    <row r="976" ht="14.25" customHeight="1" s="38">
      <c r="F976" s="11" t="n"/>
    </row>
    <row r="977" ht="14.25" customHeight="1" s="38">
      <c r="F977" s="11" t="n"/>
    </row>
    <row r="978" ht="14.25" customHeight="1" s="38">
      <c r="F978" s="11" t="n"/>
    </row>
    <row r="979" ht="14.25" customHeight="1" s="38">
      <c r="F979" s="11" t="n"/>
    </row>
    <row r="980" ht="14.25" customHeight="1" s="38">
      <c r="F980" s="11" t="n"/>
    </row>
    <row r="981" ht="14.25" customHeight="1" s="38">
      <c r="F981" s="11" t="n"/>
    </row>
    <row r="982" ht="14.25" customHeight="1" s="38">
      <c r="F982" s="11" t="n"/>
    </row>
    <row r="983" ht="14.25" customHeight="1" s="38">
      <c r="F983" s="11" t="n"/>
    </row>
    <row r="984" ht="14.25" customHeight="1" s="38">
      <c r="F984" s="11" t="n"/>
    </row>
    <row r="985" ht="14.25" customHeight="1" s="38">
      <c r="F985" s="11" t="n"/>
    </row>
    <row r="986" ht="14.25" customHeight="1" s="38">
      <c r="F986" s="11" t="n"/>
    </row>
    <row r="987" ht="14.25" customHeight="1" s="38">
      <c r="F987" s="11" t="n"/>
    </row>
    <row r="988" ht="14.25" customHeight="1" s="38">
      <c r="F988" s="11" t="n"/>
    </row>
    <row r="989" ht="14.25" customHeight="1" s="38">
      <c r="F989" s="11" t="n"/>
    </row>
    <row r="990" ht="14.25" customHeight="1" s="38">
      <c r="F990" s="11" t="n"/>
    </row>
    <row r="991" ht="14.25" customHeight="1" s="38">
      <c r="F991" s="11" t="n"/>
    </row>
    <row r="992" ht="14.25" customHeight="1" s="38">
      <c r="F992" s="11" t="n"/>
    </row>
    <row r="993" ht="14.25" customHeight="1" s="38">
      <c r="F993" s="11" t="n"/>
    </row>
    <row r="994" ht="14.25" customHeight="1" s="38">
      <c r="F994" s="11" t="n"/>
    </row>
    <row r="995" ht="14.25" customHeight="1" s="38">
      <c r="F995" s="11" t="n"/>
    </row>
    <row r="996" ht="14.25" customHeight="1" s="38">
      <c r="F996" s="11" t="n"/>
    </row>
    <row r="997" ht="14.25" customHeight="1" s="38">
      <c r="F997" s="11" t="n"/>
    </row>
    <row r="998" ht="14.25" customHeight="1" s="38">
      <c r="F998" s="11" t="n"/>
    </row>
    <row r="999" ht="14.25" customHeight="1" s="38">
      <c r="F999" s="11" t="n"/>
    </row>
    <row r="1000" ht="14.25" customHeight="1" s="38">
      <c r="F1000" s="11" t="n"/>
    </row>
    <row r="1001" ht="14.25" customHeight="1" s="38">
      <c r="F1001" s="11" t="n"/>
    </row>
  </sheetData>
  <autoFilter ref="$A$1:$G$1001"/>
  <dataValidations count="1">
    <dataValidation sqref="F2:F1001" showDropDown="0" showInputMessage="0" showErrorMessage="0" allowBlank="1" type="list">
      <formula1>"Ya,Tidak"</formula1>
    </dataValidation>
  </dataValidations>
  <pageMargins left="0.25" right="0.25" top="0.35" bottom="0.35" header="0" footer="0"/>
  <pageSetup orientation="landscape" paperSize="9" fitToHeight="0"/>
  <headerFooter>
    <oddHeader/>
    <oddFooter>&amp;CParoki St. Klement I Sepinggan Balikpapan • Statistik 2026&amp;RHalaman &amp;P dari 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1001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38" min="1" max="1"/>
    <col width="28" customWidth="1" style="38" min="2" max="2"/>
    <col width="22" customWidth="1" style="38" min="3" max="3"/>
    <col width="15" customWidth="1" style="38" min="4" max="5"/>
    <col width="32" customWidth="1" style="38" min="6" max="6"/>
    <col width="28" customWidth="1" style="38" min="7" max="8"/>
    <col width="30" customWidth="1" style="38" min="9" max="9"/>
    <col width="9" customWidth="1" style="38" min="10" max="26"/>
  </cols>
  <sheetData>
    <row r="1" ht="14.25" customHeight="1" s="38">
      <c r="A1" s="7" t="inlineStr">
        <is>
          <t>ID Umat</t>
        </is>
      </c>
      <c r="B1" s="7" t="inlineStr">
        <is>
          <t>Nama</t>
        </is>
      </c>
      <c r="C1" s="7" t="inlineStr">
        <is>
          <t>Lingkungan</t>
        </is>
      </c>
      <c r="D1" s="7" t="inlineStr">
        <is>
          <t>Jenis Mutasi</t>
        </is>
      </c>
      <c r="E1" s="7" t="inlineStr">
        <is>
          <t>Tanggal Mutasi</t>
        </is>
      </c>
      <c r="F1" s="7" t="inlineStr">
        <is>
          <t>Rute</t>
        </is>
      </c>
      <c r="G1" s="7" t="inlineStr">
        <is>
          <t>Asal/Tujuan</t>
        </is>
      </c>
      <c r="H1" s="7" t="inlineStr">
        <is>
          <t>Paroki/Keuskupan</t>
        </is>
      </c>
      <c r="I1" s="7" t="inlineStr">
        <is>
          <t>Keterangan</t>
        </is>
      </c>
    </row>
    <row r="2" ht="14.25" customHeight="1" s="38">
      <c r="A2" s="9" t="n"/>
      <c r="B2" s="9" t="n"/>
      <c r="C2" s="9" t="n"/>
      <c r="D2" s="9" t="inlineStr">
        <is>
          <t>Keluar</t>
        </is>
      </c>
      <c r="E2" s="9" t="n"/>
      <c r="F2" s="9" t="inlineStr">
        <is>
          <t>Keuskupan lain</t>
        </is>
      </c>
      <c r="G2" s="9" t="n"/>
      <c r="H2" s="9" t="n"/>
      <c r="I2" s="9" t="n"/>
    </row>
    <row r="3" ht="14.25" customHeight="1" s="38">
      <c r="A3" s="9" t="n"/>
      <c r="B3" s="9" t="n"/>
      <c r="C3" s="9" t="n"/>
      <c r="D3" s="9" t="n"/>
      <c r="E3" s="9" t="n"/>
      <c r="F3" s="9" t="n"/>
      <c r="G3" s="9" t="n"/>
      <c r="H3" s="9" t="n"/>
      <c r="I3" s="9" t="n"/>
    </row>
    <row r="4" ht="14.25" customHeight="1" s="38">
      <c r="A4" s="9" t="n"/>
      <c r="B4" s="9" t="n"/>
      <c r="C4" s="9" t="n"/>
      <c r="D4" s="9" t="n"/>
      <c r="E4" s="9" t="n"/>
      <c r="F4" s="9" t="n"/>
      <c r="G4" s="9" t="n"/>
      <c r="H4" s="9" t="n"/>
      <c r="I4" s="9" t="n"/>
    </row>
    <row r="5" ht="14.25" customHeight="1" s="38">
      <c r="A5" s="9" t="n"/>
      <c r="B5" s="9" t="n"/>
      <c r="C5" s="9" t="n"/>
      <c r="D5" s="9" t="n"/>
      <c r="E5" s="9" t="n"/>
      <c r="F5" s="9" t="n"/>
      <c r="G5" s="9" t="n"/>
      <c r="H5" s="9" t="n"/>
      <c r="I5" s="9" t="n"/>
    </row>
    <row r="6" ht="14.25" customHeight="1" s="38">
      <c r="A6" s="9" t="n"/>
      <c r="B6" s="9" t="n"/>
      <c r="C6" s="9" t="n"/>
      <c r="D6" s="9" t="n"/>
      <c r="E6" s="9" t="n"/>
      <c r="F6" s="9" t="n"/>
      <c r="G6" s="9" t="n"/>
      <c r="H6" s="9" t="n"/>
      <c r="I6" s="9" t="n"/>
    </row>
    <row r="7" ht="14.25" customHeight="1" s="38">
      <c r="A7" s="9" t="n"/>
      <c r="B7" s="9" t="n"/>
      <c r="C7" s="9" t="n"/>
      <c r="D7" s="9" t="n"/>
      <c r="E7" s="9" t="n"/>
      <c r="F7" s="9" t="n"/>
      <c r="G7" s="9" t="n"/>
      <c r="H7" s="9" t="n"/>
      <c r="I7" s="9" t="n"/>
    </row>
    <row r="8" ht="14.25" customHeight="1" s="38">
      <c r="A8" s="9" t="n"/>
      <c r="B8" s="9" t="n"/>
      <c r="C8" s="9" t="n"/>
      <c r="D8" s="9" t="n"/>
      <c r="E8" s="9" t="n"/>
      <c r="F8" s="9" t="n"/>
      <c r="G8" s="9" t="n"/>
      <c r="H8" s="9" t="n"/>
      <c r="I8" s="9" t="n"/>
    </row>
    <row r="9" ht="14.25" customHeight="1" s="38">
      <c r="A9" s="9" t="n"/>
      <c r="B9" s="9" t="n"/>
      <c r="C9" s="9" t="n"/>
      <c r="D9" s="9" t="n"/>
      <c r="E9" s="9" t="n"/>
      <c r="F9" s="9" t="n"/>
      <c r="G9" s="9" t="n"/>
      <c r="H9" s="9" t="n"/>
      <c r="I9" s="9" t="n"/>
    </row>
    <row r="10" ht="14.25" customHeight="1" s="38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 ht="14.25" customHeight="1" s="38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 ht="14.25" customHeight="1" s="38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 ht="14.25" customHeight="1" s="38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 ht="14.25" customHeight="1" s="38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 ht="14.25" customHeight="1" s="38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 ht="14.25" customHeight="1" s="38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 ht="14.25" customHeight="1" s="38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</row>
    <row r="18" ht="14.25" customHeight="1" s="3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 ht="14.25" customHeight="1" s="38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</row>
    <row r="20" ht="14.25" customHeight="1" s="38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 ht="14.25" customHeight="1" s="38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</row>
    <row r="22" ht="14.25" customHeight="1" s="38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</row>
    <row r="23" ht="14.25" customHeight="1" s="38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</row>
    <row r="24" ht="14.25" customHeight="1" s="38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</row>
    <row r="25" ht="14.25" customHeight="1" s="38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</row>
    <row r="26" ht="14.25" customHeight="1" s="38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</row>
    <row r="27" ht="14.25" customHeight="1" s="38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</row>
    <row r="28" ht="14.25" customHeight="1" s="3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</row>
    <row r="29" ht="14.25" customHeight="1" s="38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</row>
    <row r="30" ht="14.25" customHeight="1" s="38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</row>
    <row r="31" ht="14.25" customHeight="1" s="38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</row>
    <row r="32" ht="14.25" customHeight="1" s="38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</row>
    <row r="33" ht="14.25" customHeight="1" s="38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</row>
    <row r="34" ht="14.25" customHeight="1" s="38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</row>
    <row r="35" ht="14.25" customHeight="1" s="38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</row>
    <row r="36" ht="14.25" customHeight="1" s="38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</row>
    <row r="37" ht="14.25" customHeight="1" s="38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</row>
    <row r="38" ht="14.25" customHeight="1" s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</row>
    <row r="39" ht="14.25" customHeight="1" s="38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</row>
    <row r="40" ht="14.25" customHeight="1" s="38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</row>
    <row r="41" ht="14.25" customHeight="1" s="38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</row>
    <row r="42" ht="14.25" customHeight="1" s="38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</row>
    <row r="43" ht="14.25" customHeight="1" s="38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</row>
    <row r="44" ht="14.25" customHeight="1" s="38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</row>
    <row r="45" ht="14.25" customHeight="1" s="38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</row>
    <row r="46" ht="14.25" customHeight="1" s="38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</row>
    <row r="47" ht="14.25" customHeight="1" s="38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</row>
    <row r="48" ht="14.25" customHeight="1" s="3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</row>
    <row r="49" ht="14.25" customHeight="1" s="38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</row>
    <row r="50" ht="14.25" customHeight="1" s="38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</row>
    <row r="51" ht="14.25" customHeight="1" s="38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</row>
    <row r="52" ht="14.25" customHeight="1" s="38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</row>
    <row r="53" ht="14.25" customHeight="1" s="38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</row>
    <row r="54" ht="14.25" customHeight="1" s="38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</row>
    <row r="55" ht="14.25" customHeight="1" s="38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</row>
    <row r="56" ht="14.25" customHeight="1" s="38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</row>
    <row r="57" ht="14.25" customHeight="1" s="38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</row>
    <row r="58" ht="14.25" customHeight="1" s="3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</row>
    <row r="59" ht="14.25" customHeight="1" s="38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</row>
    <row r="60" ht="14.25" customHeight="1" s="38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</row>
    <row r="61" ht="14.25" customHeight="1" s="38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</row>
    <row r="62" ht="14.25" customHeight="1" s="38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</row>
    <row r="63" ht="14.25" customHeight="1" s="38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</row>
    <row r="64" ht="14.25" customHeight="1" s="38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</row>
    <row r="65" ht="14.25" customHeight="1" s="38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</row>
    <row r="66" ht="14.25" customHeight="1" s="38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</row>
    <row r="67" ht="14.25" customHeight="1" s="38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</row>
    <row r="68" ht="14.25" customHeight="1" s="3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</row>
    <row r="69" ht="14.25" customHeight="1" s="38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</row>
    <row r="70" ht="14.25" customHeight="1" s="38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</row>
    <row r="71" ht="14.25" customHeight="1" s="38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</row>
    <row r="72" ht="14.25" customHeight="1" s="38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</row>
    <row r="73" ht="14.25" customHeight="1" s="38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</row>
    <row r="74" ht="14.25" customHeight="1" s="38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</row>
    <row r="75" ht="14.25" customHeight="1" s="38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</row>
    <row r="76" ht="14.25" customHeight="1" s="38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</row>
    <row r="77" ht="14.25" customHeight="1" s="38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</row>
    <row r="78" ht="14.25" customHeight="1" s="3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</row>
    <row r="79" ht="14.25" customHeight="1" s="38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</row>
    <row r="80" ht="14.25" customHeight="1" s="38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</row>
    <row r="81" ht="14.25" customHeight="1" s="38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</row>
    <row r="82" ht="14.25" customHeight="1" s="38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</row>
    <row r="83" ht="14.25" customHeight="1" s="38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</row>
    <row r="84" ht="14.25" customHeight="1" s="38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</row>
    <row r="85" ht="14.25" customHeight="1" s="38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</row>
    <row r="86" ht="14.25" customHeight="1" s="38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</row>
    <row r="87" ht="14.25" customHeight="1" s="38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</row>
    <row r="88" ht="14.25" customHeight="1" s="3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</row>
    <row r="89" ht="14.25" customHeight="1" s="38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</row>
    <row r="90" ht="14.25" customHeight="1" s="38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</row>
    <row r="91" ht="14.25" customHeight="1" s="38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</row>
    <row r="92" ht="14.25" customHeight="1" s="38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</row>
    <row r="93" ht="14.25" customHeight="1" s="38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</row>
    <row r="94" ht="14.25" customHeight="1" s="38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</row>
    <row r="95" ht="14.25" customHeight="1" s="38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</row>
    <row r="96" ht="14.25" customHeight="1" s="38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</row>
    <row r="97" ht="14.25" customHeight="1" s="38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</row>
    <row r="98" ht="14.25" customHeight="1" s="38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</row>
    <row r="99" ht="14.25" customHeight="1" s="38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</row>
    <row r="100" ht="14.25" customHeight="1" s="38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</row>
    <row r="101" ht="14.25" customHeight="1" s="38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</row>
    <row r="102" ht="14.25" customHeight="1" s="38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</row>
    <row r="103" ht="14.25" customHeight="1" s="38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</row>
    <row r="104" ht="14.25" customHeight="1" s="38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</row>
    <row r="105" ht="14.25" customHeight="1" s="38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</row>
    <row r="106" ht="14.25" customHeight="1" s="38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</row>
    <row r="107" ht="14.25" customHeight="1" s="38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</row>
    <row r="108" ht="14.25" customHeight="1" s="38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</row>
    <row r="109" ht="14.25" customHeight="1" s="38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</row>
    <row r="110" ht="14.25" customHeight="1" s="38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</row>
    <row r="111" ht="14.25" customHeight="1" s="38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</row>
    <row r="112" ht="14.25" customHeight="1" s="38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</row>
    <row r="113" ht="14.25" customHeight="1" s="38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</row>
    <row r="114" ht="14.25" customHeight="1" s="38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</row>
    <row r="115" ht="14.25" customHeight="1" s="38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</row>
    <row r="116" ht="14.25" customHeight="1" s="38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</row>
    <row r="117" ht="14.25" customHeight="1" s="38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</row>
    <row r="118" ht="14.25" customHeight="1" s="38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</row>
    <row r="119" ht="14.25" customHeight="1" s="38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</row>
    <row r="120" ht="14.25" customHeight="1" s="38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</row>
    <row r="121" ht="14.25" customHeight="1" s="38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</row>
    <row r="122" ht="14.25" customHeight="1" s="38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</row>
    <row r="123" ht="14.25" customHeight="1" s="38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</row>
    <row r="124" ht="14.25" customHeight="1" s="38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</row>
    <row r="125" ht="14.25" customHeight="1" s="38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</row>
    <row r="126" ht="14.25" customHeight="1" s="38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</row>
    <row r="127" ht="14.25" customHeight="1" s="38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</row>
    <row r="128" ht="14.25" customHeight="1" s="38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</row>
    <row r="129" ht="14.25" customHeight="1" s="38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</row>
    <row r="130" ht="14.25" customHeight="1" s="38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</row>
    <row r="131" ht="14.25" customHeight="1" s="38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</row>
    <row r="132" ht="14.25" customHeight="1" s="38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</row>
    <row r="133" ht="14.25" customHeight="1" s="38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</row>
    <row r="134" ht="14.25" customHeight="1" s="38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</row>
    <row r="135" ht="14.25" customHeight="1" s="38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</row>
    <row r="136" ht="14.25" customHeight="1" s="38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</row>
    <row r="137" ht="14.25" customHeight="1" s="38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</row>
    <row r="138" ht="14.25" customHeight="1" s="38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</row>
    <row r="139" ht="14.25" customHeight="1" s="38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</row>
    <row r="140" ht="14.25" customHeight="1" s="38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</row>
    <row r="141" ht="14.25" customHeight="1" s="38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</row>
    <row r="142" ht="14.25" customHeight="1" s="38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</row>
    <row r="143" ht="14.25" customHeight="1" s="38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</row>
    <row r="144" ht="14.25" customHeight="1" s="38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</row>
    <row r="145" ht="14.25" customHeight="1" s="38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</row>
    <row r="146" ht="14.25" customHeight="1" s="38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</row>
    <row r="147" ht="14.25" customHeight="1" s="38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</row>
    <row r="148" ht="14.25" customHeight="1" s="38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</row>
    <row r="149" ht="14.25" customHeight="1" s="38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</row>
    <row r="150" ht="14.25" customHeight="1" s="38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</row>
    <row r="151" ht="14.25" customHeight="1" s="38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</row>
    <row r="152" ht="14.25" customHeight="1" s="38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</row>
    <row r="153" ht="14.25" customHeight="1" s="38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</row>
    <row r="154" ht="14.25" customHeight="1" s="38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</row>
    <row r="155" ht="14.25" customHeight="1" s="38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</row>
    <row r="156" ht="14.25" customHeight="1" s="38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</row>
    <row r="157" ht="14.25" customHeight="1" s="38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</row>
    <row r="158" ht="14.25" customHeight="1" s="38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</row>
    <row r="159" ht="14.25" customHeight="1" s="38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</row>
    <row r="160" ht="14.25" customHeight="1" s="38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</row>
    <row r="161" ht="14.25" customHeight="1" s="38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</row>
    <row r="162" ht="14.25" customHeight="1" s="38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</row>
    <row r="163" ht="14.25" customHeight="1" s="38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</row>
    <row r="164" ht="14.25" customHeight="1" s="38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</row>
    <row r="165" ht="14.25" customHeight="1" s="38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</row>
    <row r="166" ht="14.25" customHeight="1" s="38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</row>
    <row r="167" ht="14.25" customHeight="1" s="38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</row>
    <row r="168" ht="14.25" customHeight="1" s="38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</row>
    <row r="169" ht="14.25" customHeight="1" s="38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</row>
    <row r="170" ht="14.25" customHeight="1" s="38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</row>
    <row r="171" ht="14.25" customHeight="1" s="38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</row>
    <row r="172" ht="14.25" customHeight="1" s="38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</row>
    <row r="173" ht="14.25" customHeight="1" s="38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</row>
    <row r="174" ht="14.25" customHeight="1" s="38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</row>
    <row r="175" ht="14.25" customHeight="1" s="38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</row>
    <row r="176" ht="14.25" customHeight="1" s="38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</row>
    <row r="177" ht="14.25" customHeight="1" s="38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</row>
    <row r="178" ht="14.25" customHeight="1" s="38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</row>
    <row r="179" ht="14.25" customHeight="1" s="38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</row>
    <row r="180" ht="14.25" customHeight="1" s="38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</row>
    <row r="181" ht="14.25" customHeight="1" s="38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</row>
    <row r="182" ht="14.25" customHeight="1" s="38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</row>
    <row r="183" ht="14.25" customHeight="1" s="38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</row>
    <row r="184" ht="14.25" customHeight="1" s="38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</row>
    <row r="185" ht="14.25" customHeight="1" s="38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</row>
    <row r="186" ht="14.25" customHeight="1" s="38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</row>
    <row r="187" ht="14.25" customHeight="1" s="38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</row>
    <row r="188" ht="14.25" customHeight="1" s="38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</row>
    <row r="189" ht="14.25" customHeight="1" s="38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</row>
    <row r="190" ht="14.25" customHeight="1" s="38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</row>
    <row r="191" ht="14.25" customHeight="1" s="38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</row>
    <row r="192" ht="14.25" customHeight="1" s="38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</row>
    <row r="193" ht="14.25" customHeight="1" s="38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</row>
    <row r="194" ht="14.25" customHeight="1" s="38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</row>
    <row r="195" ht="14.25" customHeight="1" s="38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</row>
    <row r="196" ht="14.25" customHeight="1" s="38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</row>
    <row r="197" ht="14.25" customHeight="1" s="38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</row>
    <row r="198" ht="14.25" customHeight="1" s="38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</row>
    <row r="199" ht="14.25" customHeight="1" s="38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</row>
    <row r="200" ht="14.25" customHeight="1" s="38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</row>
    <row r="201" ht="14.25" customHeight="1" s="38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</row>
    <row r="202" ht="14.25" customHeight="1" s="38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</row>
    <row r="203" ht="14.25" customHeight="1" s="38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</row>
    <row r="204" ht="14.25" customHeight="1" s="38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</row>
    <row r="205" ht="14.25" customHeight="1" s="38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</row>
    <row r="206" ht="14.25" customHeight="1" s="38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</row>
    <row r="207" ht="14.25" customHeight="1" s="38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</row>
    <row r="208" ht="14.25" customHeight="1" s="38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</row>
    <row r="209" ht="14.25" customHeight="1" s="38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</row>
    <row r="210" ht="14.25" customHeight="1" s="38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</row>
    <row r="211" ht="14.25" customHeight="1" s="38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</row>
    <row r="212" ht="14.25" customHeight="1" s="38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</row>
    <row r="213" ht="14.25" customHeight="1" s="38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</row>
    <row r="214" ht="14.25" customHeight="1" s="38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</row>
    <row r="215" ht="14.25" customHeight="1" s="38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</row>
    <row r="216" ht="14.25" customHeight="1" s="38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</row>
    <row r="217" ht="14.25" customHeight="1" s="38">
      <c r="A217" s="9" t="n"/>
      <c r="B217" s="9" t="n"/>
      <c r="C217" s="9" t="n"/>
      <c r="D217" s="9" t="n"/>
      <c r="E217" s="9" t="n"/>
      <c r="F217" s="9" t="n"/>
      <c r="G217" s="9" t="n"/>
      <c r="H217" s="9" t="n"/>
      <c r="I217" s="9" t="n"/>
    </row>
    <row r="218" ht="14.25" customHeight="1" s="38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</row>
    <row r="219" ht="14.25" customHeight="1" s="38">
      <c r="A219" s="9" t="n"/>
      <c r="B219" s="9" t="n"/>
      <c r="C219" s="9" t="n"/>
      <c r="D219" s="9" t="n"/>
      <c r="E219" s="9" t="n"/>
      <c r="F219" s="9" t="n"/>
      <c r="G219" s="9" t="n"/>
      <c r="H219" s="9" t="n"/>
      <c r="I219" s="9" t="n"/>
    </row>
    <row r="220" ht="14.25" customHeight="1" s="38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</row>
    <row r="221" ht="14.25" customHeight="1" s="38">
      <c r="D221" s="11" t="n"/>
      <c r="F221" s="11" t="n"/>
    </row>
    <row r="222" ht="14.25" customHeight="1" s="38">
      <c r="D222" s="11" t="n"/>
      <c r="F222" s="11" t="n"/>
    </row>
    <row r="223" ht="14.25" customHeight="1" s="38">
      <c r="D223" s="11" t="n"/>
      <c r="F223" s="11" t="n"/>
    </row>
    <row r="224" ht="14.25" customHeight="1" s="38">
      <c r="D224" s="11" t="n"/>
      <c r="F224" s="11" t="n"/>
    </row>
    <row r="225" ht="14.25" customHeight="1" s="38">
      <c r="D225" s="11" t="n"/>
      <c r="F225" s="11" t="n"/>
    </row>
    <row r="226" ht="14.25" customHeight="1" s="38">
      <c r="D226" s="11" t="n"/>
      <c r="F226" s="11" t="n"/>
    </row>
    <row r="227" ht="14.25" customHeight="1" s="38">
      <c r="D227" s="11" t="n"/>
      <c r="F227" s="11" t="n"/>
    </row>
    <row r="228" ht="14.25" customHeight="1" s="38">
      <c r="D228" s="11" t="n"/>
      <c r="F228" s="11" t="n"/>
    </row>
    <row r="229" ht="14.25" customHeight="1" s="38">
      <c r="D229" s="11" t="n"/>
      <c r="F229" s="11" t="n"/>
    </row>
    <row r="230" ht="14.25" customHeight="1" s="38">
      <c r="D230" s="11" t="n"/>
      <c r="F230" s="11" t="n"/>
    </row>
    <row r="231" ht="14.25" customHeight="1" s="38">
      <c r="D231" s="11" t="n"/>
      <c r="F231" s="11" t="n"/>
    </row>
    <row r="232" ht="14.25" customHeight="1" s="38">
      <c r="D232" s="11" t="n"/>
      <c r="F232" s="11" t="n"/>
    </row>
    <row r="233" ht="14.25" customHeight="1" s="38">
      <c r="D233" s="11" t="n"/>
      <c r="F233" s="11" t="n"/>
    </row>
    <row r="234" ht="14.25" customHeight="1" s="38">
      <c r="D234" s="11" t="n"/>
      <c r="F234" s="11" t="n"/>
    </row>
    <row r="235" ht="14.25" customHeight="1" s="38">
      <c r="D235" s="11" t="n"/>
      <c r="F235" s="11" t="n"/>
    </row>
    <row r="236" ht="14.25" customHeight="1" s="38">
      <c r="D236" s="11" t="n"/>
      <c r="F236" s="11" t="n"/>
    </row>
    <row r="237" ht="14.25" customHeight="1" s="38">
      <c r="D237" s="11" t="n"/>
      <c r="F237" s="11" t="n"/>
    </row>
    <row r="238" ht="14.25" customHeight="1" s="38">
      <c r="D238" s="11" t="n"/>
      <c r="F238" s="11" t="n"/>
    </row>
    <row r="239" ht="14.25" customHeight="1" s="38">
      <c r="D239" s="11" t="n"/>
      <c r="F239" s="11" t="n"/>
    </row>
    <row r="240" ht="14.25" customHeight="1" s="38">
      <c r="D240" s="11" t="n"/>
      <c r="F240" s="11" t="n"/>
    </row>
    <row r="241" ht="14.25" customHeight="1" s="38">
      <c r="D241" s="11" t="n"/>
      <c r="F241" s="11" t="n"/>
    </row>
    <row r="242" ht="14.25" customHeight="1" s="38">
      <c r="D242" s="11" t="n"/>
      <c r="F242" s="11" t="n"/>
    </row>
    <row r="243" ht="14.25" customHeight="1" s="38">
      <c r="D243" s="11" t="n"/>
      <c r="F243" s="11" t="n"/>
    </row>
    <row r="244" ht="14.25" customHeight="1" s="38">
      <c r="D244" s="11" t="n"/>
      <c r="F244" s="11" t="n"/>
    </row>
    <row r="245" ht="14.25" customHeight="1" s="38">
      <c r="D245" s="11" t="n"/>
      <c r="F245" s="11" t="n"/>
    </row>
    <row r="246" ht="14.25" customHeight="1" s="38">
      <c r="D246" s="11" t="n"/>
      <c r="F246" s="11" t="n"/>
    </row>
    <row r="247" ht="14.25" customHeight="1" s="38">
      <c r="D247" s="11" t="n"/>
      <c r="F247" s="11" t="n"/>
    </row>
    <row r="248" ht="14.25" customHeight="1" s="38">
      <c r="D248" s="11" t="n"/>
      <c r="F248" s="11" t="n"/>
    </row>
    <row r="249" ht="14.25" customHeight="1" s="38">
      <c r="D249" s="11" t="n"/>
      <c r="F249" s="11" t="n"/>
    </row>
    <row r="250" ht="14.25" customHeight="1" s="38">
      <c r="D250" s="11" t="n"/>
      <c r="F250" s="11" t="n"/>
    </row>
    <row r="251" ht="14.25" customHeight="1" s="38">
      <c r="D251" s="11" t="n"/>
      <c r="F251" s="11" t="n"/>
    </row>
    <row r="252" ht="14.25" customHeight="1" s="38">
      <c r="D252" s="11" t="n"/>
      <c r="F252" s="11" t="n"/>
    </row>
    <row r="253" ht="14.25" customHeight="1" s="38">
      <c r="D253" s="11" t="n"/>
      <c r="F253" s="11" t="n"/>
    </row>
    <row r="254" ht="14.25" customHeight="1" s="38">
      <c r="D254" s="11" t="n"/>
      <c r="F254" s="11" t="n"/>
    </row>
    <row r="255" ht="14.25" customHeight="1" s="38">
      <c r="D255" s="11" t="n"/>
      <c r="F255" s="11" t="n"/>
    </row>
    <row r="256" ht="14.25" customHeight="1" s="38">
      <c r="D256" s="11" t="n"/>
      <c r="F256" s="11" t="n"/>
    </row>
    <row r="257" ht="14.25" customHeight="1" s="38">
      <c r="D257" s="11" t="n"/>
      <c r="F257" s="11" t="n"/>
    </row>
    <row r="258" ht="14.25" customHeight="1" s="38">
      <c r="D258" s="11" t="n"/>
      <c r="F258" s="11" t="n"/>
    </row>
    <row r="259" ht="14.25" customHeight="1" s="38">
      <c r="D259" s="11" t="n"/>
      <c r="F259" s="11" t="n"/>
    </row>
    <row r="260" ht="14.25" customHeight="1" s="38">
      <c r="D260" s="11" t="n"/>
      <c r="F260" s="11" t="n"/>
    </row>
    <row r="261" ht="14.25" customHeight="1" s="38">
      <c r="D261" s="11" t="n"/>
      <c r="F261" s="11" t="n"/>
    </row>
    <row r="262" ht="14.25" customHeight="1" s="38">
      <c r="D262" s="11" t="n"/>
      <c r="F262" s="11" t="n"/>
    </row>
    <row r="263" ht="14.25" customHeight="1" s="38">
      <c r="D263" s="11" t="n"/>
      <c r="F263" s="11" t="n"/>
    </row>
    <row r="264" ht="14.25" customHeight="1" s="38">
      <c r="D264" s="11" t="n"/>
      <c r="F264" s="11" t="n"/>
    </row>
    <row r="265" ht="14.25" customHeight="1" s="38">
      <c r="D265" s="11" t="n"/>
      <c r="F265" s="11" t="n"/>
    </row>
    <row r="266" ht="14.25" customHeight="1" s="38">
      <c r="D266" s="11" t="n"/>
      <c r="F266" s="11" t="n"/>
    </row>
    <row r="267" ht="14.25" customHeight="1" s="38">
      <c r="D267" s="11" t="n"/>
      <c r="F267" s="11" t="n"/>
    </row>
    <row r="268" ht="14.25" customHeight="1" s="38">
      <c r="D268" s="11" t="n"/>
      <c r="F268" s="11" t="n"/>
    </row>
    <row r="269" ht="14.25" customHeight="1" s="38">
      <c r="D269" s="11" t="n"/>
      <c r="F269" s="11" t="n"/>
    </row>
    <row r="270" ht="14.25" customHeight="1" s="38">
      <c r="D270" s="11" t="n"/>
      <c r="F270" s="11" t="n"/>
    </row>
    <row r="271" ht="14.25" customHeight="1" s="38">
      <c r="D271" s="11" t="n"/>
      <c r="F271" s="11" t="n"/>
    </row>
    <row r="272" ht="14.25" customHeight="1" s="38">
      <c r="D272" s="11" t="n"/>
      <c r="F272" s="11" t="n"/>
    </row>
    <row r="273" ht="14.25" customHeight="1" s="38">
      <c r="D273" s="11" t="n"/>
      <c r="F273" s="11" t="n"/>
    </row>
    <row r="274" ht="14.25" customHeight="1" s="38">
      <c r="D274" s="11" t="n"/>
      <c r="F274" s="11" t="n"/>
    </row>
    <row r="275" ht="14.25" customHeight="1" s="38">
      <c r="D275" s="11" t="n"/>
      <c r="F275" s="11" t="n"/>
    </row>
    <row r="276" ht="14.25" customHeight="1" s="38">
      <c r="D276" s="11" t="n"/>
      <c r="F276" s="11" t="n"/>
    </row>
    <row r="277" ht="14.25" customHeight="1" s="38">
      <c r="D277" s="11" t="n"/>
      <c r="F277" s="11" t="n"/>
    </row>
    <row r="278" ht="14.25" customHeight="1" s="38">
      <c r="D278" s="11" t="n"/>
      <c r="F278" s="11" t="n"/>
    </row>
    <row r="279" ht="14.25" customHeight="1" s="38">
      <c r="D279" s="11" t="n"/>
      <c r="F279" s="11" t="n"/>
    </row>
    <row r="280" ht="14.25" customHeight="1" s="38">
      <c r="D280" s="11" t="n"/>
      <c r="F280" s="11" t="n"/>
    </row>
    <row r="281" ht="14.25" customHeight="1" s="38">
      <c r="D281" s="11" t="n"/>
      <c r="F281" s="11" t="n"/>
    </row>
    <row r="282" ht="14.25" customHeight="1" s="38">
      <c r="D282" s="11" t="n"/>
      <c r="F282" s="11" t="n"/>
    </row>
    <row r="283" ht="14.25" customHeight="1" s="38">
      <c r="D283" s="11" t="n"/>
      <c r="F283" s="11" t="n"/>
    </row>
    <row r="284" ht="14.25" customHeight="1" s="38">
      <c r="D284" s="11" t="n"/>
      <c r="F284" s="11" t="n"/>
    </row>
    <row r="285" ht="14.25" customHeight="1" s="38">
      <c r="D285" s="11" t="n"/>
      <c r="F285" s="11" t="n"/>
    </row>
    <row r="286" ht="14.25" customHeight="1" s="38">
      <c r="D286" s="11" t="n"/>
      <c r="F286" s="11" t="n"/>
    </row>
    <row r="287" ht="14.25" customHeight="1" s="38">
      <c r="D287" s="11" t="n"/>
      <c r="F287" s="11" t="n"/>
    </row>
    <row r="288" ht="14.25" customHeight="1" s="38">
      <c r="D288" s="11" t="n"/>
      <c r="F288" s="11" t="n"/>
    </row>
    <row r="289" ht="14.25" customHeight="1" s="38">
      <c r="D289" s="11" t="n"/>
      <c r="F289" s="11" t="n"/>
    </row>
    <row r="290" ht="14.25" customHeight="1" s="38">
      <c r="D290" s="11" t="n"/>
      <c r="F290" s="11" t="n"/>
    </row>
    <row r="291" ht="14.25" customHeight="1" s="38">
      <c r="D291" s="11" t="n"/>
      <c r="F291" s="11" t="n"/>
    </row>
    <row r="292" ht="14.25" customHeight="1" s="38">
      <c r="D292" s="11" t="n"/>
      <c r="F292" s="11" t="n"/>
    </row>
    <row r="293" ht="14.25" customHeight="1" s="38">
      <c r="D293" s="11" t="n"/>
      <c r="F293" s="11" t="n"/>
    </row>
    <row r="294" ht="14.25" customHeight="1" s="38">
      <c r="D294" s="11" t="n"/>
      <c r="F294" s="11" t="n"/>
    </row>
    <row r="295" ht="14.25" customHeight="1" s="38">
      <c r="D295" s="11" t="n"/>
      <c r="F295" s="11" t="n"/>
    </row>
    <row r="296" ht="14.25" customHeight="1" s="38">
      <c r="D296" s="11" t="n"/>
      <c r="F296" s="11" t="n"/>
    </row>
    <row r="297" ht="14.25" customHeight="1" s="38">
      <c r="D297" s="11" t="n"/>
      <c r="F297" s="11" t="n"/>
    </row>
    <row r="298" ht="14.25" customHeight="1" s="38">
      <c r="D298" s="11" t="n"/>
      <c r="F298" s="11" t="n"/>
    </row>
    <row r="299" ht="14.25" customHeight="1" s="38">
      <c r="D299" s="11" t="n"/>
      <c r="F299" s="11" t="n"/>
    </row>
    <row r="300" ht="14.25" customHeight="1" s="38">
      <c r="D300" s="11" t="n"/>
      <c r="F300" s="11" t="n"/>
    </row>
    <row r="301" ht="14.25" customHeight="1" s="38">
      <c r="D301" s="11" t="n"/>
      <c r="F301" s="11" t="n"/>
    </row>
    <row r="302" ht="14.25" customHeight="1" s="38">
      <c r="D302" s="11" t="n"/>
      <c r="F302" s="11" t="n"/>
    </row>
    <row r="303" ht="14.25" customHeight="1" s="38">
      <c r="D303" s="11" t="n"/>
      <c r="F303" s="11" t="n"/>
    </row>
    <row r="304" ht="14.25" customHeight="1" s="38">
      <c r="D304" s="11" t="n"/>
      <c r="F304" s="11" t="n"/>
    </row>
    <row r="305" ht="14.25" customHeight="1" s="38">
      <c r="D305" s="11" t="n"/>
      <c r="F305" s="11" t="n"/>
    </row>
    <row r="306" ht="14.25" customHeight="1" s="38">
      <c r="D306" s="11" t="n"/>
      <c r="F306" s="11" t="n"/>
    </row>
    <row r="307" ht="14.25" customHeight="1" s="38">
      <c r="D307" s="11" t="n"/>
      <c r="F307" s="11" t="n"/>
    </row>
    <row r="308" ht="14.25" customHeight="1" s="38">
      <c r="D308" s="11" t="n"/>
      <c r="F308" s="11" t="n"/>
    </row>
    <row r="309" ht="14.25" customHeight="1" s="38">
      <c r="D309" s="11" t="n"/>
      <c r="F309" s="11" t="n"/>
    </row>
    <row r="310" ht="14.25" customHeight="1" s="38">
      <c r="D310" s="11" t="n"/>
      <c r="F310" s="11" t="n"/>
    </row>
    <row r="311" ht="14.25" customHeight="1" s="38">
      <c r="D311" s="11" t="n"/>
      <c r="F311" s="11" t="n"/>
    </row>
    <row r="312" ht="14.25" customHeight="1" s="38">
      <c r="D312" s="11" t="n"/>
      <c r="F312" s="11" t="n"/>
    </row>
    <row r="313" ht="14.25" customHeight="1" s="38">
      <c r="D313" s="11" t="n"/>
      <c r="F313" s="11" t="n"/>
    </row>
    <row r="314" ht="14.25" customHeight="1" s="38">
      <c r="D314" s="11" t="n"/>
      <c r="F314" s="11" t="n"/>
    </row>
    <row r="315" ht="14.25" customHeight="1" s="38">
      <c r="D315" s="11" t="n"/>
      <c r="F315" s="11" t="n"/>
    </row>
    <row r="316" ht="14.25" customHeight="1" s="38">
      <c r="D316" s="11" t="n"/>
      <c r="F316" s="11" t="n"/>
    </row>
    <row r="317" ht="14.25" customHeight="1" s="38">
      <c r="D317" s="11" t="n"/>
      <c r="F317" s="11" t="n"/>
    </row>
    <row r="318" ht="14.25" customHeight="1" s="38">
      <c r="D318" s="11" t="n"/>
      <c r="F318" s="11" t="n"/>
    </row>
    <row r="319" ht="14.25" customHeight="1" s="38">
      <c r="D319" s="11" t="n"/>
      <c r="F319" s="11" t="n"/>
    </row>
    <row r="320" ht="14.25" customHeight="1" s="38">
      <c r="D320" s="11" t="n"/>
      <c r="F320" s="11" t="n"/>
    </row>
    <row r="321" ht="14.25" customHeight="1" s="38">
      <c r="D321" s="11" t="n"/>
      <c r="F321" s="11" t="n"/>
    </row>
    <row r="322" ht="14.25" customHeight="1" s="38">
      <c r="D322" s="11" t="n"/>
      <c r="F322" s="11" t="n"/>
    </row>
    <row r="323" ht="14.25" customHeight="1" s="38">
      <c r="D323" s="11" t="n"/>
      <c r="F323" s="11" t="n"/>
    </row>
    <row r="324" ht="14.25" customHeight="1" s="38">
      <c r="D324" s="11" t="n"/>
      <c r="F324" s="11" t="n"/>
    </row>
    <row r="325" ht="14.25" customHeight="1" s="38">
      <c r="D325" s="11" t="n"/>
      <c r="F325" s="11" t="n"/>
    </row>
    <row r="326" ht="14.25" customHeight="1" s="38">
      <c r="D326" s="11" t="n"/>
      <c r="F326" s="11" t="n"/>
    </row>
    <row r="327" ht="14.25" customHeight="1" s="38">
      <c r="D327" s="11" t="n"/>
      <c r="F327" s="11" t="n"/>
    </row>
    <row r="328" ht="14.25" customHeight="1" s="38">
      <c r="D328" s="11" t="n"/>
      <c r="F328" s="11" t="n"/>
    </row>
    <row r="329" ht="14.25" customHeight="1" s="38">
      <c r="D329" s="11" t="n"/>
      <c r="F329" s="11" t="n"/>
    </row>
    <row r="330" ht="14.25" customHeight="1" s="38">
      <c r="D330" s="11" t="n"/>
      <c r="F330" s="11" t="n"/>
    </row>
    <row r="331" ht="14.25" customHeight="1" s="38">
      <c r="D331" s="11" t="n"/>
      <c r="F331" s="11" t="n"/>
    </row>
    <row r="332" ht="14.25" customHeight="1" s="38">
      <c r="D332" s="11" t="n"/>
      <c r="F332" s="11" t="n"/>
    </row>
    <row r="333" ht="14.25" customHeight="1" s="38">
      <c r="D333" s="11" t="n"/>
      <c r="F333" s="11" t="n"/>
    </row>
    <row r="334" ht="14.25" customHeight="1" s="38">
      <c r="D334" s="11" t="n"/>
      <c r="F334" s="11" t="n"/>
    </row>
    <row r="335" ht="14.25" customHeight="1" s="38">
      <c r="D335" s="11" t="n"/>
      <c r="F335" s="11" t="n"/>
    </row>
    <row r="336" ht="14.25" customHeight="1" s="38">
      <c r="D336" s="11" t="n"/>
      <c r="F336" s="11" t="n"/>
    </row>
    <row r="337" ht="14.25" customHeight="1" s="38">
      <c r="D337" s="11" t="n"/>
      <c r="F337" s="11" t="n"/>
    </row>
    <row r="338" ht="14.25" customHeight="1" s="38">
      <c r="D338" s="11" t="n"/>
      <c r="F338" s="11" t="n"/>
    </row>
    <row r="339" ht="14.25" customHeight="1" s="38">
      <c r="D339" s="11" t="n"/>
      <c r="F339" s="11" t="n"/>
    </row>
    <row r="340" ht="14.25" customHeight="1" s="38">
      <c r="D340" s="11" t="n"/>
      <c r="F340" s="11" t="n"/>
    </row>
    <row r="341" ht="14.25" customHeight="1" s="38">
      <c r="D341" s="11" t="n"/>
      <c r="F341" s="11" t="n"/>
    </row>
    <row r="342" ht="14.25" customHeight="1" s="38">
      <c r="D342" s="11" t="n"/>
      <c r="F342" s="11" t="n"/>
    </row>
    <row r="343" ht="14.25" customHeight="1" s="38">
      <c r="D343" s="11" t="n"/>
      <c r="F343" s="11" t="n"/>
    </row>
    <row r="344" ht="14.25" customHeight="1" s="38">
      <c r="D344" s="11" t="n"/>
      <c r="F344" s="11" t="n"/>
    </row>
    <row r="345" ht="14.25" customHeight="1" s="38">
      <c r="D345" s="11" t="n"/>
      <c r="F345" s="11" t="n"/>
    </row>
    <row r="346" ht="14.25" customHeight="1" s="38">
      <c r="D346" s="11" t="n"/>
      <c r="F346" s="11" t="n"/>
    </row>
    <row r="347" ht="14.25" customHeight="1" s="38">
      <c r="D347" s="11" t="n"/>
      <c r="F347" s="11" t="n"/>
    </row>
    <row r="348" ht="14.25" customHeight="1" s="38">
      <c r="D348" s="11" t="n"/>
      <c r="F348" s="11" t="n"/>
    </row>
    <row r="349" ht="14.25" customHeight="1" s="38">
      <c r="D349" s="11" t="n"/>
      <c r="F349" s="11" t="n"/>
    </row>
    <row r="350" ht="14.25" customHeight="1" s="38">
      <c r="D350" s="11" t="n"/>
      <c r="F350" s="11" t="n"/>
    </row>
    <row r="351" ht="14.25" customHeight="1" s="38">
      <c r="D351" s="11" t="n"/>
      <c r="F351" s="11" t="n"/>
    </row>
    <row r="352" ht="14.25" customHeight="1" s="38">
      <c r="D352" s="11" t="n"/>
      <c r="F352" s="11" t="n"/>
    </row>
    <row r="353" ht="14.25" customHeight="1" s="38">
      <c r="D353" s="11" t="n"/>
      <c r="F353" s="11" t="n"/>
    </row>
    <row r="354" ht="14.25" customHeight="1" s="38">
      <c r="D354" s="11" t="n"/>
      <c r="F354" s="11" t="n"/>
    </row>
    <row r="355" ht="14.25" customHeight="1" s="38">
      <c r="D355" s="11" t="n"/>
      <c r="F355" s="11" t="n"/>
    </row>
    <row r="356" ht="14.25" customHeight="1" s="38">
      <c r="D356" s="11" t="n"/>
      <c r="F356" s="11" t="n"/>
    </row>
    <row r="357" ht="14.25" customHeight="1" s="38">
      <c r="D357" s="11" t="n"/>
      <c r="F357" s="11" t="n"/>
    </row>
    <row r="358" ht="14.25" customHeight="1" s="38">
      <c r="D358" s="11" t="n"/>
      <c r="F358" s="11" t="n"/>
    </row>
    <row r="359" ht="14.25" customHeight="1" s="38">
      <c r="D359" s="11" t="n"/>
      <c r="F359" s="11" t="n"/>
    </row>
    <row r="360" ht="14.25" customHeight="1" s="38">
      <c r="D360" s="11" t="n"/>
      <c r="F360" s="11" t="n"/>
    </row>
    <row r="361" ht="14.25" customHeight="1" s="38">
      <c r="D361" s="11" t="n"/>
      <c r="F361" s="11" t="n"/>
    </row>
    <row r="362" ht="14.25" customHeight="1" s="38">
      <c r="D362" s="11" t="n"/>
      <c r="F362" s="11" t="n"/>
    </row>
    <row r="363" ht="14.25" customHeight="1" s="38">
      <c r="D363" s="11" t="n"/>
      <c r="F363" s="11" t="n"/>
    </row>
    <row r="364" ht="14.25" customHeight="1" s="38">
      <c r="D364" s="11" t="n"/>
      <c r="F364" s="11" t="n"/>
    </row>
    <row r="365" ht="14.25" customHeight="1" s="38">
      <c r="D365" s="11" t="n"/>
      <c r="F365" s="11" t="n"/>
    </row>
    <row r="366" ht="14.25" customHeight="1" s="38">
      <c r="D366" s="11" t="n"/>
      <c r="F366" s="11" t="n"/>
    </row>
    <row r="367" ht="14.25" customHeight="1" s="38">
      <c r="D367" s="11" t="n"/>
      <c r="F367" s="11" t="n"/>
    </row>
    <row r="368" ht="14.25" customHeight="1" s="38">
      <c r="D368" s="11" t="n"/>
      <c r="F368" s="11" t="n"/>
    </row>
    <row r="369" ht="14.25" customHeight="1" s="38">
      <c r="D369" s="11" t="n"/>
      <c r="F369" s="11" t="n"/>
    </row>
    <row r="370" ht="14.25" customHeight="1" s="38">
      <c r="D370" s="11" t="n"/>
      <c r="F370" s="11" t="n"/>
    </row>
    <row r="371" ht="14.25" customHeight="1" s="38">
      <c r="D371" s="11" t="n"/>
      <c r="F371" s="11" t="n"/>
    </row>
    <row r="372" ht="14.25" customHeight="1" s="38">
      <c r="D372" s="11" t="n"/>
      <c r="F372" s="11" t="n"/>
    </row>
    <row r="373" ht="14.25" customHeight="1" s="38">
      <c r="D373" s="11" t="n"/>
      <c r="F373" s="11" t="n"/>
    </row>
    <row r="374" ht="14.25" customHeight="1" s="38">
      <c r="D374" s="11" t="n"/>
      <c r="F374" s="11" t="n"/>
    </row>
    <row r="375" ht="14.25" customHeight="1" s="38">
      <c r="D375" s="11" t="n"/>
      <c r="F375" s="11" t="n"/>
    </row>
    <row r="376" ht="14.25" customHeight="1" s="38">
      <c r="D376" s="11" t="n"/>
      <c r="F376" s="11" t="n"/>
    </row>
    <row r="377" ht="14.25" customHeight="1" s="38">
      <c r="D377" s="11" t="n"/>
      <c r="F377" s="11" t="n"/>
    </row>
    <row r="378" ht="14.25" customHeight="1" s="38">
      <c r="D378" s="11" t="n"/>
      <c r="F378" s="11" t="n"/>
    </row>
    <row r="379" ht="14.25" customHeight="1" s="38">
      <c r="D379" s="11" t="n"/>
      <c r="F379" s="11" t="n"/>
    </row>
    <row r="380" ht="14.25" customHeight="1" s="38">
      <c r="D380" s="11" t="n"/>
      <c r="F380" s="11" t="n"/>
    </row>
    <row r="381" ht="14.25" customHeight="1" s="38">
      <c r="D381" s="11" t="n"/>
      <c r="F381" s="11" t="n"/>
    </row>
    <row r="382" ht="14.25" customHeight="1" s="38">
      <c r="D382" s="11" t="n"/>
      <c r="F382" s="11" t="n"/>
    </row>
    <row r="383" ht="14.25" customHeight="1" s="38">
      <c r="D383" s="11" t="n"/>
      <c r="F383" s="11" t="n"/>
    </row>
    <row r="384" ht="14.25" customHeight="1" s="38">
      <c r="D384" s="11" t="n"/>
      <c r="F384" s="11" t="n"/>
    </row>
    <row r="385" ht="14.25" customHeight="1" s="38">
      <c r="D385" s="11" t="n"/>
      <c r="F385" s="11" t="n"/>
    </row>
    <row r="386" ht="14.25" customHeight="1" s="38">
      <c r="D386" s="11" t="n"/>
      <c r="F386" s="11" t="n"/>
    </row>
    <row r="387" ht="14.25" customHeight="1" s="38">
      <c r="D387" s="11" t="n"/>
      <c r="F387" s="11" t="n"/>
    </row>
    <row r="388" ht="14.25" customHeight="1" s="38">
      <c r="D388" s="11" t="n"/>
      <c r="F388" s="11" t="n"/>
    </row>
    <row r="389" ht="14.25" customHeight="1" s="38">
      <c r="D389" s="11" t="n"/>
      <c r="F389" s="11" t="n"/>
    </row>
    <row r="390" ht="14.25" customHeight="1" s="38">
      <c r="D390" s="11" t="n"/>
      <c r="F390" s="11" t="n"/>
    </row>
    <row r="391" ht="14.25" customHeight="1" s="38">
      <c r="D391" s="11" t="n"/>
      <c r="F391" s="11" t="n"/>
    </row>
    <row r="392" ht="14.25" customHeight="1" s="38">
      <c r="D392" s="11" t="n"/>
      <c r="F392" s="11" t="n"/>
    </row>
    <row r="393" ht="14.25" customHeight="1" s="38">
      <c r="D393" s="11" t="n"/>
      <c r="F393" s="11" t="n"/>
    </row>
    <row r="394" ht="14.25" customHeight="1" s="38">
      <c r="D394" s="11" t="n"/>
      <c r="F394" s="11" t="n"/>
    </row>
    <row r="395" ht="14.25" customHeight="1" s="38">
      <c r="D395" s="11" t="n"/>
      <c r="F395" s="11" t="n"/>
    </row>
    <row r="396" ht="14.25" customHeight="1" s="38">
      <c r="D396" s="11" t="n"/>
      <c r="F396" s="11" t="n"/>
    </row>
    <row r="397" ht="14.25" customHeight="1" s="38">
      <c r="D397" s="11" t="n"/>
      <c r="F397" s="11" t="n"/>
    </row>
    <row r="398" ht="14.25" customHeight="1" s="38">
      <c r="D398" s="11" t="n"/>
      <c r="F398" s="11" t="n"/>
    </row>
    <row r="399" ht="14.25" customHeight="1" s="38">
      <c r="D399" s="11" t="n"/>
      <c r="F399" s="11" t="n"/>
    </row>
    <row r="400" ht="14.25" customHeight="1" s="38">
      <c r="D400" s="11" t="n"/>
      <c r="F400" s="11" t="n"/>
    </row>
    <row r="401" ht="14.25" customHeight="1" s="38">
      <c r="D401" s="11" t="n"/>
      <c r="F401" s="11" t="n"/>
    </row>
    <row r="402" ht="14.25" customHeight="1" s="38">
      <c r="D402" s="11" t="n"/>
      <c r="F402" s="11" t="n"/>
    </row>
    <row r="403" ht="14.25" customHeight="1" s="38">
      <c r="D403" s="11" t="n"/>
      <c r="F403" s="11" t="n"/>
    </row>
    <row r="404" ht="14.25" customHeight="1" s="38">
      <c r="D404" s="11" t="n"/>
      <c r="F404" s="11" t="n"/>
    </row>
    <row r="405" ht="14.25" customHeight="1" s="38">
      <c r="D405" s="11" t="n"/>
      <c r="F405" s="11" t="n"/>
    </row>
    <row r="406" ht="14.25" customHeight="1" s="38">
      <c r="D406" s="11" t="n"/>
      <c r="F406" s="11" t="n"/>
    </row>
    <row r="407" ht="14.25" customHeight="1" s="38">
      <c r="D407" s="11" t="n"/>
      <c r="F407" s="11" t="n"/>
    </row>
    <row r="408" ht="14.25" customHeight="1" s="38">
      <c r="D408" s="11" t="n"/>
      <c r="F408" s="11" t="n"/>
    </row>
    <row r="409" ht="14.25" customHeight="1" s="38">
      <c r="D409" s="11" t="n"/>
      <c r="F409" s="11" t="n"/>
    </row>
    <row r="410" ht="14.25" customHeight="1" s="38">
      <c r="D410" s="11" t="n"/>
      <c r="F410" s="11" t="n"/>
    </row>
    <row r="411" ht="14.25" customHeight="1" s="38">
      <c r="D411" s="11" t="n"/>
      <c r="F411" s="11" t="n"/>
    </row>
    <row r="412" ht="14.25" customHeight="1" s="38">
      <c r="D412" s="11" t="n"/>
      <c r="F412" s="11" t="n"/>
    </row>
    <row r="413" ht="14.25" customHeight="1" s="38">
      <c r="D413" s="11" t="n"/>
      <c r="F413" s="11" t="n"/>
    </row>
    <row r="414" ht="14.25" customHeight="1" s="38">
      <c r="D414" s="11" t="n"/>
      <c r="F414" s="11" t="n"/>
    </row>
    <row r="415" ht="14.25" customHeight="1" s="38">
      <c r="D415" s="11" t="n"/>
      <c r="F415" s="11" t="n"/>
    </row>
    <row r="416" ht="14.25" customHeight="1" s="38">
      <c r="D416" s="11" t="n"/>
      <c r="F416" s="11" t="n"/>
    </row>
    <row r="417" ht="14.25" customHeight="1" s="38">
      <c r="D417" s="11" t="n"/>
      <c r="F417" s="11" t="n"/>
    </row>
    <row r="418" ht="14.25" customHeight="1" s="38">
      <c r="D418" s="11" t="n"/>
      <c r="F418" s="11" t="n"/>
    </row>
    <row r="419" ht="14.25" customHeight="1" s="38">
      <c r="D419" s="11" t="n"/>
      <c r="F419" s="11" t="n"/>
    </row>
    <row r="420" ht="14.25" customHeight="1" s="38">
      <c r="D420" s="11" t="n"/>
      <c r="F420" s="11" t="n"/>
    </row>
    <row r="421" ht="14.25" customHeight="1" s="38">
      <c r="D421" s="11" t="n"/>
      <c r="F421" s="11" t="n"/>
    </row>
    <row r="422" ht="14.25" customHeight="1" s="38">
      <c r="D422" s="11" t="n"/>
      <c r="F422" s="11" t="n"/>
    </row>
    <row r="423" ht="14.25" customHeight="1" s="38">
      <c r="D423" s="11" t="n"/>
      <c r="F423" s="11" t="n"/>
    </row>
    <row r="424" ht="14.25" customHeight="1" s="38">
      <c r="D424" s="11" t="n"/>
      <c r="F424" s="11" t="n"/>
    </row>
    <row r="425" ht="14.25" customHeight="1" s="38">
      <c r="D425" s="11" t="n"/>
      <c r="F425" s="11" t="n"/>
    </row>
    <row r="426" ht="14.25" customHeight="1" s="38">
      <c r="D426" s="11" t="n"/>
      <c r="F426" s="11" t="n"/>
    </row>
    <row r="427" ht="14.25" customHeight="1" s="38">
      <c r="D427" s="11" t="n"/>
      <c r="F427" s="11" t="n"/>
    </row>
    <row r="428" ht="14.25" customHeight="1" s="38">
      <c r="D428" s="11" t="n"/>
      <c r="F428" s="11" t="n"/>
    </row>
    <row r="429" ht="14.25" customHeight="1" s="38">
      <c r="D429" s="11" t="n"/>
      <c r="F429" s="11" t="n"/>
    </row>
    <row r="430" ht="14.25" customHeight="1" s="38">
      <c r="D430" s="11" t="n"/>
      <c r="F430" s="11" t="n"/>
    </row>
    <row r="431" ht="14.25" customHeight="1" s="38">
      <c r="D431" s="11" t="n"/>
      <c r="F431" s="11" t="n"/>
    </row>
    <row r="432" ht="14.25" customHeight="1" s="38">
      <c r="D432" s="11" t="n"/>
      <c r="F432" s="11" t="n"/>
    </row>
    <row r="433" ht="14.25" customHeight="1" s="38">
      <c r="D433" s="11" t="n"/>
      <c r="F433" s="11" t="n"/>
    </row>
    <row r="434" ht="14.25" customHeight="1" s="38">
      <c r="D434" s="11" t="n"/>
      <c r="F434" s="11" t="n"/>
    </row>
    <row r="435" ht="14.25" customHeight="1" s="38">
      <c r="D435" s="11" t="n"/>
      <c r="F435" s="11" t="n"/>
    </row>
    <row r="436" ht="14.25" customHeight="1" s="38">
      <c r="D436" s="11" t="n"/>
      <c r="F436" s="11" t="n"/>
    </row>
    <row r="437" ht="14.25" customHeight="1" s="38">
      <c r="D437" s="11" t="n"/>
      <c r="F437" s="11" t="n"/>
    </row>
    <row r="438" ht="14.25" customHeight="1" s="38">
      <c r="D438" s="11" t="n"/>
      <c r="F438" s="11" t="n"/>
    </row>
    <row r="439" ht="14.25" customHeight="1" s="38">
      <c r="D439" s="11" t="n"/>
      <c r="F439" s="11" t="n"/>
    </row>
    <row r="440" ht="14.25" customHeight="1" s="38">
      <c r="D440" s="11" t="n"/>
      <c r="F440" s="11" t="n"/>
    </row>
    <row r="441" ht="14.25" customHeight="1" s="38">
      <c r="D441" s="11" t="n"/>
      <c r="F441" s="11" t="n"/>
    </row>
    <row r="442" ht="14.25" customHeight="1" s="38">
      <c r="D442" s="11" t="n"/>
      <c r="F442" s="11" t="n"/>
    </row>
    <row r="443" ht="14.25" customHeight="1" s="38">
      <c r="D443" s="11" t="n"/>
      <c r="F443" s="11" t="n"/>
    </row>
    <row r="444" ht="14.25" customHeight="1" s="38">
      <c r="D444" s="11" t="n"/>
      <c r="F444" s="11" t="n"/>
    </row>
    <row r="445" ht="14.25" customHeight="1" s="38">
      <c r="D445" s="11" t="n"/>
      <c r="F445" s="11" t="n"/>
    </row>
    <row r="446" ht="14.25" customHeight="1" s="38">
      <c r="D446" s="11" t="n"/>
      <c r="F446" s="11" t="n"/>
    </row>
    <row r="447" ht="14.25" customHeight="1" s="38">
      <c r="D447" s="11" t="n"/>
      <c r="F447" s="11" t="n"/>
    </row>
    <row r="448" ht="14.25" customHeight="1" s="38">
      <c r="D448" s="11" t="n"/>
      <c r="F448" s="11" t="n"/>
    </row>
    <row r="449" ht="14.25" customHeight="1" s="38">
      <c r="D449" s="11" t="n"/>
      <c r="F449" s="11" t="n"/>
    </row>
    <row r="450" ht="14.25" customHeight="1" s="38">
      <c r="D450" s="11" t="n"/>
      <c r="F450" s="11" t="n"/>
    </row>
    <row r="451" ht="14.25" customHeight="1" s="38">
      <c r="D451" s="11" t="n"/>
      <c r="F451" s="11" t="n"/>
    </row>
    <row r="452" ht="14.25" customHeight="1" s="38">
      <c r="D452" s="11" t="n"/>
      <c r="F452" s="11" t="n"/>
    </row>
    <row r="453" ht="14.25" customHeight="1" s="38">
      <c r="D453" s="11" t="n"/>
      <c r="F453" s="11" t="n"/>
    </row>
    <row r="454" ht="14.25" customHeight="1" s="38">
      <c r="D454" s="11" t="n"/>
      <c r="F454" s="11" t="n"/>
    </row>
    <row r="455" ht="14.25" customHeight="1" s="38">
      <c r="D455" s="11" t="n"/>
      <c r="F455" s="11" t="n"/>
    </row>
    <row r="456" ht="14.25" customHeight="1" s="38">
      <c r="D456" s="11" t="n"/>
      <c r="F456" s="11" t="n"/>
    </row>
    <row r="457" ht="14.25" customHeight="1" s="38">
      <c r="D457" s="11" t="n"/>
      <c r="F457" s="11" t="n"/>
    </row>
    <row r="458" ht="14.25" customHeight="1" s="38">
      <c r="D458" s="11" t="n"/>
      <c r="F458" s="11" t="n"/>
    </row>
    <row r="459" ht="14.25" customHeight="1" s="38">
      <c r="D459" s="11" t="n"/>
      <c r="F459" s="11" t="n"/>
    </row>
    <row r="460" ht="14.25" customHeight="1" s="38">
      <c r="D460" s="11" t="n"/>
      <c r="F460" s="11" t="n"/>
    </row>
    <row r="461" ht="14.25" customHeight="1" s="38">
      <c r="D461" s="11" t="n"/>
      <c r="F461" s="11" t="n"/>
    </row>
    <row r="462" ht="14.25" customHeight="1" s="38">
      <c r="D462" s="11" t="n"/>
      <c r="F462" s="11" t="n"/>
    </row>
    <row r="463" ht="14.25" customHeight="1" s="38">
      <c r="D463" s="11" t="n"/>
      <c r="F463" s="11" t="n"/>
    </row>
    <row r="464" ht="14.25" customHeight="1" s="38">
      <c r="D464" s="11" t="n"/>
      <c r="F464" s="11" t="n"/>
    </row>
    <row r="465" ht="14.25" customHeight="1" s="38">
      <c r="D465" s="11" t="n"/>
      <c r="F465" s="11" t="n"/>
    </row>
    <row r="466" ht="14.25" customHeight="1" s="38">
      <c r="D466" s="11" t="n"/>
      <c r="F466" s="11" t="n"/>
    </row>
    <row r="467" ht="14.25" customHeight="1" s="38">
      <c r="D467" s="11" t="n"/>
      <c r="F467" s="11" t="n"/>
    </row>
    <row r="468" ht="14.25" customHeight="1" s="38">
      <c r="D468" s="11" t="n"/>
      <c r="F468" s="11" t="n"/>
    </row>
    <row r="469" ht="14.25" customHeight="1" s="38">
      <c r="D469" s="11" t="n"/>
      <c r="F469" s="11" t="n"/>
    </row>
    <row r="470" ht="14.25" customHeight="1" s="38">
      <c r="D470" s="11" t="n"/>
      <c r="F470" s="11" t="n"/>
    </row>
    <row r="471" ht="14.25" customHeight="1" s="38">
      <c r="D471" s="11" t="n"/>
      <c r="F471" s="11" t="n"/>
    </row>
    <row r="472" ht="14.25" customHeight="1" s="38">
      <c r="D472" s="11" t="n"/>
      <c r="F472" s="11" t="n"/>
    </row>
    <row r="473" ht="14.25" customHeight="1" s="38">
      <c r="D473" s="11" t="n"/>
      <c r="F473" s="11" t="n"/>
    </row>
    <row r="474" ht="14.25" customHeight="1" s="38">
      <c r="D474" s="11" t="n"/>
      <c r="F474" s="11" t="n"/>
    </row>
    <row r="475" ht="14.25" customHeight="1" s="38">
      <c r="D475" s="11" t="n"/>
      <c r="F475" s="11" t="n"/>
    </row>
    <row r="476" ht="14.25" customHeight="1" s="38">
      <c r="D476" s="11" t="n"/>
      <c r="F476" s="11" t="n"/>
    </row>
    <row r="477" ht="14.25" customHeight="1" s="38">
      <c r="D477" s="11" t="n"/>
      <c r="F477" s="11" t="n"/>
    </row>
    <row r="478" ht="14.25" customHeight="1" s="38">
      <c r="D478" s="11" t="n"/>
      <c r="F478" s="11" t="n"/>
    </row>
    <row r="479" ht="14.25" customHeight="1" s="38">
      <c r="D479" s="11" t="n"/>
      <c r="F479" s="11" t="n"/>
    </row>
    <row r="480" ht="14.25" customHeight="1" s="38">
      <c r="D480" s="11" t="n"/>
      <c r="F480" s="11" t="n"/>
    </row>
    <row r="481" ht="14.25" customHeight="1" s="38">
      <c r="D481" s="11" t="n"/>
      <c r="F481" s="11" t="n"/>
    </row>
    <row r="482" ht="14.25" customHeight="1" s="38">
      <c r="D482" s="11" t="n"/>
      <c r="F482" s="11" t="n"/>
    </row>
    <row r="483" ht="14.25" customHeight="1" s="38">
      <c r="D483" s="11" t="n"/>
      <c r="F483" s="11" t="n"/>
    </row>
    <row r="484" ht="14.25" customHeight="1" s="38">
      <c r="D484" s="11" t="n"/>
      <c r="F484" s="11" t="n"/>
    </row>
    <row r="485" ht="14.25" customHeight="1" s="38">
      <c r="D485" s="11" t="n"/>
      <c r="F485" s="11" t="n"/>
    </row>
    <row r="486" ht="14.25" customHeight="1" s="38">
      <c r="D486" s="11" t="n"/>
      <c r="F486" s="11" t="n"/>
    </row>
    <row r="487" ht="14.25" customHeight="1" s="38">
      <c r="D487" s="11" t="n"/>
      <c r="F487" s="11" t="n"/>
    </row>
    <row r="488" ht="14.25" customHeight="1" s="38">
      <c r="D488" s="11" t="n"/>
      <c r="F488" s="11" t="n"/>
    </row>
    <row r="489" ht="14.25" customHeight="1" s="38">
      <c r="D489" s="11" t="n"/>
      <c r="F489" s="11" t="n"/>
    </row>
    <row r="490" ht="14.25" customHeight="1" s="38">
      <c r="D490" s="11" t="n"/>
      <c r="F490" s="11" t="n"/>
    </row>
    <row r="491" ht="14.25" customHeight="1" s="38">
      <c r="D491" s="11" t="n"/>
      <c r="F491" s="11" t="n"/>
    </row>
    <row r="492" ht="14.25" customHeight="1" s="38">
      <c r="D492" s="11" t="n"/>
      <c r="F492" s="11" t="n"/>
    </row>
    <row r="493" ht="14.25" customHeight="1" s="38">
      <c r="D493" s="11" t="n"/>
      <c r="F493" s="11" t="n"/>
    </row>
    <row r="494" ht="14.25" customHeight="1" s="38">
      <c r="D494" s="11" t="n"/>
      <c r="F494" s="11" t="n"/>
    </row>
    <row r="495" ht="14.25" customHeight="1" s="38">
      <c r="D495" s="11" t="n"/>
      <c r="F495" s="11" t="n"/>
    </row>
    <row r="496" ht="14.25" customHeight="1" s="38">
      <c r="D496" s="11" t="n"/>
      <c r="F496" s="11" t="n"/>
    </row>
    <row r="497" ht="14.25" customHeight="1" s="38">
      <c r="D497" s="11" t="n"/>
      <c r="F497" s="11" t="n"/>
    </row>
    <row r="498" ht="14.25" customHeight="1" s="38">
      <c r="D498" s="11" t="n"/>
      <c r="F498" s="11" t="n"/>
    </row>
    <row r="499" ht="14.25" customHeight="1" s="38">
      <c r="D499" s="11" t="n"/>
      <c r="F499" s="11" t="n"/>
    </row>
    <row r="500" ht="14.25" customHeight="1" s="38">
      <c r="D500" s="11" t="n"/>
      <c r="F500" s="11" t="n"/>
    </row>
    <row r="501" ht="14.25" customHeight="1" s="38">
      <c r="D501" s="11" t="n"/>
      <c r="F501" s="11" t="n"/>
    </row>
    <row r="502" ht="14.25" customHeight="1" s="38">
      <c r="D502" s="11" t="n"/>
      <c r="F502" s="11" t="n"/>
    </row>
    <row r="503" ht="14.25" customHeight="1" s="38">
      <c r="D503" s="11" t="n"/>
      <c r="F503" s="11" t="n"/>
    </row>
    <row r="504" ht="14.25" customHeight="1" s="38">
      <c r="D504" s="11" t="n"/>
      <c r="F504" s="11" t="n"/>
    </row>
    <row r="505" ht="14.25" customHeight="1" s="38">
      <c r="D505" s="11" t="n"/>
      <c r="F505" s="11" t="n"/>
    </row>
    <row r="506" ht="14.25" customHeight="1" s="38">
      <c r="D506" s="11" t="n"/>
      <c r="F506" s="11" t="n"/>
    </row>
    <row r="507" ht="14.25" customHeight="1" s="38">
      <c r="D507" s="11" t="n"/>
      <c r="F507" s="11" t="n"/>
    </row>
    <row r="508" ht="14.25" customHeight="1" s="38">
      <c r="D508" s="11" t="n"/>
      <c r="F508" s="11" t="n"/>
    </row>
    <row r="509" ht="14.25" customHeight="1" s="38">
      <c r="D509" s="11" t="n"/>
      <c r="F509" s="11" t="n"/>
    </row>
    <row r="510" ht="14.25" customHeight="1" s="38">
      <c r="D510" s="11" t="n"/>
      <c r="F510" s="11" t="n"/>
    </row>
    <row r="511" ht="14.25" customHeight="1" s="38">
      <c r="D511" s="11" t="n"/>
      <c r="F511" s="11" t="n"/>
    </row>
    <row r="512" ht="14.25" customHeight="1" s="38">
      <c r="D512" s="11" t="n"/>
      <c r="F512" s="11" t="n"/>
    </row>
    <row r="513" ht="14.25" customHeight="1" s="38">
      <c r="D513" s="11" t="n"/>
      <c r="F513" s="11" t="n"/>
    </row>
    <row r="514" ht="14.25" customHeight="1" s="38">
      <c r="D514" s="11" t="n"/>
      <c r="F514" s="11" t="n"/>
    </row>
    <row r="515" ht="14.25" customHeight="1" s="38">
      <c r="D515" s="11" t="n"/>
      <c r="F515" s="11" t="n"/>
    </row>
    <row r="516" ht="14.25" customHeight="1" s="38">
      <c r="D516" s="11" t="n"/>
      <c r="F516" s="11" t="n"/>
    </row>
    <row r="517" ht="14.25" customHeight="1" s="38">
      <c r="D517" s="11" t="n"/>
      <c r="F517" s="11" t="n"/>
    </row>
    <row r="518" ht="14.25" customHeight="1" s="38">
      <c r="D518" s="11" t="n"/>
      <c r="F518" s="11" t="n"/>
    </row>
    <row r="519" ht="14.25" customHeight="1" s="38">
      <c r="D519" s="11" t="n"/>
      <c r="F519" s="11" t="n"/>
    </row>
    <row r="520" ht="14.25" customHeight="1" s="38">
      <c r="D520" s="11" t="n"/>
      <c r="F520" s="11" t="n"/>
    </row>
    <row r="521" ht="14.25" customHeight="1" s="38">
      <c r="D521" s="11" t="n"/>
      <c r="F521" s="11" t="n"/>
    </row>
    <row r="522" ht="14.25" customHeight="1" s="38">
      <c r="D522" s="11" t="n"/>
      <c r="F522" s="11" t="n"/>
    </row>
    <row r="523" ht="14.25" customHeight="1" s="38">
      <c r="D523" s="11" t="n"/>
      <c r="F523" s="11" t="n"/>
    </row>
    <row r="524" ht="14.25" customHeight="1" s="38">
      <c r="D524" s="11" t="n"/>
      <c r="F524" s="11" t="n"/>
    </row>
    <row r="525" ht="14.25" customHeight="1" s="38">
      <c r="D525" s="11" t="n"/>
      <c r="F525" s="11" t="n"/>
    </row>
    <row r="526" ht="14.25" customHeight="1" s="38">
      <c r="D526" s="11" t="n"/>
      <c r="F526" s="11" t="n"/>
    </row>
    <row r="527" ht="14.25" customHeight="1" s="38">
      <c r="D527" s="11" t="n"/>
      <c r="F527" s="11" t="n"/>
    </row>
    <row r="528" ht="14.25" customHeight="1" s="38">
      <c r="D528" s="11" t="n"/>
      <c r="F528" s="11" t="n"/>
    </row>
    <row r="529" ht="14.25" customHeight="1" s="38">
      <c r="D529" s="11" t="n"/>
      <c r="F529" s="11" t="n"/>
    </row>
    <row r="530" ht="14.25" customHeight="1" s="38">
      <c r="D530" s="11" t="n"/>
      <c r="F530" s="11" t="n"/>
    </row>
    <row r="531" ht="14.25" customHeight="1" s="38">
      <c r="D531" s="11" t="n"/>
      <c r="F531" s="11" t="n"/>
    </row>
    <row r="532" ht="14.25" customHeight="1" s="38">
      <c r="D532" s="11" t="n"/>
      <c r="F532" s="11" t="n"/>
    </row>
    <row r="533" ht="14.25" customHeight="1" s="38">
      <c r="D533" s="11" t="n"/>
      <c r="F533" s="11" t="n"/>
    </row>
    <row r="534" ht="14.25" customHeight="1" s="38">
      <c r="D534" s="11" t="n"/>
      <c r="F534" s="11" t="n"/>
    </row>
    <row r="535" ht="14.25" customHeight="1" s="38">
      <c r="D535" s="11" t="n"/>
      <c r="F535" s="11" t="n"/>
    </row>
    <row r="536" ht="14.25" customHeight="1" s="38">
      <c r="D536" s="11" t="n"/>
      <c r="F536" s="11" t="n"/>
    </row>
    <row r="537" ht="14.25" customHeight="1" s="38">
      <c r="D537" s="11" t="n"/>
      <c r="F537" s="11" t="n"/>
    </row>
    <row r="538" ht="14.25" customHeight="1" s="38">
      <c r="D538" s="11" t="n"/>
      <c r="F538" s="11" t="n"/>
    </row>
    <row r="539" ht="14.25" customHeight="1" s="38">
      <c r="D539" s="11" t="n"/>
      <c r="F539" s="11" t="n"/>
    </row>
    <row r="540" ht="14.25" customHeight="1" s="38">
      <c r="D540" s="11" t="n"/>
      <c r="F540" s="11" t="n"/>
    </row>
    <row r="541" ht="14.25" customHeight="1" s="38">
      <c r="D541" s="11" t="n"/>
      <c r="F541" s="11" t="n"/>
    </row>
    <row r="542" ht="14.25" customHeight="1" s="38">
      <c r="D542" s="11" t="n"/>
      <c r="F542" s="11" t="n"/>
    </row>
    <row r="543" ht="14.25" customHeight="1" s="38">
      <c r="D543" s="11" t="n"/>
      <c r="F543" s="11" t="n"/>
    </row>
    <row r="544" ht="14.25" customHeight="1" s="38">
      <c r="D544" s="11" t="n"/>
      <c r="F544" s="11" t="n"/>
    </row>
    <row r="545" ht="14.25" customHeight="1" s="38">
      <c r="D545" s="11" t="n"/>
      <c r="F545" s="11" t="n"/>
    </row>
    <row r="546" ht="14.25" customHeight="1" s="38">
      <c r="D546" s="11" t="n"/>
      <c r="F546" s="11" t="n"/>
    </row>
    <row r="547" ht="14.25" customHeight="1" s="38">
      <c r="D547" s="11" t="n"/>
      <c r="F547" s="11" t="n"/>
    </row>
    <row r="548" ht="14.25" customHeight="1" s="38">
      <c r="D548" s="11" t="n"/>
      <c r="F548" s="11" t="n"/>
    </row>
    <row r="549" ht="14.25" customHeight="1" s="38">
      <c r="D549" s="11" t="n"/>
      <c r="F549" s="11" t="n"/>
    </row>
    <row r="550" ht="14.25" customHeight="1" s="38">
      <c r="D550" s="11" t="n"/>
      <c r="F550" s="11" t="n"/>
    </row>
    <row r="551" ht="14.25" customHeight="1" s="38">
      <c r="D551" s="11" t="n"/>
      <c r="F551" s="11" t="n"/>
    </row>
    <row r="552" ht="14.25" customHeight="1" s="38">
      <c r="D552" s="11" t="n"/>
      <c r="F552" s="11" t="n"/>
    </row>
    <row r="553" ht="14.25" customHeight="1" s="38">
      <c r="D553" s="11" t="n"/>
      <c r="F553" s="11" t="n"/>
    </row>
    <row r="554" ht="14.25" customHeight="1" s="38">
      <c r="D554" s="11" t="n"/>
      <c r="F554" s="11" t="n"/>
    </row>
    <row r="555" ht="14.25" customHeight="1" s="38">
      <c r="D555" s="11" t="n"/>
      <c r="F555" s="11" t="n"/>
    </row>
    <row r="556" ht="14.25" customHeight="1" s="38">
      <c r="D556" s="11" t="n"/>
      <c r="F556" s="11" t="n"/>
    </row>
    <row r="557" ht="14.25" customHeight="1" s="38">
      <c r="D557" s="11" t="n"/>
      <c r="F557" s="11" t="n"/>
    </row>
    <row r="558" ht="14.25" customHeight="1" s="38">
      <c r="D558" s="11" t="n"/>
      <c r="F558" s="11" t="n"/>
    </row>
    <row r="559" ht="14.25" customHeight="1" s="38">
      <c r="D559" s="11" t="n"/>
      <c r="F559" s="11" t="n"/>
    </row>
    <row r="560" ht="14.25" customHeight="1" s="38">
      <c r="D560" s="11" t="n"/>
      <c r="F560" s="11" t="n"/>
    </row>
    <row r="561" ht="14.25" customHeight="1" s="38">
      <c r="D561" s="11" t="n"/>
      <c r="F561" s="11" t="n"/>
    </row>
    <row r="562" ht="14.25" customHeight="1" s="38">
      <c r="D562" s="11" t="n"/>
      <c r="F562" s="11" t="n"/>
    </row>
    <row r="563" ht="14.25" customHeight="1" s="38">
      <c r="D563" s="11" t="n"/>
      <c r="F563" s="11" t="n"/>
    </row>
    <row r="564" ht="14.25" customHeight="1" s="38">
      <c r="D564" s="11" t="n"/>
      <c r="F564" s="11" t="n"/>
    </row>
    <row r="565" ht="14.25" customHeight="1" s="38">
      <c r="D565" s="11" t="n"/>
      <c r="F565" s="11" t="n"/>
    </row>
    <row r="566" ht="14.25" customHeight="1" s="38">
      <c r="D566" s="11" t="n"/>
      <c r="F566" s="11" t="n"/>
    </row>
    <row r="567" ht="14.25" customHeight="1" s="38">
      <c r="D567" s="11" t="n"/>
      <c r="F567" s="11" t="n"/>
    </row>
    <row r="568" ht="14.25" customHeight="1" s="38">
      <c r="D568" s="11" t="n"/>
      <c r="F568" s="11" t="n"/>
    </row>
    <row r="569" ht="14.25" customHeight="1" s="38">
      <c r="D569" s="11" t="n"/>
      <c r="F569" s="11" t="n"/>
    </row>
    <row r="570" ht="14.25" customHeight="1" s="38">
      <c r="D570" s="11" t="n"/>
      <c r="F570" s="11" t="n"/>
    </row>
    <row r="571" ht="14.25" customHeight="1" s="38">
      <c r="D571" s="11" t="n"/>
      <c r="F571" s="11" t="n"/>
    </row>
    <row r="572" ht="14.25" customHeight="1" s="38">
      <c r="D572" s="11" t="n"/>
      <c r="F572" s="11" t="n"/>
    </row>
    <row r="573" ht="14.25" customHeight="1" s="38">
      <c r="D573" s="11" t="n"/>
      <c r="F573" s="11" t="n"/>
    </row>
    <row r="574" ht="14.25" customHeight="1" s="38">
      <c r="D574" s="11" t="n"/>
      <c r="F574" s="11" t="n"/>
    </row>
    <row r="575" ht="14.25" customHeight="1" s="38">
      <c r="D575" s="11" t="n"/>
      <c r="F575" s="11" t="n"/>
    </row>
    <row r="576" ht="14.25" customHeight="1" s="38">
      <c r="D576" s="11" t="n"/>
      <c r="F576" s="11" t="n"/>
    </row>
    <row r="577" ht="14.25" customHeight="1" s="38">
      <c r="D577" s="11" t="n"/>
      <c r="F577" s="11" t="n"/>
    </row>
    <row r="578" ht="14.25" customHeight="1" s="38">
      <c r="D578" s="11" t="n"/>
      <c r="F578" s="11" t="n"/>
    </row>
    <row r="579" ht="14.25" customHeight="1" s="38">
      <c r="D579" s="11" t="n"/>
      <c r="F579" s="11" t="n"/>
    </row>
    <row r="580" ht="14.25" customHeight="1" s="38">
      <c r="D580" s="11" t="n"/>
      <c r="F580" s="11" t="n"/>
    </row>
    <row r="581" ht="14.25" customHeight="1" s="38">
      <c r="D581" s="11" t="n"/>
      <c r="F581" s="11" t="n"/>
    </row>
    <row r="582" ht="14.25" customHeight="1" s="38">
      <c r="D582" s="11" t="n"/>
      <c r="F582" s="11" t="n"/>
    </row>
    <row r="583" ht="14.25" customHeight="1" s="38">
      <c r="D583" s="11" t="n"/>
      <c r="F583" s="11" t="n"/>
    </row>
    <row r="584" ht="14.25" customHeight="1" s="38">
      <c r="D584" s="11" t="n"/>
      <c r="F584" s="11" t="n"/>
    </row>
    <row r="585" ht="14.25" customHeight="1" s="38">
      <c r="D585" s="11" t="n"/>
      <c r="F585" s="11" t="n"/>
    </row>
    <row r="586" ht="14.25" customHeight="1" s="38">
      <c r="D586" s="11" t="n"/>
      <c r="F586" s="11" t="n"/>
    </row>
    <row r="587" ht="14.25" customHeight="1" s="38">
      <c r="D587" s="11" t="n"/>
      <c r="F587" s="11" t="n"/>
    </row>
    <row r="588" ht="14.25" customHeight="1" s="38">
      <c r="D588" s="11" t="n"/>
      <c r="F588" s="11" t="n"/>
    </row>
    <row r="589" ht="14.25" customHeight="1" s="38">
      <c r="D589" s="11" t="n"/>
      <c r="F589" s="11" t="n"/>
    </row>
    <row r="590" ht="14.25" customHeight="1" s="38">
      <c r="D590" s="11" t="n"/>
      <c r="F590" s="11" t="n"/>
    </row>
    <row r="591" ht="14.25" customHeight="1" s="38">
      <c r="D591" s="11" t="n"/>
      <c r="F591" s="11" t="n"/>
    </row>
    <row r="592" ht="14.25" customHeight="1" s="38">
      <c r="D592" s="11" t="n"/>
      <c r="F592" s="11" t="n"/>
    </row>
    <row r="593" ht="14.25" customHeight="1" s="38">
      <c r="D593" s="11" t="n"/>
      <c r="F593" s="11" t="n"/>
    </row>
    <row r="594" ht="14.25" customHeight="1" s="38">
      <c r="D594" s="11" t="n"/>
      <c r="F594" s="11" t="n"/>
    </row>
    <row r="595" ht="14.25" customHeight="1" s="38">
      <c r="D595" s="11" t="n"/>
      <c r="F595" s="11" t="n"/>
    </row>
    <row r="596" ht="14.25" customHeight="1" s="38">
      <c r="D596" s="11" t="n"/>
      <c r="F596" s="11" t="n"/>
    </row>
    <row r="597" ht="14.25" customHeight="1" s="38">
      <c r="D597" s="11" t="n"/>
      <c r="F597" s="11" t="n"/>
    </row>
    <row r="598" ht="14.25" customHeight="1" s="38">
      <c r="D598" s="11" t="n"/>
      <c r="F598" s="11" t="n"/>
    </row>
    <row r="599" ht="14.25" customHeight="1" s="38">
      <c r="D599" s="11" t="n"/>
      <c r="F599" s="11" t="n"/>
    </row>
    <row r="600" ht="14.25" customHeight="1" s="38">
      <c r="D600" s="11" t="n"/>
      <c r="F600" s="11" t="n"/>
    </row>
    <row r="601" ht="14.25" customHeight="1" s="38">
      <c r="D601" s="11" t="n"/>
      <c r="F601" s="11" t="n"/>
    </row>
    <row r="602" ht="14.25" customHeight="1" s="38">
      <c r="D602" s="11" t="n"/>
      <c r="F602" s="11" t="n"/>
    </row>
    <row r="603" ht="14.25" customHeight="1" s="38">
      <c r="D603" s="11" t="n"/>
      <c r="F603" s="11" t="n"/>
    </row>
    <row r="604" ht="14.25" customHeight="1" s="38">
      <c r="D604" s="11" t="n"/>
      <c r="F604" s="11" t="n"/>
    </row>
    <row r="605" ht="14.25" customHeight="1" s="38">
      <c r="D605" s="11" t="n"/>
      <c r="F605" s="11" t="n"/>
    </row>
    <row r="606" ht="14.25" customHeight="1" s="38">
      <c r="D606" s="11" t="n"/>
      <c r="F606" s="11" t="n"/>
    </row>
    <row r="607" ht="14.25" customHeight="1" s="38">
      <c r="D607" s="11" t="n"/>
      <c r="F607" s="11" t="n"/>
    </row>
    <row r="608" ht="14.25" customHeight="1" s="38">
      <c r="D608" s="11" t="n"/>
      <c r="F608" s="11" t="n"/>
    </row>
    <row r="609" ht="14.25" customHeight="1" s="38">
      <c r="D609" s="11" t="n"/>
      <c r="F609" s="11" t="n"/>
    </row>
    <row r="610" ht="14.25" customHeight="1" s="38">
      <c r="D610" s="11" t="n"/>
      <c r="F610" s="11" t="n"/>
    </row>
    <row r="611" ht="14.25" customHeight="1" s="38">
      <c r="D611" s="11" t="n"/>
      <c r="F611" s="11" t="n"/>
    </row>
    <row r="612" ht="14.25" customHeight="1" s="38">
      <c r="D612" s="11" t="n"/>
      <c r="F612" s="11" t="n"/>
    </row>
    <row r="613" ht="14.25" customHeight="1" s="38">
      <c r="D613" s="11" t="n"/>
      <c r="F613" s="11" t="n"/>
    </row>
    <row r="614" ht="14.25" customHeight="1" s="38">
      <c r="D614" s="11" t="n"/>
      <c r="F614" s="11" t="n"/>
    </row>
    <row r="615" ht="14.25" customHeight="1" s="38">
      <c r="D615" s="11" t="n"/>
      <c r="F615" s="11" t="n"/>
    </row>
    <row r="616" ht="14.25" customHeight="1" s="38">
      <c r="D616" s="11" t="n"/>
      <c r="F616" s="11" t="n"/>
    </row>
    <row r="617" ht="14.25" customHeight="1" s="38">
      <c r="D617" s="11" t="n"/>
      <c r="F617" s="11" t="n"/>
    </row>
    <row r="618" ht="14.25" customHeight="1" s="38">
      <c r="D618" s="11" t="n"/>
      <c r="F618" s="11" t="n"/>
    </row>
    <row r="619" ht="14.25" customHeight="1" s="38">
      <c r="D619" s="11" t="n"/>
      <c r="F619" s="11" t="n"/>
    </row>
    <row r="620" ht="14.25" customHeight="1" s="38">
      <c r="D620" s="11" t="n"/>
      <c r="F620" s="11" t="n"/>
    </row>
    <row r="621" ht="14.25" customHeight="1" s="38">
      <c r="D621" s="11" t="n"/>
      <c r="F621" s="11" t="n"/>
    </row>
    <row r="622" ht="14.25" customHeight="1" s="38">
      <c r="D622" s="11" t="n"/>
      <c r="F622" s="11" t="n"/>
    </row>
    <row r="623" ht="14.25" customHeight="1" s="38">
      <c r="D623" s="11" t="n"/>
      <c r="F623" s="11" t="n"/>
    </row>
    <row r="624" ht="14.25" customHeight="1" s="38">
      <c r="D624" s="11" t="n"/>
      <c r="F624" s="11" t="n"/>
    </row>
    <row r="625" ht="14.25" customHeight="1" s="38">
      <c r="D625" s="11" t="n"/>
      <c r="F625" s="11" t="n"/>
    </row>
    <row r="626" ht="14.25" customHeight="1" s="38">
      <c r="D626" s="11" t="n"/>
      <c r="F626" s="11" t="n"/>
    </row>
    <row r="627" ht="14.25" customHeight="1" s="38">
      <c r="D627" s="11" t="n"/>
      <c r="F627" s="11" t="n"/>
    </row>
    <row r="628" ht="14.25" customHeight="1" s="38">
      <c r="D628" s="11" t="n"/>
      <c r="F628" s="11" t="n"/>
    </row>
    <row r="629" ht="14.25" customHeight="1" s="38">
      <c r="D629" s="11" t="n"/>
      <c r="F629" s="11" t="n"/>
    </row>
    <row r="630" ht="14.25" customHeight="1" s="38">
      <c r="D630" s="11" t="n"/>
      <c r="F630" s="11" t="n"/>
    </row>
    <row r="631" ht="14.25" customHeight="1" s="38">
      <c r="D631" s="11" t="n"/>
      <c r="F631" s="11" t="n"/>
    </row>
    <row r="632" ht="14.25" customHeight="1" s="38">
      <c r="D632" s="11" t="n"/>
      <c r="F632" s="11" t="n"/>
    </row>
    <row r="633" ht="14.25" customHeight="1" s="38">
      <c r="D633" s="11" t="n"/>
      <c r="F633" s="11" t="n"/>
    </row>
    <row r="634" ht="14.25" customHeight="1" s="38">
      <c r="D634" s="11" t="n"/>
      <c r="F634" s="11" t="n"/>
    </row>
    <row r="635" ht="14.25" customHeight="1" s="38">
      <c r="D635" s="11" t="n"/>
      <c r="F635" s="11" t="n"/>
    </row>
    <row r="636" ht="14.25" customHeight="1" s="38">
      <c r="D636" s="11" t="n"/>
      <c r="F636" s="11" t="n"/>
    </row>
    <row r="637" ht="14.25" customHeight="1" s="38">
      <c r="D637" s="11" t="n"/>
      <c r="F637" s="11" t="n"/>
    </row>
    <row r="638" ht="14.25" customHeight="1" s="38">
      <c r="D638" s="11" t="n"/>
      <c r="F638" s="11" t="n"/>
    </row>
    <row r="639" ht="14.25" customHeight="1" s="38">
      <c r="D639" s="11" t="n"/>
      <c r="F639" s="11" t="n"/>
    </row>
    <row r="640" ht="14.25" customHeight="1" s="38">
      <c r="D640" s="11" t="n"/>
      <c r="F640" s="11" t="n"/>
    </row>
    <row r="641" ht="14.25" customHeight="1" s="38">
      <c r="D641" s="11" t="n"/>
      <c r="F641" s="11" t="n"/>
    </row>
    <row r="642" ht="14.25" customHeight="1" s="38">
      <c r="D642" s="11" t="n"/>
      <c r="F642" s="11" t="n"/>
    </row>
    <row r="643" ht="14.25" customHeight="1" s="38">
      <c r="D643" s="11" t="n"/>
      <c r="F643" s="11" t="n"/>
    </row>
    <row r="644" ht="14.25" customHeight="1" s="38">
      <c r="D644" s="11" t="n"/>
      <c r="F644" s="11" t="n"/>
    </row>
    <row r="645" ht="14.25" customHeight="1" s="38">
      <c r="D645" s="11" t="n"/>
      <c r="F645" s="11" t="n"/>
    </row>
    <row r="646" ht="14.25" customHeight="1" s="38">
      <c r="D646" s="11" t="n"/>
      <c r="F646" s="11" t="n"/>
    </row>
    <row r="647" ht="14.25" customHeight="1" s="38">
      <c r="D647" s="11" t="n"/>
      <c r="F647" s="11" t="n"/>
    </row>
    <row r="648" ht="14.25" customHeight="1" s="38">
      <c r="D648" s="11" t="n"/>
      <c r="F648" s="11" t="n"/>
    </row>
    <row r="649" ht="14.25" customHeight="1" s="38">
      <c r="D649" s="11" t="n"/>
      <c r="F649" s="11" t="n"/>
    </row>
    <row r="650" ht="14.25" customHeight="1" s="38">
      <c r="D650" s="11" t="n"/>
      <c r="F650" s="11" t="n"/>
    </row>
    <row r="651" ht="14.25" customHeight="1" s="38">
      <c r="D651" s="11" t="n"/>
      <c r="F651" s="11" t="n"/>
    </row>
    <row r="652" ht="14.25" customHeight="1" s="38">
      <c r="D652" s="11" t="n"/>
      <c r="F652" s="11" t="n"/>
    </row>
    <row r="653" ht="14.25" customHeight="1" s="38">
      <c r="D653" s="11" t="n"/>
      <c r="F653" s="11" t="n"/>
    </row>
    <row r="654" ht="14.25" customHeight="1" s="38">
      <c r="D654" s="11" t="n"/>
      <c r="F654" s="11" t="n"/>
    </row>
    <row r="655" ht="14.25" customHeight="1" s="38">
      <c r="D655" s="11" t="n"/>
      <c r="F655" s="11" t="n"/>
    </row>
    <row r="656" ht="14.25" customHeight="1" s="38">
      <c r="D656" s="11" t="n"/>
      <c r="F656" s="11" t="n"/>
    </row>
    <row r="657" ht="14.25" customHeight="1" s="38">
      <c r="D657" s="11" t="n"/>
      <c r="F657" s="11" t="n"/>
    </row>
    <row r="658" ht="14.25" customHeight="1" s="38">
      <c r="D658" s="11" t="n"/>
      <c r="F658" s="11" t="n"/>
    </row>
    <row r="659" ht="14.25" customHeight="1" s="38">
      <c r="D659" s="11" t="n"/>
      <c r="F659" s="11" t="n"/>
    </row>
    <row r="660" ht="14.25" customHeight="1" s="38">
      <c r="D660" s="11" t="n"/>
      <c r="F660" s="11" t="n"/>
    </row>
    <row r="661" ht="14.25" customHeight="1" s="38">
      <c r="D661" s="11" t="n"/>
      <c r="F661" s="11" t="n"/>
    </row>
    <row r="662" ht="14.25" customHeight="1" s="38">
      <c r="D662" s="11" t="n"/>
      <c r="F662" s="11" t="n"/>
    </row>
    <row r="663" ht="14.25" customHeight="1" s="38">
      <c r="D663" s="11" t="n"/>
      <c r="F663" s="11" t="n"/>
    </row>
    <row r="664" ht="14.25" customHeight="1" s="38">
      <c r="D664" s="11" t="n"/>
      <c r="F664" s="11" t="n"/>
    </row>
    <row r="665" ht="14.25" customHeight="1" s="38">
      <c r="D665" s="11" t="n"/>
      <c r="F665" s="11" t="n"/>
    </row>
    <row r="666" ht="14.25" customHeight="1" s="38">
      <c r="D666" s="11" t="n"/>
      <c r="F666" s="11" t="n"/>
    </row>
    <row r="667" ht="14.25" customHeight="1" s="38">
      <c r="D667" s="11" t="n"/>
      <c r="F667" s="11" t="n"/>
    </row>
    <row r="668" ht="14.25" customHeight="1" s="38">
      <c r="D668" s="11" t="n"/>
      <c r="F668" s="11" t="n"/>
    </row>
    <row r="669" ht="14.25" customHeight="1" s="38">
      <c r="D669" s="11" t="n"/>
      <c r="F669" s="11" t="n"/>
    </row>
    <row r="670" ht="14.25" customHeight="1" s="38">
      <c r="D670" s="11" t="n"/>
      <c r="F670" s="11" t="n"/>
    </row>
    <row r="671" ht="14.25" customHeight="1" s="38">
      <c r="D671" s="11" t="n"/>
      <c r="F671" s="11" t="n"/>
    </row>
    <row r="672" ht="14.25" customHeight="1" s="38">
      <c r="D672" s="11" t="n"/>
      <c r="F672" s="11" t="n"/>
    </row>
    <row r="673" ht="14.25" customHeight="1" s="38">
      <c r="D673" s="11" t="n"/>
      <c r="F673" s="11" t="n"/>
    </row>
    <row r="674" ht="14.25" customHeight="1" s="38">
      <c r="D674" s="11" t="n"/>
      <c r="F674" s="11" t="n"/>
    </row>
    <row r="675" ht="14.25" customHeight="1" s="38">
      <c r="D675" s="11" t="n"/>
      <c r="F675" s="11" t="n"/>
    </row>
    <row r="676" ht="14.25" customHeight="1" s="38">
      <c r="D676" s="11" t="n"/>
      <c r="F676" s="11" t="n"/>
    </row>
    <row r="677" ht="14.25" customHeight="1" s="38">
      <c r="D677" s="11" t="n"/>
      <c r="F677" s="11" t="n"/>
    </row>
    <row r="678" ht="14.25" customHeight="1" s="38">
      <c r="D678" s="11" t="n"/>
      <c r="F678" s="11" t="n"/>
    </row>
    <row r="679" ht="14.25" customHeight="1" s="38">
      <c r="D679" s="11" t="n"/>
      <c r="F679" s="11" t="n"/>
    </row>
    <row r="680" ht="14.25" customHeight="1" s="38">
      <c r="D680" s="11" t="n"/>
      <c r="F680" s="11" t="n"/>
    </row>
    <row r="681" ht="14.25" customHeight="1" s="38">
      <c r="D681" s="11" t="n"/>
      <c r="F681" s="11" t="n"/>
    </row>
    <row r="682" ht="14.25" customHeight="1" s="38">
      <c r="D682" s="11" t="n"/>
      <c r="F682" s="11" t="n"/>
    </row>
    <row r="683" ht="14.25" customHeight="1" s="38">
      <c r="D683" s="11" t="n"/>
      <c r="F683" s="11" t="n"/>
    </row>
    <row r="684" ht="14.25" customHeight="1" s="38">
      <c r="D684" s="11" t="n"/>
      <c r="F684" s="11" t="n"/>
    </row>
    <row r="685" ht="14.25" customHeight="1" s="38">
      <c r="D685" s="11" t="n"/>
      <c r="F685" s="11" t="n"/>
    </row>
    <row r="686" ht="14.25" customHeight="1" s="38">
      <c r="D686" s="11" t="n"/>
      <c r="F686" s="11" t="n"/>
    </row>
    <row r="687" ht="14.25" customHeight="1" s="38">
      <c r="D687" s="11" t="n"/>
      <c r="F687" s="11" t="n"/>
    </row>
    <row r="688" ht="14.25" customHeight="1" s="38">
      <c r="D688" s="11" t="n"/>
      <c r="F688" s="11" t="n"/>
    </row>
    <row r="689" ht="14.25" customHeight="1" s="38">
      <c r="D689" s="11" t="n"/>
      <c r="F689" s="11" t="n"/>
    </row>
    <row r="690" ht="14.25" customHeight="1" s="38">
      <c r="D690" s="11" t="n"/>
      <c r="F690" s="11" t="n"/>
    </row>
    <row r="691" ht="14.25" customHeight="1" s="38">
      <c r="D691" s="11" t="n"/>
      <c r="F691" s="11" t="n"/>
    </row>
    <row r="692" ht="14.25" customHeight="1" s="38">
      <c r="D692" s="11" t="n"/>
      <c r="F692" s="11" t="n"/>
    </row>
    <row r="693" ht="14.25" customHeight="1" s="38">
      <c r="D693" s="11" t="n"/>
      <c r="F693" s="11" t="n"/>
    </row>
    <row r="694" ht="14.25" customHeight="1" s="38">
      <c r="D694" s="11" t="n"/>
      <c r="F694" s="11" t="n"/>
    </row>
    <row r="695" ht="14.25" customHeight="1" s="38">
      <c r="D695" s="11" t="n"/>
      <c r="F695" s="11" t="n"/>
    </row>
    <row r="696" ht="14.25" customHeight="1" s="38">
      <c r="D696" s="11" t="n"/>
      <c r="F696" s="11" t="n"/>
    </row>
    <row r="697" ht="14.25" customHeight="1" s="38">
      <c r="D697" s="11" t="n"/>
      <c r="F697" s="11" t="n"/>
    </row>
    <row r="698" ht="14.25" customHeight="1" s="38">
      <c r="D698" s="11" t="n"/>
      <c r="F698" s="11" t="n"/>
    </row>
    <row r="699" ht="14.25" customHeight="1" s="38">
      <c r="D699" s="11" t="n"/>
      <c r="F699" s="11" t="n"/>
    </row>
    <row r="700" ht="14.25" customHeight="1" s="38">
      <c r="D700" s="11" t="n"/>
      <c r="F700" s="11" t="n"/>
    </row>
    <row r="701" ht="14.25" customHeight="1" s="38">
      <c r="D701" s="11" t="n"/>
      <c r="F701" s="11" t="n"/>
    </row>
    <row r="702" ht="14.25" customHeight="1" s="38">
      <c r="D702" s="11" t="n"/>
      <c r="F702" s="11" t="n"/>
    </row>
    <row r="703" ht="14.25" customHeight="1" s="38">
      <c r="D703" s="11" t="n"/>
      <c r="F703" s="11" t="n"/>
    </row>
    <row r="704" ht="14.25" customHeight="1" s="38">
      <c r="D704" s="11" t="n"/>
      <c r="F704" s="11" t="n"/>
    </row>
    <row r="705" ht="14.25" customHeight="1" s="38">
      <c r="D705" s="11" t="n"/>
      <c r="F705" s="11" t="n"/>
    </row>
    <row r="706" ht="14.25" customHeight="1" s="38">
      <c r="D706" s="11" t="n"/>
      <c r="F706" s="11" t="n"/>
    </row>
    <row r="707" ht="14.25" customHeight="1" s="38">
      <c r="D707" s="11" t="n"/>
      <c r="F707" s="11" t="n"/>
    </row>
    <row r="708" ht="14.25" customHeight="1" s="38">
      <c r="D708" s="11" t="n"/>
      <c r="F708" s="11" t="n"/>
    </row>
    <row r="709" ht="14.25" customHeight="1" s="38">
      <c r="D709" s="11" t="n"/>
      <c r="F709" s="11" t="n"/>
    </row>
    <row r="710" ht="14.25" customHeight="1" s="38">
      <c r="D710" s="11" t="n"/>
      <c r="F710" s="11" t="n"/>
    </row>
    <row r="711" ht="14.25" customHeight="1" s="38">
      <c r="D711" s="11" t="n"/>
      <c r="F711" s="11" t="n"/>
    </row>
    <row r="712" ht="14.25" customHeight="1" s="38">
      <c r="D712" s="11" t="n"/>
      <c r="F712" s="11" t="n"/>
    </row>
    <row r="713" ht="14.25" customHeight="1" s="38">
      <c r="D713" s="11" t="n"/>
      <c r="F713" s="11" t="n"/>
    </row>
    <row r="714" ht="14.25" customHeight="1" s="38">
      <c r="D714" s="11" t="n"/>
      <c r="F714" s="11" t="n"/>
    </row>
    <row r="715" ht="14.25" customHeight="1" s="38">
      <c r="D715" s="11" t="n"/>
      <c r="F715" s="11" t="n"/>
    </row>
    <row r="716" ht="14.25" customHeight="1" s="38">
      <c r="D716" s="11" t="n"/>
      <c r="F716" s="11" t="n"/>
    </row>
    <row r="717" ht="14.25" customHeight="1" s="38">
      <c r="D717" s="11" t="n"/>
      <c r="F717" s="11" t="n"/>
    </row>
    <row r="718" ht="14.25" customHeight="1" s="38">
      <c r="D718" s="11" t="n"/>
      <c r="F718" s="11" t="n"/>
    </row>
    <row r="719" ht="14.25" customHeight="1" s="38">
      <c r="D719" s="11" t="n"/>
      <c r="F719" s="11" t="n"/>
    </row>
    <row r="720" ht="14.25" customHeight="1" s="38">
      <c r="D720" s="11" t="n"/>
      <c r="F720" s="11" t="n"/>
    </row>
    <row r="721" ht="14.25" customHeight="1" s="38">
      <c r="D721" s="11" t="n"/>
      <c r="F721" s="11" t="n"/>
    </row>
    <row r="722" ht="14.25" customHeight="1" s="38">
      <c r="D722" s="11" t="n"/>
      <c r="F722" s="11" t="n"/>
    </row>
    <row r="723" ht="14.25" customHeight="1" s="38">
      <c r="D723" s="11" t="n"/>
      <c r="F723" s="11" t="n"/>
    </row>
    <row r="724" ht="14.25" customHeight="1" s="38">
      <c r="D724" s="11" t="n"/>
      <c r="F724" s="11" t="n"/>
    </row>
    <row r="725" ht="14.25" customHeight="1" s="38">
      <c r="D725" s="11" t="n"/>
      <c r="F725" s="11" t="n"/>
    </row>
    <row r="726" ht="14.25" customHeight="1" s="38">
      <c r="D726" s="11" t="n"/>
      <c r="F726" s="11" t="n"/>
    </row>
    <row r="727" ht="14.25" customHeight="1" s="38">
      <c r="D727" s="11" t="n"/>
      <c r="F727" s="11" t="n"/>
    </row>
    <row r="728" ht="14.25" customHeight="1" s="38">
      <c r="D728" s="11" t="n"/>
      <c r="F728" s="11" t="n"/>
    </row>
    <row r="729" ht="14.25" customHeight="1" s="38">
      <c r="D729" s="11" t="n"/>
      <c r="F729" s="11" t="n"/>
    </row>
    <row r="730" ht="14.25" customHeight="1" s="38">
      <c r="D730" s="11" t="n"/>
      <c r="F730" s="11" t="n"/>
    </row>
    <row r="731" ht="14.25" customHeight="1" s="38">
      <c r="D731" s="11" t="n"/>
      <c r="F731" s="11" t="n"/>
    </row>
    <row r="732" ht="14.25" customHeight="1" s="38">
      <c r="D732" s="11" t="n"/>
      <c r="F732" s="11" t="n"/>
    </row>
    <row r="733" ht="14.25" customHeight="1" s="38">
      <c r="D733" s="11" t="n"/>
      <c r="F733" s="11" t="n"/>
    </row>
    <row r="734" ht="14.25" customHeight="1" s="38">
      <c r="D734" s="11" t="n"/>
      <c r="F734" s="11" t="n"/>
    </row>
    <row r="735" ht="14.25" customHeight="1" s="38">
      <c r="D735" s="11" t="n"/>
      <c r="F735" s="11" t="n"/>
    </row>
    <row r="736" ht="14.25" customHeight="1" s="38">
      <c r="D736" s="11" t="n"/>
      <c r="F736" s="11" t="n"/>
    </row>
    <row r="737" ht="14.25" customHeight="1" s="38">
      <c r="D737" s="11" t="n"/>
      <c r="F737" s="11" t="n"/>
    </row>
    <row r="738" ht="14.25" customHeight="1" s="38">
      <c r="D738" s="11" t="n"/>
      <c r="F738" s="11" t="n"/>
    </row>
    <row r="739" ht="14.25" customHeight="1" s="38">
      <c r="D739" s="11" t="n"/>
      <c r="F739" s="11" t="n"/>
    </row>
    <row r="740" ht="14.25" customHeight="1" s="38">
      <c r="D740" s="11" t="n"/>
      <c r="F740" s="11" t="n"/>
    </row>
    <row r="741" ht="14.25" customHeight="1" s="38">
      <c r="D741" s="11" t="n"/>
      <c r="F741" s="11" t="n"/>
    </row>
    <row r="742" ht="14.25" customHeight="1" s="38">
      <c r="D742" s="11" t="n"/>
      <c r="F742" s="11" t="n"/>
    </row>
    <row r="743" ht="14.25" customHeight="1" s="38">
      <c r="D743" s="11" t="n"/>
      <c r="F743" s="11" t="n"/>
    </row>
    <row r="744" ht="14.25" customHeight="1" s="38">
      <c r="D744" s="11" t="n"/>
      <c r="F744" s="11" t="n"/>
    </row>
    <row r="745" ht="14.25" customHeight="1" s="38">
      <c r="D745" s="11" t="n"/>
      <c r="F745" s="11" t="n"/>
    </row>
    <row r="746" ht="14.25" customHeight="1" s="38">
      <c r="D746" s="11" t="n"/>
      <c r="F746" s="11" t="n"/>
    </row>
    <row r="747" ht="14.25" customHeight="1" s="38">
      <c r="D747" s="11" t="n"/>
      <c r="F747" s="11" t="n"/>
    </row>
    <row r="748" ht="14.25" customHeight="1" s="38">
      <c r="D748" s="11" t="n"/>
      <c r="F748" s="11" t="n"/>
    </row>
    <row r="749" ht="14.25" customHeight="1" s="38">
      <c r="D749" s="11" t="n"/>
      <c r="F749" s="11" t="n"/>
    </row>
    <row r="750" ht="14.25" customHeight="1" s="38">
      <c r="D750" s="11" t="n"/>
      <c r="F750" s="11" t="n"/>
    </row>
    <row r="751" ht="14.25" customHeight="1" s="38">
      <c r="D751" s="11" t="n"/>
      <c r="F751" s="11" t="n"/>
    </row>
    <row r="752" ht="14.25" customHeight="1" s="38">
      <c r="D752" s="11" t="n"/>
      <c r="F752" s="11" t="n"/>
    </row>
    <row r="753" ht="14.25" customHeight="1" s="38">
      <c r="D753" s="11" t="n"/>
      <c r="F753" s="11" t="n"/>
    </row>
    <row r="754" ht="14.25" customHeight="1" s="38">
      <c r="D754" s="11" t="n"/>
      <c r="F754" s="11" t="n"/>
    </row>
    <row r="755" ht="14.25" customHeight="1" s="38">
      <c r="D755" s="11" t="n"/>
      <c r="F755" s="11" t="n"/>
    </row>
    <row r="756" ht="14.25" customHeight="1" s="38">
      <c r="D756" s="11" t="n"/>
      <c r="F756" s="11" t="n"/>
    </row>
    <row r="757" ht="14.25" customHeight="1" s="38">
      <c r="D757" s="11" t="n"/>
      <c r="F757" s="11" t="n"/>
    </row>
    <row r="758" ht="14.25" customHeight="1" s="38">
      <c r="D758" s="11" t="n"/>
      <c r="F758" s="11" t="n"/>
    </row>
    <row r="759" ht="14.25" customHeight="1" s="38">
      <c r="D759" s="11" t="n"/>
      <c r="F759" s="11" t="n"/>
    </row>
    <row r="760" ht="14.25" customHeight="1" s="38">
      <c r="D760" s="11" t="n"/>
      <c r="F760" s="11" t="n"/>
    </row>
    <row r="761" ht="14.25" customHeight="1" s="38">
      <c r="D761" s="11" t="n"/>
      <c r="F761" s="11" t="n"/>
    </row>
    <row r="762" ht="14.25" customHeight="1" s="38">
      <c r="D762" s="11" t="n"/>
      <c r="F762" s="11" t="n"/>
    </row>
    <row r="763" ht="14.25" customHeight="1" s="38">
      <c r="D763" s="11" t="n"/>
      <c r="F763" s="11" t="n"/>
    </row>
    <row r="764" ht="14.25" customHeight="1" s="38">
      <c r="D764" s="11" t="n"/>
      <c r="F764" s="11" t="n"/>
    </row>
    <row r="765" ht="14.25" customHeight="1" s="38">
      <c r="D765" s="11" t="n"/>
      <c r="F765" s="11" t="n"/>
    </row>
    <row r="766" ht="14.25" customHeight="1" s="38">
      <c r="D766" s="11" t="n"/>
      <c r="F766" s="11" t="n"/>
    </row>
    <row r="767" ht="14.25" customHeight="1" s="38">
      <c r="D767" s="11" t="n"/>
      <c r="F767" s="11" t="n"/>
    </row>
    <row r="768" ht="14.25" customHeight="1" s="38">
      <c r="D768" s="11" t="n"/>
      <c r="F768" s="11" t="n"/>
    </row>
    <row r="769" ht="14.25" customHeight="1" s="38">
      <c r="D769" s="11" t="n"/>
      <c r="F769" s="11" t="n"/>
    </row>
    <row r="770" ht="14.25" customHeight="1" s="38">
      <c r="D770" s="11" t="n"/>
      <c r="F770" s="11" t="n"/>
    </row>
    <row r="771" ht="14.25" customHeight="1" s="38">
      <c r="D771" s="11" t="n"/>
      <c r="F771" s="11" t="n"/>
    </row>
    <row r="772" ht="14.25" customHeight="1" s="38">
      <c r="D772" s="11" t="n"/>
      <c r="F772" s="11" t="n"/>
    </row>
    <row r="773" ht="14.25" customHeight="1" s="38">
      <c r="D773" s="11" t="n"/>
      <c r="F773" s="11" t="n"/>
    </row>
    <row r="774" ht="14.25" customHeight="1" s="38">
      <c r="D774" s="11" t="n"/>
      <c r="F774" s="11" t="n"/>
    </row>
    <row r="775" ht="14.25" customHeight="1" s="38">
      <c r="D775" s="11" t="n"/>
      <c r="F775" s="11" t="n"/>
    </row>
    <row r="776" ht="14.25" customHeight="1" s="38">
      <c r="D776" s="11" t="n"/>
      <c r="F776" s="11" t="n"/>
    </row>
    <row r="777" ht="14.25" customHeight="1" s="38">
      <c r="D777" s="11" t="n"/>
      <c r="F777" s="11" t="n"/>
    </row>
    <row r="778" ht="14.25" customHeight="1" s="38">
      <c r="D778" s="11" t="n"/>
      <c r="F778" s="11" t="n"/>
    </row>
    <row r="779" ht="14.25" customHeight="1" s="38">
      <c r="D779" s="11" t="n"/>
      <c r="F779" s="11" t="n"/>
    </row>
    <row r="780" ht="14.25" customHeight="1" s="38">
      <c r="D780" s="11" t="n"/>
      <c r="F780" s="11" t="n"/>
    </row>
    <row r="781" ht="14.25" customHeight="1" s="38">
      <c r="D781" s="11" t="n"/>
      <c r="F781" s="11" t="n"/>
    </row>
    <row r="782" ht="14.25" customHeight="1" s="38">
      <c r="D782" s="11" t="n"/>
      <c r="F782" s="11" t="n"/>
    </row>
    <row r="783" ht="14.25" customHeight="1" s="38">
      <c r="D783" s="11" t="n"/>
      <c r="F783" s="11" t="n"/>
    </row>
    <row r="784" ht="14.25" customHeight="1" s="38">
      <c r="D784" s="11" t="n"/>
      <c r="F784" s="11" t="n"/>
    </row>
    <row r="785" ht="14.25" customHeight="1" s="38">
      <c r="D785" s="11" t="n"/>
      <c r="F785" s="11" t="n"/>
    </row>
    <row r="786" ht="14.25" customHeight="1" s="38">
      <c r="D786" s="11" t="n"/>
      <c r="F786" s="11" t="n"/>
    </row>
    <row r="787" ht="14.25" customHeight="1" s="38">
      <c r="D787" s="11" t="n"/>
      <c r="F787" s="11" t="n"/>
    </row>
    <row r="788" ht="14.25" customHeight="1" s="38">
      <c r="D788" s="11" t="n"/>
      <c r="F788" s="11" t="n"/>
    </row>
    <row r="789" ht="14.25" customHeight="1" s="38">
      <c r="D789" s="11" t="n"/>
      <c r="F789" s="11" t="n"/>
    </row>
    <row r="790" ht="14.25" customHeight="1" s="38">
      <c r="D790" s="11" t="n"/>
      <c r="F790" s="11" t="n"/>
    </row>
    <row r="791" ht="14.25" customHeight="1" s="38">
      <c r="D791" s="11" t="n"/>
      <c r="F791" s="11" t="n"/>
    </row>
    <row r="792" ht="14.25" customHeight="1" s="38">
      <c r="D792" s="11" t="n"/>
      <c r="F792" s="11" t="n"/>
    </row>
    <row r="793" ht="14.25" customHeight="1" s="38">
      <c r="D793" s="11" t="n"/>
      <c r="F793" s="11" t="n"/>
    </row>
    <row r="794" ht="14.25" customHeight="1" s="38">
      <c r="D794" s="11" t="n"/>
      <c r="F794" s="11" t="n"/>
    </row>
    <row r="795" ht="14.25" customHeight="1" s="38">
      <c r="D795" s="11" t="n"/>
      <c r="F795" s="11" t="n"/>
    </row>
    <row r="796" ht="14.25" customHeight="1" s="38">
      <c r="D796" s="11" t="n"/>
      <c r="F796" s="11" t="n"/>
    </row>
    <row r="797" ht="14.25" customHeight="1" s="38">
      <c r="D797" s="11" t="n"/>
      <c r="F797" s="11" t="n"/>
    </row>
    <row r="798" ht="14.25" customHeight="1" s="38">
      <c r="D798" s="11" t="n"/>
      <c r="F798" s="11" t="n"/>
    </row>
    <row r="799" ht="14.25" customHeight="1" s="38">
      <c r="D799" s="11" t="n"/>
      <c r="F799" s="11" t="n"/>
    </row>
    <row r="800" ht="14.25" customHeight="1" s="38">
      <c r="D800" s="11" t="n"/>
      <c r="F800" s="11" t="n"/>
    </row>
    <row r="801" ht="14.25" customHeight="1" s="38">
      <c r="D801" s="11" t="n"/>
      <c r="F801" s="11" t="n"/>
    </row>
    <row r="802" ht="14.25" customHeight="1" s="38">
      <c r="D802" s="11" t="n"/>
      <c r="F802" s="11" t="n"/>
    </row>
    <row r="803" ht="14.25" customHeight="1" s="38">
      <c r="D803" s="11" t="n"/>
      <c r="F803" s="11" t="n"/>
    </row>
    <row r="804" ht="14.25" customHeight="1" s="38">
      <c r="D804" s="11" t="n"/>
      <c r="F804" s="11" t="n"/>
    </row>
    <row r="805" ht="14.25" customHeight="1" s="38">
      <c r="D805" s="11" t="n"/>
      <c r="F805" s="11" t="n"/>
    </row>
    <row r="806" ht="14.25" customHeight="1" s="38">
      <c r="D806" s="11" t="n"/>
      <c r="F806" s="11" t="n"/>
    </row>
    <row r="807" ht="14.25" customHeight="1" s="38">
      <c r="D807" s="11" t="n"/>
      <c r="F807" s="11" t="n"/>
    </row>
    <row r="808" ht="14.25" customHeight="1" s="38">
      <c r="D808" s="11" t="n"/>
      <c r="F808" s="11" t="n"/>
    </row>
    <row r="809" ht="14.25" customHeight="1" s="38">
      <c r="D809" s="11" t="n"/>
      <c r="F809" s="11" t="n"/>
    </row>
    <row r="810" ht="14.25" customHeight="1" s="38">
      <c r="D810" s="11" t="n"/>
      <c r="F810" s="11" t="n"/>
    </row>
    <row r="811" ht="14.25" customHeight="1" s="38">
      <c r="D811" s="11" t="n"/>
      <c r="F811" s="11" t="n"/>
    </row>
    <row r="812" ht="14.25" customHeight="1" s="38">
      <c r="D812" s="11" t="n"/>
      <c r="F812" s="11" t="n"/>
    </row>
    <row r="813" ht="14.25" customHeight="1" s="38">
      <c r="D813" s="11" t="n"/>
      <c r="F813" s="11" t="n"/>
    </row>
    <row r="814" ht="14.25" customHeight="1" s="38">
      <c r="D814" s="11" t="n"/>
      <c r="F814" s="11" t="n"/>
    </row>
    <row r="815" ht="14.25" customHeight="1" s="38">
      <c r="D815" s="11" t="n"/>
      <c r="F815" s="11" t="n"/>
    </row>
    <row r="816" ht="14.25" customHeight="1" s="38">
      <c r="D816" s="11" t="n"/>
      <c r="F816" s="11" t="n"/>
    </row>
    <row r="817" ht="14.25" customHeight="1" s="38">
      <c r="D817" s="11" t="n"/>
      <c r="F817" s="11" t="n"/>
    </row>
    <row r="818" ht="14.25" customHeight="1" s="38">
      <c r="D818" s="11" t="n"/>
      <c r="F818" s="11" t="n"/>
    </row>
    <row r="819" ht="14.25" customHeight="1" s="38">
      <c r="D819" s="11" t="n"/>
      <c r="F819" s="11" t="n"/>
    </row>
    <row r="820" ht="14.25" customHeight="1" s="38">
      <c r="D820" s="11" t="n"/>
      <c r="F820" s="11" t="n"/>
    </row>
    <row r="821" ht="14.25" customHeight="1" s="38">
      <c r="D821" s="11" t="n"/>
      <c r="F821" s="11" t="n"/>
    </row>
    <row r="822" ht="14.25" customHeight="1" s="38">
      <c r="D822" s="11" t="n"/>
      <c r="F822" s="11" t="n"/>
    </row>
    <row r="823" ht="14.25" customHeight="1" s="38">
      <c r="D823" s="11" t="n"/>
      <c r="F823" s="11" t="n"/>
    </row>
    <row r="824" ht="14.25" customHeight="1" s="38">
      <c r="D824" s="11" t="n"/>
      <c r="F824" s="11" t="n"/>
    </row>
    <row r="825" ht="14.25" customHeight="1" s="38">
      <c r="D825" s="11" t="n"/>
      <c r="F825" s="11" t="n"/>
    </row>
    <row r="826" ht="14.25" customHeight="1" s="38">
      <c r="D826" s="11" t="n"/>
      <c r="F826" s="11" t="n"/>
    </row>
    <row r="827" ht="14.25" customHeight="1" s="38">
      <c r="D827" s="11" t="n"/>
      <c r="F827" s="11" t="n"/>
    </row>
    <row r="828" ht="14.25" customHeight="1" s="38">
      <c r="D828" s="11" t="n"/>
      <c r="F828" s="11" t="n"/>
    </row>
    <row r="829" ht="14.25" customHeight="1" s="38">
      <c r="D829" s="11" t="n"/>
      <c r="F829" s="11" t="n"/>
    </row>
    <row r="830" ht="14.25" customHeight="1" s="38">
      <c r="D830" s="11" t="n"/>
      <c r="F830" s="11" t="n"/>
    </row>
    <row r="831" ht="14.25" customHeight="1" s="38">
      <c r="D831" s="11" t="n"/>
      <c r="F831" s="11" t="n"/>
    </row>
    <row r="832" ht="14.25" customHeight="1" s="38">
      <c r="D832" s="11" t="n"/>
      <c r="F832" s="11" t="n"/>
    </row>
    <row r="833" ht="14.25" customHeight="1" s="38">
      <c r="D833" s="11" t="n"/>
      <c r="F833" s="11" t="n"/>
    </row>
    <row r="834" ht="14.25" customHeight="1" s="38">
      <c r="D834" s="11" t="n"/>
      <c r="F834" s="11" t="n"/>
    </row>
    <row r="835" ht="14.25" customHeight="1" s="38">
      <c r="D835" s="11" t="n"/>
      <c r="F835" s="11" t="n"/>
    </row>
    <row r="836" ht="14.25" customHeight="1" s="38">
      <c r="D836" s="11" t="n"/>
      <c r="F836" s="11" t="n"/>
    </row>
    <row r="837" ht="14.25" customHeight="1" s="38">
      <c r="D837" s="11" t="n"/>
      <c r="F837" s="11" t="n"/>
    </row>
    <row r="838" ht="14.25" customHeight="1" s="38">
      <c r="D838" s="11" t="n"/>
      <c r="F838" s="11" t="n"/>
    </row>
    <row r="839" ht="14.25" customHeight="1" s="38">
      <c r="D839" s="11" t="n"/>
      <c r="F839" s="11" t="n"/>
    </row>
    <row r="840" ht="14.25" customHeight="1" s="38">
      <c r="D840" s="11" t="n"/>
      <c r="F840" s="11" t="n"/>
    </row>
    <row r="841" ht="14.25" customHeight="1" s="38">
      <c r="D841" s="11" t="n"/>
      <c r="F841" s="11" t="n"/>
    </row>
    <row r="842" ht="14.25" customHeight="1" s="38">
      <c r="D842" s="11" t="n"/>
      <c r="F842" s="11" t="n"/>
    </row>
    <row r="843" ht="14.25" customHeight="1" s="38">
      <c r="D843" s="11" t="n"/>
      <c r="F843" s="11" t="n"/>
    </row>
    <row r="844" ht="14.25" customHeight="1" s="38">
      <c r="D844" s="11" t="n"/>
      <c r="F844" s="11" t="n"/>
    </row>
    <row r="845" ht="14.25" customHeight="1" s="38">
      <c r="D845" s="11" t="n"/>
      <c r="F845" s="11" t="n"/>
    </row>
    <row r="846" ht="14.25" customHeight="1" s="38">
      <c r="D846" s="11" t="n"/>
      <c r="F846" s="11" t="n"/>
    </row>
    <row r="847" ht="14.25" customHeight="1" s="38">
      <c r="D847" s="11" t="n"/>
      <c r="F847" s="11" t="n"/>
    </row>
    <row r="848" ht="14.25" customHeight="1" s="38">
      <c r="D848" s="11" t="n"/>
      <c r="F848" s="11" t="n"/>
    </row>
    <row r="849" ht="14.25" customHeight="1" s="38">
      <c r="D849" s="11" t="n"/>
      <c r="F849" s="11" t="n"/>
    </row>
    <row r="850" ht="14.25" customHeight="1" s="38">
      <c r="D850" s="11" t="n"/>
      <c r="F850" s="11" t="n"/>
    </row>
    <row r="851" ht="14.25" customHeight="1" s="38">
      <c r="D851" s="11" t="n"/>
      <c r="F851" s="11" t="n"/>
    </row>
    <row r="852" ht="14.25" customHeight="1" s="38">
      <c r="D852" s="11" t="n"/>
      <c r="F852" s="11" t="n"/>
    </row>
    <row r="853" ht="14.25" customHeight="1" s="38">
      <c r="D853" s="11" t="n"/>
      <c r="F853" s="11" t="n"/>
    </row>
    <row r="854" ht="14.25" customHeight="1" s="38">
      <c r="D854" s="11" t="n"/>
      <c r="F854" s="11" t="n"/>
    </row>
    <row r="855" ht="14.25" customHeight="1" s="38">
      <c r="D855" s="11" t="n"/>
      <c r="F855" s="11" t="n"/>
    </row>
    <row r="856" ht="14.25" customHeight="1" s="38">
      <c r="D856" s="11" t="n"/>
      <c r="F856" s="11" t="n"/>
    </row>
    <row r="857" ht="14.25" customHeight="1" s="38">
      <c r="D857" s="11" t="n"/>
      <c r="F857" s="11" t="n"/>
    </row>
    <row r="858" ht="14.25" customHeight="1" s="38">
      <c r="D858" s="11" t="n"/>
      <c r="F858" s="11" t="n"/>
    </row>
    <row r="859" ht="14.25" customHeight="1" s="38">
      <c r="D859" s="11" t="n"/>
      <c r="F859" s="11" t="n"/>
    </row>
    <row r="860" ht="14.25" customHeight="1" s="38">
      <c r="D860" s="11" t="n"/>
      <c r="F860" s="11" t="n"/>
    </row>
    <row r="861" ht="14.25" customHeight="1" s="38">
      <c r="D861" s="11" t="n"/>
      <c r="F861" s="11" t="n"/>
    </row>
    <row r="862" ht="14.25" customHeight="1" s="38">
      <c r="D862" s="11" t="n"/>
      <c r="F862" s="11" t="n"/>
    </row>
    <row r="863" ht="14.25" customHeight="1" s="38">
      <c r="D863" s="11" t="n"/>
      <c r="F863" s="11" t="n"/>
    </row>
    <row r="864" ht="14.25" customHeight="1" s="38">
      <c r="D864" s="11" t="n"/>
      <c r="F864" s="11" t="n"/>
    </row>
    <row r="865" ht="14.25" customHeight="1" s="38">
      <c r="D865" s="11" t="n"/>
      <c r="F865" s="11" t="n"/>
    </row>
    <row r="866" ht="14.25" customHeight="1" s="38">
      <c r="D866" s="11" t="n"/>
      <c r="F866" s="11" t="n"/>
    </row>
    <row r="867" ht="14.25" customHeight="1" s="38">
      <c r="D867" s="11" t="n"/>
      <c r="F867" s="11" t="n"/>
    </row>
    <row r="868" ht="14.25" customHeight="1" s="38">
      <c r="D868" s="11" t="n"/>
      <c r="F868" s="11" t="n"/>
    </row>
    <row r="869" ht="14.25" customHeight="1" s="38">
      <c r="D869" s="11" t="n"/>
      <c r="F869" s="11" t="n"/>
    </row>
    <row r="870" ht="14.25" customHeight="1" s="38">
      <c r="D870" s="11" t="n"/>
      <c r="F870" s="11" t="n"/>
    </row>
    <row r="871" ht="14.25" customHeight="1" s="38">
      <c r="D871" s="11" t="n"/>
      <c r="F871" s="11" t="n"/>
    </row>
    <row r="872" ht="14.25" customHeight="1" s="38">
      <c r="D872" s="11" t="n"/>
      <c r="F872" s="11" t="n"/>
    </row>
    <row r="873" ht="14.25" customHeight="1" s="38">
      <c r="D873" s="11" t="n"/>
      <c r="F873" s="11" t="n"/>
    </row>
    <row r="874" ht="14.25" customHeight="1" s="38">
      <c r="D874" s="11" t="n"/>
      <c r="F874" s="11" t="n"/>
    </row>
    <row r="875" ht="14.25" customHeight="1" s="38">
      <c r="D875" s="11" t="n"/>
      <c r="F875" s="11" t="n"/>
    </row>
    <row r="876" ht="14.25" customHeight="1" s="38">
      <c r="D876" s="11" t="n"/>
      <c r="F876" s="11" t="n"/>
    </row>
    <row r="877" ht="14.25" customHeight="1" s="38">
      <c r="D877" s="11" t="n"/>
      <c r="F877" s="11" t="n"/>
    </row>
    <row r="878" ht="14.25" customHeight="1" s="38">
      <c r="D878" s="11" t="n"/>
      <c r="F878" s="11" t="n"/>
    </row>
    <row r="879" ht="14.25" customHeight="1" s="38">
      <c r="D879" s="11" t="n"/>
      <c r="F879" s="11" t="n"/>
    </row>
    <row r="880" ht="14.25" customHeight="1" s="38">
      <c r="D880" s="11" t="n"/>
      <c r="F880" s="11" t="n"/>
    </row>
    <row r="881" ht="14.25" customHeight="1" s="38">
      <c r="D881" s="11" t="n"/>
      <c r="F881" s="11" t="n"/>
    </row>
    <row r="882" ht="14.25" customHeight="1" s="38">
      <c r="D882" s="11" t="n"/>
      <c r="F882" s="11" t="n"/>
    </row>
    <row r="883" ht="14.25" customHeight="1" s="38">
      <c r="D883" s="11" t="n"/>
      <c r="F883" s="11" t="n"/>
    </row>
    <row r="884" ht="14.25" customHeight="1" s="38">
      <c r="D884" s="11" t="n"/>
      <c r="F884" s="11" t="n"/>
    </row>
    <row r="885" ht="14.25" customHeight="1" s="38">
      <c r="D885" s="11" t="n"/>
      <c r="F885" s="11" t="n"/>
    </row>
    <row r="886" ht="14.25" customHeight="1" s="38">
      <c r="D886" s="11" t="n"/>
      <c r="F886" s="11" t="n"/>
    </row>
    <row r="887" ht="14.25" customHeight="1" s="38">
      <c r="D887" s="11" t="n"/>
      <c r="F887" s="11" t="n"/>
    </row>
    <row r="888" ht="14.25" customHeight="1" s="38">
      <c r="D888" s="11" t="n"/>
      <c r="F888" s="11" t="n"/>
    </row>
    <row r="889" ht="14.25" customHeight="1" s="38">
      <c r="D889" s="11" t="n"/>
      <c r="F889" s="11" t="n"/>
    </row>
    <row r="890" ht="14.25" customHeight="1" s="38">
      <c r="D890" s="11" t="n"/>
      <c r="F890" s="11" t="n"/>
    </row>
    <row r="891" ht="14.25" customHeight="1" s="38">
      <c r="D891" s="11" t="n"/>
      <c r="F891" s="11" t="n"/>
    </row>
    <row r="892" ht="14.25" customHeight="1" s="38">
      <c r="D892" s="11" t="n"/>
      <c r="F892" s="11" t="n"/>
    </row>
    <row r="893" ht="14.25" customHeight="1" s="38">
      <c r="D893" s="11" t="n"/>
      <c r="F893" s="11" t="n"/>
    </row>
    <row r="894" ht="14.25" customHeight="1" s="38">
      <c r="D894" s="11" t="n"/>
      <c r="F894" s="11" t="n"/>
    </row>
    <row r="895" ht="14.25" customHeight="1" s="38">
      <c r="D895" s="11" t="n"/>
      <c r="F895" s="11" t="n"/>
    </row>
    <row r="896" ht="14.25" customHeight="1" s="38">
      <c r="D896" s="11" t="n"/>
      <c r="F896" s="11" t="n"/>
    </row>
    <row r="897" ht="14.25" customHeight="1" s="38">
      <c r="D897" s="11" t="n"/>
      <c r="F897" s="11" t="n"/>
    </row>
    <row r="898" ht="14.25" customHeight="1" s="38">
      <c r="D898" s="11" t="n"/>
      <c r="F898" s="11" t="n"/>
    </row>
    <row r="899" ht="14.25" customHeight="1" s="38">
      <c r="D899" s="11" t="n"/>
      <c r="F899" s="11" t="n"/>
    </row>
    <row r="900" ht="14.25" customHeight="1" s="38">
      <c r="D900" s="11" t="n"/>
      <c r="F900" s="11" t="n"/>
    </row>
    <row r="901" ht="14.25" customHeight="1" s="38">
      <c r="D901" s="11" t="n"/>
      <c r="F901" s="11" t="n"/>
    </row>
    <row r="902" ht="14.25" customHeight="1" s="38">
      <c r="D902" s="11" t="n"/>
      <c r="F902" s="11" t="n"/>
    </row>
    <row r="903" ht="14.25" customHeight="1" s="38">
      <c r="D903" s="11" t="n"/>
      <c r="F903" s="11" t="n"/>
    </row>
    <row r="904" ht="14.25" customHeight="1" s="38">
      <c r="D904" s="11" t="n"/>
      <c r="F904" s="11" t="n"/>
    </row>
    <row r="905" ht="14.25" customHeight="1" s="38">
      <c r="D905" s="11" t="n"/>
      <c r="F905" s="11" t="n"/>
    </row>
    <row r="906" ht="14.25" customHeight="1" s="38">
      <c r="D906" s="11" t="n"/>
      <c r="F906" s="11" t="n"/>
    </row>
    <row r="907" ht="14.25" customHeight="1" s="38">
      <c r="D907" s="11" t="n"/>
      <c r="F907" s="11" t="n"/>
    </row>
    <row r="908" ht="14.25" customHeight="1" s="38">
      <c r="D908" s="11" t="n"/>
      <c r="F908" s="11" t="n"/>
    </row>
    <row r="909" ht="14.25" customHeight="1" s="38">
      <c r="D909" s="11" t="n"/>
      <c r="F909" s="11" t="n"/>
    </row>
    <row r="910" ht="14.25" customHeight="1" s="38">
      <c r="D910" s="11" t="n"/>
      <c r="F910" s="11" t="n"/>
    </row>
    <row r="911" ht="14.25" customHeight="1" s="38">
      <c r="D911" s="11" t="n"/>
      <c r="F911" s="11" t="n"/>
    </row>
    <row r="912" ht="14.25" customHeight="1" s="38">
      <c r="D912" s="11" t="n"/>
      <c r="F912" s="11" t="n"/>
    </row>
    <row r="913" ht="14.25" customHeight="1" s="38">
      <c r="D913" s="11" t="n"/>
      <c r="F913" s="11" t="n"/>
    </row>
    <row r="914" ht="14.25" customHeight="1" s="38">
      <c r="D914" s="11" t="n"/>
      <c r="F914" s="11" t="n"/>
    </row>
    <row r="915" ht="14.25" customHeight="1" s="38">
      <c r="D915" s="11" t="n"/>
      <c r="F915" s="11" t="n"/>
    </row>
    <row r="916" ht="14.25" customHeight="1" s="38">
      <c r="D916" s="11" t="n"/>
      <c r="F916" s="11" t="n"/>
    </row>
    <row r="917" ht="14.25" customHeight="1" s="38">
      <c r="D917" s="11" t="n"/>
      <c r="F917" s="11" t="n"/>
    </row>
    <row r="918" ht="14.25" customHeight="1" s="38">
      <c r="D918" s="11" t="n"/>
      <c r="F918" s="11" t="n"/>
    </row>
    <row r="919" ht="14.25" customHeight="1" s="38">
      <c r="D919" s="11" t="n"/>
      <c r="F919" s="11" t="n"/>
    </row>
    <row r="920" ht="14.25" customHeight="1" s="38">
      <c r="D920" s="11" t="n"/>
      <c r="F920" s="11" t="n"/>
    </row>
    <row r="921" ht="14.25" customHeight="1" s="38">
      <c r="D921" s="11" t="n"/>
      <c r="F921" s="11" t="n"/>
    </row>
    <row r="922" ht="14.25" customHeight="1" s="38">
      <c r="D922" s="11" t="n"/>
      <c r="F922" s="11" t="n"/>
    </row>
    <row r="923" ht="14.25" customHeight="1" s="38">
      <c r="D923" s="11" t="n"/>
      <c r="F923" s="11" t="n"/>
    </row>
    <row r="924" ht="14.25" customHeight="1" s="38">
      <c r="D924" s="11" t="n"/>
      <c r="F924" s="11" t="n"/>
    </row>
    <row r="925" ht="14.25" customHeight="1" s="38">
      <c r="D925" s="11" t="n"/>
      <c r="F925" s="11" t="n"/>
    </row>
    <row r="926" ht="14.25" customHeight="1" s="38">
      <c r="D926" s="11" t="n"/>
      <c r="F926" s="11" t="n"/>
    </row>
    <row r="927" ht="14.25" customHeight="1" s="38">
      <c r="D927" s="11" t="n"/>
      <c r="F927" s="11" t="n"/>
    </row>
    <row r="928" ht="14.25" customHeight="1" s="38">
      <c r="D928" s="11" t="n"/>
      <c r="F928" s="11" t="n"/>
    </row>
    <row r="929" ht="14.25" customHeight="1" s="38">
      <c r="D929" s="11" t="n"/>
      <c r="F929" s="11" t="n"/>
    </row>
    <row r="930" ht="14.25" customHeight="1" s="38">
      <c r="D930" s="11" t="n"/>
      <c r="F930" s="11" t="n"/>
    </row>
    <row r="931" ht="14.25" customHeight="1" s="38">
      <c r="D931" s="11" t="n"/>
      <c r="F931" s="11" t="n"/>
    </row>
    <row r="932" ht="14.25" customHeight="1" s="38">
      <c r="D932" s="11" t="n"/>
      <c r="F932" s="11" t="n"/>
    </row>
    <row r="933" ht="14.25" customHeight="1" s="38">
      <c r="D933" s="11" t="n"/>
      <c r="F933" s="11" t="n"/>
    </row>
    <row r="934" ht="14.25" customHeight="1" s="38">
      <c r="D934" s="11" t="n"/>
      <c r="F934" s="11" t="n"/>
    </row>
    <row r="935" ht="14.25" customHeight="1" s="38">
      <c r="D935" s="11" t="n"/>
      <c r="F935" s="11" t="n"/>
    </row>
    <row r="936" ht="14.25" customHeight="1" s="38">
      <c r="D936" s="11" t="n"/>
      <c r="F936" s="11" t="n"/>
    </row>
    <row r="937" ht="14.25" customHeight="1" s="38">
      <c r="D937" s="11" t="n"/>
      <c r="F937" s="11" t="n"/>
    </row>
    <row r="938" ht="14.25" customHeight="1" s="38">
      <c r="D938" s="11" t="n"/>
      <c r="F938" s="11" t="n"/>
    </row>
    <row r="939" ht="14.25" customHeight="1" s="38">
      <c r="D939" s="11" t="n"/>
      <c r="F939" s="11" t="n"/>
    </row>
    <row r="940" ht="14.25" customHeight="1" s="38">
      <c r="D940" s="11" t="n"/>
      <c r="F940" s="11" t="n"/>
    </row>
    <row r="941" ht="14.25" customHeight="1" s="38">
      <c r="D941" s="11" t="n"/>
      <c r="F941" s="11" t="n"/>
    </row>
    <row r="942" ht="14.25" customHeight="1" s="38">
      <c r="D942" s="11" t="n"/>
      <c r="F942" s="11" t="n"/>
    </row>
    <row r="943" ht="14.25" customHeight="1" s="38">
      <c r="D943" s="11" t="n"/>
      <c r="F943" s="11" t="n"/>
    </row>
    <row r="944" ht="14.25" customHeight="1" s="38">
      <c r="D944" s="11" t="n"/>
      <c r="F944" s="11" t="n"/>
    </row>
    <row r="945" ht="14.25" customHeight="1" s="38">
      <c r="D945" s="11" t="n"/>
      <c r="F945" s="11" t="n"/>
    </row>
    <row r="946" ht="14.25" customHeight="1" s="38">
      <c r="D946" s="11" t="n"/>
      <c r="F946" s="11" t="n"/>
    </row>
    <row r="947" ht="14.25" customHeight="1" s="38">
      <c r="D947" s="11" t="n"/>
      <c r="F947" s="11" t="n"/>
    </row>
    <row r="948" ht="14.25" customHeight="1" s="38">
      <c r="D948" s="11" t="n"/>
      <c r="F948" s="11" t="n"/>
    </row>
    <row r="949" ht="14.25" customHeight="1" s="38">
      <c r="D949" s="11" t="n"/>
      <c r="F949" s="11" t="n"/>
    </row>
    <row r="950" ht="14.25" customHeight="1" s="38">
      <c r="D950" s="11" t="n"/>
      <c r="F950" s="11" t="n"/>
    </row>
    <row r="951" ht="14.25" customHeight="1" s="38">
      <c r="D951" s="11" t="n"/>
      <c r="F951" s="11" t="n"/>
    </row>
    <row r="952" ht="14.25" customHeight="1" s="38">
      <c r="D952" s="11" t="n"/>
      <c r="F952" s="11" t="n"/>
    </row>
    <row r="953" ht="14.25" customHeight="1" s="38">
      <c r="D953" s="11" t="n"/>
      <c r="F953" s="11" t="n"/>
    </row>
    <row r="954" ht="14.25" customHeight="1" s="38">
      <c r="D954" s="11" t="n"/>
      <c r="F954" s="11" t="n"/>
    </row>
    <row r="955" ht="14.25" customHeight="1" s="38">
      <c r="D955" s="11" t="n"/>
      <c r="F955" s="11" t="n"/>
    </row>
    <row r="956" ht="14.25" customHeight="1" s="38">
      <c r="D956" s="11" t="n"/>
      <c r="F956" s="11" t="n"/>
    </row>
    <row r="957" ht="14.25" customHeight="1" s="38">
      <c r="D957" s="11" t="n"/>
      <c r="F957" s="11" t="n"/>
    </row>
    <row r="958" ht="14.25" customHeight="1" s="38">
      <c r="D958" s="11" t="n"/>
      <c r="F958" s="11" t="n"/>
    </row>
    <row r="959" ht="14.25" customHeight="1" s="38">
      <c r="D959" s="11" t="n"/>
      <c r="F959" s="11" t="n"/>
    </row>
    <row r="960" ht="14.25" customHeight="1" s="38">
      <c r="D960" s="11" t="n"/>
      <c r="F960" s="11" t="n"/>
    </row>
    <row r="961" ht="14.25" customHeight="1" s="38">
      <c r="D961" s="11" t="n"/>
      <c r="F961" s="11" t="n"/>
    </row>
    <row r="962" ht="14.25" customHeight="1" s="38">
      <c r="D962" s="11" t="n"/>
      <c r="F962" s="11" t="n"/>
    </row>
    <row r="963" ht="14.25" customHeight="1" s="38">
      <c r="D963" s="11" t="n"/>
      <c r="F963" s="11" t="n"/>
    </row>
    <row r="964" ht="14.25" customHeight="1" s="38">
      <c r="D964" s="11" t="n"/>
      <c r="F964" s="11" t="n"/>
    </row>
    <row r="965" ht="14.25" customHeight="1" s="38">
      <c r="D965" s="11" t="n"/>
      <c r="F965" s="11" t="n"/>
    </row>
    <row r="966" ht="14.25" customHeight="1" s="38">
      <c r="D966" s="11" t="n"/>
      <c r="F966" s="11" t="n"/>
    </row>
    <row r="967" ht="14.25" customHeight="1" s="38">
      <c r="D967" s="11" t="n"/>
      <c r="F967" s="11" t="n"/>
    </row>
    <row r="968" ht="14.25" customHeight="1" s="38">
      <c r="D968" s="11" t="n"/>
      <c r="F968" s="11" t="n"/>
    </row>
    <row r="969" ht="14.25" customHeight="1" s="38">
      <c r="D969" s="11" t="n"/>
      <c r="F969" s="11" t="n"/>
    </row>
    <row r="970" ht="14.25" customHeight="1" s="38">
      <c r="D970" s="11" t="n"/>
      <c r="F970" s="11" t="n"/>
    </row>
    <row r="971" ht="14.25" customHeight="1" s="38">
      <c r="D971" s="11" t="n"/>
      <c r="F971" s="11" t="n"/>
    </row>
    <row r="972" ht="14.25" customHeight="1" s="38">
      <c r="D972" s="11" t="n"/>
      <c r="F972" s="11" t="n"/>
    </row>
    <row r="973" ht="14.25" customHeight="1" s="38">
      <c r="D973" s="11" t="n"/>
      <c r="F973" s="11" t="n"/>
    </row>
    <row r="974" ht="14.25" customHeight="1" s="38">
      <c r="D974" s="11" t="n"/>
      <c r="F974" s="11" t="n"/>
    </row>
    <row r="975" ht="14.25" customHeight="1" s="38">
      <c r="D975" s="11" t="n"/>
      <c r="F975" s="11" t="n"/>
    </row>
    <row r="976" ht="14.25" customHeight="1" s="38">
      <c r="D976" s="11" t="n"/>
      <c r="F976" s="11" t="n"/>
    </row>
    <row r="977" ht="14.25" customHeight="1" s="38">
      <c r="D977" s="11" t="n"/>
      <c r="F977" s="11" t="n"/>
    </row>
    <row r="978" ht="14.25" customHeight="1" s="38">
      <c r="D978" s="11" t="n"/>
      <c r="F978" s="11" t="n"/>
    </row>
    <row r="979" ht="14.25" customHeight="1" s="38">
      <c r="D979" s="11" t="n"/>
      <c r="F979" s="11" t="n"/>
    </row>
    <row r="980" ht="14.25" customHeight="1" s="38">
      <c r="D980" s="11" t="n"/>
      <c r="F980" s="11" t="n"/>
    </row>
    <row r="981" ht="14.25" customHeight="1" s="38">
      <c r="D981" s="11" t="n"/>
      <c r="F981" s="11" t="n"/>
    </row>
    <row r="982" ht="14.25" customHeight="1" s="38">
      <c r="D982" s="11" t="n"/>
      <c r="F982" s="11" t="n"/>
    </row>
    <row r="983" ht="14.25" customHeight="1" s="38">
      <c r="D983" s="11" t="n"/>
      <c r="F983" s="11" t="n"/>
    </row>
    <row r="984" ht="14.25" customHeight="1" s="38">
      <c r="D984" s="11" t="n"/>
      <c r="F984" s="11" t="n"/>
    </row>
    <row r="985" ht="14.25" customHeight="1" s="38">
      <c r="D985" s="11" t="n"/>
      <c r="F985" s="11" t="n"/>
    </row>
    <row r="986" ht="14.25" customHeight="1" s="38">
      <c r="D986" s="11" t="n"/>
      <c r="F986" s="11" t="n"/>
    </row>
    <row r="987" ht="14.25" customHeight="1" s="38">
      <c r="D987" s="11" t="n"/>
      <c r="F987" s="11" t="n"/>
    </row>
    <row r="988" ht="14.25" customHeight="1" s="38">
      <c r="D988" s="11" t="n"/>
      <c r="F988" s="11" t="n"/>
    </row>
    <row r="989" ht="14.25" customHeight="1" s="38">
      <c r="D989" s="11" t="n"/>
      <c r="F989" s="11" t="n"/>
    </row>
    <row r="990" ht="14.25" customHeight="1" s="38">
      <c r="D990" s="11" t="n"/>
      <c r="F990" s="11" t="n"/>
    </row>
    <row r="991" ht="14.25" customHeight="1" s="38">
      <c r="D991" s="11" t="n"/>
      <c r="F991" s="11" t="n"/>
    </row>
    <row r="992" ht="14.25" customHeight="1" s="38">
      <c r="D992" s="11" t="n"/>
      <c r="F992" s="11" t="n"/>
    </row>
    <row r="993" ht="14.25" customHeight="1" s="38">
      <c r="D993" s="11" t="n"/>
      <c r="F993" s="11" t="n"/>
    </row>
    <row r="994" ht="14.25" customHeight="1" s="38">
      <c r="D994" s="11" t="n"/>
      <c r="F994" s="11" t="n"/>
    </row>
    <row r="995" ht="14.25" customHeight="1" s="38">
      <c r="D995" s="11" t="n"/>
      <c r="F995" s="11" t="n"/>
    </row>
    <row r="996" ht="14.25" customHeight="1" s="38">
      <c r="D996" s="11" t="n"/>
      <c r="F996" s="11" t="n"/>
    </row>
    <row r="997" ht="14.25" customHeight="1" s="38">
      <c r="D997" s="11" t="n"/>
      <c r="F997" s="11" t="n"/>
    </row>
    <row r="998" ht="14.25" customHeight="1" s="38">
      <c r="D998" s="11" t="n"/>
      <c r="F998" s="11" t="n"/>
    </row>
    <row r="999" ht="14.25" customHeight="1" s="38">
      <c r="D999" s="11" t="n"/>
      <c r="F999" s="11" t="n"/>
    </row>
    <row r="1000" ht="14.25" customHeight="1" s="38">
      <c r="D1000" s="11" t="n"/>
      <c r="F1000" s="11" t="n"/>
    </row>
    <row r="1001" ht="14.25" customHeight="1" s="38">
      <c r="D1001" s="11" t="n"/>
      <c r="F1001" s="11" t="n"/>
    </row>
  </sheetData>
  <autoFilter ref="$A$1:$I$1001"/>
  <dataValidations count="2">
    <dataValidation sqref="D2:D1001" showDropDown="0" showInputMessage="0" showErrorMessage="0" allowBlank="1" type="list">
      <formula1>LIST!$D$2:$D$3</formula1>
    </dataValidation>
    <dataValidation sqref="F2:F1001" showDropDown="0" showInputMessage="0" showErrorMessage="0" allowBlank="1" type="list">
      <formula1>LIST!$E$2:$E$3</formula1>
    </dataValidation>
  </dataValidations>
  <pageMargins left="0.25" right="0.25" top="0.35" bottom="0.35" header="0" footer="0"/>
  <pageSetup orientation="landscape" paperSize="9" fitToHeight="0"/>
  <headerFooter>
    <oddHeader/>
    <oddFooter>&amp;CParoki St. Klement I Sepinggan Balikpapan • Statistik 2026&amp;RHalaman &amp;P dari 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38" min="1" max="1"/>
    <col width="28" customWidth="1" style="38" min="2" max="2"/>
    <col width="22" customWidth="1" style="38" min="3" max="3"/>
    <col width="20" customWidth="1" style="38" min="4" max="5"/>
    <col width="30" customWidth="1" style="38" min="6" max="6"/>
    <col width="9" customWidth="1" style="38" min="7" max="26"/>
  </cols>
  <sheetData>
    <row r="1" ht="14.25" customHeight="1" s="38">
      <c r="A1" s="7" t="inlineStr">
        <is>
          <t>ID Umat</t>
        </is>
      </c>
      <c r="B1" s="7" t="inlineStr">
        <is>
          <t>Nama</t>
        </is>
      </c>
      <c r="C1" s="7" t="inlineStr">
        <is>
          <t>Lingkungan</t>
        </is>
      </c>
      <c r="D1" s="7" t="inlineStr">
        <is>
          <t>Tanggal Pindah Agama</t>
        </is>
      </c>
      <c r="E1" s="7" t="inlineStr">
        <is>
          <t>Agama Baru</t>
        </is>
      </c>
      <c r="F1" s="7" t="inlineStr">
        <is>
          <t>Keterangan</t>
        </is>
      </c>
    </row>
  </sheetData>
  <autoFilter ref="$A$1:$F$1001"/>
  <dataValidations count="1">
    <dataValidation sqref="E2:E1001" showDropDown="0" showInputMessage="0" showErrorMessage="0" allowBlank="1" type="list">
      <formula1>LIST!$B$3:$B$8</formula1>
    </dataValidation>
  </dataValidations>
  <pageMargins left="0.25" right="0.25" top="0.35" bottom="0.35" header="0" footer="0"/>
  <pageSetup orientation="landscape" paperSize="9" fitToHeight="0"/>
  <headerFooter>
    <oddHeader/>
    <oddFooter>&amp;CParoki St. Klement I Sepinggan Balikpapan • Statistik 2026&amp;RHalaman &amp;P dari 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22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38" min="1" max="1"/>
    <col width="28" customWidth="1" style="38" min="2" max="2"/>
    <col width="22" customWidth="1" style="38" min="3" max="3"/>
    <col width="18" customWidth="1" style="38" min="4" max="5"/>
    <col width="28" customWidth="1" style="38" min="6" max="6"/>
    <col width="30" customWidth="1" style="38" min="7" max="7"/>
    <col width="9" customWidth="1" style="38" min="8" max="26"/>
  </cols>
  <sheetData>
    <row r="1" ht="14.25" customHeight="1" s="38">
      <c r="A1" s="7" t="inlineStr">
        <is>
          <t>ID Umat</t>
        </is>
      </c>
      <c r="B1" s="7" t="inlineStr">
        <is>
          <t>Nama</t>
        </is>
      </c>
      <c r="C1" s="7" t="inlineStr">
        <is>
          <t>Lingkungan</t>
        </is>
      </c>
      <c r="D1" s="7" t="inlineStr">
        <is>
          <t>Jenis Kelamin</t>
        </is>
      </c>
      <c r="E1" s="7" t="inlineStr">
        <is>
          <t>Tanggal Komuni I</t>
        </is>
      </c>
      <c r="F1" s="7" t="inlineStr">
        <is>
          <t>Paroki/Gereja</t>
        </is>
      </c>
      <c r="G1" s="7" t="inlineStr">
        <is>
          <t>Keterangan</t>
        </is>
      </c>
    </row>
    <row r="2" ht="14.25" customHeight="1" s="38">
      <c r="A2" s="9" t="n"/>
      <c r="B2" s="9" t="n"/>
      <c r="C2" s="9" t="n"/>
      <c r="D2" s="9" t="n"/>
      <c r="E2" s="9" t="n"/>
      <c r="F2" s="9" t="n"/>
      <c r="G2" s="9" t="n"/>
    </row>
    <row r="3" ht="14.25" customHeight="1" s="38">
      <c r="A3" s="9" t="n"/>
      <c r="B3" s="9" t="n"/>
      <c r="C3" s="9" t="n"/>
      <c r="D3" s="9" t="n"/>
      <c r="E3" s="9" t="n"/>
      <c r="F3" s="9" t="n"/>
      <c r="G3" s="9" t="n"/>
    </row>
    <row r="4" ht="14.25" customHeight="1" s="38">
      <c r="A4" s="9" t="n"/>
      <c r="B4" s="9" t="n"/>
      <c r="C4" s="9" t="n"/>
      <c r="D4" s="9" t="n"/>
      <c r="E4" s="9" t="n"/>
      <c r="F4" s="9" t="n"/>
      <c r="G4" s="9" t="n"/>
    </row>
    <row r="5" ht="14.25" customHeight="1" s="38">
      <c r="A5" s="9" t="n"/>
      <c r="B5" s="9" t="n"/>
      <c r="C5" s="9" t="n"/>
      <c r="D5" s="9" t="n"/>
      <c r="E5" s="9" t="n"/>
      <c r="F5" s="9" t="n"/>
      <c r="G5" s="9" t="n"/>
    </row>
    <row r="6" ht="14.25" customHeight="1" s="38">
      <c r="A6" s="9" t="n"/>
      <c r="B6" s="9" t="n"/>
      <c r="C6" s="9" t="n"/>
      <c r="D6" s="9" t="n"/>
      <c r="E6" s="9" t="n"/>
      <c r="F6" s="9" t="n"/>
      <c r="G6" s="9" t="n"/>
    </row>
    <row r="7" ht="14.25" customHeight="1" s="38">
      <c r="A7" s="9" t="n"/>
      <c r="B7" s="9" t="n"/>
      <c r="C7" s="9" t="n"/>
      <c r="D7" s="9" t="n"/>
      <c r="E7" s="9" t="n"/>
      <c r="F7" s="9" t="n"/>
      <c r="G7" s="9" t="n"/>
    </row>
    <row r="8" ht="14.25" customHeight="1" s="38">
      <c r="A8" s="9" t="n"/>
      <c r="B8" s="9" t="n"/>
      <c r="C8" s="9" t="n"/>
      <c r="D8" s="9" t="n"/>
      <c r="E8" s="9" t="n"/>
      <c r="F8" s="9" t="n"/>
      <c r="G8" s="9" t="n"/>
    </row>
    <row r="9" ht="14.25" customHeight="1" s="38">
      <c r="A9" s="9" t="n"/>
      <c r="B9" s="9" t="n"/>
      <c r="C9" s="9" t="n"/>
      <c r="D9" s="9" t="n"/>
      <c r="E9" s="9" t="n"/>
      <c r="F9" s="9" t="n"/>
      <c r="G9" s="9" t="n"/>
    </row>
    <row r="10" ht="14.25" customHeight="1" s="38">
      <c r="A10" s="9" t="n"/>
      <c r="B10" s="9" t="n"/>
      <c r="C10" s="9" t="n"/>
      <c r="D10" s="9" t="n"/>
      <c r="E10" s="9" t="n"/>
      <c r="F10" s="9" t="n"/>
      <c r="G10" s="9" t="n"/>
    </row>
    <row r="11" ht="14.25" customHeight="1" s="38">
      <c r="A11" s="9" t="n"/>
      <c r="B11" s="9" t="n"/>
      <c r="C11" s="9" t="n"/>
      <c r="D11" s="9" t="n"/>
      <c r="E11" s="9" t="n"/>
      <c r="F11" s="9" t="n"/>
      <c r="G11" s="9" t="n"/>
    </row>
    <row r="12" ht="14.25" customHeight="1" s="38">
      <c r="A12" s="9" t="n"/>
      <c r="B12" s="9" t="n"/>
      <c r="C12" s="9" t="n"/>
      <c r="D12" s="9" t="n"/>
      <c r="E12" s="9" t="n"/>
      <c r="F12" s="9" t="n"/>
      <c r="G12" s="9" t="n"/>
    </row>
    <row r="13" ht="14.25" customHeight="1" s="38">
      <c r="A13" s="9" t="n"/>
      <c r="B13" s="9" t="n"/>
      <c r="C13" s="9" t="n"/>
      <c r="D13" s="9" t="n"/>
      <c r="E13" s="9" t="n"/>
      <c r="F13" s="9" t="n"/>
      <c r="G13" s="9" t="n"/>
    </row>
    <row r="14" ht="14.25" customHeight="1" s="38">
      <c r="A14" s="9" t="n"/>
      <c r="B14" s="9" t="n"/>
      <c r="C14" s="9" t="n"/>
      <c r="D14" s="9" t="n"/>
      <c r="E14" s="9" t="n"/>
      <c r="F14" s="9" t="n"/>
      <c r="G14" s="9" t="n"/>
    </row>
    <row r="15" ht="14.25" customHeight="1" s="38">
      <c r="A15" s="9" t="n"/>
      <c r="B15" s="9" t="n"/>
      <c r="C15" s="9" t="n"/>
      <c r="D15" s="9" t="n"/>
      <c r="E15" s="9" t="n"/>
      <c r="F15" s="9" t="n"/>
      <c r="G15" s="9" t="n"/>
    </row>
    <row r="16" ht="14.25" customHeight="1" s="38">
      <c r="A16" s="9" t="n"/>
      <c r="B16" s="9" t="n"/>
      <c r="C16" s="9" t="n"/>
      <c r="D16" s="9" t="n"/>
      <c r="E16" s="9" t="n"/>
      <c r="F16" s="9" t="n"/>
      <c r="G16" s="9" t="n"/>
    </row>
    <row r="17" ht="14.25" customHeight="1" s="38">
      <c r="A17" s="9" t="n"/>
      <c r="B17" s="9" t="n"/>
      <c r="C17" s="9" t="n"/>
      <c r="D17" s="9" t="n"/>
      <c r="E17" s="9" t="n"/>
      <c r="F17" s="9" t="n"/>
      <c r="G17" s="9" t="n"/>
    </row>
    <row r="18" ht="14.25" customHeight="1" s="38">
      <c r="A18" s="9" t="n"/>
      <c r="B18" s="9" t="n"/>
      <c r="C18" s="9" t="n"/>
      <c r="D18" s="9" t="n"/>
      <c r="E18" s="9" t="n"/>
      <c r="F18" s="9" t="n"/>
      <c r="G18" s="9" t="n"/>
    </row>
    <row r="19" ht="14.25" customHeight="1" s="38">
      <c r="A19" s="9" t="n"/>
      <c r="B19" s="9" t="n"/>
      <c r="C19" s="9" t="n"/>
      <c r="D19" s="9" t="n"/>
      <c r="E19" s="9" t="n"/>
      <c r="F19" s="9" t="n"/>
      <c r="G19" s="9" t="n"/>
    </row>
    <row r="20" ht="14.25" customHeight="1" s="38">
      <c r="A20" s="9" t="n"/>
      <c r="B20" s="9" t="n"/>
      <c r="C20" s="9" t="n"/>
      <c r="D20" s="9" t="n"/>
      <c r="E20" s="9" t="n"/>
      <c r="F20" s="9" t="n"/>
      <c r="G20" s="9" t="n"/>
    </row>
    <row r="21" ht="14.25" customHeight="1" s="38">
      <c r="A21" s="9" t="n"/>
      <c r="B21" s="9" t="n"/>
      <c r="C21" s="9" t="n"/>
      <c r="D21" s="9" t="n"/>
      <c r="E21" s="9" t="n"/>
      <c r="F21" s="9" t="n"/>
      <c r="G21" s="9" t="n"/>
    </row>
    <row r="22" ht="14.25" customHeight="1" s="38">
      <c r="A22" s="9" t="n"/>
      <c r="B22" s="9" t="n"/>
      <c r="C22" s="9" t="n"/>
      <c r="D22" s="9" t="n"/>
      <c r="E22" s="9" t="n"/>
      <c r="F22" s="9" t="n"/>
      <c r="G22" s="9" t="n"/>
    </row>
    <row r="23" ht="14.25" customHeight="1" s="38">
      <c r="A23" s="9" t="n"/>
      <c r="B23" s="9" t="n"/>
      <c r="C23" s="9" t="n"/>
      <c r="D23" s="9" t="n"/>
      <c r="E23" s="9" t="n"/>
      <c r="F23" s="9" t="n"/>
      <c r="G23" s="9" t="n"/>
    </row>
    <row r="24" ht="14.25" customHeight="1" s="38">
      <c r="A24" s="9" t="n"/>
      <c r="B24" s="9" t="n"/>
      <c r="C24" s="9" t="n"/>
      <c r="D24" s="9" t="n"/>
      <c r="E24" s="9" t="n"/>
      <c r="F24" s="9" t="n"/>
      <c r="G24" s="9" t="n"/>
    </row>
    <row r="25" ht="14.25" customHeight="1" s="38">
      <c r="A25" s="9" t="n"/>
      <c r="B25" s="9" t="n"/>
      <c r="C25" s="9" t="n"/>
      <c r="D25" s="9" t="n"/>
      <c r="E25" s="9" t="n"/>
      <c r="F25" s="9" t="n"/>
      <c r="G25" s="9" t="n"/>
    </row>
    <row r="26" ht="14.25" customHeight="1" s="38">
      <c r="A26" s="9" t="n"/>
      <c r="B26" s="9" t="n"/>
      <c r="C26" s="9" t="n"/>
      <c r="D26" s="9" t="n"/>
      <c r="E26" s="9" t="n"/>
      <c r="F26" s="9" t="n"/>
      <c r="G26" s="9" t="n"/>
    </row>
    <row r="27" ht="14.25" customHeight="1" s="38">
      <c r="A27" s="9" t="n"/>
      <c r="B27" s="9" t="n"/>
      <c r="C27" s="9" t="n"/>
      <c r="D27" s="9" t="n"/>
      <c r="E27" s="9" t="n"/>
      <c r="F27" s="9" t="n"/>
      <c r="G27" s="9" t="n"/>
    </row>
    <row r="28" ht="14.25" customHeight="1" s="38">
      <c r="A28" s="9" t="n"/>
      <c r="B28" s="9" t="n"/>
      <c r="C28" s="9" t="n"/>
      <c r="D28" s="9" t="n"/>
      <c r="E28" s="9" t="n"/>
      <c r="F28" s="9" t="n"/>
      <c r="G28" s="9" t="n"/>
    </row>
    <row r="29" ht="14.25" customHeight="1" s="38">
      <c r="A29" s="9" t="n"/>
      <c r="B29" s="9" t="n"/>
      <c r="C29" s="9" t="n"/>
      <c r="D29" s="9" t="n"/>
      <c r="E29" s="9" t="n"/>
      <c r="F29" s="9" t="n"/>
      <c r="G29" s="9" t="n"/>
    </row>
    <row r="30" ht="14.25" customHeight="1" s="38">
      <c r="A30" s="9" t="n"/>
      <c r="B30" s="9" t="n"/>
      <c r="C30" s="9" t="n"/>
      <c r="D30" s="9" t="n"/>
      <c r="E30" s="9" t="n"/>
      <c r="F30" s="9" t="n"/>
      <c r="G30" s="9" t="n"/>
    </row>
    <row r="31" ht="14.25" customHeight="1" s="38">
      <c r="A31" s="9" t="n"/>
      <c r="B31" s="9" t="n"/>
      <c r="C31" s="9" t="n"/>
      <c r="D31" s="9" t="n"/>
      <c r="E31" s="9" t="n"/>
      <c r="F31" s="9" t="n"/>
      <c r="G31" s="9" t="n"/>
    </row>
    <row r="32" ht="14.25" customHeight="1" s="38">
      <c r="A32" s="9" t="n"/>
      <c r="B32" s="9" t="n"/>
      <c r="C32" s="9" t="n"/>
      <c r="D32" s="9" t="n"/>
      <c r="E32" s="9" t="n"/>
      <c r="F32" s="9" t="n"/>
      <c r="G32" s="9" t="n"/>
    </row>
    <row r="33" ht="14.25" customHeight="1" s="38">
      <c r="A33" s="9" t="n"/>
      <c r="B33" s="9" t="n"/>
      <c r="C33" s="9" t="n"/>
      <c r="D33" s="9" t="n"/>
      <c r="E33" s="9" t="n"/>
      <c r="F33" s="9" t="n"/>
      <c r="G33" s="9" t="n"/>
    </row>
    <row r="34" ht="14.25" customHeight="1" s="38">
      <c r="A34" s="9" t="n"/>
      <c r="B34" s="9" t="n"/>
      <c r="C34" s="9" t="n"/>
      <c r="D34" s="9" t="n"/>
      <c r="E34" s="9" t="n"/>
      <c r="F34" s="9" t="n"/>
      <c r="G34" s="9" t="n"/>
    </row>
    <row r="35" ht="14.25" customHeight="1" s="38">
      <c r="A35" s="9" t="n"/>
      <c r="B35" s="9" t="n"/>
      <c r="C35" s="9" t="n"/>
      <c r="D35" s="9" t="n"/>
      <c r="E35" s="9" t="n"/>
      <c r="F35" s="9" t="n"/>
      <c r="G35" s="9" t="n"/>
    </row>
    <row r="36" ht="14.25" customHeight="1" s="38">
      <c r="A36" s="9" t="n"/>
      <c r="B36" s="9" t="n"/>
      <c r="C36" s="9" t="n"/>
      <c r="D36" s="9" t="n"/>
      <c r="E36" s="9" t="n"/>
      <c r="F36" s="9" t="n"/>
      <c r="G36" s="9" t="n"/>
    </row>
    <row r="37" ht="14.25" customHeight="1" s="38">
      <c r="A37" s="9" t="n"/>
      <c r="B37" s="9" t="n"/>
      <c r="C37" s="9" t="n"/>
      <c r="D37" s="9" t="n"/>
      <c r="E37" s="9" t="n"/>
      <c r="F37" s="9" t="n"/>
      <c r="G37" s="9" t="n"/>
    </row>
    <row r="38" ht="14.25" customHeight="1" s="38">
      <c r="A38" s="9" t="n"/>
      <c r="B38" s="9" t="n"/>
      <c r="C38" s="9" t="n"/>
      <c r="D38" s="9" t="n"/>
      <c r="E38" s="9" t="n"/>
      <c r="F38" s="9" t="n"/>
      <c r="G38" s="9" t="n"/>
    </row>
    <row r="39" ht="14.25" customHeight="1" s="38">
      <c r="A39" s="9" t="n"/>
      <c r="B39" s="9" t="n"/>
      <c r="C39" s="9" t="n"/>
      <c r="D39" s="9" t="n"/>
      <c r="E39" s="9" t="n"/>
      <c r="F39" s="9" t="n"/>
      <c r="G39" s="9" t="n"/>
    </row>
    <row r="40" ht="14.25" customHeight="1" s="38">
      <c r="A40" s="9" t="n"/>
      <c r="B40" s="9" t="n"/>
      <c r="C40" s="9" t="n"/>
      <c r="D40" s="9" t="n"/>
      <c r="E40" s="9" t="n"/>
      <c r="F40" s="9" t="n"/>
      <c r="G40" s="9" t="n"/>
    </row>
    <row r="41" ht="14.25" customHeight="1" s="38">
      <c r="A41" s="9" t="n"/>
      <c r="B41" s="9" t="n"/>
      <c r="C41" s="9" t="n"/>
      <c r="D41" s="9" t="n"/>
      <c r="E41" s="9" t="n"/>
      <c r="F41" s="9" t="n"/>
      <c r="G41" s="9" t="n"/>
    </row>
    <row r="42" ht="14.25" customHeight="1" s="38">
      <c r="A42" s="9" t="n"/>
      <c r="B42" s="9" t="n"/>
      <c r="C42" s="9" t="n"/>
      <c r="D42" s="9" t="n"/>
      <c r="E42" s="9" t="n"/>
      <c r="F42" s="9" t="n"/>
      <c r="G42" s="9" t="n"/>
    </row>
    <row r="43" ht="14.25" customHeight="1" s="38">
      <c r="A43" s="9" t="n"/>
      <c r="B43" s="9" t="n"/>
      <c r="C43" s="9" t="n"/>
      <c r="D43" s="9" t="n"/>
      <c r="E43" s="9" t="n"/>
      <c r="F43" s="9" t="n"/>
      <c r="G43" s="9" t="n"/>
    </row>
    <row r="44" ht="14.25" customHeight="1" s="38">
      <c r="A44" s="9" t="n"/>
      <c r="B44" s="9" t="n"/>
      <c r="C44" s="9" t="n"/>
      <c r="D44" s="9" t="n"/>
      <c r="E44" s="9" t="n"/>
      <c r="F44" s="9" t="n"/>
      <c r="G44" s="9" t="n"/>
    </row>
    <row r="45" ht="14.25" customHeight="1" s="38">
      <c r="A45" s="9" t="n"/>
      <c r="B45" s="9" t="n"/>
      <c r="C45" s="9" t="n"/>
      <c r="D45" s="9" t="n"/>
      <c r="E45" s="9" t="n"/>
      <c r="F45" s="9" t="n"/>
      <c r="G45" s="9" t="n"/>
    </row>
    <row r="46" ht="14.25" customHeight="1" s="38">
      <c r="A46" s="9" t="n"/>
      <c r="B46" s="9" t="n"/>
      <c r="C46" s="9" t="n"/>
      <c r="D46" s="9" t="n"/>
      <c r="E46" s="9" t="n"/>
      <c r="F46" s="9" t="n"/>
      <c r="G46" s="9" t="n"/>
    </row>
    <row r="47" ht="14.25" customHeight="1" s="38">
      <c r="A47" s="9" t="n"/>
      <c r="B47" s="9" t="n"/>
      <c r="C47" s="9" t="n"/>
      <c r="D47" s="9" t="n"/>
      <c r="E47" s="9" t="n"/>
      <c r="F47" s="9" t="n"/>
      <c r="G47" s="9" t="n"/>
    </row>
    <row r="48" ht="14.25" customHeight="1" s="38">
      <c r="A48" s="9" t="n"/>
      <c r="B48" s="9" t="n"/>
      <c r="C48" s="9" t="n"/>
      <c r="D48" s="9" t="n"/>
      <c r="E48" s="9" t="n"/>
      <c r="F48" s="9" t="n"/>
      <c r="G48" s="9" t="n"/>
    </row>
    <row r="49" ht="14.25" customHeight="1" s="38">
      <c r="A49" s="9" t="n"/>
      <c r="B49" s="9" t="n"/>
      <c r="C49" s="9" t="n"/>
      <c r="D49" s="9" t="n"/>
      <c r="E49" s="9" t="n"/>
      <c r="F49" s="9" t="n"/>
      <c r="G49" s="9" t="n"/>
    </row>
    <row r="50" ht="14.25" customHeight="1" s="38">
      <c r="A50" s="9" t="n"/>
      <c r="B50" s="9" t="n"/>
      <c r="C50" s="9" t="n"/>
      <c r="D50" s="9" t="n"/>
      <c r="E50" s="9" t="n"/>
      <c r="F50" s="9" t="n"/>
      <c r="G50" s="9" t="n"/>
    </row>
    <row r="51" ht="14.25" customHeight="1" s="38">
      <c r="A51" s="9" t="n"/>
      <c r="B51" s="9" t="n"/>
      <c r="C51" s="9" t="n"/>
      <c r="D51" s="9" t="n"/>
      <c r="E51" s="9" t="n"/>
      <c r="F51" s="9" t="n"/>
      <c r="G51" s="9" t="n"/>
    </row>
    <row r="52" ht="14.25" customHeight="1" s="38">
      <c r="A52" s="9" t="n"/>
      <c r="B52" s="9" t="n"/>
      <c r="C52" s="9" t="n"/>
      <c r="D52" s="9" t="n"/>
      <c r="E52" s="9" t="n"/>
      <c r="F52" s="9" t="n"/>
      <c r="G52" s="9" t="n"/>
    </row>
    <row r="53" ht="14.25" customHeight="1" s="38">
      <c r="A53" s="9" t="n"/>
      <c r="B53" s="9" t="n"/>
      <c r="C53" s="9" t="n"/>
      <c r="D53" s="9" t="n"/>
      <c r="E53" s="9" t="n"/>
      <c r="F53" s="9" t="n"/>
      <c r="G53" s="9" t="n"/>
    </row>
    <row r="54" ht="14.25" customHeight="1" s="38">
      <c r="A54" s="9" t="n"/>
      <c r="B54" s="9" t="n"/>
      <c r="C54" s="9" t="n"/>
      <c r="D54" s="9" t="n"/>
      <c r="E54" s="9" t="n"/>
      <c r="F54" s="9" t="n"/>
      <c r="G54" s="9" t="n"/>
    </row>
    <row r="55" ht="14.25" customHeight="1" s="38">
      <c r="A55" s="9" t="n"/>
      <c r="B55" s="9" t="n"/>
      <c r="C55" s="9" t="n"/>
      <c r="D55" s="9" t="n"/>
      <c r="E55" s="9" t="n"/>
      <c r="F55" s="9" t="n"/>
      <c r="G55" s="9" t="n"/>
    </row>
    <row r="56" ht="14.25" customHeight="1" s="38">
      <c r="A56" s="9" t="n"/>
      <c r="B56" s="9" t="n"/>
      <c r="C56" s="9" t="n"/>
      <c r="D56" s="9" t="n"/>
      <c r="E56" s="9" t="n"/>
      <c r="F56" s="9" t="n"/>
      <c r="G56" s="9" t="n"/>
    </row>
    <row r="57" ht="14.25" customHeight="1" s="38">
      <c r="A57" s="9" t="n"/>
      <c r="B57" s="9" t="n"/>
      <c r="C57" s="9" t="n"/>
      <c r="D57" s="9" t="n"/>
      <c r="E57" s="9" t="n"/>
      <c r="F57" s="9" t="n"/>
      <c r="G57" s="9" t="n"/>
    </row>
    <row r="58" ht="14.25" customHeight="1" s="38">
      <c r="A58" s="9" t="n"/>
      <c r="B58" s="9" t="n"/>
      <c r="C58" s="9" t="n"/>
      <c r="D58" s="9" t="n"/>
      <c r="E58" s="9" t="n"/>
      <c r="F58" s="9" t="n"/>
      <c r="G58" s="9" t="n"/>
    </row>
    <row r="59" ht="14.25" customHeight="1" s="38">
      <c r="A59" s="9" t="n"/>
      <c r="B59" s="9" t="n"/>
      <c r="C59" s="9" t="n"/>
      <c r="D59" s="9" t="n"/>
      <c r="E59" s="9" t="n"/>
      <c r="F59" s="9" t="n"/>
      <c r="G59" s="9" t="n"/>
    </row>
    <row r="60" ht="14.25" customHeight="1" s="38">
      <c r="A60" s="9" t="n"/>
      <c r="B60" s="9" t="n"/>
      <c r="C60" s="9" t="n"/>
      <c r="D60" s="9" t="n"/>
      <c r="E60" s="9" t="n"/>
      <c r="F60" s="9" t="n"/>
      <c r="G60" s="9" t="n"/>
    </row>
    <row r="61" ht="14.25" customHeight="1" s="38">
      <c r="A61" s="9" t="n"/>
      <c r="B61" s="9" t="n"/>
      <c r="C61" s="9" t="n"/>
      <c r="D61" s="9" t="n"/>
      <c r="E61" s="9" t="n"/>
      <c r="F61" s="9" t="n"/>
      <c r="G61" s="9" t="n"/>
    </row>
    <row r="62" ht="14.25" customHeight="1" s="38">
      <c r="A62" s="9" t="n"/>
      <c r="B62" s="9" t="n"/>
      <c r="C62" s="9" t="n"/>
      <c r="D62" s="9" t="n"/>
      <c r="E62" s="9" t="n"/>
      <c r="F62" s="9" t="n"/>
      <c r="G62" s="9" t="n"/>
    </row>
    <row r="63" ht="14.25" customHeight="1" s="38">
      <c r="A63" s="9" t="n"/>
      <c r="B63" s="9" t="n"/>
      <c r="C63" s="9" t="n"/>
      <c r="D63" s="9" t="n"/>
      <c r="E63" s="9" t="n"/>
      <c r="F63" s="9" t="n"/>
      <c r="G63" s="9" t="n"/>
    </row>
    <row r="64" ht="14.25" customHeight="1" s="38">
      <c r="A64" s="9" t="n"/>
      <c r="B64" s="9" t="n"/>
      <c r="C64" s="9" t="n"/>
      <c r="D64" s="9" t="n"/>
      <c r="E64" s="9" t="n"/>
      <c r="F64" s="9" t="n"/>
      <c r="G64" s="9" t="n"/>
    </row>
    <row r="65" ht="14.25" customHeight="1" s="38">
      <c r="A65" s="9" t="n"/>
      <c r="B65" s="9" t="n"/>
      <c r="C65" s="9" t="n"/>
      <c r="D65" s="9" t="n"/>
      <c r="E65" s="9" t="n"/>
      <c r="F65" s="9" t="n"/>
      <c r="G65" s="9" t="n"/>
    </row>
    <row r="66" ht="14.25" customHeight="1" s="38">
      <c r="A66" s="9" t="n"/>
      <c r="B66" s="9" t="n"/>
      <c r="C66" s="9" t="n"/>
      <c r="D66" s="9" t="n"/>
      <c r="E66" s="9" t="n"/>
      <c r="F66" s="9" t="n"/>
      <c r="G66" s="9" t="n"/>
    </row>
    <row r="67" ht="14.25" customHeight="1" s="38">
      <c r="A67" s="9" t="n"/>
      <c r="B67" s="9" t="n"/>
      <c r="C67" s="9" t="n"/>
      <c r="D67" s="9" t="n"/>
      <c r="E67" s="9" t="n"/>
      <c r="F67" s="9" t="n"/>
      <c r="G67" s="9" t="n"/>
    </row>
    <row r="68" ht="14.25" customHeight="1" s="38">
      <c r="A68" s="9" t="n"/>
      <c r="B68" s="9" t="n"/>
      <c r="C68" s="9" t="n"/>
      <c r="D68" s="9" t="n"/>
      <c r="E68" s="9" t="n"/>
      <c r="F68" s="9" t="n"/>
      <c r="G68" s="9" t="n"/>
    </row>
    <row r="69" ht="14.25" customHeight="1" s="38">
      <c r="A69" s="9" t="n"/>
      <c r="B69" s="9" t="n"/>
      <c r="C69" s="9" t="n"/>
      <c r="D69" s="9" t="n"/>
      <c r="E69" s="9" t="n"/>
      <c r="F69" s="9" t="n"/>
      <c r="G69" s="9" t="n"/>
    </row>
    <row r="70" ht="14.25" customHeight="1" s="38">
      <c r="A70" s="9" t="n"/>
      <c r="B70" s="9" t="n"/>
      <c r="C70" s="9" t="n"/>
      <c r="D70" s="9" t="n"/>
      <c r="E70" s="9" t="n"/>
      <c r="F70" s="9" t="n"/>
      <c r="G70" s="9" t="n"/>
    </row>
    <row r="71" ht="14.25" customHeight="1" s="38">
      <c r="A71" s="9" t="n"/>
      <c r="B71" s="9" t="n"/>
      <c r="C71" s="9" t="n"/>
      <c r="D71" s="9" t="n"/>
      <c r="E71" s="9" t="n"/>
      <c r="F71" s="9" t="n"/>
      <c r="G71" s="9" t="n"/>
    </row>
    <row r="72" ht="14.25" customHeight="1" s="38">
      <c r="A72" s="9" t="n"/>
      <c r="B72" s="9" t="n"/>
      <c r="C72" s="9" t="n"/>
      <c r="D72" s="9" t="n"/>
      <c r="E72" s="9" t="n"/>
      <c r="F72" s="9" t="n"/>
      <c r="G72" s="9" t="n"/>
    </row>
    <row r="73" ht="14.25" customHeight="1" s="38">
      <c r="A73" s="9" t="n"/>
      <c r="B73" s="9" t="n"/>
      <c r="C73" s="9" t="n"/>
      <c r="D73" s="9" t="n"/>
      <c r="E73" s="9" t="n"/>
      <c r="F73" s="9" t="n"/>
      <c r="G73" s="9" t="n"/>
    </row>
    <row r="74" ht="14.25" customHeight="1" s="38">
      <c r="A74" s="9" t="n"/>
      <c r="B74" s="9" t="n"/>
      <c r="C74" s="9" t="n"/>
      <c r="D74" s="9" t="n"/>
      <c r="E74" s="9" t="n"/>
      <c r="F74" s="9" t="n"/>
      <c r="G74" s="9" t="n"/>
    </row>
    <row r="75" ht="14.25" customHeight="1" s="38">
      <c r="A75" s="9" t="n"/>
      <c r="B75" s="9" t="n"/>
      <c r="C75" s="9" t="n"/>
      <c r="D75" s="9" t="n"/>
      <c r="E75" s="9" t="n"/>
      <c r="F75" s="9" t="n"/>
      <c r="G75" s="9" t="n"/>
    </row>
    <row r="76" ht="14.25" customHeight="1" s="38">
      <c r="A76" s="9" t="n"/>
      <c r="B76" s="9" t="n"/>
      <c r="C76" s="9" t="n"/>
      <c r="D76" s="9" t="n"/>
      <c r="E76" s="9" t="n"/>
      <c r="F76" s="9" t="n"/>
      <c r="G76" s="9" t="n"/>
    </row>
    <row r="77" ht="14.25" customHeight="1" s="38">
      <c r="A77" s="9" t="n"/>
      <c r="B77" s="9" t="n"/>
      <c r="C77" s="9" t="n"/>
      <c r="D77" s="9" t="n"/>
      <c r="E77" s="9" t="n"/>
      <c r="F77" s="9" t="n"/>
      <c r="G77" s="9" t="n"/>
    </row>
    <row r="78" ht="14.25" customHeight="1" s="38">
      <c r="A78" s="9" t="n"/>
      <c r="B78" s="9" t="n"/>
      <c r="C78" s="9" t="n"/>
      <c r="D78" s="9" t="n"/>
      <c r="E78" s="9" t="n"/>
      <c r="F78" s="9" t="n"/>
      <c r="G78" s="9" t="n"/>
    </row>
    <row r="79" ht="14.25" customHeight="1" s="38">
      <c r="A79" s="9" t="n"/>
      <c r="B79" s="9" t="n"/>
      <c r="C79" s="9" t="n"/>
      <c r="D79" s="9" t="n"/>
      <c r="E79" s="9" t="n"/>
      <c r="F79" s="9" t="n"/>
      <c r="G79" s="9" t="n"/>
    </row>
    <row r="80" ht="14.25" customHeight="1" s="38">
      <c r="A80" s="9" t="n"/>
      <c r="B80" s="9" t="n"/>
      <c r="C80" s="9" t="n"/>
      <c r="D80" s="9" t="n"/>
      <c r="E80" s="9" t="n"/>
      <c r="F80" s="9" t="n"/>
      <c r="G80" s="9" t="n"/>
    </row>
    <row r="81" ht="14.25" customHeight="1" s="38">
      <c r="A81" s="9" t="n"/>
      <c r="B81" s="9" t="n"/>
      <c r="C81" s="9" t="n"/>
      <c r="D81" s="9" t="n"/>
      <c r="E81" s="9" t="n"/>
      <c r="F81" s="9" t="n"/>
      <c r="G81" s="9" t="n"/>
    </row>
    <row r="82" ht="14.25" customHeight="1" s="38">
      <c r="A82" s="9" t="n"/>
      <c r="B82" s="9" t="n"/>
      <c r="C82" s="9" t="n"/>
      <c r="D82" s="9" t="n"/>
      <c r="E82" s="9" t="n"/>
      <c r="F82" s="9" t="n"/>
      <c r="G82" s="9" t="n"/>
    </row>
    <row r="83" ht="14.25" customHeight="1" s="38">
      <c r="A83" s="9" t="n"/>
      <c r="B83" s="9" t="n"/>
      <c r="C83" s="9" t="n"/>
      <c r="D83" s="9" t="n"/>
      <c r="E83" s="9" t="n"/>
      <c r="F83" s="9" t="n"/>
      <c r="G83" s="9" t="n"/>
    </row>
    <row r="84" ht="14.25" customHeight="1" s="38">
      <c r="A84" s="9" t="n"/>
      <c r="B84" s="9" t="n"/>
      <c r="C84" s="9" t="n"/>
      <c r="D84" s="9" t="n"/>
      <c r="E84" s="9" t="n"/>
      <c r="F84" s="9" t="n"/>
      <c r="G84" s="9" t="n"/>
    </row>
    <row r="85" ht="14.25" customHeight="1" s="38">
      <c r="A85" s="9" t="n"/>
      <c r="B85" s="9" t="n"/>
      <c r="C85" s="9" t="n"/>
      <c r="D85" s="9" t="n"/>
      <c r="E85" s="9" t="n"/>
      <c r="F85" s="9" t="n"/>
      <c r="G85" s="9" t="n"/>
    </row>
    <row r="86" ht="14.25" customHeight="1" s="38">
      <c r="A86" s="9" t="n"/>
      <c r="B86" s="9" t="n"/>
      <c r="C86" s="9" t="n"/>
      <c r="D86" s="9" t="n"/>
      <c r="E86" s="9" t="n"/>
      <c r="F86" s="9" t="n"/>
      <c r="G86" s="9" t="n"/>
    </row>
    <row r="87" ht="14.25" customHeight="1" s="38">
      <c r="A87" s="9" t="n"/>
      <c r="B87" s="9" t="n"/>
      <c r="C87" s="9" t="n"/>
      <c r="D87" s="9" t="n"/>
      <c r="E87" s="9" t="n"/>
      <c r="F87" s="9" t="n"/>
      <c r="G87" s="9" t="n"/>
    </row>
    <row r="88" ht="14.25" customHeight="1" s="38">
      <c r="A88" s="9" t="n"/>
      <c r="B88" s="9" t="n"/>
      <c r="C88" s="9" t="n"/>
      <c r="D88" s="9" t="n"/>
      <c r="E88" s="9" t="n"/>
      <c r="F88" s="9" t="n"/>
      <c r="G88" s="9" t="n"/>
    </row>
    <row r="89" ht="14.25" customHeight="1" s="38">
      <c r="A89" s="9" t="n"/>
      <c r="B89" s="9" t="n"/>
      <c r="C89" s="9" t="n"/>
      <c r="D89" s="9" t="n"/>
      <c r="E89" s="9" t="n"/>
      <c r="F89" s="9" t="n"/>
      <c r="G89" s="9" t="n"/>
    </row>
    <row r="90" ht="14.25" customHeight="1" s="38">
      <c r="A90" s="9" t="n"/>
      <c r="B90" s="9" t="n"/>
      <c r="C90" s="9" t="n"/>
      <c r="D90" s="9" t="n"/>
      <c r="E90" s="9" t="n"/>
      <c r="F90" s="9" t="n"/>
      <c r="G90" s="9" t="n"/>
    </row>
    <row r="91" ht="14.25" customHeight="1" s="38">
      <c r="A91" s="9" t="n"/>
      <c r="B91" s="9" t="n"/>
      <c r="C91" s="9" t="n"/>
      <c r="D91" s="9" t="n"/>
      <c r="E91" s="9" t="n"/>
      <c r="F91" s="9" t="n"/>
      <c r="G91" s="9" t="n"/>
    </row>
    <row r="92" ht="14.25" customHeight="1" s="38">
      <c r="A92" s="9" t="n"/>
      <c r="B92" s="9" t="n"/>
      <c r="C92" s="9" t="n"/>
      <c r="D92" s="9" t="n"/>
      <c r="E92" s="9" t="n"/>
      <c r="F92" s="9" t="n"/>
      <c r="G92" s="9" t="n"/>
    </row>
    <row r="93" ht="14.25" customHeight="1" s="38">
      <c r="A93" s="9" t="n"/>
      <c r="B93" s="9" t="n"/>
      <c r="C93" s="9" t="n"/>
      <c r="D93" s="9" t="n"/>
      <c r="E93" s="9" t="n"/>
      <c r="F93" s="9" t="n"/>
      <c r="G93" s="9" t="n"/>
    </row>
    <row r="94" ht="14.25" customHeight="1" s="38">
      <c r="A94" s="9" t="n"/>
      <c r="B94" s="9" t="n"/>
      <c r="C94" s="9" t="n"/>
      <c r="D94" s="9" t="n"/>
      <c r="E94" s="9" t="n"/>
      <c r="F94" s="9" t="n"/>
      <c r="G94" s="9" t="n"/>
    </row>
    <row r="95" ht="14.25" customHeight="1" s="38">
      <c r="A95" s="9" t="n"/>
      <c r="B95" s="9" t="n"/>
      <c r="C95" s="9" t="n"/>
      <c r="D95" s="9" t="n"/>
      <c r="E95" s="9" t="n"/>
      <c r="F95" s="9" t="n"/>
      <c r="G95" s="9" t="n"/>
    </row>
    <row r="96" ht="14.25" customHeight="1" s="38">
      <c r="A96" s="9" t="n"/>
      <c r="B96" s="9" t="n"/>
      <c r="C96" s="9" t="n"/>
      <c r="D96" s="9" t="n"/>
      <c r="E96" s="9" t="n"/>
      <c r="F96" s="9" t="n"/>
      <c r="G96" s="9" t="n"/>
    </row>
    <row r="97" ht="14.25" customHeight="1" s="38">
      <c r="A97" s="9" t="n"/>
      <c r="B97" s="9" t="n"/>
      <c r="C97" s="9" t="n"/>
      <c r="D97" s="9" t="n"/>
      <c r="E97" s="9" t="n"/>
      <c r="F97" s="9" t="n"/>
      <c r="G97" s="9" t="n"/>
    </row>
    <row r="98" ht="14.25" customHeight="1" s="38">
      <c r="A98" s="9" t="n"/>
      <c r="B98" s="9" t="n"/>
      <c r="C98" s="9" t="n"/>
      <c r="D98" s="9" t="n"/>
      <c r="E98" s="9" t="n"/>
      <c r="F98" s="9" t="n"/>
      <c r="G98" s="9" t="n"/>
    </row>
    <row r="99" ht="14.25" customHeight="1" s="38">
      <c r="A99" s="9" t="n"/>
      <c r="B99" s="9" t="n"/>
      <c r="C99" s="9" t="n"/>
      <c r="D99" s="9" t="n"/>
      <c r="E99" s="9" t="n"/>
      <c r="F99" s="9" t="n"/>
      <c r="G99" s="9" t="n"/>
    </row>
    <row r="100" ht="14.25" customHeight="1" s="38">
      <c r="A100" s="9" t="n"/>
      <c r="B100" s="9" t="n"/>
      <c r="C100" s="9" t="n"/>
      <c r="D100" s="9" t="n"/>
      <c r="E100" s="9" t="n"/>
      <c r="F100" s="9" t="n"/>
      <c r="G100" s="9" t="n"/>
    </row>
    <row r="101" ht="14.25" customHeight="1" s="38">
      <c r="A101" s="9" t="n"/>
      <c r="B101" s="9" t="n"/>
      <c r="C101" s="9" t="n"/>
      <c r="D101" s="9" t="n"/>
      <c r="E101" s="9" t="n"/>
      <c r="F101" s="9" t="n"/>
      <c r="G101" s="9" t="n"/>
    </row>
    <row r="102" ht="14.25" customHeight="1" s="38">
      <c r="A102" s="9" t="n"/>
      <c r="B102" s="9" t="n"/>
      <c r="C102" s="9" t="n"/>
      <c r="D102" s="9" t="n"/>
      <c r="E102" s="9" t="n"/>
      <c r="F102" s="9" t="n"/>
      <c r="G102" s="9" t="n"/>
    </row>
    <row r="103" ht="14.25" customHeight="1" s="38">
      <c r="A103" s="9" t="n"/>
      <c r="B103" s="9" t="n"/>
      <c r="C103" s="9" t="n"/>
      <c r="D103" s="9" t="n"/>
      <c r="E103" s="9" t="n"/>
      <c r="F103" s="9" t="n"/>
      <c r="G103" s="9" t="n"/>
    </row>
    <row r="104" ht="14.25" customHeight="1" s="38">
      <c r="A104" s="9" t="n"/>
      <c r="B104" s="9" t="n"/>
      <c r="C104" s="9" t="n"/>
      <c r="D104" s="9" t="n"/>
      <c r="E104" s="9" t="n"/>
      <c r="F104" s="9" t="n"/>
      <c r="G104" s="9" t="n"/>
    </row>
    <row r="105" ht="14.25" customHeight="1" s="38">
      <c r="A105" s="9" t="n"/>
      <c r="B105" s="9" t="n"/>
      <c r="C105" s="9" t="n"/>
      <c r="D105" s="9" t="n"/>
      <c r="E105" s="9" t="n"/>
      <c r="F105" s="9" t="n"/>
      <c r="G105" s="9" t="n"/>
    </row>
    <row r="106" ht="14.25" customHeight="1" s="38">
      <c r="A106" s="9" t="n"/>
      <c r="B106" s="9" t="n"/>
      <c r="C106" s="9" t="n"/>
      <c r="D106" s="9" t="n"/>
      <c r="E106" s="9" t="n"/>
      <c r="F106" s="9" t="n"/>
      <c r="G106" s="9" t="n"/>
    </row>
    <row r="107" ht="14.25" customHeight="1" s="38">
      <c r="A107" s="9" t="n"/>
      <c r="B107" s="9" t="n"/>
      <c r="C107" s="9" t="n"/>
      <c r="D107" s="9" t="n"/>
      <c r="E107" s="9" t="n"/>
      <c r="F107" s="9" t="n"/>
      <c r="G107" s="9" t="n"/>
    </row>
    <row r="108" ht="14.25" customHeight="1" s="38">
      <c r="A108" s="9" t="n"/>
      <c r="B108" s="9" t="n"/>
      <c r="C108" s="9" t="n"/>
      <c r="D108" s="9" t="n"/>
      <c r="E108" s="9" t="n"/>
      <c r="F108" s="9" t="n"/>
      <c r="G108" s="9" t="n"/>
    </row>
    <row r="109" ht="14.25" customHeight="1" s="38">
      <c r="A109" s="9" t="n"/>
      <c r="B109" s="9" t="n"/>
      <c r="C109" s="9" t="n"/>
      <c r="D109" s="9" t="n"/>
      <c r="E109" s="9" t="n"/>
      <c r="F109" s="9" t="n"/>
      <c r="G109" s="9" t="n"/>
    </row>
    <row r="110" ht="14.25" customHeight="1" s="38">
      <c r="A110" s="9" t="n"/>
      <c r="B110" s="9" t="n"/>
      <c r="C110" s="9" t="n"/>
      <c r="D110" s="9" t="n"/>
      <c r="E110" s="9" t="n"/>
      <c r="F110" s="9" t="n"/>
      <c r="G110" s="9" t="n"/>
    </row>
    <row r="111" ht="14.25" customHeight="1" s="38">
      <c r="A111" s="9" t="n"/>
      <c r="B111" s="9" t="n"/>
      <c r="C111" s="9" t="n"/>
      <c r="D111" s="9" t="n"/>
      <c r="E111" s="9" t="n"/>
      <c r="F111" s="9" t="n"/>
      <c r="G111" s="9" t="n"/>
    </row>
    <row r="112" ht="14.25" customHeight="1" s="38">
      <c r="A112" s="9" t="n"/>
      <c r="B112" s="9" t="n"/>
      <c r="C112" s="9" t="n"/>
      <c r="D112" s="9" t="n"/>
      <c r="E112" s="9" t="n"/>
      <c r="F112" s="9" t="n"/>
      <c r="G112" s="9" t="n"/>
    </row>
    <row r="113" ht="14.25" customHeight="1" s="38">
      <c r="A113" s="9" t="n"/>
      <c r="B113" s="9" t="n"/>
      <c r="C113" s="9" t="n"/>
      <c r="D113" s="9" t="n"/>
      <c r="E113" s="9" t="n"/>
      <c r="F113" s="9" t="n"/>
      <c r="G113" s="9" t="n"/>
    </row>
    <row r="114" ht="14.25" customHeight="1" s="38">
      <c r="A114" s="9" t="n"/>
      <c r="B114" s="9" t="n"/>
      <c r="C114" s="9" t="n"/>
      <c r="D114" s="9" t="n"/>
      <c r="E114" s="9" t="n"/>
      <c r="F114" s="9" t="n"/>
      <c r="G114" s="9" t="n"/>
    </row>
    <row r="115" ht="14.25" customHeight="1" s="38">
      <c r="A115" s="9" t="n"/>
      <c r="B115" s="9" t="n"/>
      <c r="C115" s="9" t="n"/>
      <c r="D115" s="9" t="n"/>
      <c r="E115" s="9" t="n"/>
      <c r="F115" s="9" t="n"/>
      <c r="G115" s="9" t="n"/>
    </row>
    <row r="116" ht="14.25" customHeight="1" s="38">
      <c r="A116" s="9" t="n"/>
      <c r="B116" s="9" t="n"/>
      <c r="C116" s="9" t="n"/>
      <c r="D116" s="9" t="n"/>
      <c r="E116" s="9" t="n"/>
      <c r="F116" s="9" t="n"/>
      <c r="G116" s="9" t="n"/>
    </row>
    <row r="117" ht="14.25" customHeight="1" s="38">
      <c r="A117" s="9" t="n"/>
      <c r="B117" s="9" t="n"/>
      <c r="C117" s="9" t="n"/>
      <c r="D117" s="9" t="n"/>
      <c r="E117" s="9" t="n"/>
      <c r="F117" s="9" t="n"/>
      <c r="G117" s="9" t="n"/>
    </row>
    <row r="118" ht="14.25" customHeight="1" s="38">
      <c r="A118" s="9" t="n"/>
      <c r="B118" s="9" t="n"/>
      <c r="C118" s="9" t="n"/>
      <c r="D118" s="9" t="n"/>
      <c r="E118" s="9" t="n"/>
      <c r="F118" s="9" t="n"/>
      <c r="G118" s="9" t="n"/>
    </row>
    <row r="119" ht="14.25" customHeight="1" s="38">
      <c r="A119" s="9" t="n"/>
      <c r="B119" s="9" t="n"/>
      <c r="C119" s="9" t="n"/>
      <c r="D119" s="9" t="n"/>
      <c r="E119" s="9" t="n"/>
      <c r="F119" s="9" t="n"/>
      <c r="G119" s="9" t="n"/>
    </row>
    <row r="120" ht="14.25" customHeight="1" s="38">
      <c r="A120" s="9" t="n"/>
      <c r="B120" s="9" t="n"/>
      <c r="C120" s="9" t="n"/>
      <c r="D120" s="9" t="n"/>
      <c r="E120" s="9" t="n"/>
      <c r="F120" s="9" t="n"/>
      <c r="G120" s="9" t="n"/>
    </row>
    <row r="121" ht="14.25" customHeight="1" s="38">
      <c r="A121" s="9" t="n"/>
      <c r="B121" s="9" t="n"/>
      <c r="C121" s="9" t="n"/>
      <c r="D121" s="9" t="n"/>
      <c r="E121" s="9" t="n"/>
      <c r="F121" s="9" t="n"/>
      <c r="G121" s="9" t="n"/>
    </row>
    <row r="122" ht="14.25" customHeight="1" s="38">
      <c r="A122" s="9" t="n"/>
      <c r="B122" s="9" t="n"/>
      <c r="C122" s="9" t="n"/>
      <c r="D122" s="9" t="n"/>
      <c r="E122" s="9" t="n"/>
      <c r="F122" s="9" t="n"/>
      <c r="G122" s="9" t="n"/>
    </row>
    <row r="123" ht="14.25" customHeight="1" s="38">
      <c r="A123" s="9" t="n"/>
      <c r="B123" s="9" t="n"/>
      <c r="C123" s="9" t="n"/>
      <c r="D123" s="9" t="n"/>
      <c r="E123" s="9" t="n"/>
      <c r="F123" s="9" t="n"/>
      <c r="G123" s="9" t="n"/>
    </row>
    <row r="124" ht="14.25" customHeight="1" s="38">
      <c r="A124" s="9" t="n"/>
      <c r="B124" s="9" t="n"/>
      <c r="C124" s="9" t="n"/>
      <c r="D124" s="9" t="n"/>
      <c r="E124" s="9" t="n"/>
      <c r="F124" s="9" t="n"/>
      <c r="G124" s="9" t="n"/>
    </row>
    <row r="125" ht="14.25" customHeight="1" s="38">
      <c r="A125" s="9" t="n"/>
      <c r="B125" s="9" t="n"/>
      <c r="C125" s="9" t="n"/>
      <c r="D125" s="9" t="n"/>
      <c r="E125" s="9" t="n"/>
      <c r="F125" s="9" t="n"/>
      <c r="G125" s="9" t="n"/>
    </row>
    <row r="126" ht="14.25" customHeight="1" s="38">
      <c r="A126" s="9" t="n"/>
      <c r="B126" s="9" t="n"/>
      <c r="C126" s="9" t="n"/>
      <c r="D126" s="9" t="n"/>
      <c r="E126" s="9" t="n"/>
      <c r="F126" s="9" t="n"/>
      <c r="G126" s="9" t="n"/>
    </row>
    <row r="127" ht="14.25" customHeight="1" s="38">
      <c r="A127" s="9" t="n"/>
      <c r="B127" s="9" t="n"/>
      <c r="C127" s="9" t="n"/>
      <c r="D127" s="9" t="n"/>
      <c r="E127" s="9" t="n"/>
      <c r="F127" s="9" t="n"/>
      <c r="G127" s="9" t="n"/>
    </row>
    <row r="128" ht="14.25" customHeight="1" s="38">
      <c r="A128" s="9" t="n"/>
      <c r="B128" s="9" t="n"/>
      <c r="C128" s="9" t="n"/>
      <c r="D128" s="9" t="n"/>
      <c r="E128" s="9" t="n"/>
      <c r="F128" s="9" t="n"/>
      <c r="G128" s="9" t="n"/>
    </row>
    <row r="129" ht="14.25" customHeight="1" s="38">
      <c r="A129" s="9" t="n"/>
      <c r="B129" s="9" t="n"/>
      <c r="C129" s="9" t="n"/>
      <c r="D129" s="9" t="n"/>
      <c r="E129" s="9" t="n"/>
      <c r="F129" s="9" t="n"/>
      <c r="G129" s="9" t="n"/>
    </row>
    <row r="130" ht="14.25" customHeight="1" s="38">
      <c r="A130" s="9" t="n"/>
      <c r="B130" s="9" t="n"/>
      <c r="C130" s="9" t="n"/>
      <c r="D130" s="9" t="n"/>
      <c r="E130" s="9" t="n"/>
      <c r="F130" s="9" t="n"/>
      <c r="G130" s="9" t="n"/>
    </row>
    <row r="131" ht="14.25" customHeight="1" s="38">
      <c r="A131" s="9" t="n"/>
      <c r="B131" s="9" t="n"/>
      <c r="C131" s="9" t="n"/>
      <c r="D131" s="9" t="n"/>
      <c r="E131" s="9" t="n"/>
      <c r="F131" s="9" t="n"/>
      <c r="G131" s="9" t="n"/>
    </row>
    <row r="132" ht="14.25" customHeight="1" s="38">
      <c r="A132" s="9" t="n"/>
      <c r="B132" s="9" t="n"/>
      <c r="C132" s="9" t="n"/>
      <c r="D132" s="9" t="n"/>
      <c r="E132" s="9" t="n"/>
      <c r="F132" s="9" t="n"/>
      <c r="G132" s="9" t="n"/>
    </row>
    <row r="133" ht="14.25" customHeight="1" s="38">
      <c r="A133" s="9" t="n"/>
      <c r="B133" s="9" t="n"/>
      <c r="C133" s="9" t="n"/>
      <c r="D133" s="9" t="n"/>
      <c r="E133" s="9" t="n"/>
      <c r="F133" s="9" t="n"/>
      <c r="G133" s="9" t="n"/>
    </row>
    <row r="134" ht="14.25" customHeight="1" s="38">
      <c r="A134" s="9" t="n"/>
      <c r="B134" s="9" t="n"/>
      <c r="C134" s="9" t="n"/>
      <c r="D134" s="9" t="n"/>
      <c r="E134" s="9" t="n"/>
      <c r="F134" s="9" t="n"/>
      <c r="G134" s="9" t="n"/>
    </row>
    <row r="135" ht="14.25" customHeight="1" s="38">
      <c r="A135" s="9" t="n"/>
      <c r="B135" s="9" t="n"/>
      <c r="C135" s="9" t="n"/>
      <c r="D135" s="9" t="n"/>
      <c r="E135" s="9" t="n"/>
      <c r="F135" s="9" t="n"/>
      <c r="G135" s="9" t="n"/>
    </row>
    <row r="136" ht="14.25" customHeight="1" s="38">
      <c r="A136" s="9" t="n"/>
      <c r="B136" s="9" t="n"/>
      <c r="C136" s="9" t="n"/>
      <c r="D136" s="9" t="n"/>
      <c r="E136" s="9" t="n"/>
      <c r="F136" s="9" t="n"/>
      <c r="G136" s="9" t="n"/>
    </row>
    <row r="137" ht="14.25" customHeight="1" s="38">
      <c r="A137" s="9" t="n"/>
      <c r="B137" s="9" t="n"/>
      <c r="C137" s="9" t="n"/>
      <c r="D137" s="9" t="n"/>
      <c r="E137" s="9" t="n"/>
      <c r="F137" s="9" t="n"/>
      <c r="G137" s="9" t="n"/>
    </row>
    <row r="138" ht="14.25" customHeight="1" s="38">
      <c r="A138" s="9" t="n"/>
      <c r="B138" s="9" t="n"/>
      <c r="C138" s="9" t="n"/>
      <c r="D138" s="9" t="n"/>
      <c r="E138" s="9" t="n"/>
      <c r="F138" s="9" t="n"/>
      <c r="G138" s="9" t="n"/>
    </row>
    <row r="139" ht="14.25" customHeight="1" s="38">
      <c r="A139" s="9" t="n"/>
      <c r="B139" s="9" t="n"/>
      <c r="C139" s="9" t="n"/>
      <c r="D139" s="9" t="n"/>
      <c r="E139" s="9" t="n"/>
      <c r="F139" s="9" t="n"/>
      <c r="G139" s="9" t="n"/>
    </row>
    <row r="140" ht="14.25" customHeight="1" s="38">
      <c r="A140" s="9" t="n"/>
      <c r="B140" s="9" t="n"/>
      <c r="C140" s="9" t="n"/>
      <c r="D140" s="9" t="n"/>
      <c r="E140" s="9" t="n"/>
      <c r="F140" s="9" t="n"/>
      <c r="G140" s="9" t="n"/>
    </row>
    <row r="141" ht="14.25" customHeight="1" s="38">
      <c r="A141" s="9" t="n"/>
      <c r="B141" s="9" t="n"/>
      <c r="C141" s="9" t="n"/>
      <c r="D141" s="9" t="n"/>
      <c r="E141" s="9" t="n"/>
      <c r="F141" s="9" t="n"/>
      <c r="G141" s="9" t="n"/>
    </row>
    <row r="142" ht="14.25" customHeight="1" s="38">
      <c r="A142" s="9" t="n"/>
      <c r="B142" s="9" t="n"/>
      <c r="C142" s="9" t="n"/>
      <c r="D142" s="9" t="n"/>
      <c r="E142" s="9" t="n"/>
      <c r="F142" s="9" t="n"/>
      <c r="G142" s="9" t="n"/>
    </row>
    <row r="143" ht="14.25" customHeight="1" s="38">
      <c r="A143" s="9" t="n"/>
      <c r="B143" s="9" t="n"/>
      <c r="C143" s="9" t="n"/>
      <c r="D143" s="9" t="n"/>
      <c r="E143" s="9" t="n"/>
      <c r="F143" s="9" t="n"/>
      <c r="G143" s="9" t="n"/>
    </row>
    <row r="144" ht="14.25" customHeight="1" s="38">
      <c r="A144" s="9" t="n"/>
      <c r="B144" s="9" t="n"/>
      <c r="C144" s="9" t="n"/>
      <c r="D144" s="9" t="n"/>
      <c r="E144" s="9" t="n"/>
      <c r="F144" s="9" t="n"/>
      <c r="G144" s="9" t="n"/>
    </row>
    <row r="145" ht="14.25" customHeight="1" s="38">
      <c r="A145" s="9" t="n"/>
      <c r="B145" s="9" t="n"/>
      <c r="C145" s="9" t="n"/>
      <c r="D145" s="9" t="n"/>
      <c r="E145" s="9" t="n"/>
      <c r="F145" s="9" t="n"/>
      <c r="G145" s="9" t="n"/>
    </row>
    <row r="146" ht="14.25" customHeight="1" s="38">
      <c r="A146" s="9" t="n"/>
      <c r="B146" s="9" t="n"/>
      <c r="C146" s="9" t="n"/>
      <c r="D146" s="9" t="n"/>
      <c r="E146" s="9" t="n"/>
      <c r="F146" s="9" t="n"/>
      <c r="G146" s="9" t="n"/>
    </row>
    <row r="147" ht="14.25" customHeight="1" s="38">
      <c r="A147" s="9" t="n"/>
      <c r="B147" s="9" t="n"/>
      <c r="C147" s="9" t="n"/>
      <c r="D147" s="9" t="n"/>
      <c r="E147" s="9" t="n"/>
      <c r="F147" s="9" t="n"/>
      <c r="G147" s="9" t="n"/>
    </row>
    <row r="148" ht="14.25" customHeight="1" s="38">
      <c r="A148" s="9" t="n"/>
      <c r="B148" s="9" t="n"/>
      <c r="C148" s="9" t="n"/>
      <c r="D148" s="9" t="n"/>
      <c r="E148" s="9" t="n"/>
      <c r="F148" s="9" t="n"/>
      <c r="G148" s="9" t="n"/>
    </row>
    <row r="149" ht="14.25" customHeight="1" s="38">
      <c r="A149" s="9" t="n"/>
      <c r="B149" s="9" t="n"/>
      <c r="C149" s="9" t="n"/>
      <c r="D149" s="9" t="n"/>
      <c r="E149" s="9" t="n"/>
      <c r="F149" s="9" t="n"/>
      <c r="G149" s="9" t="n"/>
    </row>
    <row r="150" ht="14.25" customHeight="1" s="38">
      <c r="A150" s="9" t="n"/>
      <c r="B150" s="9" t="n"/>
      <c r="C150" s="9" t="n"/>
      <c r="D150" s="9" t="n"/>
      <c r="E150" s="9" t="n"/>
      <c r="F150" s="9" t="n"/>
      <c r="G150" s="9" t="n"/>
    </row>
    <row r="151" ht="14.25" customHeight="1" s="38">
      <c r="A151" s="9" t="n"/>
      <c r="B151" s="9" t="n"/>
      <c r="C151" s="9" t="n"/>
      <c r="D151" s="9" t="n"/>
      <c r="E151" s="9" t="n"/>
      <c r="F151" s="9" t="n"/>
      <c r="G151" s="9" t="n"/>
    </row>
    <row r="152" ht="14.25" customHeight="1" s="38">
      <c r="A152" s="9" t="n"/>
      <c r="B152" s="9" t="n"/>
      <c r="C152" s="9" t="n"/>
      <c r="D152" s="9" t="n"/>
      <c r="E152" s="9" t="n"/>
      <c r="F152" s="9" t="n"/>
      <c r="G152" s="9" t="n"/>
    </row>
    <row r="153" ht="14.25" customHeight="1" s="38">
      <c r="A153" s="9" t="n"/>
      <c r="B153" s="9" t="n"/>
      <c r="C153" s="9" t="n"/>
      <c r="D153" s="9" t="n"/>
      <c r="E153" s="9" t="n"/>
      <c r="F153" s="9" t="n"/>
      <c r="G153" s="9" t="n"/>
    </row>
    <row r="154" ht="14.25" customHeight="1" s="38">
      <c r="A154" s="9" t="n"/>
      <c r="B154" s="9" t="n"/>
      <c r="C154" s="9" t="n"/>
      <c r="D154" s="9" t="n"/>
      <c r="E154" s="9" t="n"/>
      <c r="F154" s="9" t="n"/>
      <c r="G154" s="9" t="n"/>
    </row>
    <row r="155" ht="14.25" customHeight="1" s="38">
      <c r="A155" s="9" t="n"/>
      <c r="B155" s="9" t="n"/>
      <c r="C155" s="9" t="n"/>
      <c r="D155" s="9" t="n"/>
      <c r="E155" s="9" t="n"/>
      <c r="F155" s="9" t="n"/>
      <c r="G155" s="9" t="n"/>
    </row>
    <row r="156" ht="14.25" customHeight="1" s="38">
      <c r="A156" s="9" t="n"/>
      <c r="B156" s="9" t="n"/>
      <c r="C156" s="9" t="n"/>
      <c r="D156" s="9" t="n"/>
      <c r="E156" s="9" t="n"/>
      <c r="F156" s="9" t="n"/>
      <c r="G156" s="9" t="n"/>
    </row>
    <row r="157" ht="14.25" customHeight="1" s="38">
      <c r="A157" s="9" t="n"/>
      <c r="B157" s="9" t="n"/>
      <c r="C157" s="9" t="n"/>
      <c r="D157" s="9" t="n"/>
      <c r="E157" s="9" t="n"/>
      <c r="F157" s="9" t="n"/>
      <c r="G157" s="9" t="n"/>
    </row>
    <row r="158" ht="14.25" customHeight="1" s="38">
      <c r="A158" s="9" t="n"/>
      <c r="B158" s="9" t="n"/>
      <c r="C158" s="9" t="n"/>
      <c r="D158" s="9" t="n"/>
      <c r="E158" s="9" t="n"/>
      <c r="F158" s="9" t="n"/>
      <c r="G158" s="9" t="n"/>
    </row>
    <row r="159" ht="14.25" customHeight="1" s="38">
      <c r="A159" s="9" t="n"/>
      <c r="B159" s="9" t="n"/>
      <c r="C159" s="9" t="n"/>
      <c r="D159" s="9" t="n"/>
      <c r="E159" s="9" t="n"/>
      <c r="F159" s="9" t="n"/>
      <c r="G159" s="9" t="n"/>
    </row>
    <row r="160" ht="14.25" customHeight="1" s="38">
      <c r="A160" s="9" t="n"/>
      <c r="B160" s="9" t="n"/>
      <c r="C160" s="9" t="n"/>
      <c r="D160" s="9" t="n"/>
      <c r="E160" s="9" t="n"/>
      <c r="F160" s="9" t="n"/>
      <c r="G160" s="9" t="n"/>
    </row>
    <row r="161" ht="14.25" customHeight="1" s="38">
      <c r="A161" s="9" t="n"/>
      <c r="B161" s="9" t="n"/>
      <c r="C161" s="9" t="n"/>
      <c r="D161" s="9" t="n"/>
      <c r="E161" s="9" t="n"/>
      <c r="F161" s="9" t="n"/>
      <c r="G161" s="9" t="n"/>
    </row>
    <row r="162" ht="14.25" customHeight="1" s="38">
      <c r="A162" s="9" t="n"/>
      <c r="B162" s="9" t="n"/>
      <c r="C162" s="9" t="n"/>
      <c r="D162" s="9" t="n"/>
      <c r="E162" s="9" t="n"/>
      <c r="F162" s="9" t="n"/>
      <c r="G162" s="9" t="n"/>
    </row>
    <row r="163" ht="14.25" customHeight="1" s="38">
      <c r="A163" s="9" t="n"/>
      <c r="B163" s="9" t="n"/>
      <c r="C163" s="9" t="n"/>
      <c r="D163" s="9" t="n"/>
      <c r="E163" s="9" t="n"/>
      <c r="F163" s="9" t="n"/>
      <c r="G163" s="9" t="n"/>
    </row>
    <row r="164" ht="14.25" customHeight="1" s="38">
      <c r="A164" s="9" t="n"/>
      <c r="B164" s="9" t="n"/>
      <c r="C164" s="9" t="n"/>
      <c r="D164" s="9" t="n"/>
      <c r="E164" s="9" t="n"/>
      <c r="F164" s="9" t="n"/>
      <c r="G164" s="9" t="n"/>
    </row>
    <row r="165" ht="14.25" customHeight="1" s="38">
      <c r="A165" s="9" t="n"/>
      <c r="B165" s="9" t="n"/>
      <c r="C165" s="9" t="n"/>
      <c r="D165" s="9" t="n"/>
      <c r="E165" s="9" t="n"/>
      <c r="F165" s="9" t="n"/>
      <c r="G165" s="9" t="n"/>
    </row>
    <row r="166" ht="14.25" customHeight="1" s="38">
      <c r="A166" s="9" t="n"/>
      <c r="B166" s="9" t="n"/>
      <c r="C166" s="9" t="n"/>
      <c r="D166" s="9" t="n"/>
      <c r="E166" s="9" t="n"/>
      <c r="F166" s="9" t="n"/>
      <c r="G166" s="9" t="n"/>
    </row>
    <row r="167" ht="14.25" customHeight="1" s="38">
      <c r="A167" s="9" t="n"/>
      <c r="B167" s="9" t="n"/>
      <c r="C167" s="9" t="n"/>
      <c r="D167" s="9" t="n"/>
      <c r="E167" s="9" t="n"/>
      <c r="F167" s="9" t="n"/>
      <c r="G167" s="9" t="n"/>
    </row>
    <row r="168" ht="14.25" customHeight="1" s="38">
      <c r="A168" s="9" t="n"/>
      <c r="B168" s="9" t="n"/>
      <c r="C168" s="9" t="n"/>
      <c r="D168" s="9" t="n"/>
      <c r="E168" s="9" t="n"/>
      <c r="F168" s="9" t="n"/>
      <c r="G168" s="9" t="n"/>
    </row>
    <row r="169" ht="14.25" customHeight="1" s="38">
      <c r="A169" s="9" t="n"/>
      <c r="B169" s="9" t="n"/>
      <c r="C169" s="9" t="n"/>
      <c r="D169" s="9" t="n"/>
      <c r="E169" s="9" t="n"/>
      <c r="F169" s="9" t="n"/>
      <c r="G169" s="9" t="n"/>
    </row>
    <row r="170" ht="14.25" customHeight="1" s="38">
      <c r="A170" s="9" t="n"/>
      <c r="B170" s="9" t="n"/>
      <c r="C170" s="9" t="n"/>
      <c r="D170" s="9" t="n"/>
      <c r="E170" s="9" t="n"/>
      <c r="F170" s="9" t="n"/>
      <c r="G170" s="9" t="n"/>
    </row>
    <row r="171" ht="14.25" customHeight="1" s="38">
      <c r="A171" s="9" t="n"/>
      <c r="B171" s="9" t="n"/>
      <c r="C171" s="9" t="n"/>
      <c r="D171" s="9" t="n"/>
      <c r="E171" s="9" t="n"/>
      <c r="F171" s="9" t="n"/>
      <c r="G171" s="9" t="n"/>
    </row>
    <row r="172" ht="14.25" customHeight="1" s="38">
      <c r="A172" s="9" t="n"/>
      <c r="B172" s="9" t="n"/>
      <c r="C172" s="9" t="n"/>
      <c r="D172" s="9" t="n"/>
      <c r="E172" s="9" t="n"/>
      <c r="F172" s="9" t="n"/>
      <c r="G172" s="9" t="n"/>
    </row>
    <row r="173" ht="14.25" customHeight="1" s="38">
      <c r="A173" s="9" t="n"/>
      <c r="B173" s="9" t="n"/>
      <c r="C173" s="9" t="n"/>
      <c r="D173" s="9" t="n"/>
      <c r="E173" s="9" t="n"/>
      <c r="F173" s="9" t="n"/>
      <c r="G173" s="9" t="n"/>
    </row>
    <row r="174" ht="14.25" customHeight="1" s="38">
      <c r="A174" s="9" t="n"/>
      <c r="B174" s="9" t="n"/>
      <c r="C174" s="9" t="n"/>
      <c r="D174" s="9" t="n"/>
      <c r="E174" s="9" t="n"/>
      <c r="F174" s="9" t="n"/>
      <c r="G174" s="9" t="n"/>
    </row>
    <row r="175" ht="14.25" customHeight="1" s="38">
      <c r="A175" s="9" t="n"/>
      <c r="B175" s="9" t="n"/>
      <c r="C175" s="9" t="n"/>
      <c r="D175" s="9" t="n"/>
      <c r="E175" s="9" t="n"/>
      <c r="F175" s="9" t="n"/>
      <c r="G175" s="9" t="n"/>
    </row>
    <row r="176" ht="14.25" customHeight="1" s="38">
      <c r="A176" s="9" t="n"/>
      <c r="B176" s="9" t="n"/>
      <c r="C176" s="9" t="n"/>
      <c r="D176" s="9" t="n"/>
      <c r="E176" s="9" t="n"/>
      <c r="F176" s="9" t="n"/>
      <c r="G176" s="9" t="n"/>
    </row>
    <row r="177" ht="14.25" customHeight="1" s="38">
      <c r="A177" s="9" t="n"/>
      <c r="B177" s="9" t="n"/>
      <c r="C177" s="9" t="n"/>
      <c r="D177" s="9" t="n"/>
      <c r="E177" s="9" t="n"/>
      <c r="F177" s="9" t="n"/>
      <c r="G177" s="9" t="n"/>
    </row>
    <row r="178" ht="14.25" customHeight="1" s="38">
      <c r="A178" s="9" t="n"/>
      <c r="B178" s="9" t="n"/>
      <c r="C178" s="9" t="n"/>
      <c r="D178" s="9" t="n"/>
      <c r="E178" s="9" t="n"/>
      <c r="F178" s="9" t="n"/>
      <c r="G178" s="9" t="n"/>
    </row>
    <row r="179" ht="14.25" customHeight="1" s="38">
      <c r="A179" s="9" t="n"/>
      <c r="B179" s="9" t="n"/>
      <c r="C179" s="9" t="n"/>
      <c r="D179" s="9" t="n"/>
      <c r="E179" s="9" t="n"/>
      <c r="F179" s="9" t="n"/>
      <c r="G179" s="9" t="n"/>
    </row>
    <row r="180" ht="14.25" customHeight="1" s="38">
      <c r="A180" s="9" t="n"/>
      <c r="B180" s="9" t="n"/>
      <c r="C180" s="9" t="n"/>
      <c r="D180" s="9" t="n"/>
      <c r="E180" s="9" t="n"/>
      <c r="F180" s="9" t="n"/>
      <c r="G180" s="9" t="n"/>
    </row>
    <row r="181" ht="14.25" customHeight="1" s="38">
      <c r="A181" s="9" t="n"/>
      <c r="B181" s="9" t="n"/>
      <c r="C181" s="9" t="n"/>
      <c r="D181" s="9" t="n"/>
      <c r="E181" s="9" t="n"/>
      <c r="F181" s="9" t="n"/>
      <c r="G181" s="9" t="n"/>
    </row>
    <row r="182" ht="14.25" customHeight="1" s="38">
      <c r="A182" s="9" t="n"/>
      <c r="B182" s="9" t="n"/>
      <c r="C182" s="9" t="n"/>
      <c r="D182" s="9" t="n"/>
      <c r="E182" s="9" t="n"/>
      <c r="F182" s="9" t="n"/>
      <c r="G182" s="9" t="n"/>
    </row>
    <row r="183" ht="14.25" customHeight="1" s="38">
      <c r="A183" s="9" t="n"/>
      <c r="B183" s="9" t="n"/>
      <c r="C183" s="9" t="n"/>
      <c r="D183" s="9" t="n"/>
      <c r="E183" s="9" t="n"/>
      <c r="F183" s="9" t="n"/>
      <c r="G183" s="9" t="n"/>
    </row>
    <row r="184" ht="14.25" customHeight="1" s="38">
      <c r="A184" s="9" t="n"/>
      <c r="B184" s="9" t="n"/>
      <c r="C184" s="9" t="n"/>
      <c r="D184" s="9" t="n"/>
      <c r="E184" s="9" t="n"/>
      <c r="F184" s="9" t="n"/>
      <c r="G184" s="9" t="n"/>
    </row>
    <row r="185" ht="14.25" customHeight="1" s="38">
      <c r="A185" s="9" t="n"/>
      <c r="B185" s="9" t="n"/>
      <c r="C185" s="9" t="n"/>
      <c r="D185" s="9" t="n"/>
      <c r="E185" s="9" t="n"/>
      <c r="F185" s="9" t="n"/>
      <c r="G185" s="9" t="n"/>
    </row>
    <row r="186" ht="14.25" customHeight="1" s="38">
      <c r="A186" s="9" t="n"/>
      <c r="B186" s="9" t="n"/>
      <c r="C186" s="9" t="n"/>
      <c r="D186" s="9" t="n"/>
      <c r="E186" s="9" t="n"/>
      <c r="F186" s="9" t="n"/>
      <c r="G186" s="9" t="n"/>
    </row>
    <row r="187" ht="14.25" customHeight="1" s="38">
      <c r="A187" s="9" t="n"/>
      <c r="B187" s="9" t="n"/>
      <c r="C187" s="9" t="n"/>
      <c r="D187" s="9" t="n"/>
      <c r="E187" s="9" t="n"/>
      <c r="F187" s="9" t="n"/>
      <c r="G187" s="9" t="n"/>
    </row>
    <row r="188" ht="14.25" customHeight="1" s="38">
      <c r="A188" s="9" t="n"/>
      <c r="B188" s="9" t="n"/>
      <c r="C188" s="9" t="n"/>
      <c r="D188" s="9" t="n"/>
      <c r="E188" s="9" t="n"/>
      <c r="F188" s="9" t="n"/>
      <c r="G188" s="9" t="n"/>
    </row>
    <row r="189" ht="14.25" customHeight="1" s="38">
      <c r="A189" s="9" t="n"/>
      <c r="B189" s="9" t="n"/>
      <c r="C189" s="9" t="n"/>
      <c r="D189" s="9" t="n"/>
      <c r="E189" s="9" t="n"/>
      <c r="F189" s="9" t="n"/>
      <c r="G189" s="9" t="n"/>
    </row>
    <row r="190" ht="14.25" customHeight="1" s="38">
      <c r="A190" s="9" t="n"/>
      <c r="B190" s="9" t="n"/>
      <c r="C190" s="9" t="n"/>
      <c r="D190" s="9" t="n"/>
      <c r="E190" s="9" t="n"/>
      <c r="F190" s="9" t="n"/>
      <c r="G190" s="9" t="n"/>
    </row>
    <row r="191" ht="14.25" customHeight="1" s="38">
      <c r="A191" s="9" t="n"/>
      <c r="B191" s="9" t="n"/>
      <c r="C191" s="9" t="n"/>
      <c r="D191" s="9" t="n"/>
      <c r="E191" s="9" t="n"/>
      <c r="F191" s="9" t="n"/>
      <c r="G191" s="9" t="n"/>
    </row>
    <row r="192" ht="14.25" customHeight="1" s="38">
      <c r="A192" s="9" t="n"/>
      <c r="B192" s="9" t="n"/>
      <c r="C192" s="9" t="n"/>
      <c r="D192" s="9" t="n"/>
      <c r="E192" s="9" t="n"/>
      <c r="F192" s="9" t="n"/>
      <c r="G192" s="9" t="n"/>
    </row>
    <row r="193" ht="14.25" customHeight="1" s="38">
      <c r="A193" s="9" t="n"/>
      <c r="B193" s="9" t="n"/>
      <c r="C193" s="9" t="n"/>
      <c r="D193" s="9" t="n"/>
      <c r="E193" s="9" t="n"/>
      <c r="F193" s="9" t="n"/>
      <c r="G193" s="9" t="n"/>
    </row>
    <row r="194" ht="14.25" customHeight="1" s="38">
      <c r="A194" s="9" t="n"/>
      <c r="B194" s="9" t="n"/>
      <c r="C194" s="9" t="n"/>
      <c r="D194" s="9" t="n"/>
      <c r="E194" s="9" t="n"/>
      <c r="F194" s="9" t="n"/>
      <c r="G194" s="9" t="n"/>
    </row>
    <row r="195" ht="14.25" customHeight="1" s="38">
      <c r="A195" s="9" t="n"/>
      <c r="B195" s="9" t="n"/>
      <c r="C195" s="9" t="n"/>
      <c r="D195" s="9" t="n"/>
      <c r="E195" s="9" t="n"/>
      <c r="F195" s="9" t="n"/>
      <c r="G195" s="9" t="n"/>
    </row>
    <row r="196" ht="14.25" customHeight="1" s="38">
      <c r="A196" s="9" t="n"/>
      <c r="B196" s="9" t="n"/>
      <c r="C196" s="9" t="n"/>
      <c r="D196" s="9" t="n"/>
      <c r="E196" s="9" t="n"/>
      <c r="F196" s="9" t="n"/>
      <c r="G196" s="9" t="n"/>
    </row>
    <row r="197" ht="14.25" customHeight="1" s="38">
      <c r="A197" s="9" t="n"/>
      <c r="B197" s="9" t="n"/>
      <c r="C197" s="9" t="n"/>
      <c r="D197" s="9" t="n"/>
      <c r="E197" s="9" t="n"/>
      <c r="F197" s="9" t="n"/>
      <c r="G197" s="9" t="n"/>
    </row>
    <row r="198" ht="14.25" customHeight="1" s="38">
      <c r="A198" s="9" t="n"/>
      <c r="B198" s="9" t="n"/>
      <c r="C198" s="9" t="n"/>
      <c r="D198" s="9" t="n"/>
      <c r="E198" s="9" t="n"/>
      <c r="F198" s="9" t="n"/>
      <c r="G198" s="9" t="n"/>
    </row>
    <row r="199" ht="14.25" customHeight="1" s="38">
      <c r="A199" s="9" t="n"/>
      <c r="B199" s="9" t="n"/>
      <c r="C199" s="9" t="n"/>
      <c r="D199" s="9" t="n"/>
      <c r="E199" s="9" t="n"/>
      <c r="F199" s="9" t="n"/>
      <c r="G199" s="9" t="n"/>
    </row>
    <row r="200" ht="14.25" customHeight="1" s="38">
      <c r="A200" s="9" t="n"/>
      <c r="B200" s="9" t="n"/>
      <c r="C200" s="9" t="n"/>
      <c r="D200" s="9" t="n"/>
      <c r="E200" s="9" t="n"/>
      <c r="F200" s="9" t="n"/>
      <c r="G200" s="9" t="n"/>
    </row>
    <row r="201" ht="14.25" customHeight="1" s="38">
      <c r="A201" s="9" t="n"/>
      <c r="B201" s="9" t="n"/>
      <c r="C201" s="9" t="n"/>
      <c r="D201" s="9" t="n"/>
      <c r="E201" s="9" t="n"/>
      <c r="F201" s="9" t="n"/>
      <c r="G201" s="9" t="n"/>
    </row>
    <row r="202" ht="14.25" customHeight="1" s="38">
      <c r="A202" s="9" t="n"/>
      <c r="B202" s="9" t="n"/>
      <c r="C202" s="9" t="n"/>
      <c r="D202" s="9" t="n"/>
      <c r="E202" s="9" t="n"/>
      <c r="F202" s="9" t="n"/>
      <c r="G202" s="9" t="n"/>
    </row>
    <row r="203" ht="14.25" customHeight="1" s="38">
      <c r="A203" s="9" t="n"/>
      <c r="B203" s="9" t="n"/>
      <c r="C203" s="9" t="n"/>
      <c r="D203" s="9" t="n"/>
      <c r="E203" s="9" t="n"/>
      <c r="F203" s="9" t="n"/>
      <c r="G203" s="9" t="n"/>
    </row>
    <row r="204" ht="14.25" customHeight="1" s="38">
      <c r="A204" s="9" t="n"/>
      <c r="B204" s="9" t="n"/>
      <c r="C204" s="9" t="n"/>
      <c r="D204" s="9" t="n"/>
      <c r="E204" s="9" t="n"/>
      <c r="F204" s="9" t="n"/>
      <c r="G204" s="9" t="n"/>
    </row>
    <row r="205" ht="14.25" customHeight="1" s="38">
      <c r="A205" s="9" t="n"/>
      <c r="B205" s="9" t="n"/>
      <c r="C205" s="9" t="n"/>
      <c r="D205" s="9" t="n"/>
      <c r="E205" s="9" t="n"/>
      <c r="F205" s="9" t="n"/>
      <c r="G205" s="9" t="n"/>
    </row>
    <row r="206" ht="14.25" customHeight="1" s="38">
      <c r="A206" s="9" t="n"/>
      <c r="B206" s="9" t="n"/>
      <c r="C206" s="9" t="n"/>
      <c r="D206" s="9" t="n"/>
      <c r="E206" s="9" t="n"/>
      <c r="F206" s="9" t="n"/>
      <c r="G206" s="9" t="n"/>
    </row>
    <row r="207" ht="14.25" customHeight="1" s="38">
      <c r="A207" s="9" t="n"/>
      <c r="B207" s="9" t="n"/>
      <c r="C207" s="9" t="n"/>
      <c r="D207" s="9" t="n"/>
      <c r="E207" s="9" t="n"/>
      <c r="F207" s="9" t="n"/>
      <c r="G207" s="9" t="n"/>
    </row>
    <row r="208" ht="14.25" customHeight="1" s="38">
      <c r="A208" s="9" t="n"/>
      <c r="B208" s="9" t="n"/>
      <c r="C208" s="9" t="n"/>
      <c r="D208" s="9" t="n"/>
      <c r="E208" s="9" t="n"/>
      <c r="F208" s="9" t="n"/>
      <c r="G208" s="9" t="n"/>
    </row>
    <row r="209" ht="14.25" customHeight="1" s="38">
      <c r="A209" s="9" t="n"/>
      <c r="B209" s="9" t="n"/>
      <c r="C209" s="9" t="n"/>
      <c r="D209" s="9" t="n"/>
      <c r="E209" s="9" t="n"/>
      <c r="F209" s="9" t="n"/>
      <c r="G209" s="9" t="n"/>
    </row>
    <row r="210" ht="14.25" customHeight="1" s="38">
      <c r="A210" s="9" t="n"/>
      <c r="B210" s="9" t="n"/>
      <c r="C210" s="9" t="n"/>
      <c r="D210" s="9" t="n"/>
      <c r="E210" s="9" t="n"/>
      <c r="F210" s="9" t="n"/>
      <c r="G210" s="9" t="n"/>
    </row>
    <row r="211" ht="14.25" customHeight="1" s="38">
      <c r="A211" s="9" t="n"/>
      <c r="B211" s="9" t="n"/>
      <c r="C211" s="9" t="n"/>
      <c r="D211" s="9" t="n"/>
      <c r="E211" s="9" t="n"/>
      <c r="F211" s="9" t="n"/>
      <c r="G211" s="9" t="n"/>
    </row>
    <row r="212" ht="14.25" customHeight="1" s="38">
      <c r="A212" s="9" t="n"/>
      <c r="B212" s="9" t="n"/>
      <c r="C212" s="9" t="n"/>
      <c r="D212" s="9" t="n"/>
      <c r="E212" s="9" t="n"/>
      <c r="F212" s="9" t="n"/>
      <c r="G212" s="9" t="n"/>
    </row>
    <row r="213" ht="14.25" customHeight="1" s="38">
      <c r="A213" s="9" t="n"/>
      <c r="B213" s="9" t="n"/>
      <c r="C213" s="9" t="n"/>
      <c r="D213" s="9" t="n"/>
      <c r="E213" s="9" t="n"/>
      <c r="F213" s="9" t="n"/>
      <c r="G213" s="9" t="n"/>
    </row>
    <row r="214" ht="14.25" customHeight="1" s="38">
      <c r="A214" s="9" t="n"/>
      <c r="B214" s="9" t="n"/>
      <c r="C214" s="9" t="n"/>
      <c r="D214" s="9" t="n"/>
      <c r="E214" s="9" t="n"/>
      <c r="F214" s="9" t="n"/>
      <c r="G214" s="9" t="n"/>
    </row>
    <row r="215" ht="14.25" customHeight="1" s="38">
      <c r="A215" s="9" t="n"/>
      <c r="B215" s="9" t="n"/>
      <c r="C215" s="9" t="n"/>
      <c r="D215" s="9" t="n"/>
      <c r="E215" s="9" t="n"/>
      <c r="F215" s="9" t="n"/>
      <c r="G215" s="9" t="n"/>
    </row>
    <row r="216" ht="14.25" customHeight="1" s="38">
      <c r="A216" s="9" t="n"/>
      <c r="B216" s="9" t="n"/>
      <c r="C216" s="9" t="n"/>
      <c r="D216" s="9" t="n"/>
      <c r="E216" s="9" t="n"/>
      <c r="F216" s="9" t="n"/>
      <c r="G216" s="9" t="n"/>
    </row>
    <row r="217" ht="14.25" customHeight="1" s="38">
      <c r="A217" s="9" t="n"/>
      <c r="B217" s="9" t="n"/>
      <c r="C217" s="9" t="n"/>
      <c r="D217" s="9" t="n"/>
      <c r="E217" s="9" t="n"/>
      <c r="F217" s="9" t="n"/>
      <c r="G217" s="9" t="n"/>
    </row>
    <row r="218" ht="14.25" customHeight="1" s="38">
      <c r="A218" s="9" t="n"/>
      <c r="B218" s="9" t="n"/>
      <c r="C218" s="9" t="n"/>
      <c r="D218" s="9" t="n"/>
      <c r="E218" s="9" t="n"/>
      <c r="F218" s="9" t="n"/>
      <c r="G218" s="9" t="n"/>
    </row>
    <row r="219" ht="14.25" customHeight="1" s="38">
      <c r="A219" s="9" t="n"/>
      <c r="B219" s="9" t="n"/>
      <c r="C219" s="9" t="n"/>
      <c r="D219" s="9" t="n"/>
      <c r="E219" s="9" t="n"/>
      <c r="F219" s="9" t="n"/>
      <c r="G219" s="9" t="n"/>
    </row>
    <row r="220" ht="14.25" customHeight="1" s="38">
      <c r="A220" s="9" t="n"/>
      <c r="B220" s="9" t="n"/>
      <c r="C220" s="9" t="n"/>
      <c r="D220" s="9" t="n"/>
      <c r="E220" s="9" t="n"/>
      <c r="F220" s="9" t="n"/>
      <c r="G220" s="9" t="n"/>
    </row>
    <row r="221" ht="14.25" customHeight="1" s="38"/>
    <row r="222" ht="14.25" customHeight="1" s="38"/>
    <row r="223" ht="14.25" customHeight="1" s="38"/>
    <row r="224" ht="14.25" customHeight="1" s="38"/>
    <row r="225" ht="14.25" customHeight="1" s="38"/>
    <row r="226" ht="14.25" customHeight="1" s="38"/>
    <row r="227" ht="14.25" customHeight="1" s="38"/>
    <row r="228" ht="14.25" customHeight="1" s="38"/>
    <row r="229" ht="14.25" customHeight="1" s="38"/>
    <row r="230" ht="14.25" customHeight="1" s="38"/>
    <row r="231" ht="14.25" customHeight="1" s="38"/>
    <row r="232" ht="14.25" customHeight="1" s="38"/>
    <row r="233" ht="14.25" customHeight="1" s="38"/>
    <row r="234" ht="14.25" customHeight="1" s="38"/>
    <row r="235" ht="14.25" customHeight="1" s="38"/>
    <row r="236" ht="14.25" customHeight="1" s="38"/>
    <row r="237" ht="14.25" customHeight="1" s="38"/>
    <row r="238" ht="14.25" customHeight="1" s="38"/>
    <row r="239" ht="14.25" customHeight="1" s="38"/>
    <row r="240" ht="14.25" customHeight="1" s="38"/>
    <row r="241" ht="14.25" customHeight="1" s="38"/>
    <row r="242" ht="14.25" customHeight="1" s="38"/>
    <row r="243" ht="14.25" customHeight="1" s="38"/>
    <row r="244" ht="14.25" customHeight="1" s="38"/>
    <row r="245" ht="14.25" customHeight="1" s="38"/>
    <row r="246" ht="14.25" customHeight="1" s="38"/>
    <row r="247" ht="14.25" customHeight="1" s="38"/>
    <row r="248" ht="14.25" customHeight="1" s="38"/>
    <row r="249" ht="14.25" customHeight="1" s="38"/>
    <row r="250" ht="14.25" customHeight="1" s="38"/>
    <row r="251" ht="14.25" customHeight="1" s="38"/>
    <row r="252" ht="14.25" customHeight="1" s="38"/>
    <row r="253" ht="14.25" customHeight="1" s="38"/>
    <row r="254" ht="14.25" customHeight="1" s="38"/>
    <row r="255" ht="14.25" customHeight="1" s="38"/>
    <row r="256" ht="14.25" customHeight="1" s="38"/>
    <row r="257" ht="14.25" customHeight="1" s="38"/>
    <row r="258" ht="14.25" customHeight="1" s="38"/>
    <row r="259" ht="14.25" customHeight="1" s="38"/>
    <row r="260" ht="14.25" customHeight="1" s="38"/>
    <row r="261" ht="14.25" customHeight="1" s="38"/>
    <row r="262" ht="14.25" customHeight="1" s="38"/>
    <row r="263" ht="14.25" customHeight="1" s="38"/>
    <row r="264" ht="14.25" customHeight="1" s="38"/>
    <row r="265" ht="14.25" customHeight="1" s="38"/>
    <row r="266" ht="14.25" customHeight="1" s="38"/>
    <row r="267" ht="14.25" customHeight="1" s="38"/>
    <row r="268" ht="14.25" customHeight="1" s="38"/>
    <row r="269" ht="14.25" customHeight="1" s="38"/>
    <row r="270" ht="14.25" customHeight="1" s="38"/>
    <row r="271" ht="14.25" customHeight="1" s="38"/>
    <row r="272" ht="14.25" customHeight="1" s="38"/>
    <row r="273" ht="14.25" customHeight="1" s="38"/>
    <row r="274" ht="14.25" customHeight="1" s="38"/>
    <row r="275" ht="14.25" customHeight="1" s="38"/>
    <row r="276" ht="14.25" customHeight="1" s="38"/>
    <row r="277" ht="14.25" customHeight="1" s="38"/>
    <row r="278" ht="14.25" customHeight="1" s="38"/>
    <row r="279" ht="14.25" customHeight="1" s="38"/>
    <row r="280" ht="14.25" customHeight="1" s="38"/>
    <row r="281" ht="14.25" customHeight="1" s="38"/>
    <row r="282" ht="14.25" customHeight="1" s="38"/>
    <row r="283" ht="14.25" customHeight="1" s="38"/>
    <row r="284" ht="14.25" customHeight="1" s="38"/>
    <row r="285" ht="14.25" customHeight="1" s="38"/>
    <row r="286" ht="14.25" customHeight="1" s="38"/>
    <row r="287" ht="14.25" customHeight="1" s="38"/>
    <row r="288" ht="14.25" customHeight="1" s="38"/>
    <row r="289" ht="14.25" customHeight="1" s="38"/>
    <row r="290" ht="14.25" customHeight="1" s="38"/>
    <row r="291" ht="14.25" customHeight="1" s="38"/>
    <row r="292" ht="14.25" customHeight="1" s="38"/>
    <row r="293" ht="14.25" customHeight="1" s="38"/>
    <row r="294" ht="14.25" customHeight="1" s="38"/>
    <row r="295" ht="14.25" customHeight="1" s="38"/>
    <row r="296" ht="14.25" customHeight="1" s="38"/>
    <row r="297" ht="14.25" customHeight="1" s="38"/>
    <row r="298" ht="14.25" customHeight="1" s="38"/>
    <row r="299" ht="14.25" customHeight="1" s="38"/>
    <row r="300" ht="14.25" customHeight="1" s="38"/>
    <row r="301" ht="14.25" customHeight="1" s="38"/>
    <row r="302" ht="14.25" customHeight="1" s="38"/>
    <row r="303" ht="14.25" customHeight="1" s="38"/>
    <row r="304" ht="14.25" customHeight="1" s="38"/>
    <row r="305" ht="14.25" customHeight="1" s="38"/>
    <row r="306" ht="14.25" customHeight="1" s="38"/>
    <row r="307" ht="14.25" customHeight="1" s="38"/>
    <row r="308" ht="14.25" customHeight="1" s="38"/>
    <row r="309" ht="14.25" customHeight="1" s="38"/>
    <row r="310" ht="14.25" customHeight="1" s="38"/>
    <row r="311" ht="14.25" customHeight="1" s="38"/>
    <row r="312" ht="14.25" customHeight="1" s="38"/>
    <row r="313" ht="14.25" customHeight="1" s="38"/>
    <row r="314" ht="14.25" customHeight="1" s="38"/>
    <row r="315" ht="14.25" customHeight="1" s="38"/>
    <row r="316" ht="14.25" customHeight="1" s="38"/>
    <row r="317" ht="14.25" customHeight="1" s="38"/>
    <row r="318" ht="14.25" customHeight="1" s="38"/>
    <row r="319" ht="14.25" customHeight="1" s="38"/>
    <row r="320" ht="14.25" customHeight="1" s="38"/>
    <row r="321" ht="14.25" customHeight="1" s="38"/>
    <row r="322" ht="14.25" customHeight="1" s="38"/>
    <row r="323" ht="14.25" customHeight="1" s="38"/>
    <row r="324" ht="14.25" customHeight="1" s="38"/>
    <row r="325" ht="14.25" customHeight="1" s="38"/>
    <row r="326" ht="14.25" customHeight="1" s="38"/>
    <row r="327" ht="14.25" customHeight="1" s="38"/>
    <row r="328" ht="14.25" customHeight="1" s="38"/>
    <row r="329" ht="14.25" customHeight="1" s="38"/>
    <row r="330" ht="14.25" customHeight="1" s="38"/>
    <row r="331" ht="14.25" customHeight="1" s="38"/>
    <row r="332" ht="14.25" customHeight="1" s="38"/>
    <row r="333" ht="14.25" customHeight="1" s="38"/>
    <row r="334" ht="14.25" customHeight="1" s="38"/>
    <row r="335" ht="14.25" customHeight="1" s="38"/>
    <row r="336" ht="14.25" customHeight="1" s="38"/>
    <row r="337" ht="14.25" customHeight="1" s="38"/>
    <row r="338" ht="14.25" customHeight="1" s="38"/>
    <row r="339" ht="14.25" customHeight="1" s="38"/>
    <row r="340" ht="14.25" customHeight="1" s="38"/>
    <row r="341" ht="14.25" customHeight="1" s="38"/>
    <row r="342" ht="14.25" customHeight="1" s="38"/>
    <row r="343" ht="14.25" customHeight="1" s="38"/>
    <row r="344" ht="14.25" customHeight="1" s="38"/>
    <row r="345" ht="14.25" customHeight="1" s="38"/>
    <row r="346" ht="14.25" customHeight="1" s="38"/>
    <row r="347" ht="14.25" customHeight="1" s="38"/>
    <row r="348" ht="14.25" customHeight="1" s="38"/>
    <row r="349" ht="14.25" customHeight="1" s="38"/>
    <row r="350" ht="14.25" customHeight="1" s="38"/>
    <row r="351" ht="14.25" customHeight="1" s="38"/>
    <row r="352" ht="14.25" customHeight="1" s="38"/>
    <row r="353" ht="14.25" customHeight="1" s="38"/>
    <row r="354" ht="14.25" customHeight="1" s="38"/>
    <row r="355" ht="14.25" customHeight="1" s="38"/>
    <row r="356" ht="14.25" customHeight="1" s="38"/>
    <row r="357" ht="14.25" customHeight="1" s="38"/>
    <row r="358" ht="14.25" customHeight="1" s="38"/>
    <row r="359" ht="14.25" customHeight="1" s="38"/>
    <row r="360" ht="14.25" customHeight="1" s="38"/>
    <row r="361" ht="14.25" customHeight="1" s="38"/>
    <row r="362" ht="14.25" customHeight="1" s="38"/>
    <row r="363" ht="14.25" customHeight="1" s="38"/>
    <row r="364" ht="14.25" customHeight="1" s="38"/>
    <row r="365" ht="14.25" customHeight="1" s="38"/>
    <row r="366" ht="14.25" customHeight="1" s="38"/>
    <row r="367" ht="14.25" customHeight="1" s="38"/>
    <row r="368" ht="14.25" customHeight="1" s="38"/>
    <row r="369" ht="14.25" customHeight="1" s="38"/>
    <row r="370" ht="14.25" customHeight="1" s="38"/>
    <row r="371" ht="14.25" customHeight="1" s="38"/>
    <row r="372" ht="14.25" customHeight="1" s="38"/>
    <row r="373" ht="14.25" customHeight="1" s="38"/>
    <row r="374" ht="14.25" customHeight="1" s="38"/>
    <row r="375" ht="14.25" customHeight="1" s="38"/>
    <row r="376" ht="14.25" customHeight="1" s="38"/>
    <row r="377" ht="14.25" customHeight="1" s="38"/>
    <row r="378" ht="14.25" customHeight="1" s="38"/>
    <row r="379" ht="14.25" customHeight="1" s="38"/>
    <row r="380" ht="14.25" customHeight="1" s="38"/>
    <row r="381" ht="14.25" customHeight="1" s="38"/>
    <row r="382" ht="14.25" customHeight="1" s="38"/>
    <row r="383" ht="14.25" customHeight="1" s="38"/>
    <row r="384" ht="14.25" customHeight="1" s="38"/>
    <row r="385" ht="14.25" customHeight="1" s="38"/>
    <row r="386" ht="14.25" customHeight="1" s="38"/>
    <row r="387" ht="14.25" customHeight="1" s="38"/>
    <row r="388" ht="14.25" customHeight="1" s="38"/>
    <row r="389" ht="14.25" customHeight="1" s="38"/>
    <row r="390" ht="14.25" customHeight="1" s="38"/>
    <row r="391" ht="14.25" customHeight="1" s="38"/>
    <row r="392" ht="14.25" customHeight="1" s="38"/>
    <row r="393" ht="14.25" customHeight="1" s="38"/>
    <row r="394" ht="14.25" customHeight="1" s="38"/>
    <row r="395" ht="14.25" customHeight="1" s="38"/>
    <row r="396" ht="14.25" customHeight="1" s="38"/>
    <row r="397" ht="14.25" customHeight="1" s="38"/>
    <row r="398" ht="14.25" customHeight="1" s="38"/>
    <row r="399" ht="14.25" customHeight="1" s="38"/>
    <row r="400" ht="14.25" customHeight="1" s="38"/>
    <row r="401" ht="14.25" customHeight="1" s="38"/>
    <row r="402" ht="14.25" customHeight="1" s="38"/>
    <row r="403" ht="14.25" customHeight="1" s="38"/>
    <row r="404" ht="14.25" customHeight="1" s="38"/>
    <row r="405" ht="14.25" customHeight="1" s="38"/>
    <row r="406" ht="14.25" customHeight="1" s="38"/>
    <row r="407" ht="14.25" customHeight="1" s="38"/>
    <row r="408" ht="14.25" customHeight="1" s="38"/>
    <row r="409" ht="14.25" customHeight="1" s="38"/>
    <row r="410" ht="14.25" customHeight="1" s="38"/>
    <row r="411" ht="14.25" customHeight="1" s="38"/>
    <row r="412" ht="14.25" customHeight="1" s="38"/>
    <row r="413" ht="14.25" customHeight="1" s="38"/>
    <row r="414" ht="14.25" customHeight="1" s="38"/>
    <row r="415" ht="14.25" customHeight="1" s="38"/>
    <row r="416" ht="14.25" customHeight="1" s="38"/>
    <row r="417" ht="14.25" customHeight="1" s="38"/>
    <row r="418" ht="14.25" customHeight="1" s="38"/>
    <row r="419" ht="14.25" customHeight="1" s="38"/>
    <row r="420" ht="14.25" customHeight="1" s="38"/>
    <row r="421" ht="14.25" customHeight="1" s="38"/>
    <row r="422" ht="14.25" customHeight="1" s="38"/>
    <row r="423" ht="14.25" customHeight="1" s="38"/>
    <row r="424" ht="14.25" customHeight="1" s="38"/>
    <row r="425" ht="14.25" customHeight="1" s="38"/>
    <row r="426" ht="14.25" customHeight="1" s="38"/>
    <row r="427" ht="14.25" customHeight="1" s="38"/>
    <row r="428" ht="14.25" customHeight="1" s="38"/>
    <row r="429" ht="14.25" customHeight="1" s="38"/>
    <row r="430" ht="14.25" customHeight="1" s="38"/>
    <row r="431" ht="14.25" customHeight="1" s="38"/>
    <row r="432" ht="14.25" customHeight="1" s="38"/>
    <row r="433" ht="14.25" customHeight="1" s="38"/>
    <row r="434" ht="14.25" customHeight="1" s="38"/>
    <row r="435" ht="14.25" customHeight="1" s="38"/>
    <row r="436" ht="14.25" customHeight="1" s="38"/>
    <row r="437" ht="14.25" customHeight="1" s="38"/>
    <row r="438" ht="14.25" customHeight="1" s="38"/>
    <row r="439" ht="14.25" customHeight="1" s="38"/>
    <row r="440" ht="14.25" customHeight="1" s="38"/>
    <row r="441" ht="14.25" customHeight="1" s="38"/>
    <row r="442" ht="14.25" customHeight="1" s="38"/>
    <row r="443" ht="14.25" customHeight="1" s="38"/>
    <row r="444" ht="14.25" customHeight="1" s="38"/>
    <row r="445" ht="14.25" customHeight="1" s="38"/>
    <row r="446" ht="14.25" customHeight="1" s="38"/>
    <row r="447" ht="14.25" customHeight="1" s="38"/>
    <row r="448" ht="14.25" customHeight="1" s="38"/>
    <row r="449" ht="14.25" customHeight="1" s="38"/>
    <row r="450" ht="14.25" customHeight="1" s="38"/>
    <row r="451" ht="14.25" customHeight="1" s="38"/>
    <row r="452" ht="14.25" customHeight="1" s="38"/>
    <row r="453" ht="14.25" customHeight="1" s="38"/>
    <row r="454" ht="14.25" customHeight="1" s="38"/>
    <row r="455" ht="14.25" customHeight="1" s="38"/>
    <row r="456" ht="14.25" customHeight="1" s="38"/>
    <row r="457" ht="14.25" customHeight="1" s="38"/>
    <row r="458" ht="14.25" customHeight="1" s="38"/>
    <row r="459" ht="14.25" customHeight="1" s="38"/>
    <row r="460" ht="14.25" customHeight="1" s="38"/>
    <row r="461" ht="14.25" customHeight="1" s="38"/>
    <row r="462" ht="14.25" customHeight="1" s="38"/>
    <row r="463" ht="14.25" customHeight="1" s="38"/>
    <row r="464" ht="14.25" customHeight="1" s="38"/>
    <row r="465" ht="14.25" customHeight="1" s="38"/>
    <row r="466" ht="14.25" customHeight="1" s="38"/>
    <row r="467" ht="14.25" customHeight="1" s="38"/>
    <row r="468" ht="14.25" customHeight="1" s="38"/>
    <row r="469" ht="14.25" customHeight="1" s="38"/>
    <row r="470" ht="14.25" customHeight="1" s="38"/>
    <row r="471" ht="14.25" customHeight="1" s="38"/>
    <row r="472" ht="14.25" customHeight="1" s="38"/>
    <row r="473" ht="14.25" customHeight="1" s="38"/>
    <row r="474" ht="14.25" customHeight="1" s="38"/>
    <row r="475" ht="14.25" customHeight="1" s="38"/>
    <row r="476" ht="14.25" customHeight="1" s="38"/>
    <row r="477" ht="14.25" customHeight="1" s="38"/>
    <row r="478" ht="14.25" customHeight="1" s="38"/>
    <row r="479" ht="14.25" customHeight="1" s="38"/>
    <row r="480" ht="14.25" customHeight="1" s="38"/>
    <row r="481" ht="14.25" customHeight="1" s="38"/>
    <row r="482" ht="14.25" customHeight="1" s="38"/>
    <row r="483" ht="14.25" customHeight="1" s="38"/>
    <row r="484" ht="14.25" customHeight="1" s="38"/>
    <row r="485" ht="14.25" customHeight="1" s="38"/>
    <row r="486" ht="14.25" customHeight="1" s="38"/>
    <row r="487" ht="14.25" customHeight="1" s="38"/>
    <row r="488" ht="14.25" customHeight="1" s="38"/>
    <row r="489" ht="14.25" customHeight="1" s="38"/>
    <row r="490" ht="14.25" customHeight="1" s="38"/>
    <row r="491" ht="14.25" customHeight="1" s="38"/>
    <row r="492" ht="14.25" customHeight="1" s="38"/>
    <row r="493" ht="14.25" customHeight="1" s="38"/>
    <row r="494" ht="14.25" customHeight="1" s="38"/>
    <row r="495" ht="14.25" customHeight="1" s="38"/>
    <row r="496" ht="14.25" customHeight="1" s="38"/>
    <row r="497" ht="14.25" customHeight="1" s="38"/>
    <row r="498" ht="14.25" customHeight="1" s="38"/>
    <row r="499" ht="14.25" customHeight="1" s="38"/>
    <row r="500" ht="14.25" customHeight="1" s="38"/>
    <row r="501" ht="14.25" customHeight="1" s="38"/>
    <row r="502" ht="14.25" customHeight="1" s="38"/>
    <row r="503" ht="14.25" customHeight="1" s="38"/>
    <row r="504" ht="14.25" customHeight="1" s="38"/>
    <row r="505" ht="14.25" customHeight="1" s="38"/>
    <row r="506" ht="14.25" customHeight="1" s="38"/>
    <row r="507" ht="14.25" customHeight="1" s="38"/>
    <row r="508" ht="14.25" customHeight="1" s="38"/>
    <row r="509" ht="14.25" customHeight="1" s="38"/>
    <row r="510" ht="14.25" customHeight="1" s="38"/>
    <row r="511" ht="14.25" customHeight="1" s="38"/>
    <row r="512" ht="14.25" customHeight="1" s="38"/>
    <row r="513" ht="14.25" customHeight="1" s="38"/>
    <row r="514" ht="14.25" customHeight="1" s="38"/>
    <row r="515" ht="14.25" customHeight="1" s="38"/>
    <row r="516" ht="14.25" customHeight="1" s="38"/>
    <row r="517" ht="14.25" customHeight="1" s="38"/>
    <row r="518" ht="14.25" customHeight="1" s="38"/>
    <row r="519" ht="14.25" customHeight="1" s="38"/>
    <row r="520" ht="14.25" customHeight="1" s="38"/>
    <row r="521" ht="14.25" customHeight="1" s="38"/>
    <row r="522" ht="14.25" customHeight="1" s="38"/>
    <row r="523" ht="14.25" customHeight="1" s="38"/>
    <row r="524" ht="14.25" customHeight="1" s="38"/>
    <row r="525" ht="14.25" customHeight="1" s="38"/>
    <row r="526" ht="14.25" customHeight="1" s="38"/>
    <row r="527" ht="14.25" customHeight="1" s="38"/>
    <row r="528" ht="14.25" customHeight="1" s="38"/>
    <row r="529" ht="14.25" customHeight="1" s="38"/>
    <row r="530" ht="14.25" customHeight="1" s="38"/>
    <row r="531" ht="14.25" customHeight="1" s="38"/>
    <row r="532" ht="14.25" customHeight="1" s="38"/>
    <row r="533" ht="14.25" customHeight="1" s="38"/>
    <row r="534" ht="14.25" customHeight="1" s="38"/>
    <row r="535" ht="14.25" customHeight="1" s="38"/>
    <row r="536" ht="14.25" customHeight="1" s="38"/>
    <row r="537" ht="14.25" customHeight="1" s="38"/>
    <row r="538" ht="14.25" customHeight="1" s="38"/>
    <row r="539" ht="14.25" customHeight="1" s="38"/>
    <row r="540" ht="14.25" customHeight="1" s="38"/>
    <row r="541" ht="14.25" customHeight="1" s="38"/>
    <row r="542" ht="14.25" customHeight="1" s="38"/>
    <row r="543" ht="14.25" customHeight="1" s="38"/>
    <row r="544" ht="14.25" customHeight="1" s="38"/>
    <row r="545" ht="14.25" customHeight="1" s="38"/>
    <row r="546" ht="14.25" customHeight="1" s="38"/>
    <row r="547" ht="14.25" customHeight="1" s="38"/>
    <row r="548" ht="14.25" customHeight="1" s="38"/>
    <row r="549" ht="14.25" customHeight="1" s="38"/>
    <row r="550" ht="14.25" customHeight="1" s="38"/>
    <row r="551" ht="14.25" customHeight="1" s="38"/>
    <row r="552" ht="14.25" customHeight="1" s="38"/>
    <row r="553" ht="14.25" customHeight="1" s="38"/>
    <row r="554" ht="14.25" customHeight="1" s="38"/>
    <row r="555" ht="14.25" customHeight="1" s="38"/>
    <row r="556" ht="14.25" customHeight="1" s="38"/>
    <row r="557" ht="14.25" customHeight="1" s="38"/>
    <row r="558" ht="14.25" customHeight="1" s="38"/>
    <row r="559" ht="14.25" customHeight="1" s="38"/>
    <row r="560" ht="14.25" customHeight="1" s="38"/>
    <row r="561" ht="14.25" customHeight="1" s="38"/>
    <row r="562" ht="14.25" customHeight="1" s="38"/>
    <row r="563" ht="14.25" customHeight="1" s="38"/>
    <row r="564" ht="14.25" customHeight="1" s="38"/>
    <row r="565" ht="14.25" customHeight="1" s="38"/>
    <row r="566" ht="14.25" customHeight="1" s="38"/>
    <row r="567" ht="14.25" customHeight="1" s="38"/>
    <row r="568" ht="14.25" customHeight="1" s="38"/>
    <row r="569" ht="14.25" customHeight="1" s="38"/>
    <row r="570" ht="14.25" customHeight="1" s="38"/>
    <row r="571" ht="14.25" customHeight="1" s="38"/>
    <row r="572" ht="14.25" customHeight="1" s="38"/>
    <row r="573" ht="14.25" customHeight="1" s="38"/>
    <row r="574" ht="14.25" customHeight="1" s="38"/>
    <row r="575" ht="14.25" customHeight="1" s="38"/>
    <row r="576" ht="14.25" customHeight="1" s="38"/>
    <row r="577" ht="14.25" customHeight="1" s="38"/>
    <row r="578" ht="14.25" customHeight="1" s="38"/>
    <row r="579" ht="14.25" customHeight="1" s="38"/>
    <row r="580" ht="14.25" customHeight="1" s="38"/>
    <row r="581" ht="14.25" customHeight="1" s="38"/>
    <row r="582" ht="14.25" customHeight="1" s="38"/>
    <row r="583" ht="14.25" customHeight="1" s="38"/>
    <row r="584" ht="14.25" customHeight="1" s="38"/>
    <row r="585" ht="14.25" customHeight="1" s="38"/>
    <row r="586" ht="14.25" customHeight="1" s="38"/>
    <row r="587" ht="14.25" customHeight="1" s="38"/>
    <row r="588" ht="14.25" customHeight="1" s="38"/>
    <row r="589" ht="14.25" customHeight="1" s="38"/>
    <row r="590" ht="14.25" customHeight="1" s="38"/>
    <row r="591" ht="14.25" customHeight="1" s="38"/>
    <row r="592" ht="14.25" customHeight="1" s="38"/>
    <row r="593" ht="14.25" customHeight="1" s="38"/>
    <row r="594" ht="14.25" customHeight="1" s="38"/>
    <row r="595" ht="14.25" customHeight="1" s="38"/>
    <row r="596" ht="14.25" customHeight="1" s="38"/>
    <row r="597" ht="14.25" customHeight="1" s="38"/>
    <row r="598" ht="14.25" customHeight="1" s="38"/>
    <row r="599" ht="14.25" customHeight="1" s="38"/>
    <row r="600" ht="14.25" customHeight="1" s="38"/>
    <row r="601" ht="14.25" customHeight="1" s="38"/>
    <row r="602" ht="14.25" customHeight="1" s="38"/>
    <row r="603" ht="14.25" customHeight="1" s="38"/>
    <row r="604" ht="14.25" customHeight="1" s="38"/>
    <row r="605" ht="14.25" customHeight="1" s="38"/>
    <row r="606" ht="14.25" customHeight="1" s="38"/>
    <row r="607" ht="14.25" customHeight="1" s="38"/>
    <row r="608" ht="14.25" customHeight="1" s="38"/>
    <row r="609" ht="14.25" customHeight="1" s="38"/>
    <row r="610" ht="14.25" customHeight="1" s="38"/>
    <row r="611" ht="14.25" customHeight="1" s="38"/>
    <row r="612" ht="14.25" customHeight="1" s="38"/>
    <row r="613" ht="14.25" customHeight="1" s="38"/>
    <row r="614" ht="14.25" customHeight="1" s="38"/>
    <row r="615" ht="14.25" customHeight="1" s="38"/>
    <row r="616" ht="14.25" customHeight="1" s="38"/>
    <row r="617" ht="14.25" customHeight="1" s="38"/>
    <row r="618" ht="14.25" customHeight="1" s="38"/>
    <row r="619" ht="14.25" customHeight="1" s="38"/>
    <row r="620" ht="14.25" customHeight="1" s="38"/>
    <row r="621" ht="14.25" customHeight="1" s="38"/>
    <row r="622" ht="14.25" customHeight="1" s="38"/>
    <row r="623" ht="14.25" customHeight="1" s="38"/>
    <row r="624" ht="14.25" customHeight="1" s="38"/>
    <row r="625" ht="14.25" customHeight="1" s="38"/>
    <row r="626" ht="14.25" customHeight="1" s="38"/>
    <row r="627" ht="14.25" customHeight="1" s="38"/>
    <row r="628" ht="14.25" customHeight="1" s="38"/>
    <row r="629" ht="14.25" customHeight="1" s="38"/>
    <row r="630" ht="14.25" customHeight="1" s="38"/>
    <row r="631" ht="14.25" customHeight="1" s="38"/>
    <row r="632" ht="14.25" customHeight="1" s="38"/>
    <row r="633" ht="14.25" customHeight="1" s="38"/>
    <row r="634" ht="14.25" customHeight="1" s="38"/>
    <row r="635" ht="14.25" customHeight="1" s="38"/>
    <row r="636" ht="14.25" customHeight="1" s="38"/>
    <row r="637" ht="14.25" customHeight="1" s="38"/>
    <row r="638" ht="14.25" customHeight="1" s="38"/>
    <row r="639" ht="14.25" customHeight="1" s="38"/>
    <row r="640" ht="14.25" customHeight="1" s="38"/>
    <row r="641" ht="14.25" customHeight="1" s="38"/>
    <row r="642" ht="14.25" customHeight="1" s="38"/>
    <row r="643" ht="14.25" customHeight="1" s="38"/>
    <row r="644" ht="14.25" customHeight="1" s="38"/>
    <row r="645" ht="14.25" customHeight="1" s="38"/>
    <row r="646" ht="14.25" customHeight="1" s="38"/>
    <row r="647" ht="14.25" customHeight="1" s="38"/>
    <row r="648" ht="14.25" customHeight="1" s="38"/>
    <row r="649" ht="14.25" customHeight="1" s="38"/>
    <row r="650" ht="14.25" customHeight="1" s="38"/>
    <row r="651" ht="14.25" customHeight="1" s="38"/>
    <row r="652" ht="14.25" customHeight="1" s="38"/>
    <row r="653" ht="14.25" customHeight="1" s="38"/>
    <row r="654" ht="14.25" customHeight="1" s="38"/>
    <row r="655" ht="14.25" customHeight="1" s="38"/>
    <row r="656" ht="14.25" customHeight="1" s="38"/>
    <row r="657" ht="14.25" customHeight="1" s="38"/>
    <row r="658" ht="14.25" customHeight="1" s="38"/>
    <row r="659" ht="14.25" customHeight="1" s="38"/>
    <row r="660" ht="14.25" customHeight="1" s="38"/>
    <row r="661" ht="14.25" customHeight="1" s="38"/>
    <row r="662" ht="14.25" customHeight="1" s="38"/>
    <row r="663" ht="14.25" customHeight="1" s="38"/>
    <row r="664" ht="14.25" customHeight="1" s="38"/>
    <row r="665" ht="14.25" customHeight="1" s="38"/>
    <row r="666" ht="14.25" customHeight="1" s="38"/>
    <row r="667" ht="14.25" customHeight="1" s="38"/>
    <row r="668" ht="14.25" customHeight="1" s="38"/>
    <row r="669" ht="14.25" customHeight="1" s="38"/>
    <row r="670" ht="14.25" customHeight="1" s="38"/>
    <row r="671" ht="14.25" customHeight="1" s="38"/>
    <row r="672" ht="14.25" customHeight="1" s="38"/>
    <row r="673" ht="14.25" customHeight="1" s="38"/>
    <row r="674" ht="14.25" customHeight="1" s="38"/>
    <row r="675" ht="14.25" customHeight="1" s="38"/>
    <row r="676" ht="14.25" customHeight="1" s="38"/>
    <row r="677" ht="14.25" customHeight="1" s="38"/>
    <row r="678" ht="14.25" customHeight="1" s="38"/>
    <row r="679" ht="14.25" customHeight="1" s="38"/>
    <row r="680" ht="14.25" customHeight="1" s="38"/>
    <row r="681" ht="14.25" customHeight="1" s="38"/>
    <row r="682" ht="14.25" customHeight="1" s="38"/>
    <row r="683" ht="14.25" customHeight="1" s="38"/>
    <row r="684" ht="14.25" customHeight="1" s="38"/>
    <row r="685" ht="14.25" customHeight="1" s="38"/>
    <row r="686" ht="14.25" customHeight="1" s="38"/>
    <row r="687" ht="14.25" customHeight="1" s="38"/>
    <row r="688" ht="14.25" customHeight="1" s="38"/>
    <row r="689" ht="14.25" customHeight="1" s="38"/>
    <row r="690" ht="14.25" customHeight="1" s="38"/>
    <row r="691" ht="14.25" customHeight="1" s="38"/>
    <row r="692" ht="14.25" customHeight="1" s="38"/>
    <row r="693" ht="14.25" customHeight="1" s="38"/>
    <row r="694" ht="14.25" customHeight="1" s="38"/>
    <row r="695" ht="14.25" customHeight="1" s="38"/>
    <row r="696" ht="14.25" customHeight="1" s="38"/>
    <row r="697" ht="14.25" customHeight="1" s="38"/>
    <row r="698" ht="14.25" customHeight="1" s="38"/>
    <row r="699" ht="14.25" customHeight="1" s="38"/>
    <row r="700" ht="14.25" customHeight="1" s="38"/>
    <row r="701" ht="14.25" customHeight="1" s="38"/>
    <row r="702" ht="14.25" customHeight="1" s="38"/>
    <row r="703" ht="14.25" customHeight="1" s="38"/>
    <row r="704" ht="14.25" customHeight="1" s="38"/>
    <row r="705" ht="14.25" customHeight="1" s="38"/>
    <row r="706" ht="14.25" customHeight="1" s="38"/>
    <row r="707" ht="14.25" customHeight="1" s="38"/>
    <row r="708" ht="14.25" customHeight="1" s="38"/>
    <row r="709" ht="14.25" customHeight="1" s="38"/>
    <row r="710" ht="14.25" customHeight="1" s="38"/>
    <row r="711" ht="14.25" customHeight="1" s="38"/>
    <row r="712" ht="14.25" customHeight="1" s="38"/>
    <row r="713" ht="14.25" customHeight="1" s="38"/>
    <row r="714" ht="14.25" customHeight="1" s="38"/>
    <row r="715" ht="14.25" customHeight="1" s="38"/>
    <row r="716" ht="14.25" customHeight="1" s="38"/>
    <row r="717" ht="14.25" customHeight="1" s="38"/>
    <row r="718" ht="14.25" customHeight="1" s="38"/>
    <row r="719" ht="14.25" customHeight="1" s="38"/>
    <row r="720" ht="14.25" customHeight="1" s="38"/>
    <row r="721" ht="14.25" customHeight="1" s="38"/>
    <row r="722" ht="14.25" customHeight="1" s="38"/>
    <row r="723" ht="14.25" customHeight="1" s="38"/>
    <row r="724" ht="14.25" customHeight="1" s="38"/>
    <row r="725" ht="14.25" customHeight="1" s="38"/>
    <row r="726" ht="14.25" customHeight="1" s="38"/>
    <row r="727" ht="14.25" customHeight="1" s="38"/>
    <row r="728" ht="14.25" customHeight="1" s="38"/>
    <row r="729" ht="14.25" customHeight="1" s="38"/>
    <row r="730" ht="14.25" customHeight="1" s="38"/>
    <row r="731" ht="14.25" customHeight="1" s="38"/>
    <row r="732" ht="14.25" customHeight="1" s="38"/>
    <row r="733" ht="14.25" customHeight="1" s="38"/>
    <row r="734" ht="14.25" customHeight="1" s="38"/>
    <row r="735" ht="14.25" customHeight="1" s="38"/>
    <row r="736" ht="14.25" customHeight="1" s="38"/>
    <row r="737" ht="14.25" customHeight="1" s="38"/>
    <row r="738" ht="14.25" customHeight="1" s="38"/>
    <row r="739" ht="14.25" customHeight="1" s="38"/>
    <row r="740" ht="14.25" customHeight="1" s="38"/>
    <row r="741" ht="14.25" customHeight="1" s="38"/>
    <row r="742" ht="14.25" customHeight="1" s="38"/>
    <row r="743" ht="14.25" customHeight="1" s="38"/>
    <row r="744" ht="14.25" customHeight="1" s="38"/>
    <row r="745" ht="14.25" customHeight="1" s="38"/>
    <row r="746" ht="14.25" customHeight="1" s="38"/>
    <row r="747" ht="14.25" customHeight="1" s="38"/>
    <row r="748" ht="14.25" customHeight="1" s="38"/>
    <row r="749" ht="14.25" customHeight="1" s="38"/>
    <row r="750" ht="14.25" customHeight="1" s="38"/>
    <row r="751" ht="14.25" customHeight="1" s="38"/>
    <row r="752" ht="14.25" customHeight="1" s="38"/>
    <row r="753" ht="14.25" customHeight="1" s="38"/>
    <row r="754" ht="14.25" customHeight="1" s="38"/>
    <row r="755" ht="14.25" customHeight="1" s="38"/>
    <row r="756" ht="14.25" customHeight="1" s="38"/>
    <row r="757" ht="14.25" customHeight="1" s="38"/>
    <row r="758" ht="14.25" customHeight="1" s="38"/>
    <row r="759" ht="14.25" customHeight="1" s="38"/>
    <row r="760" ht="14.25" customHeight="1" s="38"/>
    <row r="761" ht="14.25" customHeight="1" s="38"/>
    <row r="762" ht="14.25" customHeight="1" s="38"/>
    <row r="763" ht="14.25" customHeight="1" s="38"/>
    <row r="764" ht="14.25" customHeight="1" s="38"/>
    <row r="765" ht="14.25" customHeight="1" s="38"/>
    <row r="766" ht="14.25" customHeight="1" s="38"/>
    <row r="767" ht="14.25" customHeight="1" s="38"/>
    <row r="768" ht="14.25" customHeight="1" s="38"/>
    <row r="769" ht="14.25" customHeight="1" s="38"/>
    <row r="770" ht="14.25" customHeight="1" s="38"/>
    <row r="771" ht="14.25" customHeight="1" s="38"/>
    <row r="772" ht="14.25" customHeight="1" s="38"/>
    <row r="773" ht="14.25" customHeight="1" s="38"/>
    <row r="774" ht="14.25" customHeight="1" s="38"/>
    <row r="775" ht="14.25" customHeight="1" s="38"/>
    <row r="776" ht="14.25" customHeight="1" s="38"/>
    <row r="777" ht="14.25" customHeight="1" s="38"/>
    <row r="778" ht="14.25" customHeight="1" s="38"/>
    <row r="779" ht="14.25" customHeight="1" s="38"/>
    <row r="780" ht="14.25" customHeight="1" s="38"/>
    <row r="781" ht="14.25" customHeight="1" s="38"/>
    <row r="782" ht="14.25" customHeight="1" s="38"/>
    <row r="783" ht="14.25" customHeight="1" s="38"/>
    <row r="784" ht="14.25" customHeight="1" s="38"/>
    <row r="785" ht="14.25" customHeight="1" s="38"/>
    <row r="786" ht="14.25" customHeight="1" s="38"/>
    <row r="787" ht="14.25" customHeight="1" s="38"/>
    <row r="788" ht="14.25" customHeight="1" s="38"/>
    <row r="789" ht="14.25" customHeight="1" s="38"/>
    <row r="790" ht="14.25" customHeight="1" s="38"/>
    <row r="791" ht="14.25" customHeight="1" s="38"/>
    <row r="792" ht="14.25" customHeight="1" s="38"/>
    <row r="793" ht="14.25" customHeight="1" s="38"/>
    <row r="794" ht="14.25" customHeight="1" s="38"/>
    <row r="795" ht="14.25" customHeight="1" s="38"/>
    <row r="796" ht="14.25" customHeight="1" s="38"/>
    <row r="797" ht="14.25" customHeight="1" s="38"/>
    <row r="798" ht="14.25" customHeight="1" s="38"/>
    <row r="799" ht="14.25" customHeight="1" s="38"/>
    <row r="800" ht="14.25" customHeight="1" s="38"/>
    <row r="801" ht="14.25" customHeight="1" s="38"/>
    <row r="802" ht="14.25" customHeight="1" s="38"/>
    <row r="803" ht="14.25" customHeight="1" s="38"/>
    <row r="804" ht="14.25" customHeight="1" s="38"/>
    <row r="805" ht="14.25" customHeight="1" s="38"/>
    <row r="806" ht="14.25" customHeight="1" s="38"/>
    <row r="807" ht="14.25" customHeight="1" s="38"/>
    <row r="808" ht="14.25" customHeight="1" s="38"/>
    <row r="809" ht="14.25" customHeight="1" s="38"/>
    <row r="810" ht="14.25" customHeight="1" s="38"/>
    <row r="811" ht="14.25" customHeight="1" s="38"/>
    <row r="812" ht="14.25" customHeight="1" s="38"/>
    <row r="813" ht="14.25" customHeight="1" s="38"/>
    <row r="814" ht="14.25" customHeight="1" s="38"/>
    <row r="815" ht="14.25" customHeight="1" s="38"/>
    <row r="816" ht="14.25" customHeight="1" s="38"/>
    <row r="817" ht="14.25" customHeight="1" s="38"/>
    <row r="818" ht="14.25" customHeight="1" s="38"/>
    <row r="819" ht="14.25" customHeight="1" s="38"/>
    <row r="820" ht="14.25" customHeight="1" s="38"/>
    <row r="821" ht="14.25" customHeight="1" s="38"/>
    <row r="822" ht="14.25" customHeight="1" s="38"/>
    <row r="823" ht="14.25" customHeight="1" s="38"/>
    <row r="824" ht="14.25" customHeight="1" s="38"/>
    <row r="825" ht="14.25" customHeight="1" s="38"/>
    <row r="826" ht="14.25" customHeight="1" s="38"/>
    <row r="827" ht="14.25" customHeight="1" s="38"/>
    <row r="828" ht="14.25" customHeight="1" s="38"/>
    <row r="829" ht="14.25" customHeight="1" s="38"/>
    <row r="830" ht="14.25" customHeight="1" s="38"/>
    <row r="831" ht="14.25" customHeight="1" s="38"/>
    <row r="832" ht="14.25" customHeight="1" s="38"/>
    <row r="833" ht="14.25" customHeight="1" s="38"/>
    <row r="834" ht="14.25" customHeight="1" s="38"/>
    <row r="835" ht="14.25" customHeight="1" s="38"/>
    <row r="836" ht="14.25" customHeight="1" s="38"/>
    <row r="837" ht="14.25" customHeight="1" s="38"/>
    <row r="838" ht="14.25" customHeight="1" s="38"/>
    <row r="839" ht="14.25" customHeight="1" s="38"/>
    <row r="840" ht="14.25" customHeight="1" s="38"/>
    <row r="841" ht="14.25" customHeight="1" s="38"/>
    <row r="842" ht="14.25" customHeight="1" s="38"/>
    <row r="843" ht="14.25" customHeight="1" s="38"/>
    <row r="844" ht="14.25" customHeight="1" s="38"/>
    <row r="845" ht="14.25" customHeight="1" s="38"/>
    <row r="846" ht="14.25" customHeight="1" s="38"/>
    <row r="847" ht="14.25" customHeight="1" s="38"/>
    <row r="848" ht="14.25" customHeight="1" s="38"/>
    <row r="849" ht="14.25" customHeight="1" s="38"/>
    <row r="850" ht="14.25" customHeight="1" s="38"/>
    <row r="851" ht="14.25" customHeight="1" s="38"/>
    <row r="852" ht="14.25" customHeight="1" s="38"/>
    <row r="853" ht="14.25" customHeight="1" s="38"/>
    <row r="854" ht="14.25" customHeight="1" s="38"/>
    <row r="855" ht="14.25" customHeight="1" s="38"/>
    <row r="856" ht="14.25" customHeight="1" s="38"/>
    <row r="857" ht="14.25" customHeight="1" s="38"/>
    <row r="858" ht="14.25" customHeight="1" s="38"/>
    <row r="859" ht="14.25" customHeight="1" s="38"/>
    <row r="860" ht="14.25" customHeight="1" s="38"/>
    <row r="861" ht="14.25" customHeight="1" s="38"/>
    <row r="862" ht="14.25" customHeight="1" s="38"/>
    <row r="863" ht="14.25" customHeight="1" s="38"/>
    <row r="864" ht="14.25" customHeight="1" s="38"/>
    <row r="865" ht="14.25" customHeight="1" s="38"/>
    <row r="866" ht="14.25" customHeight="1" s="38"/>
    <row r="867" ht="14.25" customHeight="1" s="38"/>
    <row r="868" ht="14.25" customHeight="1" s="38"/>
    <row r="869" ht="14.25" customHeight="1" s="38"/>
    <row r="870" ht="14.25" customHeight="1" s="38"/>
    <row r="871" ht="14.25" customHeight="1" s="38"/>
    <row r="872" ht="14.25" customHeight="1" s="38"/>
    <row r="873" ht="14.25" customHeight="1" s="38"/>
    <row r="874" ht="14.25" customHeight="1" s="38"/>
    <row r="875" ht="14.25" customHeight="1" s="38"/>
    <row r="876" ht="14.25" customHeight="1" s="38"/>
    <row r="877" ht="14.25" customHeight="1" s="38"/>
    <row r="878" ht="14.25" customHeight="1" s="38"/>
    <row r="879" ht="14.25" customHeight="1" s="38"/>
    <row r="880" ht="14.25" customHeight="1" s="38"/>
    <row r="881" ht="14.25" customHeight="1" s="38"/>
    <row r="882" ht="14.25" customHeight="1" s="38"/>
    <row r="883" ht="14.25" customHeight="1" s="38"/>
    <row r="884" ht="14.25" customHeight="1" s="38"/>
    <row r="885" ht="14.25" customHeight="1" s="38"/>
    <row r="886" ht="14.25" customHeight="1" s="38"/>
    <row r="887" ht="14.25" customHeight="1" s="38"/>
    <row r="888" ht="14.25" customHeight="1" s="38"/>
    <row r="889" ht="14.25" customHeight="1" s="38"/>
    <row r="890" ht="14.25" customHeight="1" s="38"/>
    <row r="891" ht="14.25" customHeight="1" s="38"/>
    <row r="892" ht="14.25" customHeight="1" s="38"/>
    <row r="893" ht="14.25" customHeight="1" s="38"/>
    <row r="894" ht="14.25" customHeight="1" s="38"/>
    <row r="895" ht="14.25" customHeight="1" s="38"/>
    <row r="896" ht="14.25" customHeight="1" s="38"/>
    <row r="897" ht="14.25" customHeight="1" s="38"/>
    <row r="898" ht="14.25" customHeight="1" s="38"/>
    <row r="899" ht="14.25" customHeight="1" s="38"/>
    <row r="900" ht="14.25" customHeight="1" s="38"/>
    <row r="901" ht="14.25" customHeight="1" s="38"/>
    <row r="902" ht="14.25" customHeight="1" s="38"/>
    <row r="903" ht="14.25" customHeight="1" s="38"/>
    <row r="904" ht="14.25" customHeight="1" s="38"/>
    <row r="905" ht="14.25" customHeight="1" s="38"/>
    <row r="906" ht="14.25" customHeight="1" s="38"/>
    <row r="907" ht="14.25" customHeight="1" s="38"/>
    <row r="908" ht="14.25" customHeight="1" s="38"/>
    <row r="909" ht="14.25" customHeight="1" s="38"/>
    <row r="910" ht="14.25" customHeight="1" s="38"/>
    <row r="911" ht="14.25" customHeight="1" s="38"/>
    <row r="912" ht="14.25" customHeight="1" s="38"/>
    <row r="913" ht="14.25" customHeight="1" s="38"/>
    <row r="914" ht="14.25" customHeight="1" s="38"/>
    <row r="915" ht="14.25" customHeight="1" s="38"/>
    <row r="916" ht="14.25" customHeight="1" s="38"/>
    <row r="917" ht="14.25" customHeight="1" s="38"/>
    <row r="918" ht="14.25" customHeight="1" s="38"/>
    <row r="919" ht="14.25" customHeight="1" s="38"/>
    <row r="920" ht="14.25" customHeight="1" s="38"/>
    <row r="921" ht="14.25" customHeight="1" s="38"/>
    <row r="922" ht="14.25" customHeight="1" s="38"/>
    <row r="923" ht="14.25" customHeight="1" s="38"/>
    <row r="924" ht="14.25" customHeight="1" s="38"/>
    <row r="925" ht="14.25" customHeight="1" s="38"/>
    <row r="926" ht="14.25" customHeight="1" s="38"/>
    <row r="927" ht="14.25" customHeight="1" s="38"/>
    <row r="928" ht="14.25" customHeight="1" s="38"/>
    <row r="929" ht="14.25" customHeight="1" s="38"/>
    <row r="930" ht="14.25" customHeight="1" s="38"/>
    <row r="931" ht="14.25" customHeight="1" s="38"/>
    <row r="932" ht="14.25" customHeight="1" s="38"/>
    <row r="933" ht="14.25" customHeight="1" s="38"/>
    <row r="934" ht="14.25" customHeight="1" s="38"/>
    <row r="935" ht="14.25" customHeight="1" s="38"/>
    <row r="936" ht="14.25" customHeight="1" s="38"/>
    <row r="937" ht="14.25" customHeight="1" s="38"/>
    <row r="938" ht="14.25" customHeight="1" s="38"/>
    <row r="939" ht="14.25" customHeight="1" s="38"/>
    <row r="940" ht="14.25" customHeight="1" s="38"/>
    <row r="941" ht="14.25" customHeight="1" s="38"/>
    <row r="942" ht="14.25" customHeight="1" s="38"/>
    <row r="943" ht="14.25" customHeight="1" s="38"/>
    <row r="944" ht="14.25" customHeight="1" s="38"/>
    <row r="945" ht="14.25" customHeight="1" s="38"/>
    <row r="946" ht="14.25" customHeight="1" s="38"/>
    <row r="947" ht="14.25" customHeight="1" s="38"/>
    <row r="948" ht="14.25" customHeight="1" s="38"/>
    <row r="949" ht="14.25" customHeight="1" s="38"/>
    <row r="950" ht="14.25" customHeight="1" s="38"/>
    <row r="951" ht="14.25" customHeight="1" s="38"/>
    <row r="952" ht="14.25" customHeight="1" s="38"/>
    <row r="953" ht="14.25" customHeight="1" s="38"/>
    <row r="954" ht="14.25" customHeight="1" s="38"/>
    <row r="955" ht="14.25" customHeight="1" s="38"/>
    <row r="956" ht="14.25" customHeight="1" s="38"/>
    <row r="957" ht="14.25" customHeight="1" s="38"/>
    <row r="958" ht="14.25" customHeight="1" s="38"/>
    <row r="959" ht="14.25" customHeight="1" s="38"/>
    <row r="960" ht="14.25" customHeight="1" s="38"/>
    <row r="961" ht="14.25" customHeight="1" s="38"/>
    <row r="962" ht="14.25" customHeight="1" s="38"/>
    <row r="963" ht="14.25" customHeight="1" s="38"/>
    <row r="964" ht="14.25" customHeight="1" s="38"/>
    <row r="965" ht="14.25" customHeight="1" s="38"/>
    <row r="966" ht="14.25" customHeight="1" s="38"/>
    <row r="967" ht="14.25" customHeight="1" s="38"/>
    <row r="968" ht="14.25" customHeight="1" s="38"/>
    <row r="969" ht="14.25" customHeight="1" s="38"/>
    <row r="970" ht="14.25" customHeight="1" s="38"/>
    <row r="971" ht="14.25" customHeight="1" s="38"/>
    <row r="972" ht="14.25" customHeight="1" s="38"/>
    <row r="973" ht="14.25" customHeight="1" s="38"/>
    <row r="974" ht="14.25" customHeight="1" s="38"/>
    <row r="975" ht="14.25" customHeight="1" s="38"/>
    <row r="976" ht="14.25" customHeight="1" s="38"/>
    <row r="977" ht="14.25" customHeight="1" s="38"/>
    <row r="978" ht="14.25" customHeight="1" s="38"/>
    <row r="979" ht="14.25" customHeight="1" s="38"/>
    <row r="980" ht="14.25" customHeight="1" s="38"/>
    <row r="981" ht="14.25" customHeight="1" s="38"/>
    <row r="982" ht="14.25" customHeight="1" s="38"/>
    <row r="983" ht="14.25" customHeight="1" s="38"/>
    <row r="984" ht="14.25" customHeight="1" s="38"/>
    <row r="985" ht="14.25" customHeight="1" s="38"/>
    <row r="986" ht="14.25" customHeight="1" s="38"/>
    <row r="987" ht="14.25" customHeight="1" s="38"/>
    <row r="988" ht="14.25" customHeight="1" s="38"/>
    <row r="989" ht="14.25" customHeight="1" s="38"/>
    <row r="990" ht="14.25" customHeight="1" s="38"/>
    <row r="991" ht="14.25" customHeight="1" s="38"/>
    <row r="992" ht="14.25" customHeight="1" s="38"/>
    <row r="993" ht="14.25" customHeight="1" s="38"/>
    <row r="994" ht="14.25" customHeight="1" s="38"/>
    <row r="995" ht="14.25" customHeight="1" s="38"/>
    <row r="996" ht="14.25" customHeight="1" s="38"/>
    <row r="997" ht="14.25" customHeight="1" s="38"/>
    <row r="998" ht="14.25" customHeight="1" s="38"/>
    <row r="999" ht="14.25" customHeight="1" s="38"/>
    <row r="1000" ht="14.25" customHeight="1" s="38"/>
    <row r="1001" ht="14.25" customHeight="1" s="38"/>
  </sheetData>
  <autoFilter ref="$A$1:$G$1001"/>
  <pageMargins left="0.25" right="0.25" top="0.35" bottom="0.35" header="0" footer="0"/>
  <pageSetup orientation="landscape" paperSize="9" fitToHeight="0"/>
  <headerFooter>
    <oddHeader/>
    <oddFooter>&amp;CParoki St. Klement I Sepinggan Balikpapan • Statistik 2026&amp;RHalaman &amp;P dari 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1001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38" min="1" max="1"/>
    <col width="30" customWidth="1" style="38" min="2" max="2"/>
    <col width="22" customWidth="1" style="38" min="3" max="3"/>
    <col width="20" customWidth="1" style="38" min="4" max="4"/>
    <col width="28" customWidth="1" style="38" min="5" max="5"/>
    <col width="30" customWidth="1" style="38" min="6" max="6"/>
    <col width="9" customWidth="1" style="38" min="7" max="26"/>
  </cols>
  <sheetData>
    <row r="1" ht="14.25" customHeight="1" s="38">
      <c r="A1" s="7" t="inlineStr">
        <is>
          <t>ID KK</t>
        </is>
      </c>
      <c r="B1" s="7" t="inlineStr">
        <is>
          <t>Nama Pasangan</t>
        </is>
      </c>
      <c r="C1" s="7" t="inlineStr">
        <is>
          <t>Lingkungan</t>
        </is>
      </c>
      <c r="D1" s="7" t="inlineStr">
        <is>
          <t>Tanggal Perkawinan</t>
        </is>
      </c>
      <c r="E1" s="7" t="inlineStr">
        <is>
          <t>Agama Pasangan</t>
        </is>
      </c>
      <c r="F1" s="7" t="inlineStr">
        <is>
          <t>Keterangan</t>
        </is>
      </c>
    </row>
    <row r="2" ht="14.25" customHeight="1" s="38">
      <c r="A2" s="9" t="n"/>
      <c r="B2" s="9" t="n"/>
      <c r="C2" s="9" t="n"/>
      <c r="D2" s="9" t="n"/>
      <c r="E2" s="9" t="n"/>
      <c r="F2" s="9" t="n"/>
    </row>
    <row r="3" ht="14.25" customHeight="1" s="38">
      <c r="A3" s="9" t="n"/>
      <c r="B3" s="9" t="n"/>
      <c r="C3" s="9" t="n"/>
      <c r="D3" s="9" t="n"/>
      <c r="E3" s="9" t="n"/>
      <c r="F3" s="9" t="n"/>
    </row>
    <row r="4" ht="14.25" customHeight="1" s="38">
      <c r="A4" s="9" t="n"/>
      <c r="B4" s="9" t="n"/>
      <c r="C4" s="9" t="n"/>
      <c r="D4" s="9" t="n"/>
      <c r="E4" s="9" t="n"/>
      <c r="F4" s="9" t="n"/>
    </row>
    <row r="5" ht="14.25" customHeight="1" s="38">
      <c r="A5" s="9" t="n"/>
      <c r="B5" s="9" t="n"/>
      <c r="C5" s="9" t="n"/>
      <c r="D5" s="9" t="n"/>
      <c r="E5" s="9" t="n"/>
      <c r="F5" s="9" t="n"/>
    </row>
    <row r="6" ht="14.25" customHeight="1" s="38">
      <c r="A6" s="9" t="n"/>
      <c r="B6" s="9" t="n"/>
      <c r="C6" s="9" t="n"/>
      <c r="D6" s="9" t="n"/>
      <c r="E6" s="9" t="n"/>
      <c r="F6" s="9" t="n"/>
    </row>
    <row r="7" ht="14.25" customHeight="1" s="38">
      <c r="A7" s="9" t="n"/>
      <c r="B7" s="9" t="n"/>
      <c r="C7" s="9" t="n"/>
      <c r="D7" s="9" t="n"/>
      <c r="E7" s="9" t="n"/>
      <c r="F7" s="9" t="n"/>
    </row>
    <row r="8" ht="14.25" customHeight="1" s="38">
      <c r="A8" s="9" t="n"/>
      <c r="B8" s="9" t="n"/>
      <c r="C8" s="9" t="n"/>
      <c r="D8" s="9" t="n"/>
      <c r="E8" s="9" t="n"/>
      <c r="F8" s="9" t="n"/>
    </row>
    <row r="9" ht="14.25" customHeight="1" s="38">
      <c r="A9" s="9" t="n"/>
      <c r="B9" s="9" t="n"/>
      <c r="C9" s="9" t="n"/>
      <c r="D9" s="9" t="n"/>
      <c r="E9" s="9" t="n"/>
      <c r="F9" s="9" t="n"/>
    </row>
    <row r="10" ht="14.25" customHeight="1" s="38">
      <c r="A10" s="9" t="n"/>
      <c r="B10" s="9" t="n"/>
      <c r="C10" s="9" t="n"/>
      <c r="D10" s="9" t="n"/>
      <c r="E10" s="9" t="n"/>
      <c r="F10" s="9" t="n"/>
    </row>
    <row r="11" ht="14.25" customHeight="1" s="38">
      <c r="A11" s="9" t="n"/>
      <c r="B11" s="9" t="n"/>
      <c r="C11" s="9" t="n"/>
      <c r="D11" s="9" t="n"/>
      <c r="E11" s="9" t="n"/>
      <c r="F11" s="9" t="n"/>
    </row>
    <row r="12" ht="14.25" customHeight="1" s="38">
      <c r="A12" s="9" t="n"/>
      <c r="B12" s="9" t="n"/>
      <c r="C12" s="9" t="n"/>
      <c r="D12" s="9" t="n"/>
      <c r="E12" s="9" t="n"/>
      <c r="F12" s="9" t="n"/>
    </row>
    <row r="13" ht="14.25" customHeight="1" s="38">
      <c r="A13" s="9" t="n"/>
      <c r="B13" s="9" t="n"/>
      <c r="C13" s="9" t="n"/>
      <c r="D13" s="9" t="n"/>
      <c r="E13" s="9" t="n"/>
      <c r="F13" s="9" t="n"/>
    </row>
    <row r="14" ht="14.25" customHeight="1" s="38">
      <c r="A14" s="9" t="n"/>
      <c r="B14" s="9" t="n"/>
      <c r="C14" s="9" t="n"/>
      <c r="D14" s="9" t="n"/>
      <c r="E14" s="9" t="n"/>
      <c r="F14" s="9" t="n"/>
    </row>
    <row r="15" ht="14.25" customHeight="1" s="38">
      <c r="A15" s="9" t="n"/>
      <c r="B15" s="9" t="n"/>
      <c r="C15" s="9" t="n"/>
      <c r="D15" s="9" t="n"/>
      <c r="E15" s="9" t="n"/>
      <c r="F15" s="9" t="n"/>
    </row>
    <row r="16" ht="14.25" customHeight="1" s="38">
      <c r="A16" s="9" t="n"/>
      <c r="B16" s="9" t="n"/>
      <c r="C16" s="9" t="n"/>
      <c r="D16" s="9" t="n"/>
      <c r="E16" s="9" t="n"/>
      <c r="F16" s="9" t="n"/>
    </row>
    <row r="17" ht="14.25" customHeight="1" s="38">
      <c r="A17" s="9" t="n"/>
      <c r="B17" s="9" t="n"/>
      <c r="C17" s="9" t="n"/>
      <c r="D17" s="9" t="n"/>
      <c r="E17" s="9" t="n"/>
      <c r="F17" s="9" t="n"/>
    </row>
    <row r="18" ht="14.25" customHeight="1" s="38">
      <c r="A18" s="9" t="n"/>
      <c r="B18" s="9" t="n"/>
      <c r="C18" s="9" t="n"/>
      <c r="D18" s="9" t="n"/>
      <c r="E18" s="9" t="n"/>
      <c r="F18" s="9" t="n"/>
    </row>
    <row r="19" ht="14.25" customHeight="1" s="38">
      <c r="A19" s="9" t="n"/>
      <c r="B19" s="9" t="n"/>
      <c r="C19" s="9" t="n"/>
      <c r="D19" s="9" t="n"/>
      <c r="E19" s="9" t="n"/>
      <c r="F19" s="9" t="n"/>
    </row>
    <row r="20" ht="14.25" customHeight="1" s="38">
      <c r="A20" s="9" t="n"/>
      <c r="B20" s="9" t="n"/>
      <c r="C20" s="9" t="n"/>
      <c r="D20" s="9" t="n"/>
      <c r="E20" s="9" t="n"/>
      <c r="F20" s="9" t="n"/>
    </row>
    <row r="21" ht="14.25" customHeight="1" s="38">
      <c r="A21" s="9" t="n"/>
      <c r="B21" s="9" t="n"/>
      <c r="C21" s="9" t="n"/>
      <c r="D21" s="9" t="n"/>
      <c r="E21" s="9" t="n"/>
      <c r="F21" s="9" t="n"/>
    </row>
    <row r="22" ht="14.25" customHeight="1" s="38">
      <c r="A22" s="9" t="n"/>
      <c r="B22" s="9" t="n"/>
      <c r="C22" s="9" t="n"/>
      <c r="D22" s="9" t="n"/>
      <c r="E22" s="9" t="n"/>
      <c r="F22" s="9" t="n"/>
    </row>
    <row r="23" ht="14.25" customHeight="1" s="38">
      <c r="A23" s="9" t="n"/>
      <c r="B23" s="9" t="n"/>
      <c r="C23" s="9" t="n"/>
      <c r="D23" s="9" t="n"/>
      <c r="E23" s="9" t="n"/>
      <c r="F23" s="9" t="n"/>
    </row>
    <row r="24" ht="14.25" customHeight="1" s="38">
      <c r="A24" s="9" t="n"/>
      <c r="B24" s="9" t="n"/>
      <c r="C24" s="9" t="n"/>
      <c r="D24" s="9" t="n"/>
      <c r="E24" s="9" t="n"/>
      <c r="F24" s="9" t="n"/>
    </row>
    <row r="25" ht="14.25" customHeight="1" s="38">
      <c r="A25" s="9" t="n"/>
      <c r="B25" s="9" t="n"/>
      <c r="C25" s="9" t="n"/>
      <c r="D25" s="9" t="n"/>
      <c r="E25" s="9" t="n"/>
      <c r="F25" s="9" t="n"/>
    </row>
    <row r="26" ht="14.25" customHeight="1" s="38">
      <c r="A26" s="9" t="n"/>
      <c r="B26" s="9" t="n"/>
      <c r="C26" s="9" t="n"/>
      <c r="D26" s="9" t="n"/>
      <c r="E26" s="9" t="n"/>
      <c r="F26" s="9" t="n"/>
    </row>
    <row r="27" ht="14.25" customHeight="1" s="38">
      <c r="A27" s="9" t="n"/>
      <c r="B27" s="9" t="n"/>
      <c r="C27" s="9" t="n"/>
      <c r="D27" s="9" t="n"/>
      <c r="E27" s="9" t="n"/>
      <c r="F27" s="9" t="n"/>
    </row>
    <row r="28" ht="14.25" customHeight="1" s="38">
      <c r="A28" s="9" t="n"/>
      <c r="B28" s="9" t="n"/>
      <c r="C28" s="9" t="n"/>
      <c r="D28" s="9" t="n"/>
      <c r="E28" s="9" t="n"/>
      <c r="F28" s="9" t="n"/>
    </row>
    <row r="29" ht="14.25" customHeight="1" s="38">
      <c r="A29" s="9" t="n"/>
      <c r="B29" s="9" t="n"/>
      <c r="C29" s="9" t="n"/>
      <c r="D29" s="9" t="n"/>
      <c r="E29" s="9" t="n"/>
      <c r="F29" s="9" t="n"/>
    </row>
    <row r="30" ht="14.25" customHeight="1" s="38">
      <c r="A30" s="9" t="n"/>
      <c r="B30" s="9" t="n"/>
      <c r="C30" s="9" t="n"/>
      <c r="D30" s="9" t="n"/>
      <c r="E30" s="9" t="n"/>
      <c r="F30" s="9" t="n"/>
    </row>
    <row r="31" ht="14.25" customHeight="1" s="38">
      <c r="A31" s="9" t="n"/>
      <c r="B31" s="9" t="n"/>
      <c r="C31" s="9" t="n"/>
      <c r="D31" s="9" t="n"/>
      <c r="E31" s="9" t="n"/>
      <c r="F31" s="9" t="n"/>
    </row>
    <row r="32" ht="14.25" customHeight="1" s="38">
      <c r="A32" s="9" t="n"/>
      <c r="B32" s="9" t="n"/>
      <c r="C32" s="9" t="n"/>
      <c r="D32" s="9" t="n"/>
      <c r="E32" s="9" t="n"/>
      <c r="F32" s="9" t="n"/>
    </row>
    <row r="33" ht="14.25" customHeight="1" s="38">
      <c r="A33" s="9" t="n"/>
      <c r="B33" s="9" t="n"/>
      <c r="C33" s="9" t="n"/>
      <c r="D33" s="9" t="n"/>
      <c r="E33" s="9" t="n"/>
      <c r="F33" s="9" t="n"/>
    </row>
    <row r="34" ht="14.25" customHeight="1" s="38">
      <c r="A34" s="9" t="n"/>
      <c r="B34" s="9" t="n"/>
      <c r="C34" s="9" t="n"/>
      <c r="D34" s="9" t="n"/>
      <c r="E34" s="9" t="n"/>
      <c r="F34" s="9" t="n"/>
    </row>
    <row r="35" ht="14.25" customHeight="1" s="38">
      <c r="A35" s="9" t="n"/>
      <c r="B35" s="9" t="n"/>
      <c r="C35" s="9" t="n"/>
      <c r="D35" s="9" t="n"/>
      <c r="E35" s="9" t="n"/>
      <c r="F35" s="9" t="n"/>
    </row>
    <row r="36" ht="14.25" customHeight="1" s="38">
      <c r="A36" s="9" t="n"/>
      <c r="B36" s="9" t="n"/>
      <c r="C36" s="9" t="n"/>
      <c r="D36" s="9" t="n"/>
      <c r="E36" s="9" t="n"/>
      <c r="F36" s="9" t="n"/>
    </row>
    <row r="37" ht="14.25" customHeight="1" s="38">
      <c r="A37" s="9" t="n"/>
      <c r="B37" s="9" t="n"/>
      <c r="C37" s="9" t="n"/>
      <c r="D37" s="9" t="n"/>
      <c r="E37" s="9" t="n"/>
      <c r="F37" s="9" t="n"/>
    </row>
    <row r="38" ht="14.25" customHeight="1" s="38">
      <c r="A38" s="9" t="n"/>
      <c r="B38" s="9" t="n"/>
      <c r="C38" s="9" t="n"/>
      <c r="D38" s="9" t="n"/>
      <c r="E38" s="9" t="n"/>
      <c r="F38" s="9" t="n"/>
    </row>
    <row r="39" ht="14.25" customHeight="1" s="38">
      <c r="A39" s="9" t="n"/>
      <c r="B39" s="9" t="n"/>
      <c r="C39" s="9" t="n"/>
      <c r="D39" s="9" t="n"/>
      <c r="E39" s="9" t="n"/>
      <c r="F39" s="9" t="n"/>
    </row>
    <row r="40" ht="14.25" customHeight="1" s="38">
      <c r="A40" s="9" t="n"/>
      <c r="B40" s="9" t="n"/>
      <c r="C40" s="9" t="n"/>
      <c r="D40" s="9" t="n"/>
      <c r="E40" s="9" t="n"/>
      <c r="F40" s="9" t="n"/>
    </row>
    <row r="41" ht="14.25" customHeight="1" s="38">
      <c r="A41" s="9" t="n"/>
      <c r="B41" s="9" t="n"/>
      <c r="C41" s="9" t="n"/>
      <c r="D41" s="9" t="n"/>
      <c r="E41" s="9" t="n"/>
      <c r="F41" s="9" t="n"/>
    </row>
    <row r="42" ht="14.25" customHeight="1" s="38">
      <c r="A42" s="9" t="n"/>
      <c r="B42" s="9" t="n"/>
      <c r="C42" s="9" t="n"/>
      <c r="D42" s="9" t="n"/>
      <c r="E42" s="9" t="n"/>
      <c r="F42" s="9" t="n"/>
    </row>
    <row r="43" ht="14.25" customHeight="1" s="38">
      <c r="A43" s="9" t="n"/>
      <c r="B43" s="9" t="n"/>
      <c r="C43" s="9" t="n"/>
      <c r="D43" s="9" t="n"/>
      <c r="E43" s="9" t="n"/>
      <c r="F43" s="9" t="n"/>
    </row>
    <row r="44" ht="14.25" customHeight="1" s="38">
      <c r="A44" s="9" t="n"/>
      <c r="B44" s="9" t="n"/>
      <c r="C44" s="9" t="n"/>
      <c r="D44" s="9" t="n"/>
      <c r="E44" s="9" t="n"/>
      <c r="F44" s="9" t="n"/>
    </row>
    <row r="45" ht="14.25" customHeight="1" s="38">
      <c r="A45" s="9" t="n"/>
      <c r="B45" s="9" t="n"/>
      <c r="C45" s="9" t="n"/>
      <c r="D45" s="9" t="n"/>
      <c r="E45" s="9" t="n"/>
      <c r="F45" s="9" t="n"/>
    </row>
    <row r="46" ht="14.25" customHeight="1" s="38">
      <c r="A46" s="9" t="n"/>
      <c r="B46" s="9" t="n"/>
      <c r="C46" s="9" t="n"/>
      <c r="D46" s="9" t="n"/>
      <c r="E46" s="9" t="n"/>
      <c r="F46" s="9" t="n"/>
    </row>
    <row r="47" ht="14.25" customHeight="1" s="38">
      <c r="A47" s="9" t="n"/>
      <c r="B47" s="9" t="n"/>
      <c r="C47" s="9" t="n"/>
      <c r="D47" s="9" t="n"/>
      <c r="E47" s="9" t="n"/>
      <c r="F47" s="9" t="n"/>
    </row>
    <row r="48" ht="14.25" customHeight="1" s="38">
      <c r="A48" s="9" t="n"/>
      <c r="B48" s="9" t="n"/>
      <c r="C48" s="9" t="n"/>
      <c r="D48" s="9" t="n"/>
      <c r="E48" s="9" t="n"/>
      <c r="F48" s="9" t="n"/>
    </row>
    <row r="49" ht="14.25" customHeight="1" s="38">
      <c r="A49" s="9" t="n"/>
      <c r="B49" s="9" t="n"/>
      <c r="C49" s="9" t="n"/>
      <c r="D49" s="9" t="n"/>
      <c r="E49" s="9" t="n"/>
      <c r="F49" s="9" t="n"/>
    </row>
    <row r="50" ht="14.25" customHeight="1" s="38">
      <c r="A50" s="9" t="n"/>
      <c r="B50" s="9" t="n"/>
      <c r="C50" s="9" t="n"/>
      <c r="D50" s="9" t="n"/>
      <c r="E50" s="9" t="n"/>
      <c r="F50" s="9" t="n"/>
    </row>
    <row r="51" ht="14.25" customHeight="1" s="38">
      <c r="A51" s="9" t="n"/>
      <c r="B51" s="9" t="n"/>
      <c r="C51" s="9" t="n"/>
      <c r="D51" s="9" t="n"/>
      <c r="E51" s="9" t="n"/>
      <c r="F51" s="9" t="n"/>
    </row>
    <row r="52" ht="14.25" customHeight="1" s="38">
      <c r="A52" s="9" t="n"/>
      <c r="B52" s="9" t="n"/>
      <c r="C52" s="9" t="n"/>
      <c r="D52" s="9" t="n"/>
      <c r="E52" s="9" t="n"/>
      <c r="F52" s="9" t="n"/>
    </row>
    <row r="53" ht="14.25" customHeight="1" s="38">
      <c r="A53" s="9" t="n"/>
      <c r="B53" s="9" t="n"/>
      <c r="C53" s="9" t="n"/>
      <c r="D53" s="9" t="n"/>
      <c r="E53" s="9" t="n"/>
      <c r="F53" s="9" t="n"/>
    </row>
    <row r="54" ht="14.25" customHeight="1" s="38">
      <c r="A54" s="9" t="n"/>
      <c r="B54" s="9" t="n"/>
      <c r="C54" s="9" t="n"/>
      <c r="D54" s="9" t="n"/>
      <c r="E54" s="9" t="n"/>
      <c r="F54" s="9" t="n"/>
    </row>
    <row r="55" ht="14.25" customHeight="1" s="38">
      <c r="A55" s="9" t="n"/>
      <c r="B55" s="9" t="n"/>
      <c r="C55" s="9" t="n"/>
      <c r="D55" s="9" t="n"/>
      <c r="E55" s="9" t="n"/>
      <c r="F55" s="9" t="n"/>
    </row>
    <row r="56" ht="14.25" customHeight="1" s="38">
      <c r="A56" s="9" t="n"/>
      <c r="B56" s="9" t="n"/>
      <c r="C56" s="9" t="n"/>
      <c r="D56" s="9" t="n"/>
      <c r="E56" s="9" t="n"/>
      <c r="F56" s="9" t="n"/>
    </row>
    <row r="57" ht="14.25" customHeight="1" s="38">
      <c r="A57" s="9" t="n"/>
      <c r="B57" s="9" t="n"/>
      <c r="C57" s="9" t="n"/>
      <c r="D57" s="9" t="n"/>
      <c r="E57" s="9" t="n"/>
      <c r="F57" s="9" t="n"/>
    </row>
    <row r="58" ht="14.25" customHeight="1" s="38">
      <c r="A58" s="9" t="n"/>
      <c r="B58" s="9" t="n"/>
      <c r="C58" s="9" t="n"/>
      <c r="D58" s="9" t="n"/>
      <c r="E58" s="9" t="n"/>
      <c r="F58" s="9" t="n"/>
    </row>
    <row r="59" ht="14.25" customHeight="1" s="38">
      <c r="A59" s="9" t="n"/>
      <c r="B59" s="9" t="n"/>
      <c r="C59" s="9" t="n"/>
      <c r="D59" s="9" t="n"/>
      <c r="E59" s="9" t="n"/>
      <c r="F59" s="9" t="n"/>
    </row>
    <row r="60" ht="14.25" customHeight="1" s="38">
      <c r="A60" s="9" t="n"/>
      <c r="B60" s="9" t="n"/>
      <c r="C60" s="9" t="n"/>
      <c r="D60" s="9" t="n"/>
      <c r="E60" s="9" t="n"/>
      <c r="F60" s="9" t="n"/>
    </row>
    <row r="61" ht="14.25" customHeight="1" s="38">
      <c r="A61" s="9" t="n"/>
      <c r="B61" s="9" t="n"/>
      <c r="C61" s="9" t="n"/>
      <c r="D61" s="9" t="n"/>
      <c r="E61" s="9" t="n"/>
      <c r="F61" s="9" t="n"/>
    </row>
    <row r="62" ht="14.25" customHeight="1" s="38">
      <c r="A62" s="9" t="n"/>
      <c r="B62" s="9" t="n"/>
      <c r="C62" s="9" t="n"/>
      <c r="D62" s="9" t="n"/>
      <c r="E62" s="9" t="n"/>
      <c r="F62" s="9" t="n"/>
    </row>
    <row r="63" ht="14.25" customHeight="1" s="38">
      <c r="A63" s="9" t="n"/>
      <c r="B63" s="9" t="n"/>
      <c r="C63" s="9" t="n"/>
      <c r="D63" s="9" t="n"/>
      <c r="E63" s="9" t="n"/>
      <c r="F63" s="9" t="n"/>
    </row>
    <row r="64" ht="14.25" customHeight="1" s="38">
      <c r="A64" s="9" t="n"/>
      <c r="B64" s="9" t="n"/>
      <c r="C64" s="9" t="n"/>
      <c r="D64" s="9" t="n"/>
      <c r="E64" s="9" t="n"/>
      <c r="F64" s="9" t="n"/>
    </row>
    <row r="65" ht="14.25" customHeight="1" s="38">
      <c r="A65" s="9" t="n"/>
      <c r="B65" s="9" t="n"/>
      <c r="C65" s="9" t="n"/>
      <c r="D65" s="9" t="n"/>
      <c r="E65" s="9" t="n"/>
      <c r="F65" s="9" t="n"/>
    </row>
    <row r="66" ht="14.25" customHeight="1" s="38">
      <c r="A66" s="9" t="n"/>
      <c r="B66" s="9" t="n"/>
      <c r="C66" s="9" t="n"/>
      <c r="D66" s="9" t="n"/>
      <c r="E66" s="9" t="n"/>
      <c r="F66" s="9" t="n"/>
    </row>
    <row r="67" ht="14.25" customHeight="1" s="38">
      <c r="A67" s="9" t="n"/>
      <c r="B67" s="9" t="n"/>
      <c r="C67" s="9" t="n"/>
      <c r="D67" s="9" t="n"/>
      <c r="E67" s="9" t="n"/>
      <c r="F67" s="9" t="n"/>
    </row>
    <row r="68" ht="14.25" customHeight="1" s="38">
      <c r="A68" s="9" t="n"/>
      <c r="B68" s="9" t="n"/>
      <c r="C68" s="9" t="n"/>
      <c r="D68" s="9" t="n"/>
      <c r="E68" s="9" t="n"/>
      <c r="F68" s="9" t="n"/>
    </row>
    <row r="69" ht="14.25" customHeight="1" s="38">
      <c r="A69" s="9" t="n"/>
      <c r="B69" s="9" t="n"/>
      <c r="C69" s="9" t="n"/>
      <c r="D69" s="9" t="n"/>
      <c r="E69" s="9" t="n"/>
      <c r="F69" s="9" t="n"/>
    </row>
    <row r="70" ht="14.25" customHeight="1" s="38">
      <c r="A70" s="9" t="n"/>
      <c r="B70" s="9" t="n"/>
      <c r="C70" s="9" t="n"/>
      <c r="D70" s="9" t="n"/>
      <c r="E70" s="9" t="n"/>
      <c r="F70" s="9" t="n"/>
    </row>
    <row r="71" ht="14.25" customHeight="1" s="38">
      <c r="A71" s="9" t="n"/>
      <c r="B71" s="9" t="n"/>
      <c r="C71" s="9" t="n"/>
      <c r="D71" s="9" t="n"/>
      <c r="E71" s="9" t="n"/>
      <c r="F71" s="9" t="n"/>
    </row>
    <row r="72" ht="14.25" customHeight="1" s="38">
      <c r="A72" s="9" t="n"/>
      <c r="B72" s="9" t="n"/>
      <c r="C72" s="9" t="n"/>
      <c r="D72" s="9" t="n"/>
      <c r="E72" s="9" t="n"/>
      <c r="F72" s="9" t="n"/>
    </row>
    <row r="73" ht="14.25" customHeight="1" s="38">
      <c r="A73" s="9" t="n"/>
      <c r="B73" s="9" t="n"/>
      <c r="C73" s="9" t="n"/>
      <c r="D73" s="9" t="n"/>
      <c r="E73" s="9" t="n"/>
      <c r="F73" s="9" t="n"/>
    </row>
    <row r="74" ht="14.25" customHeight="1" s="38">
      <c r="A74" s="9" t="n"/>
      <c r="B74" s="9" t="n"/>
      <c r="C74" s="9" t="n"/>
      <c r="D74" s="9" t="n"/>
      <c r="E74" s="9" t="n"/>
      <c r="F74" s="9" t="n"/>
    </row>
    <row r="75" ht="14.25" customHeight="1" s="38">
      <c r="A75" s="9" t="n"/>
      <c r="B75" s="9" t="n"/>
      <c r="C75" s="9" t="n"/>
      <c r="D75" s="9" t="n"/>
      <c r="E75" s="9" t="n"/>
      <c r="F75" s="9" t="n"/>
    </row>
    <row r="76" ht="14.25" customHeight="1" s="38">
      <c r="A76" s="9" t="n"/>
      <c r="B76" s="9" t="n"/>
      <c r="C76" s="9" t="n"/>
      <c r="D76" s="9" t="n"/>
      <c r="E76" s="9" t="n"/>
      <c r="F76" s="9" t="n"/>
    </row>
    <row r="77" ht="14.25" customHeight="1" s="38">
      <c r="A77" s="9" t="n"/>
      <c r="B77" s="9" t="n"/>
      <c r="C77" s="9" t="n"/>
      <c r="D77" s="9" t="n"/>
      <c r="E77" s="9" t="n"/>
      <c r="F77" s="9" t="n"/>
    </row>
    <row r="78" ht="14.25" customHeight="1" s="38">
      <c r="A78" s="9" t="n"/>
      <c r="B78" s="9" t="n"/>
      <c r="C78" s="9" t="n"/>
      <c r="D78" s="9" t="n"/>
      <c r="E78" s="9" t="n"/>
      <c r="F78" s="9" t="n"/>
    </row>
    <row r="79" ht="14.25" customHeight="1" s="38">
      <c r="A79" s="9" t="n"/>
      <c r="B79" s="9" t="n"/>
      <c r="C79" s="9" t="n"/>
      <c r="D79" s="9" t="n"/>
      <c r="E79" s="9" t="n"/>
      <c r="F79" s="9" t="n"/>
    </row>
    <row r="80" ht="14.25" customHeight="1" s="38">
      <c r="A80" s="9" t="n"/>
      <c r="B80" s="9" t="n"/>
      <c r="C80" s="9" t="n"/>
      <c r="D80" s="9" t="n"/>
      <c r="E80" s="9" t="n"/>
      <c r="F80" s="9" t="n"/>
    </row>
    <row r="81" ht="14.25" customHeight="1" s="38">
      <c r="A81" s="9" t="n"/>
      <c r="B81" s="9" t="n"/>
      <c r="C81" s="9" t="n"/>
      <c r="D81" s="9" t="n"/>
      <c r="E81" s="9" t="n"/>
      <c r="F81" s="9" t="n"/>
    </row>
    <row r="82" ht="14.25" customHeight="1" s="38">
      <c r="A82" s="9" t="n"/>
      <c r="B82" s="9" t="n"/>
      <c r="C82" s="9" t="n"/>
      <c r="D82" s="9" t="n"/>
      <c r="E82" s="9" t="n"/>
      <c r="F82" s="9" t="n"/>
    </row>
    <row r="83" ht="14.25" customHeight="1" s="38">
      <c r="A83" s="9" t="n"/>
      <c r="B83" s="9" t="n"/>
      <c r="C83" s="9" t="n"/>
      <c r="D83" s="9" t="n"/>
      <c r="E83" s="9" t="n"/>
      <c r="F83" s="9" t="n"/>
    </row>
    <row r="84" ht="14.25" customHeight="1" s="38">
      <c r="A84" s="9" t="n"/>
      <c r="B84" s="9" t="n"/>
      <c r="C84" s="9" t="n"/>
      <c r="D84" s="9" t="n"/>
      <c r="E84" s="9" t="n"/>
      <c r="F84" s="9" t="n"/>
    </row>
    <row r="85" ht="14.25" customHeight="1" s="38">
      <c r="A85" s="9" t="n"/>
      <c r="B85" s="9" t="n"/>
      <c r="C85" s="9" t="n"/>
      <c r="D85" s="9" t="n"/>
      <c r="E85" s="9" t="n"/>
      <c r="F85" s="9" t="n"/>
    </row>
    <row r="86" ht="14.25" customHeight="1" s="38">
      <c r="A86" s="9" t="n"/>
      <c r="B86" s="9" t="n"/>
      <c r="C86" s="9" t="n"/>
      <c r="D86" s="9" t="n"/>
      <c r="E86" s="9" t="n"/>
      <c r="F86" s="9" t="n"/>
    </row>
    <row r="87" ht="14.25" customHeight="1" s="38">
      <c r="A87" s="9" t="n"/>
      <c r="B87" s="9" t="n"/>
      <c r="C87" s="9" t="n"/>
      <c r="D87" s="9" t="n"/>
      <c r="E87" s="9" t="n"/>
      <c r="F87" s="9" t="n"/>
    </row>
    <row r="88" ht="14.25" customHeight="1" s="38">
      <c r="A88" s="9" t="n"/>
      <c r="B88" s="9" t="n"/>
      <c r="C88" s="9" t="n"/>
      <c r="D88" s="9" t="n"/>
      <c r="E88" s="9" t="n"/>
      <c r="F88" s="9" t="n"/>
    </row>
    <row r="89" ht="14.25" customHeight="1" s="38">
      <c r="A89" s="9" t="n"/>
      <c r="B89" s="9" t="n"/>
      <c r="C89" s="9" t="n"/>
      <c r="D89" s="9" t="n"/>
      <c r="E89" s="9" t="n"/>
      <c r="F89" s="9" t="n"/>
    </row>
    <row r="90" ht="14.25" customHeight="1" s="38">
      <c r="A90" s="9" t="n"/>
      <c r="B90" s="9" t="n"/>
      <c r="C90" s="9" t="n"/>
      <c r="D90" s="9" t="n"/>
      <c r="E90" s="9" t="n"/>
      <c r="F90" s="9" t="n"/>
    </row>
    <row r="91" ht="14.25" customHeight="1" s="38">
      <c r="A91" s="9" t="n"/>
      <c r="B91" s="9" t="n"/>
      <c r="C91" s="9" t="n"/>
      <c r="D91" s="9" t="n"/>
      <c r="E91" s="9" t="n"/>
      <c r="F91" s="9" t="n"/>
    </row>
    <row r="92" ht="14.25" customHeight="1" s="38">
      <c r="A92" s="9" t="n"/>
      <c r="B92" s="9" t="n"/>
      <c r="C92" s="9" t="n"/>
      <c r="D92" s="9" t="n"/>
      <c r="E92" s="9" t="n"/>
      <c r="F92" s="9" t="n"/>
    </row>
    <row r="93" ht="14.25" customHeight="1" s="38">
      <c r="A93" s="9" t="n"/>
      <c r="B93" s="9" t="n"/>
      <c r="C93" s="9" t="n"/>
      <c r="D93" s="9" t="n"/>
      <c r="E93" s="9" t="n"/>
      <c r="F93" s="9" t="n"/>
    </row>
    <row r="94" ht="14.25" customHeight="1" s="38">
      <c r="A94" s="9" t="n"/>
      <c r="B94" s="9" t="n"/>
      <c r="C94" s="9" t="n"/>
      <c r="D94" s="9" t="n"/>
      <c r="E94" s="9" t="n"/>
      <c r="F94" s="9" t="n"/>
    </row>
    <row r="95" ht="14.25" customHeight="1" s="38">
      <c r="A95" s="9" t="n"/>
      <c r="B95" s="9" t="n"/>
      <c r="C95" s="9" t="n"/>
      <c r="D95" s="9" t="n"/>
      <c r="E95" s="9" t="n"/>
      <c r="F95" s="9" t="n"/>
    </row>
    <row r="96" ht="14.25" customHeight="1" s="38">
      <c r="A96" s="9" t="n"/>
      <c r="B96" s="9" t="n"/>
      <c r="C96" s="9" t="n"/>
      <c r="D96" s="9" t="n"/>
      <c r="E96" s="9" t="n"/>
      <c r="F96" s="9" t="n"/>
    </row>
    <row r="97" ht="14.25" customHeight="1" s="38">
      <c r="A97" s="9" t="n"/>
      <c r="B97" s="9" t="n"/>
      <c r="C97" s="9" t="n"/>
      <c r="D97" s="9" t="n"/>
      <c r="E97" s="9" t="n"/>
      <c r="F97" s="9" t="n"/>
    </row>
    <row r="98" ht="14.25" customHeight="1" s="38">
      <c r="A98" s="9" t="n"/>
      <c r="B98" s="9" t="n"/>
      <c r="C98" s="9" t="n"/>
      <c r="D98" s="9" t="n"/>
      <c r="E98" s="9" t="n"/>
      <c r="F98" s="9" t="n"/>
    </row>
    <row r="99" ht="14.25" customHeight="1" s="38">
      <c r="A99" s="9" t="n"/>
      <c r="B99" s="9" t="n"/>
      <c r="C99" s="9" t="n"/>
      <c r="D99" s="9" t="n"/>
      <c r="E99" s="9" t="n"/>
      <c r="F99" s="9" t="n"/>
    </row>
    <row r="100" ht="14.25" customHeight="1" s="38">
      <c r="A100" s="9" t="n"/>
      <c r="B100" s="9" t="n"/>
      <c r="C100" s="9" t="n"/>
      <c r="D100" s="9" t="n"/>
      <c r="E100" s="9" t="n"/>
      <c r="F100" s="9" t="n"/>
    </row>
    <row r="101" ht="14.25" customHeight="1" s="38">
      <c r="A101" s="9" t="n"/>
      <c r="B101" s="9" t="n"/>
      <c r="C101" s="9" t="n"/>
      <c r="D101" s="9" t="n"/>
      <c r="E101" s="9" t="n"/>
      <c r="F101" s="9" t="n"/>
    </row>
    <row r="102" ht="14.25" customHeight="1" s="38">
      <c r="A102" s="9" t="n"/>
      <c r="B102" s="9" t="n"/>
      <c r="C102" s="9" t="n"/>
      <c r="D102" s="9" t="n"/>
      <c r="E102" s="9" t="n"/>
      <c r="F102" s="9" t="n"/>
    </row>
    <row r="103" ht="14.25" customHeight="1" s="38">
      <c r="A103" s="9" t="n"/>
      <c r="B103" s="9" t="n"/>
      <c r="C103" s="9" t="n"/>
      <c r="D103" s="9" t="n"/>
      <c r="E103" s="9" t="n"/>
      <c r="F103" s="9" t="n"/>
    </row>
    <row r="104" ht="14.25" customHeight="1" s="38">
      <c r="A104" s="9" t="n"/>
      <c r="B104" s="9" t="n"/>
      <c r="C104" s="9" t="n"/>
      <c r="D104" s="9" t="n"/>
      <c r="E104" s="9" t="n"/>
      <c r="F104" s="9" t="n"/>
    </row>
    <row r="105" ht="14.25" customHeight="1" s="38">
      <c r="A105" s="9" t="n"/>
      <c r="B105" s="9" t="n"/>
      <c r="C105" s="9" t="n"/>
      <c r="D105" s="9" t="n"/>
      <c r="E105" s="9" t="n"/>
      <c r="F105" s="9" t="n"/>
    </row>
    <row r="106" ht="14.25" customHeight="1" s="38">
      <c r="A106" s="9" t="n"/>
      <c r="B106" s="9" t="n"/>
      <c r="C106" s="9" t="n"/>
      <c r="D106" s="9" t="n"/>
      <c r="E106" s="9" t="n"/>
      <c r="F106" s="9" t="n"/>
    </row>
    <row r="107" ht="14.25" customHeight="1" s="38">
      <c r="A107" s="9" t="n"/>
      <c r="B107" s="9" t="n"/>
      <c r="C107" s="9" t="n"/>
      <c r="D107" s="9" t="n"/>
      <c r="E107" s="9" t="n"/>
      <c r="F107" s="9" t="n"/>
    </row>
    <row r="108" ht="14.25" customHeight="1" s="38">
      <c r="A108" s="9" t="n"/>
      <c r="B108" s="9" t="n"/>
      <c r="C108" s="9" t="n"/>
      <c r="D108" s="9" t="n"/>
      <c r="E108" s="9" t="n"/>
      <c r="F108" s="9" t="n"/>
    </row>
    <row r="109" ht="14.25" customHeight="1" s="38">
      <c r="A109" s="9" t="n"/>
      <c r="B109" s="9" t="n"/>
      <c r="C109" s="9" t="n"/>
      <c r="D109" s="9" t="n"/>
      <c r="E109" s="9" t="n"/>
      <c r="F109" s="9" t="n"/>
    </row>
    <row r="110" ht="14.25" customHeight="1" s="38">
      <c r="A110" s="9" t="n"/>
      <c r="B110" s="9" t="n"/>
      <c r="C110" s="9" t="n"/>
      <c r="D110" s="9" t="n"/>
      <c r="E110" s="9" t="n"/>
      <c r="F110" s="9" t="n"/>
    </row>
    <row r="111" ht="14.25" customHeight="1" s="38">
      <c r="A111" s="9" t="n"/>
      <c r="B111" s="9" t="n"/>
      <c r="C111" s="9" t="n"/>
      <c r="D111" s="9" t="n"/>
      <c r="E111" s="9" t="n"/>
      <c r="F111" s="9" t="n"/>
    </row>
    <row r="112" ht="14.25" customHeight="1" s="38">
      <c r="A112" s="9" t="n"/>
      <c r="B112" s="9" t="n"/>
      <c r="C112" s="9" t="n"/>
      <c r="D112" s="9" t="n"/>
      <c r="E112" s="9" t="n"/>
      <c r="F112" s="9" t="n"/>
    </row>
    <row r="113" ht="14.25" customHeight="1" s="38">
      <c r="A113" s="9" t="n"/>
      <c r="B113" s="9" t="n"/>
      <c r="C113" s="9" t="n"/>
      <c r="D113" s="9" t="n"/>
      <c r="E113" s="9" t="n"/>
      <c r="F113" s="9" t="n"/>
    </row>
    <row r="114" ht="14.25" customHeight="1" s="38">
      <c r="A114" s="9" t="n"/>
      <c r="B114" s="9" t="n"/>
      <c r="C114" s="9" t="n"/>
      <c r="D114" s="9" t="n"/>
      <c r="E114" s="9" t="n"/>
      <c r="F114" s="9" t="n"/>
    </row>
    <row r="115" ht="14.25" customHeight="1" s="38">
      <c r="A115" s="9" t="n"/>
      <c r="B115" s="9" t="n"/>
      <c r="C115" s="9" t="n"/>
      <c r="D115" s="9" t="n"/>
      <c r="E115" s="9" t="n"/>
      <c r="F115" s="9" t="n"/>
    </row>
    <row r="116" ht="14.25" customHeight="1" s="38">
      <c r="A116" s="9" t="n"/>
      <c r="B116" s="9" t="n"/>
      <c r="C116" s="9" t="n"/>
      <c r="D116" s="9" t="n"/>
      <c r="E116" s="9" t="n"/>
      <c r="F116" s="9" t="n"/>
    </row>
    <row r="117" ht="14.25" customHeight="1" s="38">
      <c r="A117" s="9" t="n"/>
      <c r="B117" s="9" t="n"/>
      <c r="C117" s="9" t="n"/>
      <c r="D117" s="9" t="n"/>
      <c r="E117" s="9" t="n"/>
      <c r="F117" s="9" t="n"/>
    </row>
    <row r="118" ht="14.25" customHeight="1" s="38">
      <c r="A118" s="9" t="n"/>
      <c r="B118" s="9" t="n"/>
      <c r="C118" s="9" t="n"/>
      <c r="D118" s="9" t="n"/>
      <c r="E118" s="9" t="n"/>
      <c r="F118" s="9" t="n"/>
    </row>
    <row r="119" ht="14.25" customHeight="1" s="38">
      <c r="A119" s="9" t="n"/>
      <c r="B119" s="9" t="n"/>
      <c r="C119" s="9" t="n"/>
      <c r="D119" s="9" t="n"/>
      <c r="E119" s="9" t="n"/>
      <c r="F119" s="9" t="n"/>
    </row>
    <row r="120" ht="14.25" customHeight="1" s="38">
      <c r="A120" s="9" t="n"/>
      <c r="B120" s="9" t="n"/>
      <c r="C120" s="9" t="n"/>
      <c r="D120" s="9" t="n"/>
      <c r="E120" s="9" t="n"/>
      <c r="F120" s="9" t="n"/>
    </row>
    <row r="121" ht="14.25" customHeight="1" s="38">
      <c r="A121" s="9" t="n"/>
      <c r="B121" s="9" t="n"/>
      <c r="C121" s="9" t="n"/>
      <c r="D121" s="9" t="n"/>
      <c r="E121" s="9" t="n"/>
      <c r="F121" s="9" t="n"/>
    </row>
    <row r="122" ht="14.25" customHeight="1" s="38">
      <c r="A122" s="9" t="n"/>
      <c r="B122" s="9" t="n"/>
      <c r="C122" s="9" t="n"/>
      <c r="D122" s="9" t="n"/>
      <c r="E122" s="9" t="n"/>
      <c r="F122" s="9" t="n"/>
    </row>
    <row r="123" ht="14.25" customHeight="1" s="38">
      <c r="A123" s="9" t="n"/>
      <c r="B123" s="9" t="n"/>
      <c r="C123" s="9" t="n"/>
      <c r="D123" s="9" t="n"/>
      <c r="E123" s="9" t="n"/>
      <c r="F123" s="9" t="n"/>
    </row>
    <row r="124" ht="14.25" customHeight="1" s="38">
      <c r="A124" s="9" t="n"/>
      <c r="B124" s="9" t="n"/>
      <c r="C124" s="9" t="n"/>
      <c r="D124" s="9" t="n"/>
      <c r="E124" s="9" t="n"/>
      <c r="F124" s="9" t="n"/>
    </row>
    <row r="125" ht="14.25" customHeight="1" s="38">
      <c r="A125" s="9" t="n"/>
      <c r="B125" s="9" t="n"/>
      <c r="C125" s="9" t="n"/>
      <c r="D125" s="9" t="n"/>
      <c r="E125" s="9" t="n"/>
      <c r="F125" s="9" t="n"/>
    </row>
    <row r="126" ht="14.25" customHeight="1" s="38">
      <c r="A126" s="9" t="n"/>
      <c r="B126" s="9" t="n"/>
      <c r="C126" s="9" t="n"/>
      <c r="D126" s="9" t="n"/>
      <c r="E126" s="9" t="n"/>
      <c r="F126" s="9" t="n"/>
    </row>
    <row r="127" ht="14.25" customHeight="1" s="38">
      <c r="A127" s="9" t="n"/>
      <c r="B127" s="9" t="n"/>
      <c r="C127" s="9" t="n"/>
      <c r="D127" s="9" t="n"/>
      <c r="E127" s="9" t="n"/>
      <c r="F127" s="9" t="n"/>
    </row>
    <row r="128" ht="14.25" customHeight="1" s="38">
      <c r="A128" s="9" t="n"/>
      <c r="B128" s="9" t="n"/>
      <c r="C128" s="9" t="n"/>
      <c r="D128" s="9" t="n"/>
      <c r="E128" s="9" t="n"/>
      <c r="F128" s="9" t="n"/>
    </row>
    <row r="129" ht="14.25" customHeight="1" s="38">
      <c r="A129" s="9" t="n"/>
      <c r="B129" s="9" t="n"/>
      <c r="C129" s="9" t="n"/>
      <c r="D129" s="9" t="n"/>
      <c r="E129" s="9" t="n"/>
      <c r="F129" s="9" t="n"/>
    </row>
    <row r="130" ht="14.25" customHeight="1" s="38">
      <c r="A130" s="9" t="n"/>
      <c r="B130" s="9" t="n"/>
      <c r="C130" s="9" t="n"/>
      <c r="D130" s="9" t="n"/>
      <c r="E130" s="9" t="n"/>
      <c r="F130" s="9" t="n"/>
    </row>
    <row r="131" ht="14.25" customHeight="1" s="38">
      <c r="A131" s="9" t="n"/>
      <c r="B131" s="9" t="n"/>
      <c r="C131" s="9" t="n"/>
      <c r="D131" s="9" t="n"/>
      <c r="E131" s="9" t="n"/>
      <c r="F131" s="9" t="n"/>
    </row>
    <row r="132" ht="14.25" customHeight="1" s="38">
      <c r="A132" s="9" t="n"/>
      <c r="B132" s="9" t="n"/>
      <c r="C132" s="9" t="n"/>
      <c r="D132" s="9" t="n"/>
      <c r="E132" s="9" t="n"/>
      <c r="F132" s="9" t="n"/>
    </row>
    <row r="133" ht="14.25" customHeight="1" s="38">
      <c r="A133" s="9" t="n"/>
      <c r="B133" s="9" t="n"/>
      <c r="C133" s="9" t="n"/>
      <c r="D133" s="9" t="n"/>
      <c r="E133" s="9" t="n"/>
      <c r="F133" s="9" t="n"/>
    </row>
    <row r="134" ht="14.25" customHeight="1" s="38">
      <c r="A134" s="9" t="n"/>
      <c r="B134" s="9" t="n"/>
      <c r="C134" s="9" t="n"/>
      <c r="D134" s="9" t="n"/>
      <c r="E134" s="9" t="n"/>
      <c r="F134" s="9" t="n"/>
    </row>
    <row r="135" ht="14.25" customHeight="1" s="38">
      <c r="A135" s="9" t="n"/>
      <c r="B135" s="9" t="n"/>
      <c r="C135" s="9" t="n"/>
      <c r="D135" s="9" t="n"/>
      <c r="E135" s="9" t="n"/>
      <c r="F135" s="9" t="n"/>
    </row>
    <row r="136" ht="14.25" customHeight="1" s="38">
      <c r="A136" s="9" t="n"/>
      <c r="B136" s="9" t="n"/>
      <c r="C136" s="9" t="n"/>
      <c r="D136" s="9" t="n"/>
      <c r="E136" s="9" t="n"/>
      <c r="F136" s="9" t="n"/>
    </row>
    <row r="137" ht="14.25" customHeight="1" s="38">
      <c r="A137" s="9" t="n"/>
      <c r="B137" s="9" t="n"/>
      <c r="C137" s="9" t="n"/>
      <c r="D137" s="9" t="n"/>
      <c r="E137" s="9" t="n"/>
      <c r="F137" s="9" t="n"/>
    </row>
    <row r="138" ht="14.25" customHeight="1" s="38">
      <c r="A138" s="9" t="n"/>
      <c r="B138" s="9" t="n"/>
      <c r="C138" s="9" t="n"/>
      <c r="D138" s="9" t="n"/>
      <c r="E138" s="9" t="n"/>
      <c r="F138" s="9" t="n"/>
    </row>
    <row r="139" ht="14.25" customHeight="1" s="38">
      <c r="A139" s="9" t="n"/>
      <c r="B139" s="9" t="n"/>
      <c r="C139" s="9" t="n"/>
      <c r="D139" s="9" t="n"/>
      <c r="E139" s="9" t="n"/>
      <c r="F139" s="9" t="n"/>
    </row>
    <row r="140" ht="14.25" customHeight="1" s="38">
      <c r="A140" s="9" t="n"/>
      <c r="B140" s="9" t="n"/>
      <c r="C140" s="9" t="n"/>
      <c r="D140" s="9" t="n"/>
      <c r="E140" s="9" t="n"/>
      <c r="F140" s="9" t="n"/>
    </row>
    <row r="141" ht="14.25" customHeight="1" s="38">
      <c r="A141" s="9" t="n"/>
      <c r="B141" s="9" t="n"/>
      <c r="C141" s="9" t="n"/>
      <c r="D141" s="9" t="n"/>
      <c r="E141" s="9" t="n"/>
      <c r="F141" s="9" t="n"/>
    </row>
    <row r="142" ht="14.25" customHeight="1" s="38">
      <c r="A142" s="9" t="n"/>
      <c r="B142" s="9" t="n"/>
      <c r="C142" s="9" t="n"/>
      <c r="D142" s="9" t="n"/>
      <c r="E142" s="9" t="n"/>
      <c r="F142" s="9" t="n"/>
    </row>
    <row r="143" ht="14.25" customHeight="1" s="38">
      <c r="A143" s="9" t="n"/>
      <c r="B143" s="9" t="n"/>
      <c r="C143" s="9" t="n"/>
      <c r="D143" s="9" t="n"/>
      <c r="E143" s="9" t="n"/>
      <c r="F143" s="9" t="n"/>
    </row>
    <row r="144" ht="14.25" customHeight="1" s="38">
      <c r="A144" s="9" t="n"/>
      <c r="B144" s="9" t="n"/>
      <c r="C144" s="9" t="n"/>
      <c r="D144" s="9" t="n"/>
      <c r="E144" s="9" t="n"/>
      <c r="F144" s="9" t="n"/>
    </row>
    <row r="145" ht="14.25" customHeight="1" s="38">
      <c r="A145" s="9" t="n"/>
      <c r="B145" s="9" t="n"/>
      <c r="C145" s="9" t="n"/>
      <c r="D145" s="9" t="n"/>
      <c r="E145" s="9" t="n"/>
      <c r="F145" s="9" t="n"/>
    </row>
    <row r="146" ht="14.25" customHeight="1" s="38">
      <c r="A146" s="9" t="n"/>
      <c r="B146" s="9" t="n"/>
      <c r="C146" s="9" t="n"/>
      <c r="D146" s="9" t="n"/>
      <c r="E146" s="9" t="n"/>
      <c r="F146" s="9" t="n"/>
    </row>
    <row r="147" ht="14.25" customHeight="1" s="38">
      <c r="A147" s="9" t="n"/>
      <c r="B147" s="9" t="n"/>
      <c r="C147" s="9" t="n"/>
      <c r="D147" s="9" t="n"/>
      <c r="E147" s="9" t="n"/>
      <c r="F147" s="9" t="n"/>
    </row>
    <row r="148" ht="14.25" customHeight="1" s="38">
      <c r="A148" s="9" t="n"/>
      <c r="B148" s="9" t="n"/>
      <c r="C148" s="9" t="n"/>
      <c r="D148" s="9" t="n"/>
      <c r="E148" s="9" t="n"/>
      <c r="F148" s="9" t="n"/>
    </row>
    <row r="149" ht="14.25" customHeight="1" s="38">
      <c r="A149" s="9" t="n"/>
      <c r="B149" s="9" t="n"/>
      <c r="C149" s="9" t="n"/>
      <c r="D149" s="9" t="n"/>
      <c r="E149" s="9" t="n"/>
      <c r="F149" s="9" t="n"/>
    </row>
    <row r="150" ht="14.25" customHeight="1" s="38">
      <c r="A150" s="9" t="n"/>
      <c r="B150" s="9" t="n"/>
      <c r="C150" s="9" t="n"/>
      <c r="D150" s="9" t="n"/>
      <c r="E150" s="9" t="n"/>
      <c r="F150" s="9" t="n"/>
    </row>
    <row r="151" ht="14.25" customHeight="1" s="38">
      <c r="A151" s="9" t="n"/>
      <c r="B151" s="9" t="n"/>
      <c r="C151" s="9" t="n"/>
      <c r="D151" s="9" t="n"/>
      <c r="E151" s="9" t="n"/>
      <c r="F151" s="9" t="n"/>
    </row>
    <row r="152" ht="14.25" customHeight="1" s="38">
      <c r="A152" s="9" t="n"/>
      <c r="B152" s="9" t="n"/>
      <c r="C152" s="9" t="n"/>
      <c r="D152" s="9" t="n"/>
      <c r="E152" s="9" t="n"/>
      <c r="F152" s="9" t="n"/>
    </row>
    <row r="153" ht="14.25" customHeight="1" s="38">
      <c r="A153" s="9" t="n"/>
      <c r="B153" s="9" t="n"/>
      <c r="C153" s="9" t="n"/>
      <c r="D153" s="9" t="n"/>
      <c r="E153" s="9" t="n"/>
      <c r="F153" s="9" t="n"/>
    </row>
    <row r="154" ht="14.25" customHeight="1" s="38">
      <c r="A154" s="9" t="n"/>
      <c r="B154" s="9" t="n"/>
      <c r="C154" s="9" t="n"/>
      <c r="D154" s="9" t="n"/>
      <c r="E154" s="9" t="n"/>
      <c r="F154" s="9" t="n"/>
    </row>
    <row r="155" ht="14.25" customHeight="1" s="38">
      <c r="A155" s="9" t="n"/>
      <c r="B155" s="9" t="n"/>
      <c r="C155" s="9" t="n"/>
      <c r="D155" s="9" t="n"/>
      <c r="E155" s="9" t="n"/>
      <c r="F155" s="9" t="n"/>
    </row>
    <row r="156" ht="14.25" customHeight="1" s="38">
      <c r="A156" s="9" t="n"/>
      <c r="B156" s="9" t="n"/>
      <c r="C156" s="9" t="n"/>
      <c r="D156" s="9" t="n"/>
      <c r="E156" s="9" t="n"/>
      <c r="F156" s="9" t="n"/>
    </row>
    <row r="157" ht="14.25" customHeight="1" s="38">
      <c r="A157" s="9" t="n"/>
      <c r="B157" s="9" t="n"/>
      <c r="C157" s="9" t="n"/>
      <c r="D157" s="9" t="n"/>
      <c r="E157" s="9" t="n"/>
      <c r="F157" s="9" t="n"/>
    </row>
    <row r="158" ht="14.25" customHeight="1" s="38">
      <c r="A158" s="9" t="n"/>
      <c r="B158" s="9" t="n"/>
      <c r="C158" s="9" t="n"/>
      <c r="D158" s="9" t="n"/>
      <c r="E158" s="9" t="n"/>
      <c r="F158" s="9" t="n"/>
    </row>
    <row r="159" ht="14.25" customHeight="1" s="38">
      <c r="A159" s="9" t="n"/>
      <c r="B159" s="9" t="n"/>
      <c r="C159" s="9" t="n"/>
      <c r="D159" s="9" t="n"/>
      <c r="E159" s="9" t="n"/>
      <c r="F159" s="9" t="n"/>
    </row>
    <row r="160" ht="14.25" customHeight="1" s="38">
      <c r="A160" s="9" t="n"/>
      <c r="B160" s="9" t="n"/>
      <c r="C160" s="9" t="n"/>
      <c r="D160" s="9" t="n"/>
      <c r="E160" s="9" t="n"/>
      <c r="F160" s="9" t="n"/>
    </row>
    <row r="161" ht="14.25" customHeight="1" s="38">
      <c r="A161" s="9" t="n"/>
      <c r="B161" s="9" t="n"/>
      <c r="C161" s="9" t="n"/>
      <c r="D161" s="9" t="n"/>
      <c r="E161" s="9" t="n"/>
      <c r="F161" s="9" t="n"/>
    </row>
    <row r="162" ht="14.25" customHeight="1" s="38">
      <c r="A162" s="9" t="n"/>
      <c r="B162" s="9" t="n"/>
      <c r="C162" s="9" t="n"/>
      <c r="D162" s="9" t="n"/>
      <c r="E162" s="9" t="n"/>
      <c r="F162" s="9" t="n"/>
    </row>
    <row r="163" ht="14.25" customHeight="1" s="38">
      <c r="A163" s="9" t="n"/>
      <c r="B163" s="9" t="n"/>
      <c r="C163" s="9" t="n"/>
      <c r="D163" s="9" t="n"/>
      <c r="E163" s="9" t="n"/>
      <c r="F163" s="9" t="n"/>
    </row>
    <row r="164" ht="14.25" customHeight="1" s="38">
      <c r="A164" s="9" t="n"/>
      <c r="B164" s="9" t="n"/>
      <c r="C164" s="9" t="n"/>
      <c r="D164" s="9" t="n"/>
      <c r="E164" s="9" t="n"/>
      <c r="F164" s="9" t="n"/>
    </row>
    <row r="165" ht="14.25" customHeight="1" s="38">
      <c r="A165" s="9" t="n"/>
      <c r="B165" s="9" t="n"/>
      <c r="C165" s="9" t="n"/>
      <c r="D165" s="9" t="n"/>
      <c r="E165" s="9" t="n"/>
      <c r="F165" s="9" t="n"/>
    </row>
    <row r="166" ht="14.25" customHeight="1" s="38">
      <c r="A166" s="9" t="n"/>
      <c r="B166" s="9" t="n"/>
      <c r="C166" s="9" t="n"/>
      <c r="D166" s="9" t="n"/>
      <c r="E166" s="9" t="n"/>
      <c r="F166" s="9" t="n"/>
    </row>
    <row r="167" ht="14.25" customHeight="1" s="38">
      <c r="A167" s="9" t="n"/>
      <c r="B167" s="9" t="n"/>
      <c r="C167" s="9" t="n"/>
      <c r="D167" s="9" t="n"/>
      <c r="E167" s="9" t="n"/>
      <c r="F167" s="9" t="n"/>
    </row>
    <row r="168" ht="14.25" customHeight="1" s="38">
      <c r="A168" s="9" t="n"/>
      <c r="B168" s="9" t="n"/>
      <c r="C168" s="9" t="n"/>
      <c r="D168" s="9" t="n"/>
      <c r="E168" s="9" t="n"/>
      <c r="F168" s="9" t="n"/>
    </row>
    <row r="169" ht="14.25" customHeight="1" s="38">
      <c r="A169" s="9" t="n"/>
      <c r="B169" s="9" t="n"/>
      <c r="C169" s="9" t="n"/>
      <c r="D169" s="9" t="n"/>
      <c r="E169" s="9" t="n"/>
      <c r="F169" s="9" t="n"/>
    </row>
    <row r="170" ht="14.25" customHeight="1" s="38">
      <c r="A170" s="9" t="n"/>
      <c r="B170" s="9" t="n"/>
      <c r="C170" s="9" t="n"/>
      <c r="D170" s="9" t="n"/>
      <c r="E170" s="9" t="n"/>
      <c r="F170" s="9" t="n"/>
    </row>
    <row r="171" ht="14.25" customHeight="1" s="38">
      <c r="A171" s="9" t="n"/>
      <c r="B171" s="9" t="n"/>
      <c r="C171" s="9" t="n"/>
      <c r="D171" s="9" t="n"/>
      <c r="E171" s="9" t="n"/>
      <c r="F171" s="9" t="n"/>
    </row>
    <row r="172" ht="14.25" customHeight="1" s="38">
      <c r="A172" s="9" t="n"/>
      <c r="B172" s="9" t="n"/>
      <c r="C172" s="9" t="n"/>
      <c r="D172" s="9" t="n"/>
      <c r="E172" s="9" t="n"/>
      <c r="F172" s="9" t="n"/>
    </row>
    <row r="173" ht="14.25" customHeight="1" s="38">
      <c r="A173" s="9" t="n"/>
      <c r="B173" s="9" t="n"/>
      <c r="C173" s="9" t="n"/>
      <c r="D173" s="9" t="n"/>
      <c r="E173" s="9" t="n"/>
      <c r="F173" s="9" t="n"/>
    </row>
    <row r="174" ht="14.25" customHeight="1" s="38">
      <c r="A174" s="9" t="n"/>
      <c r="B174" s="9" t="n"/>
      <c r="C174" s="9" t="n"/>
      <c r="D174" s="9" t="n"/>
      <c r="E174" s="9" t="n"/>
      <c r="F174" s="9" t="n"/>
    </row>
    <row r="175" ht="14.25" customHeight="1" s="38">
      <c r="A175" s="9" t="n"/>
      <c r="B175" s="9" t="n"/>
      <c r="C175" s="9" t="n"/>
      <c r="D175" s="9" t="n"/>
      <c r="E175" s="9" t="n"/>
      <c r="F175" s="9" t="n"/>
    </row>
    <row r="176" ht="14.25" customHeight="1" s="38">
      <c r="A176" s="9" t="n"/>
      <c r="B176" s="9" t="n"/>
      <c r="C176" s="9" t="n"/>
      <c r="D176" s="9" t="n"/>
      <c r="E176" s="9" t="n"/>
      <c r="F176" s="9" t="n"/>
    </row>
    <row r="177" ht="14.25" customHeight="1" s="38">
      <c r="A177" s="9" t="n"/>
      <c r="B177" s="9" t="n"/>
      <c r="C177" s="9" t="n"/>
      <c r="D177" s="9" t="n"/>
      <c r="E177" s="9" t="n"/>
      <c r="F177" s="9" t="n"/>
    </row>
    <row r="178" ht="14.25" customHeight="1" s="38">
      <c r="A178" s="9" t="n"/>
      <c r="B178" s="9" t="n"/>
      <c r="C178" s="9" t="n"/>
      <c r="D178" s="9" t="n"/>
      <c r="E178" s="9" t="n"/>
      <c r="F178" s="9" t="n"/>
    </row>
    <row r="179" ht="14.25" customHeight="1" s="38">
      <c r="A179" s="9" t="n"/>
      <c r="B179" s="9" t="n"/>
      <c r="C179" s="9" t="n"/>
      <c r="D179" s="9" t="n"/>
      <c r="E179" s="9" t="n"/>
      <c r="F179" s="9" t="n"/>
    </row>
    <row r="180" ht="14.25" customHeight="1" s="38">
      <c r="A180" s="9" t="n"/>
      <c r="B180" s="9" t="n"/>
      <c r="C180" s="9" t="n"/>
      <c r="D180" s="9" t="n"/>
      <c r="E180" s="9" t="n"/>
      <c r="F180" s="9" t="n"/>
    </row>
    <row r="181" ht="14.25" customHeight="1" s="38">
      <c r="A181" s="9" t="n"/>
      <c r="B181" s="9" t="n"/>
      <c r="C181" s="9" t="n"/>
      <c r="D181" s="9" t="n"/>
      <c r="E181" s="9" t="n"/>
      <c r="F181" s="9" t="n"/>
    </row>
    <row r="182" ht="14.25" customHeight="1" s="38">
      <c r="A182" s="9" t="n"/>
      <c r="B182" s="9" t="n"/>
      <c r="C182" s="9" t="n"/>
      <c r="D182" s="9" t="n"/>
      <c r="E182" s="9" t="n"/>
      <c r="F182" s="9" t="n"/>
    </row>
    <row r="183" ht="14.25" customHeight="1" s="38">
      <c r="A183" s="9" t="n"/>
      <c r="B183" s="9" t="n"/>
      <c r="C183" s="9" t="n"/>
      <c r="D183" s="9" t="n"/>
      <c r="E183" s="9" t="n"/>
      <c r="F183" s="9" t="n"/>
    </row>
    <row r="184" ht="14.25" customHeight="1" s="38">
      <c r="A184" s="9" t="n"/>
      <c r="B184" s="9" t="n"/>
      <c r="C184" s="9" t="n"/>
      <c r="D184" s="9" t="n"/>
      <c r="E184" s="9" t="n"/>
      <c r="F184" s="9" t="n"/>
    </row>
    <row r="185" ht="14.25" customHeight="1" s="38">
      <c r="A185" s="9" t="n"/>
      <c r="B185" s="9" t="n"/>
      <c r="C185" s="9" t="n"/>
      <c r="D185" s="9" t="n"/>
      <c r="E185" s="9" t="n"/>
      <c r="F185" s="9" t="n"/>
    </row>
    <row r="186" ht="14.25" customHeight="1" s="38">
      <c r="A186" s="9" t="n"/>
      <c r="B186" s="9" t="n"/>
      <c r="C186" s="9" t="n"/>
      <c r="D186" s="9" t="n"/>
      <c r="E186" s="9" t="n"/>
      <c r="F186" s="9" t="n"/>
    </row>
    <row r="187" ht="14.25" customHeight="1" s="38">
      <c r="A187" s="9" t="n"/>
      <c r="B187" s="9" t="n"/>
      <c r="C187" s="9" t="n"/>
      <c r="D187" s="9" t="n"/>
      <c r="E187" s="9" t="n"/>
      <c r="F187" s="9" t="n"/>
    </row>
    <row r="188" ht="14.25" customHeight="1" s="38">
      <c r="A188" s="9" t="n"/>
      <c r="B188" s="9" t="n"/>
      <c r="C188" s="9" t="n"/>
      <c r="D188" s="9" t="n"/>
      <c r="E188" s="9" t="n"/>
      <c r="F188" s="9" t="n"/>
    </row>
    <row r="189" ht="14.25" customHeight="1" s="38">
      <c r="A189" s="9" t="n"/>
      <c r="B189" s="9" t="n"/>
      <c r="C189" s="9" t="n"/>
      <c r="D189" s="9" t="n"/>
      <c r="E189" s="9" t="n"/>
      <c r="F189" s="9" t="n"/>
    </row>
    <row r="190" ht="14.25" customHeight="1" s="38">
      <c r="A190" s="9" t="n"/>
      <c r="B190" s="9" t="n"/>
      <c r="C190" s="9" t="n"/>
      <c r="D190" s="9" t="n"/>
      <c r="E190" s="9" t="n"/>
      <c r="F190" s="9" t="n"/>
    </row>
    <row r="191" ht="14.25" customHeight="1" s="38">
      <c r="A191" s="9" t="n"/>
      <c r="B191" s="9" t="n"/>
      <c r="C191" s="9" t="n"/>
      <c r="D191" s="9" t="n"/>
      <c r="E191" s="9" t="n"/>
      <c r="F191" s="9" t="n"/>
    </row>
    <row r="192" ht="14.25" customHeight="1" s="38">
      <c r="A192" s="9" t="n"/>
      <c r="B192" s="9" t="n"/>
      <c r="C192" s="9" t="n"/>
      <c r="D192" s="9" t="n"/>
      <c r="E192" s="9" t="n"/>
      <c r="F192" s="9" t="n"/>
    </row>
    <row r="193" ht="14.25" customHeight="1" s="38">
      <c r="A193" s="9" t="n"/>
      <c r="B193" s="9" t="n"/>
      <c r="C193" s="9" t="n"/>
      <c r="D193" s="9" t="n"/>
      <c r="E193" s="9" t="n"/>
      <c r="F193" s="9" t="n"/>
    </row>
    <row r="194" ht="14.25" customHeight="1" s="38">
      <c r="A194" s="9" t="n"/>
      <c r="B194" s="9" t="n"/>
      <c r="C194" s="9" t="n"/>
      <c r="D194" s="9" t="n"/>
      <c r="E194" s="9" t="n"/>
      <c r="F194" s="9" t="n"/>
    </row>
    <row r="195" ht="14.25" customHeight="1" s="38">
      <c r="A195" s="9" t="n"/>
      <c r="B195" s="9" t="n"/>
      <c r="C195" s="9" t="n"/>
      <c r="D195" s="9" t="n"/>
      <c r="E195" s="9" t="n"/>
      <c r="F195" s="9" t="n"/>
    </row>
    <row r="196" ht="14.25" customHeight="1" s="38">
      <c r="A196" s="9" t="n"/>
      <c r="B196" s="9" t="n"/>
      <c r="C196" s="9" t="n"/>
      <c r="D196" s="9" t="n"/>
      <c r="E196" s="9" t="n"/>
      <c r="F196" s="9" t="n"/>
    </row>
    <row r="197" ht="14.25" customHeight="1" s="38">
      <c r="A197" s="9" t="n"/>
      <c r="B197" s="9" t="n"/>
      <c r="C197" s="9" t="n"/>
      <c r="D197" s="9" t="n"/>
      <c r="E197" s="9" t="n"/>
      <c r="F197" s="9" t="n"/>
    </row>
    <row r="198" ht="14.25" customHeight="1" s="38">
      <c r="A198" s="9" t="n"/>
      <c r="B198" s="9" t="n"/>
      <c r="C198" s="9" t="n"/>
      <c r="D198" s="9" t="n"/>
      <c r="E198" s="9" t="n"/>
      <c r="F198" s="9" t="n"/>
    </row>
    <row r="199" ht="14.25" customHeight="1" s="38">
      <c r="A199" s="9" t="n"/>
      <c r="B199" s="9" t="n"/>
      <c r="C199" s="9" t="n"/>
      <c r="D199" s="9" t="n"/>
      <c r="E199" s="9" t="n"/>
      <c r="F199" s="9" t="n"/>
    </row>
    <row r="200" ht="14.25" customHeight="1" s="38">
      <c r="A200" s="9" t="n"/>
      <c r="B200" s="9" t="n"/>
      <c r="C200" s="9" t="n"/>
      <c r="D200" s="9" t="n"/>
      <c r="E200" s="9" t="n"/>
      <c r="F200" s="9" t="n"/>
    </row>
    <row r="201" ht="14.25" customHeight="1" s="38">
      <c r="A201" s="9" t="n"/>
      <c r="B201" s="9" t="n"/>
      <c r="C201" s="9" t="n"/>
      <c r="D201" s="9" t="n"/>
      <c r="E201" s="9" t="n"/>
      <c r="F201" s="9" t="n"/>
    </row>
    <row r="202" ht="14.25" customHeight="1" s="38">
      <c r="A202" s="9" t="n"/>
      <c r="B202" s="9" t="n"/>
      <c r="C202" s="9" t="n"/>
      <c r="D202" s="9" t="n"/>
      <c r="E202" s="9" t="n"/>
      <c r="F202" s="9" t="n"/>
    </row>
    <row r="203" ht="14.25" customHeight="1" s="38">
      <c r="A203" s="9" t="n"/>
      <c r="B203" s="9" t="n"/>
      <c r="C203" s="9" t="n"/>
      <c r="D203" s="9" t="n"/>
      <c r="E203" s="9" t="n"/>
      <c r="F203" s="9" t="n"/>
    </row>
    <row r="204" ht="14.25" customHeight="1" s="38">
      <c r="A204" s="9" t="n"/>
      <c r="B204" s="9" t="n"/>
      <c r="C204" s="9" t="n"/>
      <c r="D204" s="9" t="n"/>
      <c r="E204" s="9" t="n"/>
      <c r="F204" s="9" t="n"/>
    </row>
    <row r="205" ht="14.25" customHeight="1" s="38">
      <c r="A205" s="9" t="n"/>
      <c r="B205" s="9" t="n"/>
      <c r="C205" s="9" t="n"/>
      <c r="D205" s="9" t="n"/>
      <c r="E205" s="9" t="n"/>
      <c r="F205" s="9" t="n"/>
    </row>
    <row r="206" ht="14.25" customHeight="1" s="38">
      <c r="A206" s="9" t="n"/>
      <c r="B206" s="9" t="n"/>
      <c r="C206" s="9" t="n"/>
      <c r="D206" s="9" t="n"/>
      <c r="E206" s="9" t="n"/>
      <c r="F206" s="9" t="n"/>
    </row>
    <row r="207" ht="14.25" customHeight="1" s="38">
      <c r="A207" s="9" t="n"/>
      <c r="B207" s="9" t="n"/>
      <c r="C207" s="9" t="n"/>
      <c r="D207" s="9" t="n"/>
      <c r="E207" s="9" t="n"/>
      <c r="F207" s="9" t="n"/>
    </row>
    <row r="208" ht="14.25" customHeight="1" s="38">
      <c r="A208" s="9" t="n"/>
      <c r="B208" s="9" t="n"/>
      <c r="C208" s="9" t="n"/>
      <c r="D208" s="9" t="n"/>
      <c r="E208" s="9" t="n"/>
      <c r="F208" s="9" t="n"/>
    </row>
    <row r="209" ht="14.25" customHeight="1" s="38">
      <c r="A209" s="9" t="n"/>
      <c r="B209" s="9" t="n"/>
      <c r="C209" s="9" t="n"/>
      <c r="D209" s="9" t="n"/>
      <c r="E209" s="9" t="n"/>
      <c r="F209" s="9" t="n"/>
    </row>
    <row r="210" ht="14.25" customHeight="1" s="38">
      <c r="A210" s="9" t="n"/>
      <c r="B210" s="9" t="n"/>
      <c r="C210" s="9" t="n"/>
      <c r="D210" s="9" t="n"/>
      <c r="E210" s="9" t="n"/>
      <c r="F210" s="9" t="n"/>
    </row>
    <row r="211" ht="14.25" customHeight="1" s="38">
      <c r="A211" s="9" t="n"/>
      <c r="B211" s="9" t="n"/>
      <c r="C211" s="9" t="n"/>
      <c r="D211" s="9" t="n"/>
      <c r="E211" s="9" t="n"/>
      <c r="F211" s="9" t="n"/>
    </row>
    <row r="212" ht="14.25" customHeight="1" s="38">
      <c r="A212" s="9" t="n"/>
      <c r="B212" s="9" t="n"/>
      <c r="C212" s="9" t="n"/>
      <c r="D212" s="9" t="n"/>
      <c r="E212" s="9" t="n"/>
      <c r="F212" s="9" t="n"/>
    </row>
    <row r="213" ht="14.25" customHeight="1" s="38">
      <c r="A213" s="9" t="n"/>
      <c r="B213" s="9" t="n"/>
      <c r="C213" s="9" t="n"/>
      <c r="D213" s="9" t="n"/>
      <c r="E213" s="9" t="n"/>
      <c r="F213" s="9" t="n"/>
    </row>
    <row r="214" ht="14.25" customHeight="1" s="38">
      <c r="A214" s="9" t="n"/>
      <c r="B214" s="9" t="n"/>
      <c r="C214" s="9" t="n"/>
      <c r="D214" s="9" t="n"/>
      <c r="E214" s="9" t="n"/>
      <c r="F214" s="9" t="n"/>
    </row>
    <row r="215" ht="14.25" customHeight="1" s="38">
      <c r="A215" s="9" t="n"/>
      <c r="B215" s="9" t="n"/>
      <c r="C215" s="9" t="n"/>
      <c r="D215" s="9" t="n"/>
      <c r="E215" s="9" t="n"/>
      <c r="F215" s="9" t="n"/>
    </row>
    <row r="216" ht="14.25" customHeight="1" s="38">
      <c r="A216" s="9" t="n"/>
      <c r="B216" s="9" t="n"/>
      <c r="C216" s="9" t="n"/>
      <c r="D216" s="9" t="n"/>
      <c r="E216" s="9" t="n"/>
      <c r="F216" s="9" t="n"/>
    </row>
    <row r="217" ht="14.25" customHeight="1" s="38">
      <c r="A217" s="9" t="n"/>
      <c r="B217" s="9" t="n"/>
      <c r="C217" s="9" t="n"/>
      <c r="D217" s="9" t="n"/>
      <c r="E217" s="9" t="n"/>
      <c r="F217" s="9" t="n"/>
    </row>
    <row r="218" ht="14.25" customHeight="1" s="38">
      <c r="A218" s="9" t="n"/>
      <c r="B218" s="9" t="n"/>
      <c r="C218" s="9" t="n"/>
      <c r="D218" s="9" t="n"/>
      <c r="E218" s="9" t="n"/>
      <c r="F218" s="9" t="n"/>
    </row>
    <row r="219" ht="14.25" customHeight="1" s="38">
      <c r="A219" s="9" t="n"/>
      <c r="B219" s="9" t="n"/>
      <c r="C219" s="9" t="n"/>
      <c r="D219" s="9" t="n"/>
      <c r="E219" s="9" t="n"/>
      <c r="F219" s="9" t="n"/>
    </row>
    <row r="220" ht="14.25" customHeight="1" s="38">
      <c r="A220" s="9" t="n"/>
      <c r="B220" s="9" t="n"/>
      <c r="C220" s="9" t="n"/>
      <c r="D220" s="9" t="n"/>
      <c r="E220" s="9" t="n"/>
      <c r="F220" s="9" t="n"/>
    </row>
    <row r="221" ht="14.25" customHeight="1" s="38">
      <c r="E221" s="11" t="n"/>
    </row>
    <row r="222" ht="14.25" customHeight="1" s="38">
      <c r="E222" s="11" t="n"/>
    </row>
    <row r="223" ht="14.25" customHeight="1" s="38">
      <c r="E223" s="11" t="n"/>
    </row>
    <row r="224" ht="14.25" customHeight="1" s="38">
      <c r="E224" s="11" t="n"/>
    </row>
    <row r="225" ht="14.25" customHeight="1" s="38">
      <c r="E225" s="11" t="n"/>
    </row>
    <row r="226" ht="14.25" customHeight="1" s="38">
      <c r="E226" s="11" t="n"/>
    </row>
    <row r="227" ht="14.25" customHeight="1" s="38">
      <c r="E227" s="11" t="n"/>
    </row>
    <row r="228" ht="14.25" customHeight="1" s="38">
      <c r="E228" s="11" t="n"/>
    </row>
    <row r="229" ht="14.25" customHeight="1" s="38">
      <c r="E229" s="11" t="n"/>
    </row>
    <row r="230" ht="14.25" customHeight="1" s="38">
      <c r="E230" s="11" t="n"/>
    </row>
    <row r="231" ht="14.25" customHeight="1" s="38">
      <c r="E231" s="11" t="n"/>
    </row>
    <row r="232" ht="14.25" customHeight="1" s="38">
      <c r="E232" s="11" t="n"/>
    </row>
    <row r="233" ht="14.25" customHeight="1" s="38">
      <c r="E233" s="11" t="n"/>
    </row>
    <row r="234" ht="14.25" customHeight="1" s="38">
      <c r="E234" s="11" t="n"/>
    </row>
    <row r="235" ht="14.25" customHeight="1" s="38">
      <c r="E235" s="11" t="n"/>
    </row>
    <row r="236" ht="14.25" customHeight="1" s="38">
      <c r="E236" s="11" t="n"/>
    </row>
    <row r="237" ht="14.25" customHeight="1" s="38">
      <c r="E237" s="11" t="n"/>
    </row>
    <row r="238" ht="14.25" customHeight="1" s="38">
      <c r="E238" s="11" t="n"/>
    </row>
    <row r="239" ht="14.25" customHeight="1" s="38">
      <c r="E239" s="11" t="n"/>
    </row>
    <row r="240" ht="14.25" customHeight="1" s="38">
      <c r="E240" s="11" t="n"/>
    </row>
    <row r="241" ht="14.25" customHeight="1" s="38">
      <c r="E241" s="11" t="n"/>
    </row>
    <row r="242" ht="14.25" customHeight="1" s="38">
      <c r="E242" s="11" t="n"/>
    </row>
    <row r="243" ht="14.25" customHeight="1" s="38">
      <c r="E243" s="11" t="n"/>
    </row>
    <row r="244" ht="14.25" customHeight="1" s="38">
      <c r="E244" s="11" t="n"/>
    </row>
    <row r="245" ht="14.25" customHeight="1" s="38">
      <c r="E245" s="11" t="n"/>
    </row>
    <row r="246" ht="14.25" customHeight="1" s="38">
      <c r="E246" s="11" t="n"/>
    </row>
    <row r="247" ht="14.25" customHeight="1" s="38">
      <c r="E247" s="11" t="n"/>
    </row>
    <row r="248" ht="14.25" customHeight="1" s="38">
      <c r="E248" s="11" t="n"/>
    </row>
    <row r="249" ht="14.25" customHeight="1" s="38">
      <c r="E249" s="11" t="n"/>
    </row>
    <row r="250" ht="14.25" customHeight="1" s="38">
      <c r="E250" s="11" t="n"/>
    </row>
    <row r="251" ht="14.25" customHeight="1" s="38">
      <c r="E251" s="11" t="n"/>
    </row>
    <row r="252" ht="14.25" customHeight="1" s="38">
      <c r="E252" s="11" t="n"/>
    </row>
    <row r="253" ht="14.25" customHeight="1" s="38">
      <c r="E253" s="11" t="n"/>
    </row>
    <row r="254" ht="14.25" customHeight="1" s="38">
      <c r="E254" s="11" t="n"/>
    </row>
    <row r="255" ht="14.25" customHeight="1" s="38">
      <c r="E255" s="11" t="n"/>
    </row>
    <row r="256" ht="14.25" customHeight="1" s="38">
      <c r="E256" s="11" t="n"/>
    </row>
    <row r="257" ht="14.25" customHeight="1" s="38">
      <c r="E257" s="11" t="n"/>
    </row>
    <row r="258" ht="14.25" customHeight="1" s="38">
      <c r="E258" s="11" t="n"/>
    </row>
    <row r="259" ht="14.25" customHeight="1" s="38">
      <c r="E259" s="11" t="n"/>
    </row>
    <row r="260" ht="14.25" customHeight="1" s="38">
      <c r="E260" s="11" t="n"/>
    </row>
    <row r="261" ht="14.25" customHeight="1" s="38">
      <c r="E261" s="11" t="n"/>
    </row>
    <row r="262" ht="14.25" customHeight="1" s="38">
      <c r="E262" s="11" t="n"/>
    </row>
    <row r="263" ht="14.25" customHeight="1" s="38">
      <c r="E263" s="11" t="n"/>
    </row>
    <row r="264" ht="14.25" customHeight="1" s="38">
      <c r="E264" s="11" t="n"/>
    </row>
    <row r="265" ht="14.25" customHeight="1" s="38">
      <c r="E265" s="11" t="n"/>
    </row>
    <row r="266" ht="14.25" customHeight="1" s="38">
      <c r="E266" s="11" t="n"/>
    </row>
    <row r="267" ht="14.25" customHeight="1" s="38">
      <c r="E267" s="11" t="n"/>
    </row>
    <row r="268" ht="14.25" customHeight="1" s="38">
      <c r="E268" s="11" t="n"/>
    </row>
    <row r="269" ht="14.25" customHeight="1" s="38">
      <c r="E269" s="11" t="n"/>
    </row>
    <row r="270" ht="14.25" customHeight="1" s="38">
      <c r="E270" s="11" t="n"/>
    </row>
    <row r="271" ht="14.25" customHeight="1" s="38">
      <c r="E271" s="11" t="n"/>
    </row>
    <row r="272" ht="14.25" customHeight="1" s="38">
      <c r="E272" s="11" t="n"/>
    </row>
    <row r="273" ht="14.25" customHeight="1" s="38">
      <c r="E273" s="11" t="n"/>
    </row>
    <row r="274" ht="14.25" customHeight="1" s="38">
      <c r="E274" s="11" t="n"/>
    </row>
    <row r="275" ht="14.25" customHeight="1" s="38">
      <c r="E275" s="11" t="n"/>
    </row>
    <row r="276" ht="14.25" customHeight="1" s="38">
      <c r="E276" s="11" t="n"/>
    </row>
    <row r="277" ht="14.25" customHeight="1" s="38">
      <c r="E277" s="11" t="n"/>
    </row>
    <row r="278" ht="14.25" customHeight="1" s="38">
      <c r="E278" s="11" t="n"/>
    </row>
    <row r="279" ht="14.25" customHeight="1" s="38">
      <c r="E279" s="11" t="n"/>
    </row>
    <row r="280" ht="14.25" customHeight="1" s="38">
      <c r="E280" s="11" t="n"/>
    </row>
    <row r="281" ht="14.25" customHeight="1" s="38">
      <c r="E281" s="11" t="n"/>
    </row>
    <row r="282" ht="14.25" customHeight="1" s="38">
      <c r="E282" s="11" t="n"/>
    </row>
    <row r="283" ht="14.25" customHeight="1" s="38">
      <c r="E283" s="11" t="n"/>
    </row>
    <row r="284" ht="14.25" customHeight="1" s="38">
      <c r="E284" s="11" t="n"/>
    </row>
    <row r="285" ht="14.25" customHeight="1" s="38">
      <c r="E285" s="11" t="n"/>
    </row>
    <row r="286" ht="14.25" customHeight="1" s="38">
      <c r="E286" s="11" t="n"/>
    </row>
    <row r="287" ht="14.25" customHeight="1" s="38">
      <c r="E287" s="11" t="n"/>
    </row>
    <row r="288" ht="14.25" customHeight="1" s="38">
      <c r="E288" s="11" t="n"/>
    </row>
    <row r="289" ht="14.25" customHeight="1" s="38">
      <c r="E289" s="11" t="n"/>
    </row>
    <row r="290" ht="14.25" customHeight="1" s="38">
      <c r="E290" s="11" t="n"/>
    </row>
    <row r="291" ht="14.25" customHeight="1" s="38">
      <c r="E291" s="11" t="n"/>
    </row>
    <row r="292" ht="14.25" customHeight="1" s="38">
      <c r="E292" s="11" t="n"/>
    </row>
    <row r="293" ht="14.25" customHeight="1" s="38">
      <c r="E293" s="11" t="n"/>
    </row>
    <row r="294" ht="14.25" customHeight="1" s="38">
      <c r="E294" s="11" t="n"/>
    </row>
    <row r="295" ht="14.25" customHeight="1" s="38">
      <c r="E295" s="11" t="n"/>
    </row>
    <row r="296" ht="14.25" customHeight="1" s="38">
      <c r="E296" s="11" t="n"/>
    </row>
    <row r="297" ht="14.25" customHeight="1" s="38">
      <c r="E297" s="11" t="n"/>
    </row>
    <row r="298" ht="14.25" customHeight="1" s="38">
      <c r="E298" s="11" t="n"/>
    </row>
    <row r="299" ht="14.25" customHeight="1" s="38">
      <c r="E299" s="11" t="n"/>
    </row>
    <row r="300" ht="14.25" customHeight="1" s="38">
      <c r="E300" s="11" t="n"/>
    </row>
    <row r="301" ht="14.25" customHeight="1" s="38">
      <c r="E301" s="11" t="n"/>
    </row>
    <row r="302" ht="14.25" customHeight="1" s="38">
      <c r="E302" s="11" t="n"/>
    </row>
    <row r="303" ht="14.25" customHeight="1" s="38">
      <c r="E303" s="11" t="n"/>
    </row>
    <row r="304" ht="14.25" customHeight="1" s="38">
      <c r="E304" s="11" t="n"/>
    </row>
    <row r="305" ht="14.25" customHeight="1" s="38">
      <c r="E305" s="11" t="n"/>
    </row>
    <row r="306" ht="14.25" customHeight="1" s="38">
      <c r="E306" s="11" t="n"/>
    </row>
    <row r="307" ht="14.25" customHeight="1" s="38">
      <c r="E307" s="11" t="n"/>
    </row>
    <row r="308" ht="14.25" customHeight="1" s="38">
      <c r="E308" s="11" t="n"/>
    </row>
    <row r="309" ht="14.25" customHeight="1" s="38">
      <c r="E309" s="11" t="n"/>
    </row>
    <row r="310" ht="14.25" customHeight="1" s="38">
      <c r="E310" s="11" t="n"/>
    </row>
    <row r="311" ht="14.25" customHeight="1" s="38">
      <c r="E311" s="11" t="n"/>
    </row>
    <row r="312" ht="14.25" customHeight="1" s="38">
      <c r="E312" s="11" t="n"/>
    </row>
    <row r="313" ht="14.25" customHeight="1" s="38">
      <c r="E313" s="11" t="n"/>
    </row>
    <row r="314" ht="14.25" customHeight="1" s="38">
      <c r="E314" s="11" t="n"/>
    </row>
    <row r="315" ht="14.25" customHeight="1" s="38">
      <c r="E315" s="11" t="n"/>
    </row>
    <row r="316" ht="14.25" customHeight="1" s="38">
      <c r="E316" s="11" t="n"/>
    </row>
    <row r="317" ht="14.25" customHeight="1" s="38">
      <c r="E317" s="11" t="n"/>
    </row>
    <row r="318" ht="14.25" customHeight="1" s="38">
      <c r="E318" s="11" t="n"/>
    </row>
    <row r="319" ht="14.25" customHeight="1" s="38">
      <c r="E319" s="11" t="n"/>
    </row>
    <row r="320" ht="14.25" customHeight="1" s="38">
      <c r="E320" s="11" t="n"/>
    </row>
    <row r="321" ht="14.25" customHeight="1" s="38">
      <c r="E321" s="11" t="n"/>
    </row>
    <row r="322" ht="14.25" customHeight="1" s="38">
      <c r="E322" s="11" t="n"/>
    </row>
    <row r="323" ht="14.25" customHeight="1" s="38">
      <c r="E323" s="11" t="n"/>
    </row>
    <row r="324" ht="14.25" customHeight="1" s="38">
      <c r="E324" s="11" t="n"/>
    </row>
    <row r="325" ht="14.25" customHeight="1" s="38">
      <c r="E325" s="11" t="n"/>
    </row>
    <row r="326" ht="14.25" customHeight="1" s="38">
      <c r="E326" s="11" t="n"/>
    </row>
    <row r="327" ht="14.25" customHeight="1" s="38">
      <c r="E327" s="11" t="n"/>
    </row>
    <row r="328" ht="14.25" customHeight="1" s="38">
      <c r="E328" s="11" t="n"/>
    </row>
    <row r="329" ht="14.25" customHeight="1" s="38">
      <c r="E329" s="11" t="n"/>
    </row>
    <row r="330" ht="14.25" customHeight="1" s="38">
      <c r="E330" s="11" t="n"/>
    </row>
    <row r="331" ht="14.25" customHeight="1" s="38">
      <c r="E331" s="11" t="n"/>
    </row>
    <row r="332" ht="14.25" customHeight="1" s="38">
      <c r="E332" s="11" t="n"/>
    </row>
    <row r="333" ht="14.25" customHeight="1" s="38">
      <c r="E333" s="11" t="n"/>
    </row>
    <row r="334" ht="14.25" customHeight="1" s="38">
      <c r="E334" s="11" t="n"/>
    </row>
    <row r="335" ht="14.25" customHeight="1" s="38">
      <c r="E335" s="11" t="n"/>
    </row>
    <row r="336" ht="14.25" customHeight="1" s="38">
      <c r="E336" s="11" t="n"/>
    </row>
    <row r="337" ht="14.25" customHeight="1" s="38">
      <c r="E337" s="11" t="n"/>
    </row>
    <row r="338" ht="14.25" customHeight="1" s="38">
      <c r="E338" s="11" t="n"/>
    </row>
    <row r="339" ht="14.25" customHeight="1" s="38">
      <c r="E339" s="11" t="n"/>
    </row>
    <row r="340" ht="14.25" customHeight="1" s="38">
      <c r="E340" s="11" t="n"/>
    </row>
    <row r="341" ht="14.25" customHeight="1" s="38">
      <c r="E341" s="11" t="n"/>
    </row>
    <row r="342" ht="14.25" customHeight="1" s="38">
      <c r="E342" s="11" t="n"/>
    </row>
    <row r="343" ht="14.25" customHeight="1" s="38">
      <c r="E343" s="11" t="n"/>
    </row>
    <row r="344" ht="14.25" customHeight="1" s="38">
      <c r="E344" s="11" t="n"/>
    </row>
    <row r="345" ht="14.25" customHeight="1" s="38">
      <c r="E345" s="11" t="n"/>
    </row>
    <row r="346" ht="14.25" customHeight="1" s="38">
      <c r="E346" s="11" t="n"/>
    </row>
    <row r="347" ht="14.25" customHeight="1" s="38">
      <c r="E347" s="11" t="n"/>
    </row>
    <row r="348" ht="14.25" customHeight="1" s="38">
      <c r="E348" s="11" t="n"/>
    </row>
    <row r="349" ht="14.25" customHeight="1" s="38">
      <c r="E349" s="11" t="n"/>
    </row>
    <row r="350" ht="14.25" customHeight="1" s="38">
      <c r="E350" s="11" t="n"/>
    </row>
    <row r="351" ht="14.25" customHeight="1" s="38">
      <c r="E351" s="11" t="n"/>
    </row>
    <row r="352" ht="14.25" customHeight="1" s="38">
      <c r="E352" s="11" t="n"/>
    </row>
    <row r="353" ht="14.25" customHeight="1" s="38">
      <c r="E353" s="11" t="n"/>
    </row>
    <row r="354" ht="14.25" customHeight="1" s="38">
      <c r="E354" s="11" t="n"/>
    </row>
    <row r="355" ht="14.25" customHeight="1" s="38">
      <c r="E355" s="11" t="n"/>
    </row>
    <row r="356" ht="14.25" customHeight="1" s="38">
      <c r="E356" s="11" t="n"/>
    </row>
    <row r="357" ht="14.25" customHeight="1" s="38">
      <c r="E357" s="11" t="n"/>
    </row>
    <row r="358" ht="14.25" customHeight="1" s="38">
      <c r="E358" s="11" t="n"/>
    </row>
    <row r="359" ht="14.25" customHeight="1" s="38">
      <c r="E359" s="11" t="n"/>
    </row>
    <row r="360" ht="14.25" customHeight="1" s="38">
      <c r="E360" s="11" t="n"/>
    </row>
    <row r="361" ht="14.25" customHeight="1" s="38">
      <c r="E361" s="11" t="n"/>
    </row>
    <row r="362" ht="14.25" customHeight="1" s="38">
      <c r="E362" s="11" t="n"/>
    </row>
    <row r="363" ht="14.25" customHeight="1" s="38">
      <c r="E363" s="11" t="n"/>
    </row>
    <row r="364" ht="14.25" customHeight="1" s="38">
      <c r="E364" s="11" t="n"/>
    </row>
    <row r="365" ht="14.25" customHeight="1" s="38">
      <c r="E365" s="11" t="n"/>
    </row>
    <row r="366" ht="14.25" customHeight="1" s="38">
      <c r="E366" s="11" t="n"/>
    </row>
    <row r="367" ht="14.25" customHeight="1" s="38">
      <c r="E367" s="11" t="n"/>
    </row>
    <row r="368" ht="14.25" customHeight="1" s="38">
      <c r="E368" s="11" t="n"/>
    </row>
    <row r="369" ht="14.25" customHeight="1" s="38">
      <c r="E369" s="11" t="n"/>
    </row>
    <row r="370" ht="14.25" customHeight="1" s="38">
      <c r="E370" s="11" t="n"/>
    </row>
    <row r="371" ht="14.25" customHeight="1" s="38">
      <c r="E371" s="11" t="n"/>
    </row>
    <row r="372" ht="14.25" customHeight="1" s="38">
      <c r="E372" s="11" t="n"/>
    </row>
    <row r="373" ht="14.25" customHeight="1" s="38">
      <c r="E373" s="11" t="n"/>
    </row>
    <row r="374" ht="14.25" customHeight="1" s="38">
      <c r="E374" s="11" t="n"/>
    </row>
    <row r="375" ht="14.25" customHeight="1" s="38">
      <c r="E375" s="11" t="n"/>
    </row>
    <row r="376" ht="14.25" customHeight="1" s="38">
      <c r="E376" s="11" t="n"/>
    </row>
    <row r="377" ht="14.25" customHeight="1" s="38">
      <c r="E377" s="11" t="n"/>
    </row>
    <row r="378" ht="14.25" customHeight="1" s="38">
      <c r="E378" s="11" t="n"/>
    </row>
    <row r="379" ht="14.25" customHeight="1" s="38">
      <c r="E379" s="11" t="n"/>
    </row>
    <row r="380" ht="14.25" customHeight="1" s="38">
      <c r="E380" s="11" t="n"/>
    </row>
    <row r="381" ht="14.25" customHeight="1" s="38">
      <c r="E381" s="11" t="n"/>
    </row>
    <row r="382" ht="14.25" customHeight="1" s="38">
      <c r="E382" s="11" t="n"/>
    </row>
    <row r="383" ht="14.25" customHeight="1" s="38">
      <c r="E383" s="11" t="n"/>
    </row>
    <row r="384" ht="14.25" customHeight="1" s="38">
      <c r="E384" s="11" t="n"/>
    </row>
    <row r="385" ht="14.25" customHeight="1" s="38">
      <c r="E385" s="11" t="n"/>
    </row>
    <row r="386" ht="14.25" customHeight="1" s="38">
      <c r="E386" s="11" t="n"/>
    </row>
    <row r="387" ht="14.25" customHeight="1" s="38">
      <c r="E387" s="11" t="n"/>
    </row>
    <row r="388" ht="14.25" customHeight="1" s="38">
      <c r="E388" s="11" t="n"/>
    </row>
    <row r="389" ht="14.25" customHeight="1" s="38">
      <c r="E389" s="11" t="n"/>
    </row>
    <row r="390" ht="14.25" customHeight="1" s="38">
      <c r="E390" s="11" t="n"/>
    </row>
    <row r="391" ht="14.25" customHeight="1" s="38">
      <c r="E391" s="11" t="n"/>
    </row>
    <row r="392" ht="14.25" customHeight="1" s="38">
      <c r="E392" s="11" t="n"/>
    </row>
    <row r="393" ht="14.25" customHeight="1" s="38">
      <c r="E393" s="11" t="n"/>
    </row>
    <row r="394" ht="14.25" customHeight="1" s="38">
      <c r="E394" s="11" t="n"/>
    </row>
    <row r="395" ht="14.25" customHeight="1" s="38">
      <c r="E395" s="11" t="n"/>
    </row>
    <row r="396" ht="14.25" customHeight="1" s="38">
      <c r="E396" s="11" t="n"/>
    </row>
    <row r="397" ht="14.25" customHeight="1" s="38">
      <c r="E397" s="11" t="n"/>
    </row>
    <row r="398" ht="14.25" customHeight="1" s="38">
      <c r="E398" s="11" t="n"/>
    </row>
    <row r="399" ht="14.25" customHeight="1" s="38">
      <c r="E399" s="11" t="n"/>
    </row>
    <row r="400" ht="14.25" customHeight="1" s="38">
      <c r="E400" s="11" t="n"/>
    </row>
    <row r="401" ht="14.25" customHeight="1" s="38">
      <c r="E401" s="11" t="n"/>
    </row>
    <row r="402" ht="14.25" customHeight="1" s="38">
      <c r="E402" s="11" t="n"/>
    </row>
    <row r="403" ht="14.25" customHeight="1" s="38">
      <c r="E403" s="11" t="n"/>
    </row>
    <row r="404" ht="14.25" customHeight="1" s="38">
      <c r="E404" s="11" t="n"/>
    </row>
    <row r="405" ht="14.25" customHeight="1" s="38">
      <c r="E405" s="11" t="n"/>
    </row>
    <row r="406" ht="14.25" customHeight="1" s="38">
      <c r="E406" s="11" t="n"/>
    </row>
    <row r="407" ht="14.25" customHeight="1" s="38">
      <c r="E407" s="11" t="n"/>
    </row>
    <row r="408" ht="14.25" customHeight="1" s="38">
      <c r="E408" s="11" t="n"/>
    </row>
    <row r="409" ht="14.25" customHeight="1" s="38">
      <c r="E409" s="11" t="n"/>
    </row>
    <row r="410" ht="14.25" customHeight="1" s="38">
      <c r="E410" s="11" t="n"/>
    </row>
    <row r="411" ht="14.25" customHeight="1" s="38">
      <c r="E411" s="11" t="n"/>
    </row>
    <row r="412" ht="14.25" customHeight="1" s="38">
      <c r="E412" s="11" t="n"/>
    </row>
    <row r="413" ht="14.25" customHeight="1" s="38">
      <c r="E413" s="11" t="n"/>
    </row>
    <row r="414" ht="14.25" customHeight="1" s="38">
      <c r="E414" s="11" t="n"/>
    </row>
    <row r="415" ht="14.25" customHeight="1" s="38">
      <c r="E415" s="11" t="n"/>
    </row>
    <row r="416" ht="14.25" customHeight="1" s="38">
      <c r="E416" s="11" t="n"/>
    </row>
    <row r="417" ht="14.25" customHeight="1" s="38">
      <c r="E417" s="11" t="n"/>
    </row>
    <row r="418" ht="14.25" customHeight="1" s="38">
      <c r="E418" s="11" t="n"/>
    </row>
    <row r="419" ht="14.25" customHeight="1" s="38">
      <c r="E419" s="11" t="n"/>
    </row>
    <row r="420" ht="14.25" customHeight="1" s="38">
      <c r="E420" s="11" t="n"/>
    </row>
    <row r="421" ht="14.25" customHeight="1" s="38">
      <c r="E421" s="11" t="n"/>
    </row>
    <row r="422" ht="14.25" customHeight="1" s="38">
      <c r="E422" s="11" t="n"/>
    </row>
    <row r="423" ht="14.25" customHeight="1" s="38">
      <c r="E423" s="11" t="n"/>
    </row>
    <row r="424" ht="14.25" customHeight="1" s="38">
      <c r="E424" s="11" t="n"/>
    </row>
    <row r="425" ht="14.25" customHeight="1" s="38">
      <c r="E425" s="11" t="n"/>
    </row>
    <row r="426" ht="14.25" customHeight="1" s="38">
      <c r="E426" s="11" t="n"/>
    </row>
    <row r="427" ht="14.25" customHeight="1" s="38">
      <c r="E427" s="11" t="n"/>
    </row>
    <row r="428" ht="14.25" customHeight="1" s="38">
      <c r="E428" s="11" t="n"/>
    </row>
    <row r="429" ht="14.25" customHeight="1" s="38">
      <c r="E429" s="11" t="n"/>
    </row>
    <row r="430" ht="14.25" customHeight="1" s="38">
      <c r="E430" s="11" t="n"/>
    </row>
    <row r="431" ht="14.25" customHeight="1" s="38">
      <c r="E431" s="11" t="n"/>
    </row>
    <row r="432" ht="14.25" customHeight="1" s="38">
      <c r="E432" s="11" t="n"/>
    </row>
    <row r="433" ht="14.25" customHeight="1" s="38">
      <c r="E433" s="11" t="n"/>
    </row>
    <row r="434" ht="14.25" customHeight="1" s="38">
      <c r="E434" s="11" t="n"/>
    </row>
    <row r="435" ht="14.25" customHeight="1" s="38">
      <c r="E435" s="11" t="n"/>
    </row>
    <row r="436" ht="14.25" customHeight="1" s="38">
      <c r="E436" s="11" t="n"/>
    </row>
    <row r="437" ht="14.25" customHeight="1" s="38">
      <c r="E437" s="11" t="n"/>
    </row>
    <row r="438" ht="14.25" customHeight="1" s="38">
      <c r="E438" s="11" t="n"/>
    </row>
    <row r="439" ht="14.25" customHeight="1" s="38">
      <c r="E439" s="11" t="n"/>
    </row>
    <row r="440" ht="14.25" customHeight="1" s="38">
      <c r="E440" s="11" t="n"/>
    </row>
    <row r="441" ht="14.25" customHeight="1" s="38">
      <c r="E441" s="11" t="n"/>
    </row>
    <row r="442" ht="14.25" customHeight="1" s="38">
      <c r="E442" s="11" t="n"/>
    </row>
    <row r="443" ht="14.25" customHeight="1" s="38">
      <c r="E443" s="11" t="n"/>
    </row>
    <row r="444" ht="14.25" customHeight="1" s="38">
      <c r="E444" s="11" t="n"/>
    </row>
    <row r="445" ht="14.25" customHeight="1" s="38">
      <c r="E445" s="11" t="n"/>
    </row>
    <row r="446" ht="14.25" customHeight="1" s="38">
      <c r="E446" s="11" t="n"/>
    </row>
    <row r="447" ht="14.25" customHeight="1" s="38">
      <c r="E447" s="11" t="n"/>
    </row>
    <row r="448" ht="14.25" customHeight="1" s="38">
      <c r="E448" s="11" t="n"/>
    </row>
    <row r="449" ht="14.25" customHeight="1" s="38">
      <c r="E449" s="11" t="n"/>
    </row>
    <row r="450" ht="14.25" customHeight="1" s="38">
      <c r="E450" s="11" t="n"/>
    </row>
    <row r="451" ht="14.25" customHeight="1" s="38">
      <c r="E451" s="11" t="n"/>
    </row>
    <row r="452" ht="14.25" customHeight="1" s="38">
      <c r="E452" s="11" t="n"/>
    </row>
    <row r="453" ht="14.25" customHeight="1" s="38">
      <c r="E453" s="11" t="n"/>
    </row>
    <row r="454" ht="14.25" customHeight="1" s="38">
      <c r="E454" s="11" t="n"/>
    </row>
    <row r="455" ht="14.25" customHeight="1" s="38">
      <c r="E455" s="11" t="n"/>
    </row>
    <row r="456" ht="14.25" customHeight="1" s="38">
      <c r="E456" s="11" t="n"/>
    </row>
    <row r="457" ht="14.25" customHeight="1" s="38">
      <c r="E457" s="11" t="n"/>
    </row>
    <row r="458" ht="14.25" customHeight="1" s="38">
      <c r="E458" s="11" t="n"/>
    </row>
    <row r="459" ht="14.25" customHeight="1" s="38">
      <c r="E459" s="11" t="n"/>
    </row>
    <row r="460" ht="14.25" customHeight="1" s="38">
      <c r="E460" s="11" t="n"/>
    </row>
    <row r="461" ht="14.25" customHeight="1" s="38">
      <c r="E461" s="11" t="n"/>
    </row>
    <row r="462" ht="14.25" customHeight="1" s="38">
      <c r="E462" s="11" t="n"/>
    </row>
    <row r="463" ht="14.25" customHeight="1" s="38">
      <c r="E463" s="11" t="n"/>
    </row>
    <row r="464" ht="14.25" customHeight="1" s="38">
      <c r="E464" s="11" t="n"/>
    </row>
    <row r="465" ht="14.25" customHeight="1" s="38">
      <c r="E465" s="11" t="n"/>
    </row>
    <row r="466" ht="14.25" customHeight="1" s="38">
      <c r="E466" s="11" t="n"/>
    </row>
    <row r="467" ht="14.25" customHeight="1" s="38">
      <c r="E467" s="11" t="n"/>
    </row>
    <row r="468" ht="14.25" customHeight="1" s="38">
      <c r="E468" s="11" t="n"/>
    </row>
    <row r="469" ht="14.25" customHeight="1" s="38">
      <c r="E469" s="11" t="n"/>
    </row>
    <row r="470" ht="14.25" customHeight="1" s="38">
      <c r="E470" s="11" t="n"/>
    </row>
    <row r="471" ht="14.25" customHeight="1" s="38">
      <c r="E471" s="11" t="n"/>
    </row>
    <row r="472" ht="14.25" customHeight="1" s="38">
      <c r="E472" s="11" t="n"/>
    </row>
    <row r="473" ht="14.25" customHeight="1" s="38">
      <c r="E473" s="11" t="n"/>
    </row>
    <row r="474" ht="14.25" customHeight="1" s="38">
      <c r="E474" s="11" t="n"/>
    </row>
    <row r="475" ht="14.25" customHeight="1" s="38">
      <c r="E475" s="11" t="n"/>
    </row>
    <row r="476" ht="14.25" customHeight="1" s="38">
      <c r="E476" s="11" t="n"/>
    </row>
    <row r="477" ht="14.25" customHeight="1" s="38">
      <c r="E477" s="11" t="n"/>
    </row>
    <row r="478" ht="14.25" customHeight="1" s="38">
      <c r="E478" s="11" t="n"/>
    </row>
    <row r="479" ht="14.25" customHeight="1" s="38">
      <c r="E479" s="11" t="n"/>
    </row>
    <row r="480" ht="14.25" customHeight="1" s="38">
      <c r="E480" s="11" t="n"/>
    </row>
    <row r="481" ht="14.25" customHeight="1" s="38">
      <c r="E481" s="11" t="n"/>
    </row>
    <row r="482" ht="14.25" customHeight="1" s="38">
      <c r="E482" s="11" t="n"/>
    </row>
    <row r="483" ht="14.25" customHeight="1" s="38">
      <c r="E483" s="11" t="n"/>
    </row>
    <row r="484" ht="14.25" customHeight="1" s="38">
      <c r="E484" s="11" t="n"/>
    </row>
    <row r="485" ht="14.25" customHeight="1" s="38">
      <c r="E485" s="11" t="n"/>
    </row>
    <row r="486" ht="14.25" customHeight="1" s="38">
      <c r="E486" s="11" t="n"/>
    </row>
    <row r="487" ht="14.25" customHeight="1" s="38">
      <c r="E487" s="11" t="n"/>
    </row>
    <row r="488" ht="14.25" customHeight="1" s="38">
      <c r="E488" s="11" t="n"/>
    </row>
    <row r="489" ht="14.25" customHeight="1" s="38">
      <c r="E489" s="11" t="n"/>
    </row>
    <row r="490" ht="14.25" customHeight="1" s="38">
      <c r="E490" s="11" t="n"/>
    </row>
    <row r="491" ht="14.25" customHeight="1" s="38">
      <c r="E491" s="11" t="n"/>
    </row>
    <row r="492" ht="14.25" customHeight="1" s="38">
      <c r="E492" s="11" t="n"/>
    </row>
    <row r="493" ht="14.25" customHeight="1" s="38">
      <c r="E493" s="11" t="n"/>
    </row>
    <row r="494" ht="14.25" customHeight="1" s="38">
      <c r="E494" s="11" t="n"/>
    </row>
    <row r="495" ht="14.25" customHeight="1" s="38">
      <c r="E495" s="11" t="n"/>
    </row>
    <row r="496" ht="14.25" customHeight="1" s="38">
      <c r="E496" s="11" t="n"/>
    </row>
    <row r="497" ht="14.25" customHeight="1" s="38">
      <c r="E497" s="11" t="n"/>
    </row>
    <row r="498" ht="14.25" customHeight="1" s="38">
      <c r="E498" s="11" t="n"/>
    </row>
    <row r="499" ht="14.25" customHeight="1" s="38">
      <c r="E499" s="11" t="n"/>
    </row>
    <row r="500" ht="14.25" customHeight="1" s="38">
      <c r="E500" s="11" t="n"/>
    </row>
    <row r="501" ht="14.25" customHeight="1" s="38">
      <c r="E501" s="11" t="n"/>
    </row>
    <row r="502" ht="14.25" customHeight="1" s="38">
      <c r="E502" s="11" t="n"/>
    </row>
    <row r="503" ht="14.25" customHeight="1" s="38">
      <c r="E503" s="11" t="n"/>
    </row>
    <row r="504" ht="14.25" customHeight="1" s="38">
      <c r="E504" s="11" t="n"/>
    </row>
    <row r="505" ht="14.25" customHeight="1" s="38">
      <c r="E505" s="11" t="n"/>
    </row>
    <row r="506" ht="14.25" customHeight="1" s="38">
      <c r="E506" s="11" t="n"/>
    </row>
    <row r="507" ht="14.25" customHeight="1" s="38">
      <c r="E507" s="11" t="n"/>
    </row>
    <row r="508" ht="14.25" customHeight="1" s="38">
      <c r="E508" s="11" t="n"/>
    </row>
    <row r="509" ht="14.25" customHeight="1" s="38">
      <c r="E509" s="11" t="n"/>
    </row>
    <row r="510" ht="14.25" customHeight="1" s="38">
      <c r="E510" s="11" t="n"/>
    </row>
    <row r="511" ht="14.25" customHeight="1" s="38">
      <c r="E511" s="11" t="n"/>
    </row>
    <row r="512" ht="14.25" customHeight="1" s="38">
      <c r="E512" s="11" t="n"/>
    </row>
    <row r="513" ht="14.25" customHeight="1" s="38">
      <c r="E513" s="11" t="n"/>
    </row>
    <row r="514" ht="14.25" customHeight="1" s="38">
      <c r="E514" s="11" t="n"/>
    </row>
    <row r="515" ht="14.25" customHeight="1" s="38">
      <c r="E515" s="11" t="n"/>
    </row>
    <row r="516" ht="14.25" customHeight="1" s="38">
      <c r="E516" s="11" t="n"/>
    </row>
    <row r="517" ht="14.25" customHeight="1" s="38">
      <c r="E517" s="11" t="n"/>
    </row>
    <row r="518" ht="14.25" customHeight="1" s="38">
      <c r="E518" s="11" t="n"/>
    </row>
    <row r="519" ht="14.25" customHeight="1" s="38">
      <c r="E519" s="11" t="n"/>
    </row>
    <row r="520" ht="14.25" customHeight="1" s="38">
      <c r="E520" s="11" t="n"/>
    </row>
    <row r="521" ht="14.25" customHeight="1" s="38">
      <c r="E521" s="11" t="n"/>
    </row>
    <row r="522" ht="14.25" customHeight="1" s="38">
      <c r="E522" s="11" t="n"/>
    </row>
    <row r="523" ht="14.25" customHeight="1" s="38">
      <c r="E523" s="11" t="n"/>
    </row>
    <row r="524" ht="14.25" customHeight="1" s="38">
      <c r="E524" s="11" t="n"/>
    </row>
    <row r="525" ht="14.25" customHeight="1" s="38">
      <c r="E525" s="11" t="n"/>
    </row>
    <row r="526" ht="14.25" customHeight="1" s="38">
      <c r="E526" s="11" t="n"/>
    </row>
    <row r="527" ht="14.25" customHeight="1" s="38">
      <c r="E527" s="11" t="n"/>
    </row>
    <row r="528" ht="14.25" customHeight="1" s="38">
      <c r="E528" s="11" t="n"/>
    </row>
    <row r="529" ht="14.25" customHeight="1" s="38">
      <c r="E529" s="11" t="n"/>
    </row>
    <row r="530" ht="14.25" customHeight="1" s="38">
      <c r="E530" s="11" t="n"/>
    </row>
    <row r="531" ht="14.25" customHeight="1" s="38">
      <c r="E531" s="11" t="n"/>
    </row>
    <row r="532" ht="14.25" customHeight="1" s="38">
      <c r="E532" s="11" t="n"/>
    </row>
    <row r="533" ht="14.25" customHeight="1" s="38">
      <c r="E533" s="11" t="n"/>
    </row>
    <row r="534" ht="14.25" customHeight="1" s="38">
      <c r="E534" s="11" t="n"/>
    </row>
    <row r="535" ht="14.25" customHeight="1" s="38">
      <c r="E535" s="11" t="n"/>
    </row>
    <row r="536" ht="14.25" customHeight="1" s="38">
      <c r="E536" s="11" t="n"/>
    </row>
    <row r="537" ht="14.25" customHeight="1" s="38">
      <c r="E537" s="11" t="n"/>
    </row>
    <row r="538" ht="14.25" customHeight="1" s="38">
      <c r="E538" s="11" t="n"/>
    </row>
    <row r="539" ht="14.25" customHeight="1" s="38">
      <c r="E539" s="11" t="n"/>
    </row>
    <row r="540" ht="14.25" customHeight="1" s="38">
      <c r="E540" s="11" t="n"/>
    </row>
    <row r="541" ht="14.25" customHeight="1" s="38">
      <c r="E541" s="11" t="n"/>
    </row>
    <row r="542" ht="14.25" customHeight="1" s="38">
      <c r="E542" s="11" t="n"/>
    </row>
    <row r="543" ht="14.25" customHeight="1" s="38">
      <c r="E543" s="11" t="n"/>
    </row>
    <row r="544" ht="14.25" customHeight="1" s="38">
      <c r="E544" s="11" t="n"/>
    </row>
    <row r="545" ht="14.25" customHeight="1" s="38">
      <c r="E545" s="11" t="n"/>
    </row>
    <row r="546" ht="14.25" customHeight="1" s="38">
      <c r="E546" s="11" t="n"/>
    </row>
    <row r="547" ht="14.25" customHeight="1" s="38">
      <c r="E547" s="11" t="n"/>
    </row>
    <row r="548" ht="14.25" customHeight="1" s="38">
      <c r="E548" s="11" t="n"/>
    </row>
    <row r="549" ht="14.25" customHeight="1" s="38">
      <c r="E549" s="11" t="n"/>
    </row>
    <row r="550" ht="14.25" customHeight="1" s="38">
      <c r="E550" s="11" t="n"/>
    </row>
    <row r="551" ht="14.25" customHeight="1" s="38">
      <c r="E551" s="11" t="n"/>
    </row>
    <row r="552" ht="14.25" customHeight="1" s="38">
      <c r="E552" s="11" t="n"/>
    </row>
    <row r="553" ht="14.25" customHeight="1" s="38">
      <c r="E553" s="11" t="n"/>
    </row>
    <row r="554" ht="14.25" customHeight="1" s="38">
      <c r="E554" s="11" t="n"/>
    </row>
    <row r="555" ht="14.25" customHeight="1" s="38">
      <c r="E555" s="11" t="n"/>
    </row>
    <row r="556" ht="14.25" customHeight="1" s="38">
      <c r="E556" s="11" t="n"/>
    </row>
    <row r="557" ht="14.25" customHeight="1" s="38">
      <c r="E557" s="11" t="n"/>
    </row>
    <row r="558" ht="14.25" customHeight="1" s="38">
      <c r="E558" s="11" t="n"/>
    </row>
    <row r="559" ht="14.25" customHeight="1" s="38">
      <c r="E559" s="11" t="n"/>
    </row>
    <row r="560" ht="14.25" customHeight="1" s="38">
      <c r="E560" s="11" t="n"/>
    </row>
    <row r="561" ht="14.25" customHeight="1" s="38">
      <c r="E561" s="11" t="n"/>
    </row>
    <row r="562" ht="14.25" customHeight="1" s="38">
      <c r="E562" s="11" t="n"/>
    </row>
    <row r="563" ht="14.25" customHeight="1" s="38">
      <c r="E563" s="11" t="n"/>
    </row>
    <row r="564" ht="14.25" customHeight="1" s="38">
      <c r="E564" s="11" t="n"/>
    </row>
    <row r="565" ht="14.25" customHeight="1" s="38">
      <c r="E565" s="11" t="n"/>
    </row>
    <row r="566" ht="14.25" customHeight="1" s="38">
      <c r="E566" s="11" t="n"/>
    </row>
    <row r="567" ht="14.25" customHeight="1" s="38">
      <c r="E567" s="11" t="n"/>
    </row>
    <row r="568" ht="14.25" customHeight="1" s="38">
      <c r="E568" s="11" t="n"/>
    </row>
    <row r="569" ht="14.25" customHeight="1" s="38">
      <c r="E569" s="11" t="n"/>
    </row>
    <row r="570" ht="14.25" customHeight="1" s="38">
      <c r="E570" s="11" t="n"/>
    </row>
    <row r="571" ht="14.25" customHeight="1" s="38">
      <c r="E571" s="11" t="n"/>
    </row>
    <row r="572" ht="14.25" customHeight="1" s="38">
      <c r="E572" s="11" t="n"/>
    </row>
    <row r="573" ht="14.25" customHeight="1" s="38">
      <c r="E573" s="11" t="n"/>
    </row>
    <row r="574" ht="14.25" customHeight="1" s="38">
      <c r="E574" s="11" t="n"/>
    </row>
    <row r="575" ht="14.25" customHeight="1" s="38">
      <c r="E575" s="11" t="n"/>
    </row>
    <row r="576" ht="14.25" customHeight="1" s="38">
      <c r="E576" s="11" t="n"/>
    </row>
    <row r="577" ht="14.25" customHeight="1" s="38">
      <c r="E577" s="11" t="n"/>
    </row>
    <row r="578" ht="14.25" customHeight="1" s="38">
      <c r="E578" s="11" t="n"/>
    </row>
    <row r="579" ht="14.25" customHeight="1" s="38">
      <c r="E579" s="11" t="n"/>
    </row>
    <row r="580" ht="14.25" customHeight="1" s="38">
      <c r="E580" s="11" t="n"/>
    </row>
    <row r="581" ht="14.25" customHeight="1" s="38">
      <c r="E581" s="11" t="n"/>
    </row>
    <row r="582" ht="14.25" customHeight="1" s="38">
      <c r="E582" s="11" t="n"/>
    </row>
    <row r="583" ht="14.25" customHeight="1" s="38">
      <c r="E583" s="11" t="n"/>
    </row>
    <row r="584" ht="14.25" customHeight="1" s="38">
      <c r="E584" s="11" t="n"/>
    </row>
    <row r="585" ht="14.25" customHeight="1" s="38">
      <c r="E585" s="11" t="n"/>
    </row>
    <row r="586" ht="14.25" customHeight="1" s="38">
      <c r="E586" s="11" t="n"/>
    </row>
    <row r="587" ht="14.25" customHeight="1" s="38">
      <c r="E587" s="11" t="n"/>
    </row>
    <row r="588" ht="14.25" customHeight="1" s="38">
      <c r="E588" s="11" t="n"/>
    </row>
    <row r="589" ht="14.25" customHeight="1" s="38">
      <c r="E589" s="11" t="n"/>
    </row>
    <row r="590" ht="14.25" customHeight="1" s="38">
      <c r="E590" s="11" t="n"/>
    </row>
    <row r="591" ht="14.25" customHeight="1" s="38">
      <c r="E591" s="11" t="n"/>
    </row>
    <row r="592" ht="14.25" customHeight="1" s="38">
      <c r="E592" s="11" t="n"/>
    </row>
    <row r="593" ht="14.25" customHeight="1" s="38">
      <c r="E593" s="11" t="n"/>
    </row>
    <row r="594" ht="14.25" customHeight="1" s="38">
      <c r="E594" s="11" t="n"/>
    </row>
    <row r="595" ht="14.25" customHeight="1" s="38">
      <c r="E595" s="11" t="n"/>
    </row>
    <row r="596" ht="14.25" customHeight="1" s="38">
      <c r="E596" s="11" t="n"/>
    </row>
    <row r="597" ht="14.25" customHeight="1" s="38">
      <c r="E597" s="11" t="n"/>
    </row>
    <row r="598" ht="14.25" customHeight="1" s="38">
      <c r="E598" s="11" t="n"/>
    </row>
    <row r="599" ht="14.25" customHeight="1" s="38">
      <c r="E599" s="11" t="n"/>
    </row>
    <row r="600" ht="14.25" customHeight="1" s="38">
      <c r="E600" s="11" t="n"/>
    </row>
    <row r="601" ht="14.25" customHeight="1" s="38">
      <c r="E601" s="11" t="n"/>
    </row>
    <row r="602" ht="14.25" customHeight="1" s="38">
      <c r="E602" s="11" t="n"/>
    </row>
    <row r="603" ht="14.25" customHeight="1" s="38">
      <c r="E603" s="11" t="n"/>
    </row>
    <row r="604" ht="14.25" customHeight="1" s="38">
      <c r="E604" s="11" t="n"/>
    </row>
    <row r="605" ht="14.25" customHeight="1" s="38">
      <c r="E605" s="11" t="n"/>
    </row>
    <row r="606" ht="14.25" customHeight="1" s="38">
      <c r="E606" s="11" t="n"/>
    </row>
    <row r="607" ht="14.25" customHeight="1" s="38">
      <c r="E607" s="11" t="n"/>
    </row>
    <row r="608" ht="14.25" customHeight="1" s="38">
      <c r="E608" s="11" t="n"/>
    </row>
    <row r="609" ht="14.25" customHeight="1" s="38">
      <c r="E609" s="11" t="n"/>
    </row>
    <row r="610" ht="14.25" customHeight="1" s="38">
      <c r="E610" s="11" t="n"/>
    </row>
    <row r="611" ht="14.25" customHeight="1" s="38">
      <c r="E611" s="11" t="n"/>
    </row>
    <row r="612" ht="14.25" customHeight="1" s="38">
      <c r="E612" s="11" t="n"/>
    </row>
    <row r="613" ht="14.25" customHeight="1" s="38">
      <c r="E613" s="11" t="n"/>
    </row>
    <row r="614" ht="14.25" customHeight="1" s="38">
      <c r="E614" s="11" t="n"/>
    </row>
    <row r="615" ht="14.25" customHeight="1" s="38">
      <c r="E615" s="11" t="n"/>
    </row>
    <row r="616" ht="14.25" customHeight="1" s="38">
      <c r="E616" s="11" t="n"/>
    </row>
    <row r="617" ht="14.25" customHeight="1" s="38">
      <c r="E617" s="11" t="n"/>
    </row>
    <row r="618" ht="14.25" customHeight="1" s="38">
      <c r="E618" s="11" t="n"/>
    </row>
    <row r="619" ht="14.25" customHeight="1" s="38">
      <c r="E619" s="11" t="n"/>
    </row>
    <row r="620" ht="14.25" customHeight="1" s="38">
      <c r="E620" s="11" t="n"/>
    </row>
    <row r="621" ht="14.25" customHeight="1" s="38">
      <c r="E621" s="11" t="n"/>
    </row>
    <row r="622" ht="14.25" customHeight="1" s="38">
      <c r="E622" s="11" t="n"/>
    </row>
    <row r="623" ht="14.25" customHeight="1" s="38">
      <c r="E623" s="11" t="n"/>
    </row>
    <row r="624" ht="14.25" customHeight="1" s="38">
      <c r="E624" s="11" t="n"/>
    </row>
    <row r="625" ht="14.25" customHeight="1" s="38">
      <c r="E625" s="11" t="n"/>
    </row>
    <row r="626" ht="14.25" customHeight="1" s="38">
      <c r="E626" s="11" t="n"/>
    </row>
    <row r="627" ht="14.25" customHeight="1" s="38">
      <c r="E627" s="11" t="n"/>
    </row>
    <row r="628" ht="14.25" customHeight="1" s="38">
      <c r="E628" s="11" t="n"/>
    </row>
    <row r="629" ht="14.25" customHeight="1" s="38">
      <c r="E629" s="11" t="n"/>
    </row>
    <row r="630" ht="14.25" customHeight="1" s="38">
      <c r="E630" s="11" t="n"/>
    </row>
    <row r="631" ht="14.25" customHeight="1" s="38">
      <c r="E631" s="11" t="n"/>
    </row>
    <row r="632" ht="14.25" customHeight="1" s="38">
      <c r="E632" s="11" t="n"/>
    </row>
    <row r="633" ht="14.25" customHeight="1" s="38">
      <c r="E633" s="11" t="n"/>
    </row>
    <row r="634" ht="14.25" customHeight="1" s="38">
      <c r="E634" s="11" t="n"/>
    </row>
    <row r="635" ht="14.25" customHeight="1" s="38">
      <c r="E635" s="11" t="n"/>
    </row>
    <row r="636" ht="14.25" customHeight="1" s="38">
      <c r="E636" s="11" t="n"/>
    </row>
    <row r="637" ht="14.25" customHeight="1" s="38">
      <c r="E637" s="11" t="n"/>
    </row>
    <row r="638" ht="14.25" customHeight="1" s="38">
      <c r="E638" s="11" t="n"/>
    </row>
    <row r="639" ht="14.25" customHeight="1" s="38">
      <c r="E639" s="11" t="n"/>
    </row>
    <row r="640" ht="14.25" customHeight="1" s="38">
      <c r="E640" s="11" t="n"/>
    </row>
    <row r="641" ht="14.25" customHeight="1" s="38">
      <c r="E641" s="11" t="n"/>
    </row>
    <row r="642" ht="14.25" customHeight="1" s="38">
      <c r="E642" s="11" t="n"/>
    </row>
    <row r="643" ht="14.25" customHeight="1" s="38">
      <c r="E643" s="11" t="n"/>
    </row>
    <row r="644" ht="14.25" customHeight="1" s="38">
      <c r="E644" s="11" t="n"/>
    </row>
    <row r="645" ht="14.25" customHeight="1" s="38">
      <c r="E645" s="11" t="n"/>
    </row>
    <row r="646" ht="14.25" customHeight="1" s="38">
      <c r="E646" s="11" t="n"/>
    </row>
    <row r="647" ht="14.25" customHeight="1" s="38">
      <c r="E647" s="11" t="n"/>
    </row>
    <row r="648" ht="14.25" customHeight="1" s="38">
      <c r="E648" s="11" t="n"/>
    </row>
    <row r="649" ht="14.25" customHeight="1" s="38">
      <c r="E649" s="11" t="n"/>
    </row>
    <row r="650" ht="14.25" customHeight="1" s="38">
      <c r="E650" s="11" t="n"/>
    </row>
    <row r="651" ht="14.25" customHeight="1" s="38">
      <c r="E651" s="11" t="n"/>
    </row>
    <row r="652" ht="14.25" customHeight="1" s="38">
      <c r="E652" s="11" t="n"/>
    </row>
    <row r="653" ht="14.25" customHeight="1" s="38">
      <c r="E653" s="11" t="n"/>
    </row>
    <row r="654" ht="14.25" customHeight="1" s="38">
      <c r="E654" s="11" t="n"/>
    </row>
    <row r="655" ht="14.25" customHeight="1" s="38">
      <c r="E655" s="11" t="n"/>
    </row>
    <row r="656" ht="14.25" customHeight="1" s="38">
      <c r="E656" s="11" t="n"/>
    </row>
    <row r="657" ht="14.25" customHeight="1" s="38">
      <c r="E657" s="11" t="n"/>
    </row>
    <row r="658" ht="14.25" customHeight="1" s="38">
      <c r="E658" s="11" t="n"/>
    </row>
    <row r="659" ht="14.25" customHeight="1" s="38">
      <c r="E659" s="11" t="n"/>
    </row>
    <row r="660" ht="14.25" customHeight="1" s="38">
      <c r="E660" s="11" t="n"/>
    </row>
    <row r="661" ht="14.25" customHeight="1" s="38">
      <c r="E661" s="11" t="n"/>
    </row>
    <row r="662" ht="14.25" customHeight="1" s="38">
      <c r="E662" s="11" t="n"/>
    </row>
    <row r="663" ht="14.25" customHeight="1" s="38">
      <c r="E663" s="11" t="n"/>
    </row>
    <row r="664" ht="14.25" customHeight="1" s="38">
      <c r="E664" s="11" t="n"/>
    </row>
    <row r="665" ht="14.25" customHeight="1" s="38">
      <c r="E665" s="11" t="n"/>
    </row>
    <row r="666" ht="14.25" customHeight="1" s="38">
      <c r="E666" s="11" t="n"/>
    </row>
    <row r="667" ht="14.25" customHeight="1" s="38">
      <c r="E667" s="11" t="n"/>
    </row>
    <row r="668" ht="14.25" customHeight="1" s="38">
      <c r="E668" s="11" t="n"/>
    </row>
    <row r="669" ht="14.25" customHeight="1" s="38">
      <c r="E669" s="11" t="n"/>
    </row>
    <row r="670" ht="14.25" customHeight="1" s="38">
      <c r="E670" s="11" t="n"/>
    </row>
    <row r="671" ht="14.25" customHeight="1" s="38">
      <c r="E671" s="11" t="n"/>
    </row>
    <row r="672" ht="14.25" customHeight="1" s="38">
      <c r="E672" s="11" t="n"/>
    </row>
    <row r="673" ht="14.25" customHeight="1" s="38">
      <c r="E673" s="11" t="n"/>
    </row>
    <row r="674" ht="14.25" customHeight="1" s="38">
      <c r="E674" s="11" t="n"/>
    </row>
    <row r="675" ht="14.25" customHeight="1" s="38">
      <c r="E675" s="11" t="n"/>
    </row>
    <row r="676" ht="14.25" customHeight="1" s="38">
      <c r="E676" s="11" t="n"/>
    </row>
    <row r="677" ht="14.25" customHeight="1" s="38">
      <c r="E677" s="11" t="n"/>
    </row>
    <row r="678" ht="14.25" customHeight="1" s="38">
      <c r="E678" s="11" t="n"/>
    </row>
    <row r="679" ht="14.25" customHeight="1" s="38">
      <c r="E679" s="11" t="n"/>
    </row>
    <row r="680" ht="14.25" customHeight="1" s="38">
      <c r="E680" s="11" t="n"/>
    </row>
    <row r="681" ht="14.25" customHeight="1" s="38">
      <c r="E681" s="11" t="n"/>
    </row>
    <row r="682" ht="14.25" customHeight="1" s="38">
      <c r="E682" s="11" t="n"/>
    </row>
    <row r="683" ht="14.25" customHeight="1" s="38">
      <c r="E683" s="11" t="n"/>
    </row>
    <row r="684" ht="14.25" customHeight="1" s="38">
      <c r="E684" s="11" t="n"/>
    </row>
    <row r="685" ht="14.25" customHeight="1" s="38">
      <c r="E685" s="11" t="n"/>
    </row>
    <row r="686" ht="14.25" customHeight="1" s="38">
      <c r="E686" s="11" t="n"/>
    </row>
    <row r="687" ht="14.25" customHeight="1" s="38">
      <c r="E687" s="11" t="n"/>
    </row>
    <row r="688" ht="14.25" customHeight="1" s="38">
      <c r="E688" s="11" t="n"/>
    </row>
    <row r="689" ht="14.25" customHeight="1" s="38">
      <c r="E689" s="11" t="n"/>
    </row>
    <row r="690" ht="14.25" customHeight="1" s="38">
      <c r="E690" s="11" t="n"/>
    </row>
    <row r="691" ht="14.25" customHeight="1" s="38">
      <c r="E691" s="11" t="n"/>
    </row>
    <row r="692" ht="14.25" customHeight="1" s="38">
      <c r="E692" s="11" t="n"/>
    </row>
    <row r="693" ht="14.25" customHeight="1" s="38">
      <c r="E693" s="11" t="n"/>
    </row>
    <row r="694" ht="14.25" customHeight="1" s="38">
      <c r="E694" s="11" t="n"/>
    </row>
    <row r="695" ht="14.25" customHeight="1" s="38">
      <c r="E695" s="11" t="n"/>
    </row>
    <row r="696" ht="14.25" customHeight="1" s="38">
      <c r="E696" s="11" t="n"/>
    </row>
    <row r="697" ht="14.25" customHeight="1" s="38">
      <c r="E697" s="11" t="n"/>
    </row>
    <row r="698" ht="14.25" customHeight="1" s="38">
      <c r="E698" s="11" t="n"/>
    </row>
    <row r="699" ht="14.25" customHeight="1" s="38">
      <c r="E699" s="11" t="n"/>
    </row>
    <row r="700" ht="14.25" customHeight="1" s="38">
      <c r="E700" s="11" t="n"/>
    </row>
    <row r="701" ht="14.25" customHeight="1" s="38">
      <c r="E701" s="11" t="n"/>
    </row>
    <row r="702" ht="14.25" customHeight="1" s="38">
      <c r="E702" s="11" t="n"/>
    </row>
    <row r="703" ht="14.25" customHeight="1" s="38">
      <c r="E703" s="11" t="n"/>
    </row>
    <row r="704" ht="14.25" customHeight="1" s="38">
      <c r="E704" s="11" t="n"/>
    </row>
    <row r="705" ht="14.25" customHeight="1" s="38">
      <c r="E705" s="11" t="n"/>
    </row>
    <row r="706" ht="14.25" customHeight="1" s="38">
      <c r="E706" s="11" t="n"/>
    </row>
    <row r="707" ht="14.25" customHeight="1" s="38">
      <c r="E707" s="11" t="n"/>
    </row>
    <row r="708" ht="14.25" customHeight="1" s="38">
      <c r="E708" s="11" t="n"/>
    </row>
    <row r="709" ht="14.25" customHeight="1" s="38">
      <c r="E709" s="11" t="n"/>
    </row>
    <row r="710" ht="14.25" customHeight="1" s="38">
      <c r="E710" s="11" t="n"/>
    </row>
    <row r="711" ht="14.25" customHeight="1" s="38">
      <c r="E711" s="11" t="n"/>
    </row>
    <row r="712" ht="14.25" customHeight="1" s="38">
      <c r="E712" s="11" t="n"/>
    </row>
    <row r="713" ht="14.25" customHeight="1" s="38">
      <c r="E713" s="11" t="n"/>
    </row>
    <row r="714" ht="14.25" customHeight="1" s="38">
      <c r="E714" s="11" t="n"/>
    </row>
    <row r="715" ht="14.25" customHeight="1" s="38">
      <c r="E715" s="11" t="n"/>
    </row>
    <row r="716" ht="14.25" customHeight="1" s="38">
      <c r="E716" s="11" t="n"/>
    </row>
    <row r="717" ht="14.25" customHeight="1" s="38">
      <c r="E717" s="11" t="n"/>
    </row>
    <row r="718" ht="14.25" customHeight="1" s="38">
      <c r="E718" s="11" t="n"/>
    </row>
    <row r="719" ht="14.25" customHeight="1" s="38">
      <c r="E719" s="11" t="n"/>
    </row>
    <row r="720" ht="14.25" customHeight="1" s="38">
      <c r="E720" s="11" t="n"/>
    </row>
    <row r="721" ht="14.25" customHeight="1" s="38">
      <c r="E721" s="11" t="n"/>
    </row>
    <row r="722" ht="14.25" customHeight="1" s="38">
      <c r="E722" s="11" t="n"/>
    </row>
    <row r="723" ht="14.25" customHeight="1" s="38">
      <c r="E723" s="11" t="n"/>
    </row>
    <row r="724" ht="14.25" customHeight="1" s="38">
      <c r="E724" s="11" t="n"/>
    </row>
    <row r="725" ht="14.25" customHeight="1" s="38">
      <c r="E725" s="11" t="n"/>
    </row>
    <row r="726" ht="14.25" customHeight="1" s="38">
      <c r="E726" s="11" t="n"/>
    </row>
    <row r="727" ht="14.25" customHeight="1" s="38">
      <c r="E727" s="11" t="n"/>
    </row>
    <row r="728" ht="14.25" customHeight="1" s="38">
      <c r="E728" s="11" t="n"/>
    </row>
    <row r="729" ht="14.25" customHeight="1" s="38">
      <c r="E729" s="11" t="n"/>
    </row>
    <row r="730" ht="14.25" customHeight="1" s="38">
      <c r="E730" s="11" t="n"/>
    </row>
    <row r="731" ht="14.25" customHeight="1" s="38">
      <c r="E731" s="11" t="n"/>
    </row>
    <row r="732" ht="14.25" customHeight="1" s="38">
      <c r="E732" s="11" t="n"/>
    </row>
    <row r="733" ht="14.25" customHeight="1" s="38">
      <c r="E733" s="11" t="n"/>
    </row>
    <row r="734" ht="14.25" customHeight="1" s="38">
      <c r="E734" s="11" t="n"/>
    </row>
    <row r="735" ht="14.25" customHeight="1" s="38">
      <c r="E735" s="11" t="n"/>
    </row>
    <row r="736" ht="14.25" customHeight="1" s="38">
      <c r="E736" s="11" t="n"/>
    </row>
    <row r="737" ht="14.25" customHeight="1" s="38">
      <c r="E737" s="11" t="n"/>
    </row>
    <row r="738" ht="14.25" customHeight="1" s="38">
      <c r="E738" s="11" t="n"/>
    </row>
    <row r="739" ht="14.25" customHeight="1" s="38">
      <c r="E739" s="11" t="n"/>
    </row>
    <row r="740" ht="14.25" customHeight="1" s="38">
      <c r="E740" s="11" t="n"/>
    </row>
    <row r="741" ht="14.25" customHeight="1" s="38">
      <c r="E741" s="11" t="n"/>
    </row>
    <row r="742" ht="14.25" customHeight="1" s="38">
      <c r="E742" s="11" t="n"/>
    </row>
    <row r="743" ht="14.25" customHeight="1" s="38">
      <c r="E743" s="11" t="n"/>
    </row>
    <row r="744" ht="14.25" customHeight="1" s="38">
      <c r="E744" s="11" t="n"/>
    </row>
    <row r="745" ht="14.25" customHeight="1" s="38">
      <c r="E745" s="11" t="n"/>
    </row>
    <row r="746" ht="14.25" customHeight="1" s="38">
      <c r="E746" s="11" t="n"/>
    </row>
    <row r="747" ht="14.25" customHeight="1" s="38">
      <c r="E747" s="11" t="n"/>
    </row>
    <row r="748" ht="14.25" customHeight="1" s="38">
      <c r="E748" s="11" t="n"/>
    </row>
    <row r="749" ht="14.25" customHeight="1" s="38">
      <c r="E749" s="11" t="n"/>
    </row>
    <row r="750" ht="14.25" customHeight="1" s="38">
      <c r="E750" s="11" t="n"/>
    </row>
    <row r="751" ht="14.25" customHeight="1" s="38">
      <c r="E751" s="11" t="n"/>
    </row>
    <row r="752" ht="14.25" customHeight="1" s="38">
      <c r="E752" s="11" t="n"/>
    </row>
    <row r="753" ht="14.25" customHeight="1" s="38">
      <c r="E753" s="11" t="n"/>
    </row>
    <row r="754" ht="14.25" customHeight="1" s="38">
      <c r="E754" s="11" t="n"/>
    </row>
    <row r="755" ht="14.25" customHeight="1" s="38">
      <c r="E755" s="11" t="n"/>
    </row>
    <row r="756" ht="14.25" customHeight="1" s="38">
      <c r="E756" s="11" t="n"/>
    </row>
    <row r="757" ht="14.25" customHeight="1" s="38">
      <c r="E757" s="11" t="n"/>
    </row>
    <row r="758" ht="14.25" customHeight="1" s="38">
      <c r="E758" s="11" t="n"/>
    </row>
    <row r="759" ht="14.25" customHeight="1" s="38">
      <c r="E759" s="11" t="n"/>
    </row>
    <row r="760" ht="14.25" customHeight="1" s="38">
      <c r="E760" s="11" t="n"/>
    </row>
    <row r="761" ht="14.25" customHeight="1" s="38">
      <c r="E761" s="11" t="n"/>
    </row>
    <row r="762" ht="14.25" customHeight="1" s="38">
      <c r="E762" s="11" t="n"/>
    </row>
    <row r="763" ht="14.25" customHeight="1" s="38">
      <c r="E763" s="11" t="n"/>
    </row>
    <row r="764" ht="14.25" customHeight="1" s="38">
      <c r="E764" s="11" t="n"/>
    </row>
    <row r="765" ht="14.25" customHeight="1" s="38">
      <c r="E765" s="11" t="n"/>
    </row>
    <row r="766" ht="14.25" customHeight="1" s="38">
      <c r="E766" s="11" t="n"/>
    </row>
    <row r="767" ht="14.25" customHeight="1" s="38">
      <c r="E767" s="11" t="n"/>
    </row>
    <row r="768" ht="14.25" customHeight="1" s="38">
      <c r="E768" s="11" t="n"/>
    </row>
    <row r="769" ht="14.25" customHeight="1" s="38">
      <c r="E769" s="11" t="n"/>
    </row>
    <row r="770" ht="14.25" customHeight="1" s="38">
      <c r="E770" s="11" t="n"/>
    </row>
    <row r="771" ht="14.25" customHeight="1" s="38">
      <c r="E771" s="11" t="n"/>
    </row>
    <row r="772" ht="14.25" customHeight="1" s="38">
      <c r="E772" s="11" t="n"/>
    </row>
    <row r="773" ht="14.25" customHeight="1" s="38">
      <c r="E773" s="11" t="n"/>
    </row>
    <row r="774" ht="14.25" customHeight="1" s="38">
      <c r="E774" s="11" t="n"/>
    </row>
    <row r="775" ht="14.25" customHeight="1" s="38">
      <c r="E775" s="11" t="n"/>
    </row>
    <row r="776" ht="14.25" customHeight="1" s="38">
      <c r="E776" s="11" t="n"/>
    </row>
    <row r="777" ht="14.25" customHeight="1" s="38">
      <c r="E777" s="11" t="n"/>
    </row>
    <row r="778" ht="14.25" customHeight="1" s="38">
      <c r="E778" s="11" t="n"/>
    </row>
    <row r="779" ht="14.25" customHeight="1" s="38">
      <c r="E779" s="11" t="n"/>
    </row>
    <row r="780" ht="14.25" customHeight="1" s="38">
      <c r="E780" s="11" t="n"/>
    </row>
    <row r="781" ht="14.25" customHeight="1" s="38">
      <c r="E781" s="11" t="n"/>
    </row>
    <row r="782" ht="14.25" customHeight="1" s="38">
      <c r="E782" s="11" t="n"/>
    </row>
    <row r="783" ht="14.25" customHeight="1" s="38">
      <c r="E783" s="11" t="n"/>
    </row>
    <row r="784" ht="14.25" customHeight="1" s="38">
      <c r="E784" s="11" t="n"/>
    </row>
    <row r="785" ht="14.25" customHeight="1" s="38">
      <c r="E785" s="11" t="n"/>
    </row>
    <row r="786" ht="14.25" customHeight="1" s="38">
      <c r="E786" s="11" t="n"/>
    </row>
    <row r="787" ht="14.25" customHeight="1" s="38">
      <c r="E787" s="11" t="n"/>
    </row>
    <row r="788" ht="14.25" customHeight="1" s="38">
      <c r="E788" s="11" t="n"/>
    </row>
    <row r="789" ht="14.25" customHeight="1" s="38">
      <c r="E789" s="11" t="n"/>
    </row>
    <row r="790" ht="14.25" customHeight="1" s="38">
      <c r="E790" s="11" t="n"/>
    </row>
    <row r="791" ht="14.25" customHeight="1" s="38">
      <c r="E791" s="11" t="n"/>
    </row>
    <row r="792" ht="14.25" customHeight="1" s="38">
      <c r="E792" s="11" t="n"/>
    </row>
    <row r="793" ht="14.25" customHeight="1" s="38">
      <c r="E793" s="11" t="n"/>
    </row>
    <row r="794" ht="14.25" customHeight="1" s="38">
      <c r="E794" s="11" t="n"/>
    </row>
    <row r="795" ht="14.25" customHeight="1" s="38">
      <c r="E795" s="11" t="n"/>
    </row>
    <row r="796" ht="14.25" customHeight="1" s="38">
      <c r="E796" s="11" t="n"/>
    </row>
    <row r="797" ht="14.25" customHeight="1" s="38">
      <c r="E797" s="11" t="n"/>
    </row>
    <row r="798" ht="14.25" customHeight="1" s="38">
      <c r="E798" s="11" t="n"/>
    </row>
    <row r="799" ht="14.25" customHeight="1" s="38">
      <c r="E799" s="11" t="n"/>
    </row>
    <row r="800" ht="14.25" customHeight="1" s="38">
      <c r="E800" s="11" t="n"/>
    </row>
    <row r="801" ht="14.25" customHeight="1" s="38">
      <c r="E801" s="11" t="n"/>
    </row>
    <row r="802" ht="14.25" customHeight="1" s="38">
      <c r="E802" s="11" t="n"/>
    </row>
    <row r="803" ht="14.25" customHeight="1" s="38">
      <c r="E803" s="11" t="n"/>
    </row>
    <row r="804" ht="14.25" customHeight="1" s="38">
      <c r="E804" s="11" t="n"/>
    </row>
    <row r="805" ht="14.25" customHeight="1" s="38">
      <c r="E805" s="11" t="n"/>
    </row>
    <row r="806" ht="14.25" customHeight="1" s="38">
      <c r="E806" s="11" t="n"/>
    </row>
    <row r="807" ht="14.25" customHeight="1" s="38">
      <c r="E807" s="11" t="n"/>
    </row>
    <row r="808" ht="14.25" customHeight="1" s="38">
      <c r="E808" s="11" t="n"/>
    </row>
    <row r="809" ht="14.25" customHeight="1" s="38">
      <c r="E809" s="11" t="n"/>
    </row>
    <row r="810" ht="14.25" customHeight="1" s="38">
      <c r="E810" s="11" t="n"/>
    </row>
    <row r="811" ht="14.25" customHeight="1" s="38">
      <c r="E811" s="11" t="n"/>
    </row>
    <row r="812" ht="14.25" customHeight="1" s="38">
      <c r="E812" s="11" t="n"/>
    </row>
    <row r="813" ht="14.25" customHeight="1" s="38">
      <c r="E813" s="11" t="n"/>
    </row>
    <row r="814" ht="14.25" customHeight="1" s="38">
      <c r="E814" s="11" t="n"/>
    </row>
    <row r="815" ht="14.25" customHeight="1" s="38">
      <c r="E815" s="11" t="n"/>
    </row>
    <row r="816" ht="14.25" customHeight="1" s="38">
      <c r="E816" s="11" t="n"/>
    </row>
    <row r="817" ht="14.25" customHeight="1" s="38">
      <c r="E817" s="11" t="n"/>
    </row>
    <row r="818" ht="14.25" customHeight="1" s="38">
      <c r="E818" s="11" t="n"/>
    </row>
    <row r="819" ht="14.25" customHeight="1" s="38">
      <c r="E819" s="11" t="n"/>
    </row>
    <row r="820" ht="14.25" customHeight="1" s="38">
      <c r="E820" s="11" t="n"/>
    </row>
    <row r="821" ht="14.25" customHeight="1" s="38">
      <c r="E821" s="11" t="n"/>
    </row>
    <row r="822" ht="14.25" customHeight="1" s="38">
      <c r="E822" s="11" t="n"/>
    </row>
    <row r="823" ht="14.25" customHeight="1" s="38">
      <c r="E823" s="11" t="n"/>
    </row>
    <row r="824" ht="14.25" customHeight="1" s="38">
      <c r="E824" s="11" t="n"/>
    </row>
    <row r="825" ht="14.25" customHeight="1" s="38">
      <c r="E825" s="11" t="n"/>
    </row>
    <row r="826" ht="14.25" customHeight="1" s="38">
      <c r="E826" s="11" t="n"/>
    </row>
    <row r="827" ht="14.25" customHeight="1" s="38">
      <c r="E827" s="11" t="n"/>
    </row>
    <row r="828" ht="14.25" customHeight="1" s="38">
      <c r="E828" s="11" t="n"/>
    </row>
    <row r="829" ht="14.25" customHeight="1" s="38">
      <c r="E829" s="11" t="n"/>
    </row>
    <row r="830" ht="14.25" customHeight="1" s="38">
      <c r="E830" s="11" t="n"/>
    </row>
    <row r="831" ht="14.25" customHeight="1" s="38">
      <c r="E831" s="11" t="n"/>
    </row>
    <row r="832" ht="14.25" customHeight="1" s="38">
      <c r="E832" s="11" t="n"/>
    </row>
    <row r="833" ht="14.25" customHeight="1" s="38">
      <c r="E833" s="11" t="n"/>
    </row>
    <row r="834" ht="14.25" customHeight="1" s="38">
      <c r="E834" s="11" t="n"/>
    </row>
    <row r="835" ht="14.25" customHeight="1" s="38">
      <c r="E835" s="11" t="n"/>
    </row>
    <row r="836" ht="14.25" customHeight="1" s="38">
      <c r="E836" s="11" t="n"/>
    </row>
    <row r="837" ht="14.25" customHeight="1" s="38">
      <c r="E837" s="11" t="n"/>
    </row>
    <row r="838" ht="14.25" customHeight="1" s="38">
      <c r="E838" s="11" t="n"/>
    </row>
    <row r="839" ht="14.25" customHeight="1" s="38">
      <c r="E839" s="11" t="n"/>
    </row>
    <row r="840" ht="14.25" customHeight="1" s="38">
      <c r="E840" s="11" t="n"/>
    </row>
    <row r="841" ht="14.25" customHeight="1" s="38">
      <c r="E841" s="11" t="n"/>
    </row>
    <row r="842" ht="14.25" customHeight="1" s="38">
      <c r="E842" s="11" t="n"/>
    </row>
    <row r="843" ht="14.25" customHeight="1" s="38">
      <c r="E843" s="11" t="n"/>
    </row>
    <row r="844" ht="14.25" customHeight="1" s="38">
      <c r="E844" s="11" t="n"/>
    </row>
    <row r="845" ht="14.25" customHeight="1" s="38">
      <c r="E845" s="11" t="n"/>
    </row>
    <row r="846" ht="14.25" customHeight="1" s="38">
      <c r="E846" s="11" t="n"/>
    </row>
    <row r="847" ht="14.25" customHeight="1" s="38">
      <c r="E847" s="11" t="n"/>
    </row>
    <row r="848" ht="14.25" customHeight="1" s="38">
      <c r="E848" s="11" t="n"/>
    </row>
    <row r="849" ht="14.25" customHeight="1" s="38">
      <c r="E849" s="11" t="n"/>
    </row>
    <row r="850" ht="14.25" customHeight="1" s="38">
      <c r="E850" s="11" t="n"/>
    </row>
    <row r="851" ht="14.25" customHeight="1" s="38">
      <c r="E851" s="11" t="n"/>
    </row>
    <row r="852" ht="14.25" customHeight="1" s="38">
      <c r="E852" s="11" t="n"/>
    </row>
    <row r="853" ht="14.25" customHeight="1" s="38">
      <c r="E853" s="11" t="n"/>
    </row>
    <row r="854" ht="14.25" customHeight="1" s="38">
      <c r="E854" s="11" t="n"/>
    </row>
    <row r="855" ht="14.25" customHeight="1" s="38">
      <c r="E855" s="11" t="n"/>
    </row>
    <row r="856" ht="14.25" customHeight="1" s="38">
      <c r="E856" s="11" t="n"/>
    </row>
    <row r="857" ht="14.25" customHeight="1" s="38">
      <c r="E857" s="11" t="n"/>
    </row>
    <row r="858" ht="14.25" customHeight="1" s="38">
      <c r="E858" s="11" t="n"/>
    </row>
    <row r="859" ht="14.25" customHeight="1" s="38">
      <c r="E859" s="11" t="n"/>
    </row>
    <row r="860" ht="14.25" customHeight="1" s="38">
      <c r="E860" s="11" t="n"/>
    </row>
    <row r="861" ht="14.25" customHeight="1" s="38">
      <c r="E861" s="11" t="n"/>
    </row>
    <row r="862" ht="14.25" customHeight="1" s="38">
      <c r="E862" s="11" t="n"/>
    </row>
    <row r="863" ht="14.25" customHeight="1" s="38">
      <c r="E863" s="11" t="n"/>
    </row>
    <row r="864" ht="14.25" customHeight="1" s="38">
      <c r="E864" s="11" t="n"/>
    </row>
    <row r="865" ht="14.25" customHeight="1" s="38">
      <c r="E865" s="11" t="n"/>
    </row>
    <row r="866" ht="14.25" customHeight="1" s="38">
      <c r="E866" s="11" t="n"/>
    </row>
    <row r="867" ht="14.25" customHeight="1" s="38">
      <c r="E867" s="11" t="n"/>
    </row>
    <row r="868" ht="14.25" customHeight="1" s="38">
      <c r="E868" s="11" t="n"/>
    </row>
    <row r="869" ht="14.25" customHeight="1" s="38">
      <c r="E869" s="11" t="n"/>
    </row>
    <row r="870" ht="14.25" customHeight="1" s="38">
      <c r="E870" s="11" t="n"/>
    </row>
    <row r="871" ht="14.25" customHeight="1" s="38">
      <c r="E871" s="11" t="n"/>
    </row>
    <row r="872" ht="14.25" customHeight="1" s="38">
      <c r="E872" s="11" t="n"/>
    </row>
    <row r="873" ht="14.25" customHeight="1" s="38">
      <c r="E873" s="11" t="n"/>
    </row>
    <row r="874" ht="14.25" customHeight="1" s="38">
      <c r="E874" s="11" t="n"/>
    </row>
    <row r="875" ht="14.25" customHeight="1" s="38">
      <c r="E875" s="11" t="n"/>
    </row>
    <row r="876" ht="14.25" customHeight="1" s="38">
      <c r="E876" s="11" t="n"/>
    </row>
    <row r="877" ht="14.25" customHeight="1" s="38">
      <c r="E877" s="11" t="n"/>
    </row>
    <row r="878" ht="14.25" customHeight="1" s="38">
      <c r="E878" s="11" t="n"/>
    </row>
    <row r="879" ht="14.25" customHeight="1" s="38">
      <c r="E879" s="11" t="n"/>
    </row>
    <row r="880" ht="14.25" customHeight="1" s="38">
      <c r="E880" s="11" t="n"/>
    </row>
    <row r="881" ht="14.25" customHeight="1" s="38">
      <c r="E881" s="11" t="n"/>
    </row>
    <row r="882" ht="14.25" customHeight="1" s="38">
      <c r="E882" s="11" t="n"/>
    </row>
    <row r="883" ht="14.25" customHeight="1" s="38">
      <c r="E883" s="11" t="n"/>
    </row>
    <row r="884" ht="14.25" customHeight="1" s="38">
      <c r="E884" s="11" t="n"/>
    </row>
    <row r="885" ht="14.25" customHeight="1" s="38">
      <c r="E885" s="11" t="n"/>
    </row>
    <row r="886" ht="14.25" customHeight="1" s="38">
      <c r="E886" s="11" t="n"/>
    </row>
    <row r="887" ht="14.25" customHeight="1" s="38">
      <c r="E887" s="11" t="n"/>
    </row>
    <row r="888" ht="14.25" customHeight="1" s="38">
      <c r="E888" s="11" t="n"/>
    </row>
    <row r="889" ht="14.25" customHeight="1" s="38">
      <c r="E889" s="11" t="n"/>
    </row>
    <row r="890" ht="14.25" customHeight="1" s="38">
      <c r="E890" s="11" t="n"/>
    </row>
    <row r="891" ht="14.25" customHeight="1" s="38">
      <c r="E891" s="11" t="n"/>
    </row>
    <row r="892" ht="14.25" customHeight="1" s="38">
      <c r="E892" s="11" t="n"/>
    </row>
    <row r="893" ht="14.25" customHeight="1" s="38">
      <c r="E893" s="11" t="n"/>
    </row>
    <row r="894" ht="14.25" customHeight="1" s="38">
      <c r="E894" s="11" t="n"/>
    </row>
    <row r="895" ht="14.25" customHeight="1" s="38">
      <c r="E895" s="11" t="n"/>
    </row>
    <row r="896" ht="14.25" customHeight="1" s="38">
      <c r="E896" s="11" t="n"/>
    </row>
    <row r="897" ht="14.25" customHeight="1" s="38">
      <c r="E897" s="11" t="n"/>
    </row>
    <row r="898" ht="14.25" customHeight="1" s="38">
      <c r="E898" s="11" t="n"/>
    </row>
    <row r="899" ht="14.25" customHeight="1" s="38">
      <c r="E899" s="11" t="n"/>
    </row>
    <row r="900" ht="14.25" customHeight="1" s="38">
      <c r="E900" s="11" t="n"/>
    </row>
    <row r="901" ht="14.25" customHeight="1" s="38">
      <c r="E901" s="11" t="n"/>
    </row>
    <row r="902" ht="14.25" customHeight="1" s="38">
      <c r="E902" s="11" t="n"/>
    </row>
    <row r="903" ht="14.25" customHeight="1" s="38">
      <c r="E903" s="11" t="n"/>
    </row>
    <row r="904" ht="14.25" customHeight="1" s="38">
      <c r="E904" s="11" t="n"/>
    </row>
    <row r="905" ht="14.25" customHeight="1" s="38">
      <c r="E905" s="11" t="n"/>
    </row>
    <row r="906" ht="14.25" customHeight="1" s="38">
      <c r="E906" s="11" t="n"/>
    </row>
    <row r="907" ht="14.25" customHeight="1" s="38">
      <c r="E907" s="11" t="n"/>
    </row>
    <row r="908" ht="14.25" customHeight="1" s="38">
      <c r="E908" s="11" t="n"/>
    </row>
    <row r="909" ht="14.25" customHeight="1" s="38">
      <c r="E909" s="11" t="n"/>
    </row>
    <row r="910" ht="14.25" customHeight="1" s="38">
      <c r="E910" s="11" t="n"/>
    </row>
    <row r="911" ht="14.25" customHeight="1" s="38">
      <c r="E911" s="11" t="n"/>
    </row>
    <row r="912" ht="14.25" customHeight="1" s="38">
      <c r="E912" s="11" t="n"/>
    </row>
    <row r="913" ht="14.25" customHeight="1" s="38">
      <c r="E913" s="11" t="n"/>
    </row>
    <row r="914" ht="14.25" customHeight="1" s="38">
      <c r="E914" s="11" t="n"/>
    </row>
    <row r="915" ht="14.25" customHeight="1" s="38">
      <c r="E915" s="11" t="n"/>
    </row>
    <row r="916" ht="14.25" customHeight="1" s="38">
      <c r="E916" s="11" t="n"/>
    </row>
    <row r="917" ht="14.25" customHeight="1" s="38">
      <c r="E917" s="11" t="n"/>
    </row>
    <row r="918" ht="14.25" customHeight="1" s="38">
      <c r="E918" s="11" t="n"/>
    </row>
    <row r="919" ht="14.25" customHeight="1" s="38">
      <c r="E919" s="11" t="n"/>
    </row>
    <row r="920" ht="14.25" customHeight="1" s="38">
      <c r="E920" s="11" t="n"/>
    </row>
    <row r="921" ht="14.25" customHeight="1" s="38">
      <c r="E921" s="11" t="n"/>
    </row>
    <row r="922" ht="14.25" customHeight="1" s="38">
      <c r="E922" s="11" t="n"/>
    </row>
    <row r="923" ht="14.25" customHeight="1" s="38">
      <c r="E923" s="11" t="n"/>
    </row>
    <row r="924" ht="14.25" customHeight="1" s="38">
      <c r="E924" s="11" t="n"/>
    </row>
    <row r="925" ht="14.25" customHeight="1" s="38">
      <c r="E925" s="11" t="n"/>
    </row>
    <row r="926" ht="14.25" customHeight="1" s="38">
      <c r="E926" s="11" t="n"/>
    </row>
    <row r="927" ht="14.25" customHeight="1" s="38">
      <c r="E927" s="11" t="n"/>
    </row>
    <row r="928" ht="14.25" customHeight="1" s="38">
      <c r="E928" s="11" t="n"/>
    </row>
    <row r="929" ht="14.25" customHeight="1" s="38">
      <c r="E929" s="11" t="n"/>
    </row>
    <row r="930" ht="14.25" customHeight="1" s="38">
      <c r="E930" s="11" t="n"/>
    </row>
    <row r="931" ht="14.25" customHeight="1" s="38">
      <c r="E931" s="11" t="n"/>
    </row>
    <row r="932" ht="14.25" customHeight="1" s="38">
      <c r="E932" s="11" t="n"/>
    </row>
    <row r="933" ht="14.25" customHeight="1" s="38">
      <c r="E933" s="11" t="n"/>
    </row>
    <row r="934" ht="14.25" customHeight="1" s="38">
      <c r="E934" s="11" t="n"/>
    </row>
    <row r="935" ht="14.25" customHeight="1" s="38">
      <c r="E935" s="11" t="n"/>
    </row>
    <row r="936" ht="14.25" customHeight="1" s="38">
      <c r="E936" s="11" t="n"/>
    </row>
    <row r="937" ht="14.25" customHeight="1" s="38">
      <c r="E937" s="11" t="n"/>
    </row>
    <row r="938" ht="14.25" customHeight="1" s="38">
      <c r="E938" s="11" t="n"/>
    </row>
    <row r="939" ht="14.25" customHeight="1" s="38">
      <c r="E939" s="11" t="n"/>
    </row>
    <row r="940" ht="14.25" customHeight="1" s="38">
      <c r="E940" s="11" t="n"/>
    </row>
    <row r="941" ht="14.25" customHeight="1" s="38">
      <c r="E941" s="11" t="n"/>
    </row>
    <row r="942" ht="14.25" customHeight="1" s="38">
      <c r="E942" s="11" t="n"/>
    </row>
    <row r="943" ht="14.25" customHeight="1" s="38">
      <c r="E943" s="11" t="n"/>
    </row>
    <row r="944" ht="14.25" customHeight="1" s="38">
      <c r="E944" s="11" t="n"/>
    </row>
    <row r="945" ht="14.25" customHeight="1" s="38">
      <c r="E945" s="11" t="n"/>
    </row>
    <row r="946" ht="14.25" customHeight="1" s="38">
      <c r="E946" s="11" t="n"/>
    </row>
    <row r="947" ht="14.25" customHeight="1" s="38">
      <c r="E947" s="11" t="n"/>
    </row>
    <row r="948" ht="14.25" customHeight="1" s="38">
      <c r="E948" s="11" t="n"/>
    </row>
    <row r="949" ht="14.25" customHeight="1" s="38">
      <c r="E949" s="11" t="n"/>
    </row>
    <row r="950" ht="14.25" customHeight="1" s="38">
      <c r="E950" s="11" t="n"/>
    </row>
    <row r="951" ht="14.25" customHeight="1" s="38">
      <c r="E951" s="11" t="n"/>
    </row>
    <row r="952" ht="14.25" customHeight="1" s="38">
      <c r="E952" s="11" t="n"/>
    </row>
    <row r="953" ht="14.25" customHeight="1" s="38">
      <c r="E953" s="11" t="n"/>
    </row>
    <row r="954" ht="14.25" customHeight="1" s="38">
      <c r="E954" s="11" t="n"/>
    </row>
    <row r="955" ht="14.25" customHeight="1" s="38">
      <c r="E955" s="11" t="n"/>
    </row>
    <row r="956" ht="14.25" customHeight="1" s="38">
      <c r="E956" s="11" t="n"/>
    </row>
    <row r="957" ht="14.25" customHeight="1" s="38">
      <c r="E957" s="11" t="n"/>
    </row>
    <row r="958" ht="14.25" customHeight="1" s="38">
      <c r="E958" s="11" t="n"/>
    </row>
    <row r="959" ht="14.25" customHeight="1" s="38">
      <c r="E959" s="11" t="n"/>
    </row>
    <row r="960" ht="14.25" customHeight="1" s="38">
      <c r="E960" s="11" t="n"/>
    </row>
    <row r="961" ht="14.25" customHeight="1" s="38">
      <c r="E961" s="11" t="n"/>
    </row>
    <row r="962" ht="14.25" customHeight="1" s="38">
      <c r="E962" s="11" t="n"/>
    </row>
    <row r="963" ht="14.25" customHeight="1" s="38">
      <c r="E963" s="11" t="n"/>
    </row>
    <row r="964" ht="14.25" customHeight="1" s="38">
      <c r="E964" s="11" t="n"/>
    </row>
    <row r="965" ht="14.25" customHeight="1" s="38">
      <c r="E965" s="11" t="n"/>
    </row>
    <row r="966" ht="14.25" customHeight="1" s="38">
      <c r="E966" s="11" t="n"/>
    </row>
    <row r="967" ht="14.25" customHeight="1" s="38">
      <c r="E967" s="11" t="n"/>
    </row>
    <row r="968" ht="14.25" customHeight="1" s="38">
      <c r="E968" s="11" t="n"/>
    </row>
    <row r="969" ht="14.25" customHeight="1" s="38">
      <c r="E969" s="11" t="n"/>
    </row>
    <row r="970" ht="14.25" customHeight="1" s="38">
      <c r="E970" s="11" t="n"/>
    </row>
    <row r="971" ht="14.25" customHeight="1" s="38">
      <c r="E971" s="11" t="n"/>
    </row>
    <row r="972" ht="14.25" customHeight="1" s="38">
      <c r="E972" s="11" t="n"/>
    </row>
    <row r="973" ht="14.25" customHeight="1" s="38">
      <c r="E973" s="11" t="n"/>
    </row>
    <row r="974" ht="14.25" customHeight="1" s="38">
      <c r="E974" s="11" t="n"/>
    </row>
    <row r="975" ht="14.25" customHeight="1" s="38">
      <c r="E975" s="11" t="n"/>
    </row>
    <row r="976" ht="14.25" customHeight="1" s="38">
      <c r="E976" s="11" t="n"/>
    </row>
    <row r="977" ht="14.25" customHeight="1" s="38">
      <c r="E977" s="11" t="n"/>
    </row>
    <row r="978" ht="14.25" customHeight="1" s="38">
      <c r="E978" s="11" t="n"/>
    </row>
    <row r="979" ht="14.25" customHeight="1" s="38">
      <c r="E979" s="11" t="n"/>
    </row>
    <row r="980" ht="14.25" customHeight="1" s="38">
      <c r="E980" s="11" t="n"/>
    </row>
    <row r="981" ht="14.25" customHeight="1" s="38">
      <c r="E981" s="11" t="n"/>
    </row>
    <row r="982" ht="14.25" customHeight="1" s="38">
      <c r="E982" s="11" t="n"/>
    </row>
    <row r="983" ht="14.25" customHeight="1" s="38">
      <c r="E983" s="11" t="n"/>
    </row>
    <row r="984" ht="14.25" customHeight="1" s="38">
      <c r="E984" s="11" t="n"/>
    </row>
    <row r="985" ht="14.25" customHeight="1" s="38">
      <c r="E985" s="11" t="n"/>
    </row>
    <row r="986" ht="14.25" customHeight="1" s="38">
      <c r="E986" s="11" t="n"/>
    </row>
    <row r="987" ht="14.25" customHeight="1" s="38">
      <c r="E987" s="11" t="n"/>
    </row>
    <row r="988" ht="14.25" customHeight="1" s="38">
      <c r="E988" s="11" t="n"/>
    </row>
    <row r="989" ht="14.25" customHeight="1" s="38">
      <c r="E989" s="11" t="n"/>
    </row>
    <row r="990" ht="14.25" customHeight="1" s="38">
      <c r="E990" s="11" t="n"/>
    </row>
    <row r="991" ht="14.25" customHeight="1" s="38">
      <c r="E991" s="11" t="n"/>
    </row>
    <row r="992" ht="14.25" customHeight="1" s="38">
      <c r="E992" s="11" t="n"/>
    </row>
    <row r="993" ht="14.25" customHeight="1" s="38">
      <c r="E993" s="11" t="n"/>
    </row>
    <row r="994" ht="14.25" customHeight="1" s="38">
      <c r="E994" s="11" t="n"/>
    </row>
    <row r="995" ht="14.25" customHeight="1" s="38">
      <c r="E995" s="11" t="n"/>
    </row>
    <row r="996" ht="14.25" customHeight="1" s="38">
      <c r="E996" s="11" t="n"/>
    </row>
    <row r="997" ht="14.25" customHeight="1" s="38">
      <c r="E997" s="11" t="n"/>
    </row>
    <row r="998" ht="14.25" customHeight="1" s="38">
      <c r="E998" s="11" t="n"/>
    </row>
    <row r="999" ht="14.25" customHeight="1" s="38">
      <c r="E999" s="11" t="n"/>
    </row>
    <row r="1000" ht="14.25" customHeight="1" s="38">
      <c r="E1000" s="11" t="n"/>
    </row>
    <row r="1001" ht="14.25" customHeight="1" s="38">
      <c r="E1001" s="11" t="n"/>
    </row>
  </sheetData>
  <autoFilter ref="$A$1:$F$1001"/>
  <dataValidations count="1">
    <dataValidation sqref="E2:E1001" showDropDown="0" showInputMessage="0" showErrorMessage="0" allowBlank="1" type="list">
      <formula1>LIST!$F$2:$F$5</formula1>
    </dataValidation>
  </dataValidations>
  <pageMargins left="0.25" right="0.25" top="0.35" bottom="0.35" header="0" footer="0"/>
  <pageSetup orientation="landscape" paperSize="9" fitToHeight="0"/>
  <headerFooter>
    <oddHeader/>
    <oddFooter>&amp;CParoki St. Klement I Sepinggan Balikpapan • Statistik 2026&amp;RHalaman &amp;P dari 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1001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38" min="1" max="1"/>
    <col width="30" customWidth="1" style="38" min="2" max="2"/>
    <col width="22" customWidth="1" style="38" min="3" max="3"/>
    <col width="20" customWidth="1" style="38" min="4" max="4"/>
    <col width="24" customWidth="1" style="38" min="5" max="5"/>
    <col width="30" customWidth="1" style="38" min="6" max="6"/>
    <col width="9" customWidth="1" style="38" min="7" max="26"/>
  </cols>
  <sheetData>
    <row r="1" ht="14.25" customHeight="1" s="38">
      <c r="A1" s="7" t="inlineStr">
        <is>
          <t>ID KK</t>
        </is>
      </c>
      <c r="B1" s="7" t="inlineStr">
        <is>
          <t>Nama Pasangan</t>
        </is>
      </c>
      <c r="C1" s="7" t="inlineStr">
        <is>
          <t>Lingkungan</t>
        </is>
      </c>
      <c r="D1" s="7" t="inlineStr">
        <is>
          <t>Tanggal Pembubaran</t>
        </is>
      </c>
      <c r="E1" s="7" t="inlineStr">
        <is>
          <t>Pelaksanaan Lewat</t>
        </is>
      </c>
      <c r="F1" s="7" t="inlineStr">
        <is>
          <t>Keterangan</t>
        </is>
      </c>
    </row>
    <row r="2" ht="14.25" customHeight="1" s="38">
      <c r="A2" s="9" t="n"/>
      <c r="B2" s="9" t="n"/>
      <c r="C2" s="9" t="n"/>
      <c r="D2" s="9" t="n"/>
      <c r="E2" s="9" t="n"/>
      <c r="F2" s="9" t="n"/>
    </row>
    <row r="3" ht="14.25" customHeight="1" s="38">
      <c r="A3" s="9" t="n"/>
      <c r="B3" s="9" t="n"/>
      <c r="C3" s="9" t="n"/>
      <c r="D3" s="9" t="n"/>
      <c r="E3" s="9" t="n"/>
      <c r="F3" s="9" t="n"/>
    </row>
    <row r="4" ht="14.25" customHeight="1" s="38">
      <c r="A4" s="9" t="n"/>
      <c r="B4" s="9" t="n"/>
      <c r="C4" s="9" t="n"/>
      <c r="D4" s="9" t="n"/>
      <c r="E4" s="9" t="n"/>
      <c r="F4" s="9" t="n"/>
    </row>
    <row r="5" ht="14.25" customHeight="1" s="38">
      <c r="A5" s="9" t="n"/>
      <c r="B5" s="9" t="n"/>
      <c r="C5" s="9" t="n"/>
      <c r="D5" s="9" t="n"/>
      <c r="E5" s="9" t="n"/>
      <c r="F5" s="9" t="n"/>
    </row>
    <row r="6" ht="14.25" customHeight="1" s="38">
      <c r="A6" s="9" t="n"/>
      <c r="B6" s="9" t="n"/>
      <c r="C6" s="9" t="n"/>
      <c r="D6" s="9" t="n"/>
      <c r="E6" s="9" t="n"/>
      <c r="F6" s="9" t="n"/>
    </row>
    <row r="7" ht="14.25" customHeight="1" s="38">
      <c r="A7" s="9" t="n"/>
      <c r="B7" s="9" t="n"/>
      <c r="C7" s="9" t="n"/>
      <c r="D7" s="9" t="n"/>
      <c r="E7" s="9" t="n"/>
      <c r="F7" s="9" t="n"/>
    </row>
    <row r="8" ht="14.25" customHeight="1" s="38">
      <c r="A8" s="9" t="n"/>
      <c r="B8" s="9" t="n"/>
      <c r="C8" s="9" t="n"/>
      <c r="D8" s="9" t="n"/>
      <c r="E8" s="9" t="n"/>
      <c r="F8" s="9" t="n"/>
    </row>
    <row r="9" ht="14.25" customHeight="1" s="38">
      <c r="A9" s="9" t="n"/>
      <c r="B9" s="9" t="n"/>
      <c r="C9" s="9" t="n"/>
      <c r="D9" s="9" t="n"/>
      <c r="E9" s="9" t="n"/>
      <c r="F9" s="9" t="n"/>
    </row>
    <row r="10" ht="14.25" customHeight="1" s="38">
      <c r="A10" s="9" t="n"/>
      <c r="B10" s="9" t="n"/>
      <c r="C10" s="9" t="n"/>
      <c r="D10" s="9" t="n"/>
      <c r="E10" s="9" t="n"/>
      <c r="F10" s="9" t="n"/>
    </row>
    <row r="11" ht="14.25" customHeight="1" s="38">
      <c r="A11" s="9" t="n"/>
      <c r="B11" s="9" t="n"/>
      <c r="C11" s="9" t="n"/>
      <c r="D11" s="9" t="n"/>
      <c r="E11" s="9" t="n"/>
      <c r="F11" s="9" t="n"/>
    </row>
    <row r="12" ht="14.25" customHeight="1" s="38">
      <c r="A12" s="9" t="n"/>
      <c r="B12" s="9" t="n"/>
      <c r="C12" s="9" t="n"/>
      <c r="D12" s="9" t="n"/>
      <c r="E12" s="9" t="n"/>
      <c r="F12" s="9" t="n"/>
    </row>
    <row r="13" ht="14.25" customHeight="1" s="38">
      <c r="A13" s="9" t="n"/>
      <c r="B13" s="9" t="n"/>
      <c r="C13" s="9" t="n"/>
      <c r="D13" s="9" t="n"/>
      <c r="E13" s="9" t="n"/>
      <c r="F13" s="9" t="n"/>
    </row>
    <row r="14" ht="14.25" customHeight="1" s="38">
      <c r="A14" s="9" t="n"/>
      <c r="B14" s="9" t="n"/>
      <c r="C14" s="9" t="n"/>
      <c r="D14" s="9" t="n"/>
      <c r="E14" s="9" t="n"/>
      <c r="F14" s="9" t="n"/>
    </row>
    <row r="15" ht="14.25" customHeight="1" s="38">
      <c r="A15" s="9" t="n"/>
      <c r="B15" s="9" t="n"/>
      <c r="C15" s="9" t="n"/>
      <c r="D15" s="9" t="n"/>
      <c r="E15" s="9" t="n"/>
      <c r="F15" s="9" t="n"/>
    </row>
    <row r="16" ht="14.25" customHeight="1" s="38">
      <c r="A16" s="9" t="n"/>
      <c r="B16" s="9" t="n"/>
      <c r="C16" s="9" t="n"/>
      <c r="D16" s="9" t="n"/>
      <c r="E16" s="9" t="n"/>
      <c r="F16" s="9" t="n"/>
    </row>
    <row r="17" ht="14.25" customHeight="1" s="38">
      <c r="A17" s="9" t="n"/>
      <c r="B17" s="9" t="n"/>
      <c r="C17" s="9" t="n"/>
      <c r="D17" s="9" t="n"/>
      <c r="E17" s="9" t="n"/>
      <c r="F17" s="9" t="n"/>
    </row>
    <row r="18" ht="14.25" customHeight="1" s="38">
      <c r="A18" s="9" t="n"/>
      <c r="B18" s="9" t="n"/>
      <c r="C18" s="9" t="n"/>
      <c r="D18" s="9" t="n"/>
      <c r="E18" s="9" t="n"/>
      <c r="F18" s="9" t="n"/>
    </row>
    <row r="19" ht="14.25" customHeight="1" s="38">
      <c r="A19" s="9" t="n"/>
      <c r="B19" s="9" t="n"/>
      <c r="C19" s="9" t="n"/>
      <c r="D19" s="9" t="n"/>
      <c r="E19" s="9" t="n"/>
      <c r="F19" s="9" t="n"/>
    </row>
    <row r="20" ht="14.25" customHeight="1" s="38">
      <c r="A20" s="9" t="n"/>
      <c r="B20" s="9" t="n"/>
      <c r="C20" s="9" t="n"/>
      <c r="D20" s="9" t="n"/>
      <c r="E20" s="9" t="n"/>
      <c r="F20" s="9" t="n"/>
    </row>
    <row r="21" ht="14.25" customHeight="1" s="38">
      <c r="A21" s="9" t="n"/>
      <c r="B21" s="9" t="n"/>
      <c r="C21" s="9" t="n"/>
      <c r="D21" s="9" t="n"/>
      <c r="E21" s="9" t="n"/>
      <c r="F21" s="9" t="n"/>
    </row>
    <row r="22" ht="14.25" customHeight="1" s="38">
      <c r="A22" s="9" t="n"/>
      <c r="B22" s="9" t="n"/>
      <c r="C22" s="9" t="n"/>
      <c r="D22" s="9" t="n"/>
      <c r="E22" s="9" t="n"/>
      <c r="F22" s="9" t="n"/>
    </row>
    <row r="23" ht="14.25" customHeight="1" s="38">
      <c r="A23" s="9" t="n"/>
      <c r="B23" s="9" t="n"/>
      <c r="C23" s="9" t="n"/>
      <c r="D23" s="9" t="n"/>
      <c r="E23" s="9" t="n"/>
      <c r="F23" s="9" t="n"/>
    </row>
    <row r="24" ht="14.25" customHeight="1" s="38">
      <c r="A24" s="9" t="n"/>
      <c r="B24" s="9" t="n"/>
      <c r="C24" s="9" t="n"/>
      <c r="D24" s="9" t="n"/>
      <c r="E24" s="9" t="n"/>
      <c r="F24" s="9" t="n"/>
    </row>
    <row r="25" ht="14.25" customHeight="1" s="38">
      <c r="A25" s="9" t="n"/>
      <c r="B25" s="9" t="n"/>
      <c r="C25" s="9" t="n"/>
      <c r="D25" s="9" t="n"/>
      <c r="E25" s="9" t="n"/>
      <c r="F25" s="9" t="n"/>
    </row>
    <row r="26" ht="14.25" customHeight="1" s="38">
      <c r="A26" s="9" t="n"/>
      <c r="B26" s="9" t="n"/>
      <c r="C26" s="9" t="n"/>
      <c r="D26" s="9" t="n"/>
      <c r="E26" s="9" t="n"/>
      <c r="F26" s="9" t="n"/>
    </row>
    <row r="27" ht="14.25" customHeight="1" s="38">
      <c r="A27" s="9" t="n"/>
      <c r="B27" s="9" t="n"/>
      <c r="C27" s="9" t="n"/>
      <c r="D27" s="9" t="n"/>
      <c r="E27" s="9" t="n"/>
      <c r="F27" s="9" t="n"/>
    </row>
    <row r="28" ht="14.25" customHeight="1" s="38">
      <c r="A28" s="9" t="n"/>
      <c r="B28" s="9" t="n"/>
      <c r="C28" s="9" t="n"/>
      <c r="D28" s="9" t="n"/>
      <c r="E28" s="9" t="n"/>
      <c r="F28" s="9" t="n"/>
    </row>
    <row r="29" ht="14.25" customHeight="1" s="38">
      <c r="A29" s="9" t="n"/>
      <c r="B29" s="9" t="n"/>
      <c r="C29" s="9" t="n"/>
      <c r="D29" s="9" t="n"/>
      <c r="E29" s="9" t="n"/>
      <c r="F29" s="9" t="n"/>
    </row>
    <row r="30" ht="14.25" customHeight="1" s="38">
      <c r="A30" s="9" t="n"/>
      <c r="B30" s="9" t="n"/>
      <c r="C30" s="9" t="n"/>
      <c r="D30" s="9" t="n"/>
      <c r="E30" s="9" t="n"/>
      <c r="F30" s="9" t="n"/>
    </row>
    <row r="31" ht="14.25" customHeight="1" s="38">
      <c r="A31" s="9" t="n"/>
      <c r="B31" s="9" t="n"/>
      <c r="C31" s="9" t="n"/>
      <c r="D31" s="9" t="n"/>
      <c r="E31" s="9" t="n"/>
      <c r="F31" s="9" t="n"/>
    </row>
    <row r="32" ht="14.25" customHeight="1" s="38">
      <c r="A32" s="9" t="n"/>
      <c r="B32" s="9" t="n"/>
      <c r="C32" s="9" t="n"/>
      <c r="D32" s="9" t="n"/>
      <c r="E32" s="9" t="n"/>
      <c r="F32" s="9" t="n"/>
    </row>
    <row r="33" ht="14.25" customHeight="1" s="38">
      <c r="A33" s="9" t="n"/>
      <c r="B33" s="9" t="n"/>
      <c r="C33" s="9" t="n"/>
      <c r="D33" s="9" t="n"/>
      <c r="E33" s="9" t="n"/>
      <c r="F33" s="9" t="n"/>
    </row>
    <row r="34" ht="14.25" customHeight="1" s="38">
      <c r="A34" s="9" t="n"/>
      <c r="B34" s="9" t="n"/>
      <c r="C34" s="9" t="n"/>
      <c r="D34" s="9" t="n"/>
      <c r="E34" s="9" t="n"/>
      <c r="F34" s="9" t="n"/>
    </row>
    <row r="35" ht="14.25" customHeight="1" s="38">
      <c r="A35" s="9" t="n"/>
      <c r="B35" s="9" t="n"/>
      <c r="C35" s="9" t="n"/>
      <c r="D35" s="9" t="n"/>
      <c r="E35" s="9" t="n"/>
      <c r="F35" s="9" t="n"/>
    </row>
    <row r="36" ht="14.25" customHeight="1" s="38">
      <c r="A36" s="9" t="n"/>
      <c r="B36" s="9" t="n"/>
      <c r="C36" s="9" t="n"/>
      <c r="D36" s="9" t="n"/>
      <c r="E36" s="9" t="n"/>
      <c r="F36" s="9" t="n"/>
    </row>
    <row r="37" ht="14.25" customHeight="1" s="38">
      <c r="A37" s="9" t="n"/>
      <c r="B37" s="9" t="n"/>
      <c r="C37" s="9" t="n"/>
      <c r="D37" s="9" t="n"/>
      <c r="E37" s="9" t="n"/>
      <c r="F37" s="9" t="n"/>
    </row>
    <row r="38" ht="14.25" customHeight="1" s="38">
      <c r="A38" s="9" t="n"/>
      <c r="B38" s="9" t="n"/>
      <c r="C38" s="9" t="n"/>
      <c r="D38" s="9" t="n"/>
      <c r="E38" s="9" t="n"/>
      <c r="F38" s="9" t="n"/>
    </row>
    <row r="39" ht="14.25" customHeight="1" s="38">
      <c r="A39" s="9" t="n"/>
      <c r="B39" s="9" t="n"/>
      <c r="C39" s="9" t="n"/>
      <c r="D39" s="9" t="n"/>
      <c r="E39" s="9" t="n"/>
      <c r="F39" s="9" t="n"/>
    </row>
    <row r="40" ht="14.25" customHeight="1" s="38">
      <c r="A40" s="9" t="n"/>
      <c r="B40" s="9" t="n"/>
      <c r="C40" s="9" t="n"/>
      <c r="D40" s="9" t="n"/>
      <c r="E40" s="9" t="n"/>
      <c r="F40" s="9" t="n"/>
    </row>
    <row r="41" ht="14.25" customHeight="1" s="38">
      <c r="A41" s="9" t="n"/>
      <c r="B41" s="9" t="n"/>
      <c r="C41" s="9" t="n"/>
      <c r="D41" s="9" t="n"/>
      <c r="E41" s="9" t="n"/>
      <c r="F41" s="9" t="n"/>
    </row>
    <row r="42" ht="14.25" customHeight="1" s="38">
      <c r="A42" s="9" t="n"/>
      <c r="B42" s="9" t="n"/>
      <c r="C42" s="9" t="n"/>
      <c r="D42" s="9" t="n"/>
      <c r="E42" s="9" t="n"/>
      <c r="F42" s="9" t="n"/>
    </row>
    <row r="43" ht="14.25" customHeight="1" s="38">
      <c r="A43" s="9" t="n"/>
      <c r="B43" s="9" t="n"/>
      <c r="C43" s="9" t="n"/>
      <c r="D43" s="9" t="n"/>
      <c r="E43" s="9" t="n"/>
      <c r="F43" s="9" t="n"/>
    </row>
    <row r="44" ht="14.25" customHeight="1" s="38">
      <c r="A44" s="9" t="n"/>
      <c r="B44" s="9" t="n"/>
      <c r="C44" s="9" t="n"/>
      <c r="D44" s="9" t="n"/>
      <c r="E44" s="9" t="n"/>
      <c r="F44" s="9" t="n"/>
    </row>
    <row r="45" ht="14.25" customHeight="1" s="38">
      <c r="A45" s="9" t="n"/>
      <c r="B45" s="9" t="n"/>
      <c r="C45" s="9" t="n"/>
      <c r="D45" s="9" t="n"/>
      <c r="E45" s="9" t="n"/>
      <c r="F45" s="9" t="n"/>
    </row>
    <row r="46" ht="14.25" customHeight="1" s="38">
      <c r="A46" s="9" t="n"/>
      <c r="B46" s="9" t="n"/>
      <c r="C46" s="9" t="n"/>
      <c r="D46" s="9" t="n"/>
      <c r="E46" s="9" t="n"/>
      <c r="F46" s="9" t="n"/>
    </row>
    <row r="47" ht="14.25" customHeight="1" s="38">
      <c r="A47" s="9" t="n"/>
      <c r="B47" s="9" t="n"/>
      <c r="C47" s="9" t="n"/>
      <c r="D47" s="9" t="n"/>
      <c r="E47" s="9" t="n"/>
      <c r="F47" s="9" t="n"/>
    </row>
    <row r="48" ht="14.25" customHeight="1" s="38">
      <c r="A48" s="9" t="n"/>
      <c r="B48" s="9" t="n"/>
      <c r="C48" s="9" t="n"/>
      <c r="D48" s="9" t="n"/>
      <c r="E48" s="9" t="n"/>
      <c r="F48" s="9" t="n"/>
    </row>
    <row r="49" ht="14.25" customHeight="1" s="38">
      <c r="A49" s="9" t="n"/>
      <c r="B49" s="9" t="n"/>
      <c r="C49" s="9" t="n"/>
      <c r="D49" s="9" t="n"/>
      <c r="E49" s="9" t="n"/>
      <c r="F49" s="9" t="n"/>
    </row>
    <row r="50" ht="14.25" customHeight="1" s="38">
      <c r="A50" s="9" t="n"/>
      <c r="B50" s="9" t="n"/>
      <c r="C50" s="9" t="n"/>
      <c r="D50" s="9" t="n"/>
      <c r="E50" s="9" t="n"/>
      <c r="F50" s="9" t="n"/>
    </row>
    <row r="51" ht="14.25" customHeight="1" s="38">
      <c r="A51" s="9" t="n"/>
      <c r="B51" s="9" t="n"/>
      <c r="C51" s="9" t="n"/>
      <c r="D51" s="9" t="n"/>
      <c r="E51" s="9" t="n"/>
      <c r="F51" s="9" t="n"/>
    </row>
    <row r="52" ht="14.25" customHeight="1" s="38">
      <c r="A52" s="9" t="n"/>
      <c r="B52" s="9" t="n"/>
      <c r="C52" s="9" t="n"/>
      <c r="D52" s="9" t="n"/>
      <c r="E52" s="9" t="n"/>
      <c r="F52" s="9" t="n"/>
    </row>
    <row r="53" ht="14.25" customHeight="1" s="38">
      <c r="A53" s="9" t="n"/>
      <c r="B53" s="9" t="n"/>
      <c r="C53" s="9" t="n"/>
      <c r="D53" s="9" t="n"/>
      <c r="E53" s="9" t="n"/>
      <c r="F53" s="9" t="n"/>
    </row>
    <row r="54" ht="14.25" customHeight="1" s="38">
      <c r="A54" s="9" t="n"/>
      <c r="B54" s="9" t="n"/>
      <c r="C54" s="9" t="n"/>
      <c r="D54" s="9" t="n"/>
      <c r="E54" s="9" t="n"/>
      <c r="F54" s="9" t="n"/>
    </row>
    <row r="55" ht="14.25" customHeight="1" s="38">
      <c r="A55" s="9" t="n"/>
      <c r="B55" s="9" t="n"/>
      <c r="C55" s="9" t="n"/>
      <c r="D55" s="9" t="n"/>
      <c r="E55" s="9" t="n"/>
      <c r="F55" s="9" t="n"/>
    </row>
    <row r="56" ht="14.25" customHeight="1" s="38">
      <c r="A56" s="9" t="n"/>
      <c r="B56" s="9" t="n"/>
      <c r="C56" s="9" t="n"/>
      <c r="D56" s="9" t="n"/>
      <c r="E56" s="9" t="n"/>
      <c r="F56" s="9" t="n"/>
    </row>
    <row r="57" ht="14.25" customHeight="1" s="38">
      <c r="A57" s="9" t="n"/>
      <c r="B57" s="9" t="n"/>
      <c r="C57" s="9" t="n"/>
      <c r="D57" s="9" t="n"/>
      <c r="E57" s="9" t="n"/>
      <c r="F57" s="9" t="n"/>
    </row>
    <row r="58" ht="14.25" customHeight="1" s="38">
      <c r="A58" s="9" t="n"/>
      <c r="B58" s="9" t="n"/>
      <c r="C58" s="9" t="n"/>
      <c r="D58" s="9" t="n"/>
      <c r="E58" s="9" t="n"/>
      <c r="F58" s="9" t="n"/>
    </row>
    <row r="59" ht="14.25" customHeight="1" s="38">
      <c r="A59" s="9" t="n"/>
      <c r="B59" s="9" t="n"/>
      <c r="C59" s="9" t="n"/>
      <c r="D59" s="9" t="n"/>
      <c r="E59" s="9" t="n"/>
      <c r="F59" s="9" t="n"/>
    </row>
    <row r="60" ht="14.25" customHeight="1" s="38">
      <c r="A60" s="9" t="n"/>
      <c r="B60" s="9" t="n"/>
      <c r="C60" s="9" t="n"/>
      <c r="D60" s="9" t="n"/>
      <c r="E60" s="9" t="n"/>
      <c r="F60" s="9" t="n"/>
    </row>
    <row r="61" ht="14.25" customHeight="1" s="38">
      <c r="A61" s="9" t="n"/>
      <c r="B61" s="9" t="n"/>
      <c r="C61" s="9" t="n"/>
      <c r="D61" s="9" t="n"/>
      <c r="E61" s="9" t="n"/>
      <c r="F61" s="9" t="n"/>
    </row>
    <row r="62" ht="14.25" customHeight="1" s="38">
      <c r="A62" s="9" t="n"/>
      <c r="B62" s="9" t="n"/>
      <c r="C62" s="9" t="n"/>
      <c r="D62" s="9" t="n"/>
      <c r="E62" s="9" t="n"/>
      <c r="F62" s="9" t="n"/>
    </row>
    <row r="63" ht="14.25" customHeight="1" s="38">
      <c r="A63" s="9" t="n"/>
      <c r="B63" s="9" t="n"/>
      <c r="C63" s="9" t="n"/>
      <c r="D63" s="9" t="n"/>
      <c r="E63" s="9" t="n"/>
      <c r="F63" s="9" t="n"/>
    </row>
    <row r="64" ht="14.25" customHeight="1" s="38">
      <c r="A64" s="9" t="n"/>
      <c r="B64" s="9" t="n"/>
      <c r="C64" s="9" t="n"/>
      <c r="D64" s="9" t="n"/>
      <c r="E64" s="9" t="n"/>
      <c r="F64" s="9" t="n"/>
    </row>
    <row r="65" ht="14.25" customHeight="1" s="38">
      <c r="A65" s="9" t="n"/>
      <c r="B65" s="9" t="n"/>
      <c r="C65" s="9" t="n"/>
      <c r="D65" s="9" t="n"/>
      <c r="E65" s="9" t="n"/>
      <c r="F65" s="9" t="n"/>
    </row>
    <row r="66" ht="14.25" customHeight="1" s="38">
      <c r="A66" s="9" t="n"/>
      <c r="B66" s="9" t="n"/>
      <c r="C66" s="9" t="n"/>
      <c r="D66" s="9" t="n"/>
      <c r="E66" s="9" t="n"/>
      <c r="F66" s="9" t="n"/>
    </row>
    <row r="67" ht="14.25" customHeight="1" s="38">
      <c r="A67" s="9" t="n"/>
      <c r="B67" s="9" t="n"/>
      <c r="C67" s="9" t="n"/>
      <c r="D67" s="9" t="n"/>
      <c r="E67" s="9" t="n"/>
      <c r="F67" s="9" t="n"/>
    </row>
    <row r="68" ht="14.25" customHeight="1" s="38">
      <c r="A68" s="9" t="n"/>
      <c r="B68" s="9" t="n"/>
      <c r="C68" s="9" t="n"/>
      <c r="D68" s="9" t="n"/>
      <c r="E68" s="9" t="n"/>
      <c r="F68" s="9" t="n"/>
    </row>
    <row r="69" ht="14.25" customHeight="1" s="38">
      <c r="A69" s="9" t="n"/>
      <c r="B69" s="9" t="n"/>
      <c r="C69" s="9" t="n"/>
      <c r="D69" s="9" t="n"/>
      <c r="E69" s="9" t="n"/>
      <c r="F69" s="9" t="n"/>
    </row>
    <row r="70" ht="14.25" customHeight="1" s="38">
      <c r="A70" s="9" t="n"/>
      <c r="B70" s="9" t="n"/>
      <c r="C70" s="9" t="n"/>
      <c r="D70" s="9" t="n"/>
      <c r="E70" s="9" t="n"/>
      <c r="F70" s="9" t="n"/>
    </row>
    <row r="71" ht="14.25" customHeight="1" s="38">
      <c r="A71" s="9" t="n"/>
      <c r="B71" s="9" t="n"/>
      <c r="C71" s="9" t="n"/>
      <c r="D71" s="9" t="n"/>
      <c r="E71" s="9" t="n"/>
      <c r="F71" s="9" t="n"/>
    </row>
    <row r="72" ht="14.25" customHeight="1" s="38">
      <c r="A72" s="9" t="n"/>
      <c r="B72" s="9" t="n"/>
      <c r="C72" s="9" t="n"/>
      <c r="D72" s="9" t="n"/>
      <c r="E72" s="9" t="n"/>
      <c r="F72" s="9" t="n"/>
    </row>
    <row r="73" ht="14.25" customHeight="1" s="38">
      <c r="A73" s="9" t="n"/>
      <c r="B73" s="9" t="n"/>
      <c r="C73" s="9" t="n"/>
      <c r="D73" s="9" t="n"/>
      <c r="E73" s="9" t="n"/>
      <c r="F73" s="9" t="n"/>
    </row>
    <row r="74" ht="14.25" customHeight="1" s="38">
      <c r="A74" s="9" t="n"/>
      <c r="B74" s="9" t="n"/>
      <c r="C74" s="9" t="n"/>
      <c r="D74" s="9" t="n"/>
      <c r="E74" s="9" t="n"/>
      <c r="F74" s="9" t="n"/>
    </row>
    <row r="75" ht="14.25" customHeight="1" s="38">
      <c r="A75" s="9" t="n"/>
      <c r="B75" s="9" t="n"/>
      <c r="C75" s="9" t="n"/>
      <c r="D75" s="9" t="n"/>
      <c r="E75" s="9" t="n"/>
      <c r="F75" s="9" t="n"/>
    </row>
    <row r="76" ht="14.25" customHeight="1" s="38">
      <c r="A76" s="9" t="n"/>
      <c r="B76" s="9" t="n"/>
      <c r="C76" s="9" t="n"/>
      <c r="D76" s="9" t="n"/>
      <c r="E76" s="9" t="n"/>
      <c r="F76" s="9" t="n"/>
    </row>
    <row r="77" ht="14.25" customHeight="1" s="38">
      <c r="A77" s="9" t="n"/>
      <c r="B77" s="9" t="n"/>
      <c r="C77" s="9" t="n"/>
      <c r="D77" s="9" t="n"/>
      <c r="E77" s="9" t="n"/>
      <c r="F77" s="9" t="n"/>
    </row>
    <row r="78" ht="14.25" customHeight="1" s="38">
      <c r="A78" s="9" t="n"/>
      <c r="B78" s="9" t="n"/>
      <c r="C78" s="9" t="n"/>
      <c r="D78" s="9" t="n"/>
      <c r="E78" s="9" t="n"/>
      <c r="F78" s="9" t="n"/>
    </row>
    <row r="79" ht="14.25" customHeight="1" s="38">
      <c r="A79" s="9" t="n"/>
      <c r="B79" s="9" t="n"/>
      <c r="C79" s="9" t="n"/>
      <c r="D79" s="9" t="n"/>
      <c r="E79" s="9" t="n"/>
      <c r="F79" s="9" t="n"/>
    </row>
    <row r="80" ht="14.25" customHeight="1" s="38">
      <c r="A80" s="9" t="n"/>
      <c r="B80" s="9" t="n"/>
      <c r="C80" s="9" t="n"/>
      <c r="D80" s="9" t="n"/>
      <c r="E80" s="9" t="n"/>
      <c r="F80" s="9" t="n"/>
    </row>
    <row r="81" ht="14.25" customHeight="1" s="38">
      <c r="A81" s="9" t="n"/>
      <c r="B81" s="9" t="n"/>
      <c r="C81" s="9" t="n"/>
      <c r="D81" s="9" t="n"/>
      <c r="E81" s="9" t="n"/>
      <c r="F81" s="9" t="n"/>
    </row>
    <row r="82" ht="14.25" customHeight="1" s="38">
      <c r="A82" s="9" t="n"/>
      <c r="B82" s="9" t="n"/>
      <c r="C82" s="9" t="n"/>
      <c r="D82" s="9" t="n"/>
      <c r="E82" s="9" t="n"/>
      <c r="F82" s="9" t="n"/>
    </row>
    <row r="83" ht="14.25" customHeight="1" s="38">
      <c r="A83" s="9" t="n"/>
      <c r="B83" s="9" t="n"/>
      <c r="C83" s="9" t="n"/>
      <c r="D83" s="9" t="n"/>
      <c r="E83" s="9" t="n"/>
      <c r="F83" s="9" t="n"/>
    </row>
    <row r="84" ht="14.25" customHeight="1" s="38">
      <c r="A84" s="9" t="n"/>
      <c r="B84" s="9" t="n"/>
      <c r="C84" s="9" t="n"/>
      <c r="D84" s="9" t="n"/>
      <c r="E84" s="9" t="n"/>
      <c r="F84" s="9" t="n"/>
    </row>
    <row r="85" ht="14.25" customHeight="1" s="38">
      <c r="A85" s="9" t="n"/>
      <c r="B85" s="9" t="n"/>
      <c r="C85" s="9" t="n"/>
      <c r="D85" s="9" t="n"/>
      <c r="E85" s="9" t="n"/>
      <c r="F85" s="9" t="n"/>
    </row>
    <row r="86" ht="14.25" customHeight="1" s="38">
      <c r="A86" s="9" t="n"/>
      <c r="B86" s="9" t="n"/>
      <c r="C86" s="9" t="n"/>
      <c r="D86" s="9" t="n"/>
      <c r="E86" s="9" t="n"/>
      <c r="F86" s="9" t="n"/>
    </row>
    <row r="87" ht="14.25" customHeight="1" s="38">
      <c r="A87" s="9" t="n"/>
      <c r="B87" s="9" t="n"/>
      <c r="C87" s="9" t="n"/>
      <c r="D87" s="9" t="n"/>
      <c r="E87" s="9" t="n"/>
      <c r="F87" s="9" t="n"/>
    </row>
    <row r="88" ht="14.25" customHeight="1" s="38">
      <c r="A88" s="9" t="n"/>
      <c r="B88" s="9" t="n"/>
      <c r="C88" s="9" t="n"/>
      <c r="D88" s="9" t="n"/>
      <c r="E88" s="9" t="n"/>
      <c r="F88" s="9" t="n"/>
    </row>
    <row r="89" ht="14.25" customHeight="1" s="38">
      <c r="A89" s="9" t="n"/>
      <c r="B89" s="9" t="n"/>
      <c r="C89" s="9" t="n"/>
      <c r="D89" s="9" t="n"/>
      <c r="E89" s="9" t="n"/>
      <c r="F89" s="9" t="n"/>
    </row>
    <row r="90" ht="14.25" customHeight="1" s="38">
      <c r="A90" s="9" t="n"/>
      <c r="B90" s="9" t="n"/>
      <c r="C90" s="9" t="n"/>
      <c r="D90" s="9" t="n"/>
      <c r="E90" s="9" t="n"/>
      <c r="F90" s="9" t="n"/>
    </row>
    <row r="91" ht="14.25" customHeight="1" s="38">
      <c r="A91" s="9" t="n"/>
      <c r="B91" s="9" t="n"/>
      <c r="C91" s="9" t="n"/>
      <c r="D91" s="9" t="n"/>
      <c r="E91" s="9" t="n"/>
      <c r="F91" s="9" t="n"/>
    </row>
    <row r="92" ht="14.25" customHeight="1" s="38">
      <c r="A92" s="9" t="n"/>
      <c r="B92" s="9" t="n"/>
      <c r="C92" s="9" t="n"/>
      <c r="D92" s="9" t="n"/>
      <c r="E92" s="9" t="n"/>
      <c r="F92" s="9" t="n"/>
    </row>
    <row r="93" ht="14.25" customHeight="1" s="38">
      <c r="A93" s="9" t="n"/>
      <c r="B93" s="9" t="n"/>
      <c r="C93" s="9" t="n"/>
      <c r="D93" s="9" t="n"/>
      <c r="E93" s="9" t="n"/>
      <c r="F93" s="9" t="n"/>
    </row>
    <row r="94" ht="14.25" customHeight="1" s="38">
      <c r="A94" s="9" t="n"/>
      <c r="B94" s="9" t="n"/>
      <c r="C94" s="9" t="n"/>
      <c r="D94" s="9" t="n"/>
      <c r="E94" s="9" t="n"/>
      <c r="F94" s="9" t="n"/>
    </row>
    <row r="95" ht="14.25" customHeight="1" s="38">
      <c r="A95" s="9" t="n"/>
      <c r="B95" s="9" t="n"/>
      <c r="C95" s="9" t="n"/>
      <c r="D95" s="9" t="n"/>
      <c r="E95" s="9" t="n"/>
      <c r="F95" s="9" t="n"/>
    </row>
    <row r="96" ht="14.25" customHeight="1" s="38">
      <c r="A96" s="9" t="n"/>
      <c r="B96" s="9" t="n"/>
      <c r="C96" s="9" t="n"/>
      <c r="D96" s="9" t="n"/>
      <c r="E96" s="9" t="n"/>
      <c r="F96" s="9" t="n"/>
    </row>
    <row r="97" ht="14.25" customHeight="1" s="38">
      <c r="A97" s="9" t="n"/>
      <c r="B97" s="9" t="n"/>
      <c r="C97" s="9" t="n"/>
      <c r="D97" s="9" t="n"/>
      <c r="E97" s="9" t="n"/>
      <c r="F97" s="9" t="n"/>
    </row>
    <row r="98" ht="14.25" customHeight="1" s="38">
      <c r="A98" s="9" t="n"/>
      <c r="B98" s="9" t="n"/>
      <c r="C98" s="9" t="n"/>
      <c r="D98" s="9" t="n"/>
      <c r="E98" s="9" t="n"/>
      <c r="F98" s="9" t="n"/>
    </row>
    <row r="99" ht="14.25" customHeight="1" s="38">
      <c r="A99" s="9" t="n"/>
      <c r="B99" s="9" t="n"/>
      <c r="C99" s="9" t="n"/>
      <c r="D99" s="9" t="n"/>
      <c r="E99" s="9" t="n"/>
      <c r="F99" s="9" t="n"/>
    </row>
    <row r="100" ht="14.25" customHeight="1" s="38">
      <c r="A100" s="9" t="n"/>
      <c r="B100" s="9" t="n"/>
      <c r="C100" s="9" t="n"/>
      <c r="D100" s="9" t="n"/>
      <c r="E100" s="9" t="n"/>
      <c r="F100" s="9" t="n"/>
    </row>
    <row r="101" ht="14.25" customHeight="1" s="38">
      <c r="A101" s="9" t="n"/>
      <c r="B101" s="9" t="n"/>
      <c r="C101" s="9" t="n"/>
      <c r="D101" s="9" t="n"/>
      <c r="E101" s="9" t="n"/>
      <c r="F101" s="9" t="n"/>
    </row>
    <row r="102" ht="14.25" customHeight="1" s="38">
      <c r="A102" s="9" t="n"/>
      <c r="B102" s="9" t="n"/>
      <c r="C102" s="9" t="n"/>
      <c r="D102" s="9" t="n"/>
      <c r="E102" s="9" t="n"/>
      <c r="F102" s="9" t="n"/>
    </row>
    <row r="103" ht="14.25" customHeight="1" s="38">
      <c r="A103" s="9" t="n"/>
      <c r="B103" s="9" t="n"/>
      <c r="C103" s="9" t="n"/>
      <c r="D103" s="9" t="n"/>
      <c r="E103" s="9" t="n"/>
      <c r="F103" s="9" t="n"/>
    </row>
    <row r="104" ht="14.25" customHeight="1" s="38">
      <c r="A104" s="9" t="n"/>
      <c r="B104" s="9" t="n"/>
      <c r="C104" s="9" t="n"/>
      <c r="D104" s="9" t="n"/>
      <c r="E104" s="9" t="n"/>
      <c r="F104" s="9" t="n"/>
    </row>
    <row r="105" ht="14.25" customHeight="1" s="38">
      <c r="A105" s="9" t="n"/>
      <c r="B105" s="9" t="n"/>
      <c r="C105" s="9" t="n"/>
      <c r="D105" s="9" t="n"/>
      <c r="E105" s="9" t="n"/>
      <c r="F105" s="9" t="n"/>
    </row>
    <row r="106" ht="14.25" customHeight="1" s="38">
      <c r="A106" s="9" t="n"/>
      <c r="B106" s="9" t="n"/>
      <c r="C106" s="9" t="n"/>
      <c r="D106" s="9" t="n"/>
      <c r="E106" s="9" t="n"/>
      <c r="F106" s="9" t="n"/>
    </row>
    <row r="107" ht="14.25" customHeight="1" s="38">
      <c r="A107" s="9" t="n"/>
      <c r="B107" s="9" t="n"/>
      <c r="C107" s="9" t="n"/>
      <c r="D107" s="9" t="n"/>
      <c r="E107" s="9" t="n"/>
      <c r="F107" s="9" t="n"/>
    </row>
    <row r="108" ht="14.25" customHeight="1" s="38">
      <c r="A108" s="9" t="n"/>
      <c r="B108" s="9" t="n"/>
      <c r="C108" s="9" t="n"/>
      <c r="D108" s="9" t="n"/>
      <c r="E108" s="9" t="n"/>
      <c r="F108" s="9" t="n"/>
    </row>
    <row r="109" ht="14.25" customHeight="1" s="38">
      <c r="A109" s="9" t="n"/>
      <c r="B109" s="9" t="n"/>
      <c r="C109" s="9" t="n"/>
      <c r="D109" s="9" t="n"/>
      <c r="E109" s="9" t="n"/>
      <c r="F109" s="9" t="n"/>
    </row>
    <row r="110" ht="14.25" customHeight="1" s="38">
      <c r="A110" s="9" t="n"/>
      <c r="B110" s="9" t="n"/>
      <c r="C110" s="9" t="n"/>
      <c r="D110" s="9" t="n"/>
      <c r="E110" s="9" t="n"/>
      <c r="F110" s="9" t="n"/>
    </row>
    <row r="111" ht="14.25" customHeight="1" s="38">
      <c r="A111" s="9" t="n"/>
      <c r="B111" s="9" t="n"/>
      <c r="C111" s="9" t="n"/>
      <c r="D111" s="9" t="n"/>
      <c r="E111" s="9" t="n"/>
      <c r="F111" s="9" t="n"/>
    </row>
    <row r="112" ht="14.25" customHeight="1" s="38">
      <c r="A112" s="9" t="n"/>
      <c r="B112" s="9" t="n"/>
      <c r="C112" s="9" t="n"/>
      <c r="D112" s="9" t="n"/>
      <c r="E112" s="9" t="n"/>
      <c r="F112" s="9" t="n"/>
    </row>
    <row r="113" ht="14.25" customHeight="1" s="38">
      <c r="A113" s="9" t="n"/>
      <c r="B113" s="9" t="n"/>
      <c r="C113" s="9" t="n"/>
      <c r="D113" s="9" t="n"/>
      <c r="E113" s="9" t="n"/>
      <c r="F113" s="9" t="n"/>
    </row>
    <row r="114" ht="14.25" customHeight="1" s="38">
      <c r="A114" s="9" t="n"/>
      <c r="B114" s="9" t="n"/>
      <c r="C114" s="9" t="n"/>
      <c r="D114" s="9" t="n"/>
      <c r="E114" s="9" t="n"/>
      <c r="F114" s="9" t="n"/>
    </row>
    <row r="115" ht="14.25" customHeight="1" s="38">
      <c r="A115" s="9" t="n"/>
      <c r="B115" s="9" t="n"/>
      <c r="C115" s="9" t="n"/>
      <c r="D115" s="9" t="n"/>
      <c r="E115" s="9" t="n"/>
      <c r="F115" s="9" t="n"/>
    </row>
    <row r="116" ht="14.25" customHeight="1" s="38">
      <c r="A116" s="9" t="n"/>
      <c r="B116" s="9" t="n"/>
      <c r="C116" s="9" t="n"/>
      <c r="D116" s="9" t="n"/>
      <c r="E116" s="9" t="n"/>
      <c r="F116" s="9" t="n"/>
    </row>
    <row r="117" ht="14.25" customHeight="1" s="38">
      <c r="A117" s="9" t="n"/>
      <c r="B117" s="9" t="n"/>
      <c r="C117" s="9" t="n"/>
      <c r="D117" s="9" t="n"/>
      <c r="E117" s="9" t="n"/>
      <c r="F117" s="9" t="n"/>
    </row>
    <row r="118" ht="14.25" customHeight="1" s="38">
      <c r="A118" s="9" t="n"/>
      <c r="B118" s="9" t="n"/>
      <c r="C118" s="9" t="n"/>
      <c r="D118" s="9" t="n"/>
      <c r="E118" s="9" t="n"/>
      <c r="F118" s="9" t="n"/>
    </row>
    <row r="119" ht="14.25" customHeight="1" s="38">
      <c r="A119" s="9" t="n"/>
      <c r="B119" s="9" t="n"/>
      <c r="C119" s="9" t="n"/>
      <c r="D119" s="9" t="n"/>
      <c r="E119" s="9" t="n"/>
      <c r="F119" s="9" t="n"/>
    </row>
    <row r="120" ht="14.25" customHeight="1" s="38">
      <c r="A120" s="9" t="n"/>
      <c r="B120" s="9" t="n"/>
      <c r="C120" s="9" t="n"/>
      <c r="D120" s="9" t="n"/>
      <c r="E120" s="9" t="n"/>
      <c r="F120" s="9" t="n"/>
    </row>
    <row r="121" ht="14.25" customHeight="1" s="38">
      <c r="A121" s="9" t="n"/>
      <c r="B121" s="9" t="n"/>
      <c r="C121" s="9" t="n"/>
      <c r="D121" s="9" t="n"/>
      <c r="E121" s="9" t="n"/>
      <c r="F121" s="9" t="n"/>
    </row>
    <row r="122" ht="14.25" customHeight="1" s="38">
      <c r="A122" s="9" t="n"/>
      <c r="B122" s="9" t="n"/>
      <c r="C122" s="9" t="n"/>
      <c r="D122" s="9" t="n"/>
      <c r="E122" s="9" t="n"/>
      <c r="F122" s="9" t="n"/>
    </row>
    <row r="123" ht="14.25" customHeight="1" s="38">
      <c r="A123" s="9" t="n"/>
      <c r="B123" s="9" t="n"/>
      <c r="C123" s="9" t="n"/>
      <c r="D123" s="9" t="n"/>
      <c r="E123" s="9" t="n"/>
      <c r="F123" s="9" t="n"/>
    </row>
    <row r="124" ht="14.25" customHeight="1" s="38">
      <c r="A124" s="9" t="n"/>
      <c r="B124" s="9" t="n"/>
      <c r="C124" s="9" t="n"/>
      <c r="D124" s="9" t="n"/>
      <c r="E124" s="9" t="n"/>
      <c r="F124" s="9" t="n"/>
    </row>
    <row r="125" ht="14.25" customHeight="1" s="38">
      <c r="A125" s="9" t="n"/>
      <c r="B125" s="9" t="n"/>
      <c r="C125" s="9" t="n"/>
      <c r="D125" s="9" t="n"/>
      <c r="E125" s="9" t="n"/>
      <c r="F125" s="9" t="n"/>
    </row>
    <row r="126" ht="14.25" customHeight="1" s="38">
      <c r="A126" s="9" t="n"/>
      <c r="B126" s="9" t="n"/>
      <c r="C126" s="9" t="n"/>
      <c r="D126" s="9" t="n"/>
      <c r="E126" s="9" t="n"/>
      <c r="F126" s="9" t="n"/>
    </row>
    <row r="127" ht="14.25" customHeight="1" s="38">
      <c r="A127" s="9" t="n"/>
      <c r="B127" s="9" t="n"/>
      <c r="C127" s="9" t="n"/>
      <c r="D127" s="9" t="n"/>
      <c r="E127" s="9" t="n"/>
      <c r="F127" s="9" t="n"/>
    </row>
    <row r="128" ht="14.25" customHeight="1" s="38">
      <c r="A128" s="9" t="n"/>
      <c r="B128" s="9" t="n"/>
      <c r="C128" s="9" t="n"/>
      <c r="D128" s="9" t="n"/>
      <c r="E128" s="9" t="n"/>
      <c r="F128" s="9" t="n"/>
    </row>
    <row r="129" ht="14.25" customHeight="1" s="38">
      <c r="A129" s="9" t="n"/>
      <c r="B129" s="9" t="n"/>
      <c r="C129" s="9" t="n"/>
      <c r="D129" s="9" t="n"/>
      <c r="E129" s="9" t="n"/>
      <c r="F129" s="9" t="n"/>
    </row>
    <row r="130" ht="14.25" customHeight="1" s="38">
      <c r="A130" s="9" t="n"/>
      <c r="B130" s="9" t="n"/>
      <c r="C130" s="9" t="n"/>
      <c r="D130" s="9" t="n"/>
      <c r="E130" s="9" t="n"/>
      <c r="F130" s="9" t="n"/>
    </row>
    <row r="131" ht="14.25" customHeight="1" s="38">
      <c r="A131" s="9" t="n"/>
      <c r="B131" s="9" t="n"/>
      <c r="C131" s="9" t="n"/>
      <c r="D131" s="9" t="n"/>
      <c r="E131" s="9" t="n"/>
      <c r="F131" s="9" t="n"/>
    </row>
    <row r="132" ht="14.25" customHeight="1" s="38">
      <c r="A132" s="9" t="n"/>
      <c r="B132" s="9" t="n"/>
      <c r="C132" s="9" t="n"/>
      <c r="D132" s="9" t="n"/>
      <c r="E132" s="9" t="n"/>
      <c r="F132" s="9" t="n"/>
    </row>
    <row r="133" ht="14.25" customHeight="1" s="38">
      <c r="A133" s="9" t="n"/>
      <c r="B133" s="9" t="n"/>
      <c r="C133" s="9" t="n"/>
      <c r="D133" s="9" t="n"/>
      <c r="E133" s="9" t="n"/>
      <c r="F133" s="9" t="n"/>
    </row>
    <row r="134" ht="14.25" customHeight="1" s="38">
      <c r="A134" s="9" t="n"/>
      <c r="B134" s="9" t="n"/>
      <c r="C134" s="9" t="n"/>
      <c r="D134" s="9" t="n"/>
      <c r="E134" s="9" t="n"/>
      <c r="F134" s="9" t="n"/>
    </row>
    <row r="135" ht="14.25" customHeight="1" s="38">
      <c r="A135" s="9" t="n"/>
      <c r="B135" s="9" t="n"/>
      <c r="C135" s="9" t="n"/>
      <c r="D135" s="9" t="n"/>
      <c r="E135" s="9" t="n"/>
      <c r="F135" s="9" t="n"/>
    </row>
    <row r="136" ht="14.25" customHeight="1" s="38">
      <c r="A136" s="9" t="n"/>
      <c r="B136" s="9" t="n"/>
      <c r="C136" s="9" t="n"/>
      <c r="D136" s="9" t="n"/>
      <c r="E136" s="9" t="n"/>
      <c r="F136" s="9" t="n"/>
    </row>
    <row r="137" ht="14.25" customHeight="1" s="38">
      <c r="A137" s="9" t="n"/>
      <c r="B137" s="9" t="n"/>
      <c r="C137" s="9" t="n"/>
      <c r="D137" s="9" t="n"/>
      <c r="E137" s="9" t="n"/>
      <c r="F137" s="9" t="n"/>
    </row>
    <row r="138" ht="14.25" customHeight="1" s="38">
      <c r="A138" s="9" t="n"/>
      <c r="B138" s="9" t="n"/>
      <c r="C138" s="9" t="n"/>
      <c r="D138" s="9" t="n"/>
      <c r="E138" s="9" t="n"/>
      <c r="F138" s="9" t="n"/>
    </row>
    <row r="139" ht="14.25" customHeight="1" s="38">
      <c r="A139" s="9" t="n"/>
      <c r="B139" s="9" t="n"/>
      <c r="C139" s="9" t="n"/>
      <c r="D139" s="9" t="n"/>
      <c r="E139" s="9" t="n"/>
      <c r="F139" s="9" t="n"/>
    </row>
    <row r="140" ht="14.25" customHeight="1" s="38">
      <c r="A140" s="9" t="n"/>
      <c r="B140" s="9" t="n"/>
      <c r="C140" s="9" t="n"/>
      <c r="D140" s="9" t="n"/>
      <c r="E140" s="9" t="n"/>
      <c r="F140" s="9" t="n"/>
    </row>
    <row r="141" ht="14.25" customHeight="1" s="38">
      <c r="A141" s="9" t="n"/>
      <c r="B141" s="9" t="n"/>
      <c r="C141" s="9" t="n"/>
      <c r="D141" s="9" t="n"/>
      <c r="E141" s="9" t="n"/>
      <c r="F141" s="9" t="n"/>
    </row>
    <row r="142" ht="14.25" customHeight="1" s="38">
      <c r="A142" s="9" t="n"/>
      <c r="B142" s="9" t="n"/>
      <c r="C142" s="9" t="n"/>
      <c r="D142" s="9" t="n"/>
      <c r="E142" s="9" t="n"/>
      <c r="F142" s="9" t="n"/>
    </row>
    <row r="143" ht="14.25" customHeight="1" s="38">
      <c r="A143" s="9" t="n"/>
      <c r="B143" s="9" t="n"/>
      <c r="C143" s="9" t="n"/>
      <c r="D143" s="9" t="n"/>
      <c r="E143" s="9" t="n"/>
      <c r="F143" s="9" t="n"/>
    </row>
    <row r="144" ht="14.25" customHeight="1" s="38">
      <c r="A144" s="9" t="n"/>
      <c r="B144" s="9" t="n"/>
      <c r="C144" s="9" t="n"/>
      <c r="D144" s="9" t="n"/>
      <c r="E144" s="9" t="n"/>
      <c r="F144" s="9" t="n"/>
    </row>
    <row r="145" ht="14.25" customHeight="1" s="38">
      <c r="A145" s="9" t="n"/>
      <c r="B145" s="9" t="n"/>
      <c r="C145" s="9" t="n"/>
      <c r="D145" s="9" t="n"/>
      <c r="E145" s="9" t="n"/>
      <c r="F145" s="9" t="n"/>
    </row>
    <row r="146" ht="14.25" customHeight="1" s="38">
      <c r="A146" s="9" t="n"/>
      <c r="B146" s="9" t="n"/>
      <c r="C146" s="9" t="n"/>
      <c r="D146" s="9" t="n"/>
      <c r="E146" s="9" t="n"/>
      <c r="F146" s="9" t="n"/>
    </row>
    <row r="147" ht="14.25" customHeight="1" s="38">
      <c r="A147" s="9" t="n"/>
      <c r="B147" s="9" t="n"/>
      <c r="C147" s="9" t="n"/>
      <c r="D147" s="9" t="n"/>
      <c r="E147" s="9" t="n"/>
      <c r="F147" s="9" t="n"/>
    </row>
    <row r="148" ht="14.25" customHeight="1" s="38">
      <c r="A148" s="9" t="n"/>
      <c r="B148" s="9" t="n"/>
      <c r="C148" s="9" t="n"/>
      <c r="D148" s="9" t="n"/>
      <c r="E148" s="9" t="n"/>
      <c r="F148" s="9" t="n"/>
    </row>
    <row r="149" ht="14.25" customHeight="1" s="38">
      <c r="A149" s="9" t="n"/>
      <c r="B149" s="9" t="n"/>
      <c r="C149" s="9" t="n"/>
      <c r="D149" s="9" t="n"/>
      <c r="E149" s="9" t="n"/>
      <c r="F149" s="9" t="n"/>
    </row>
    <row r="150" ht="14.25" customHeight="1" s="38">
      <c r="A150" s="9" t="n"/>
      <c r="B150" s="9" t="n"/>
      <c r="C150" s="9" t="n"/>
      <c r="D150" s="9" t="n"/>
      <c r="E150" s="9" t="n"/>
      <c r="F150" s="9" t="n"/>
    </row>
    <row r="151" ht="14.25" customHeight="1" s="38">
      <c r="A151" s="9" t="n"/>
      <c r="B151" s="9" t="n"/>
      <c r="C151" s="9" t="n"/>
      <c r="D151" s="9" t="n"/>
      <c r="E151" s="9" t="n"/>
      <c r="F151" s="9" t="n"/>
    </row>
    <row r="152" ht="14.25" customHeight="1" s="38">
      <c r="A152" s="9" t="n"/>
      <c r="B152" s="9" t="n"/>
      <c r="C152" s="9" t="n"/>
      <c r="D152" s="9" t="n"/>
      <c r="E152" s="9" t="n"/>
      <c r="F152" s="9" t="n"/>
    </row>
    <row r="153" ht="14.25" customHeight="1" s="38">
      <c r="A153" s="9" t="n"/>
      <c r="B153" s="9" t="n"/>
      <c r="C153" s="9" t="n"/>
      <c r="D153" s="9" t="n"/>
      <c r="E153" s="9" t="n"/>
      <c r="F153" s="9" t="n"/>
    </row>
    <row r="154" ht="14.25" customHeight="1" s="38">
      <c r="A154" s="9" t="n"/>
      <c r="B154" s="9" t="n"/>
      <c r="C154" s="9" t="n"/>
      <c r="D154" s="9" t="n"/>
      <c r="E154" s="9" t="n"/>
      <c r="F154" s="9" t="n"/>
    </row>
    <row r="155" ht="14.25" customHeight="1" s="38">
      <c r="A155" s="9" t="n"/>
      <c r="B155" s="9" t="n"/>
      <c r="C155" s="9" t="n"/>
      <c r="D155" s="9" t="n"/>
      <c r="E155" s="9" t="n"/>
      <c r="F155" s="9" t="n"/>
    </row>
    <row r="156" ht="14.25" customHeight="1" s="38">
      <c r="A156" s="9" t="n"/>
      <c r="B156" s="9" t="n"/>
      <c r="C156" s="9" t="n"/>
      <c r="D156" s="9" t="n"/>
      <c r="E156" s="9" t="n"/>
      <c r="F156" s="9" t="n"/>
    </row>
    <row r="157" ht="14.25" customHeight="1" s="38">
      <c r="A157" s="9" t="n"/>
      <c r="B157" s="9" t="n"/>
      <c r="C157" s="9" t="n"/>
      <c r="D157" s="9" t="n"/>
      <c r="E157" s="9" t="n"/>
      <c r="F157" s="9" t="n"/>
    </row>
    <row r="158" ht="14.25" customHeight="1" s="38">
      <c r="A158" s="9" t="n"/>
      <c r="B158" s="9" t="n"/>
      <c r="C158" s="9" t="n"/>
      <c r="D158" s="9" t="n"/>
      <c r="E158" s="9" t="n"/>
      <c r="F158" s="9" t="n"/>
    </row>
    <row r="159" ht="14.25" customHeight="1" s="38">
      <c r="A159" s="9" t="n"/>
      <c r="B159" s="9" t="n"/>
      <c r="C159" s="9" t="n"/>
      <c r="D159" s="9" t="n"/>
      <c r="E159" s="9" t="n"/>
      <c r="F159" s="9" t="n"/>
    </row>
    <row r="160" ht="14.25" customHeight="1" s="38">
      <c r="A160" s="9" t="n"/>
      <c r="B160" s="9" t="n"/>
      <c r="C160" s="9" t="n"/>
      <c r="D160" s="9" t="n"/>
      <c r="E160" s="9" t="n"/>
      <c r="F160" s="9" t="n"/>
    </row>
    <row r="161" ht="14.25" customHeight="1" s="38">
      <c r="A161" s="9" t="n"/>
      <c r="B161" s="9" t="n"/>
      <c r="C161" s="9" t="n"/>
      <c r="D161" s="9" t="n"/>
      <c r="E161" s="9" t="n"/>
      <c r="F161" s="9" t="n"/>
    </row>
    <row r="162" ht="14.25" customHeight="1" s="38">
      <c r="A162" s="9" t="n"/>
      <c r="B162" s="9" t="n"/>
      <c r="C162" s="9" t="n"/>
      <c r="D162" s="9" t="n"/>
      <c r="E162" s="9" t="n"/>
      <c r="F162" s="9" t="n"/>
    </row>
    <row r="163" ht="14.25" customHeight="1" s="38">
      <c r="A163" s="9" t="n"/>
      <c r="B163" s="9" t="n"/>
      <c r="C163" s="9" t="n"/>
      <c r="D163" s="9" t="n"/>
      <c r="E163" s="9" t="n"/>
      <c r="F163" s="9" t="n"/>
    </row>
    <row r="164" ht="14.25" customHeight="1" s="38">
      <c r="A164" s="9" t="n"/>
      <c r="B164" s="9" t="n"/>
      <c r="C164" s="9" t="n"/>
      <c r="D164" s="9" t="n"/>
      <c r="E164" s="9" t="n"/>
      <c r="F164" s="9" t="n"/>
    </row>
    <row r="165" ht="14.25" customHeight="1" s="38">
      <c r="A165" s="9" t="n"/>
      <c r="B165" s="9" t="n"/>
      <c r="C165" s="9" t="n"/>
      <c r="D165" s="9" t="n"/>
      <c r="E165" s="9" t="n"/>
      <c r="F165" s="9" t="n"/>
    </row>
    <row r="166" ht="14.25" customHeight="1" s="38">
      <c r="A166" s="9" t="n"/>
      <c r="B166" s="9" t="n"/>
      <c r="C166" s="9" t="n"/>
      <c r="D166" s="9" t="n"/>
      <c r="E166" s="9" t="n"/>
      <c r="F166" s="9" t="n"/>
    </row>
    <row r="167" ht="14.25" customHeight="1" s="38">
      <c r="A167" s="9" t="n"/>
      <c r="B167" s="9" t="n"/>
      <c r="C167" s="9" t="n"/>
      <c r="D167" s="9" t="n"/>
      <c r="E167" s="9" t="n"/>
      <c r="F167" s="9" t="n"/>
    </row>
    <row r="168" ht="14.25" customHeight="1" s="38">
      <c r="A168" s="9" t="n"/>
      <c r="B168" s="9" t="n"/>
      <c r="C168" s="9" t="n"/>
      <c r="D168" s="9" t="n"/>
      <c r="E168" s="9" t="n"/>
      <c r="F168" s="9" t="n"/>
    </row>
    <row r="169" ht="14.25" customHeight="1" s="38">
      <c r="A169" s="9" t="n"/>
      <c r="B169" s="9" t="n"/>
      <c r="C169" s="9" t="n"/>
      <c r="D169" s="9" t="n"/>
      <c r="E169" s="9" t="n"/>
      <c r="F169" s="9" t="n"/>
    </row>
    <row r="170" ht="14.25" customHeight="1" s="38">
      <c r="A170" s="9" t="n"/>
      <c r="B170" s="9" t="n"/>
      <c r="C170" s="9" t="n"/>
      <c r="D170" s="9" t="n"/>
      <c r="E170" s="9" t="n"/>
      <c r="F170" s="9" t="n"/>
    </row>
    <row r="171" ht="14.25" customHeight="1" s="38">
      <c r="A171" s="9" t="n"/>
      <c r="B171" s="9" t="n"/>
      <c r="C171" s="9" t="n"/>
      <c r="D171" s="9" t="n"/>
      <c r="E171" s="9" t="n"/>
      <c r="F171" s="9" t="n"/>
    </row>
    <row r="172" ht="14.25" customHeight="1" s="38">
      <c r="A172" s="9" t="n"/>
      <c r="B172" s="9" t="n"/>
      <c r="C172" s="9" t="n"/>
      <c r="D172" s="9" t="n"/>
      <c r="E172" s="9" t="n"/>
      <c r="F172" s="9" t="n"/>
    </row>
    <row r="173" ht="14.25" customHeight="1" s="38">
      <c r="A173" s="9" t="n"/>
      <c r="B173" s="9" t="n"/>
      <c r="C173" s="9" t="n"/>
      <c r="D173" s="9" t="n"/>
      <c r="E173" s="9" t="n"/>
      <c r="F173" s="9" t="n"/>
    </row>
    <row r="174" ht="14.25" customHeight="1" s="38">
      <c r="A174" s="9" t="n"/>
      <c r="B174" s="9" t="n"/>
      <c r="C174" s="9" t="n"/>
      <c r="D174" s="9" t="n"/>
      <c r="E174" s="9" t="n"/>
      <c r="F174" s="9" t="n"/>
    </row>
    <row r="175" ht="14.25" customHeight="1" s="38">
      <c r="A175" s="9" t="n"/>
      <c r="B175" s="9" t="n"/>
      <c r="C175" s="9" t="n"/>
      <c r="D175" s="9" t="n"/>
      <c r="E175" s="9" t="n"/>
      <c r="F175" s="9" t="n"/>
    </row>
    <row r="176" ht="14.25" customHeight="1" s="38">
      <c r="A176" s="9" t="n"/>
      <c r="B176" s="9" t="n"/>
      <c r="C176" s="9" t="n"/>
      <c r="D176" s="9" t="n"/>
      <c r="E176" s="9" t="n"/>
      <c r="F176" s="9" t="n"/>
    </row>
    <row r="177" ht="14.25" customHeight="1" s="38">
      <c r="A177" s="9" t="n"/>
      <c r="B177" s="9" t="n"/>
      <c r="C177" s="9" t="n"/>
      <c r="D177" s="9" t="n"/>
      <c r="E177" s="9" t="n"/>
      <c r="F177" s="9" t="n"/>
    </row>
    <row r="178" ht="14.25" customHeight="1" s="38">
      <c r="A178" s="9" t="n"/>
      <c r="B178" s="9" t="n"/>
      <c r="C178" s="9" t="n"/>
      <c r="D178" s="9" t="n"/>
      <c r="E178" s="9" t="n"/>
      <c r="F178" s="9" t="n"/>
    </row>
    <row r="179" ht="14.25" customHeight="1" s="38">
      <c r="A179" s="9" t="n"/>
      <c r="B179" s="9" t="n"/>
      <c r="C179" s="9" t="n"/>
      <c r="D179" s="9" t="n"/>
      <c r="E179" s="9" t="n"/>
      <c r="F179" s="9" t="n"/>
    </row>
    <row r="180" ht="14.25" customHeight="1" s="38">
      <c r="A180" s="9" t="n"/>
      <c r="B180" s="9" t="n"/>
      <c r="C180" s="9" t="n"/>
      <c r="D180" s="9" t="n"/>
      <c r="E180" s="9" t="n"/>
      <c r="F180" s="9" t="n"/>
    </row>
    <row r="181" ht="14.25" customHeight="1" s="38">
      <c r="A181" s="9" t="n"/>
      <c r="B181" s="9" t="n"/>
      <c r="C181" s="9" t="n"/>
      <c r="D181" s="9" t="n"/>
      <c r="E181" s="9" t="n"/>
      <c r="F181" s="9" t="n"/>
    </row>
    <row r="182" ht="14.25" customHeight="1" s="38">
      <c r="A182" s="9" t="n"/>
      <c r="B182" s="9" t="n"/>
      <c r="C182" s="9" t="n"/>
      <c r="D182" s="9" t="n"/>
      <c r="E182" s="9" t="n"/>
      <c r="F182" s="9" t="n"/>
    </row>
    <row r="183" ht="14.25" customHeight="1" s="38">
      <c r="A183" s="9" t="n"/>
      <c r="B183" s="9" t="n"/>
      <c r="C183" s="9" t="n"/>
      <c r="D183" s="9" t="n"/>
      <c r="E183" s="9" t="n"/>
      <c r="F183" s="9" t="n"/>
    </row>
    <row r="184" ht="14.25" customHeight="1" s="38">
      <c r="A184" s="9" t="n"/>
      <c r="B184" s="9" t="n"/>
      <c r="C184" s="9" t="n"/>
      <c r="D184" s="9" t="n"/>
      <c r="E184" s="9" t="n"/>
      <c r="F184" s="9" t="n"/>
    </row>
    <row r="185" ht="14.25" customHeight="1" s="38">
      <c r="A185" s="9" t="n"/>
      <c r="B185" s="9" t="n"/>
      <c r="C185" s="9" t="n"/>
      <c r="D185" s="9" t="n"/>
      <c r="E185" s="9" t="n"/>
      <c r="F185" s="9" t="n"/>
    </row>
    <row r="186" ht="14.25" customHeight="1" s="38">
      <c r="A186" s="9" t="n"/>
      <c r="B186" s="9" t="n"/>
      <c r="C186" s="9" t="n"/>
      <c r="D186" s="9" t="n"/>
      <c r="E186" s="9" t="n"/>
      <c r="F186" s="9" t="n"/>
    </row>
    <row r="187" ht="14.25" customHeight="1" s="38">
      <c r="A187" s="9" t="n"/>
      <c r="B187" s="9" t="n"/>
      <c r="C187" s="9" t="n"/>
      <c r="D187" s="9" t="n"/>
      <c r="E187" s="9" t="n"/>
      <c r="F187" s="9" t="n"/>
    </row>
    <row r="188" ht="14.25" customHeight="1" s="38">
      <c r="A188" s="9" t="n"/>
      <c r="B188" s="9" t="n"/>
      <c r="C188" s="9" t="n"/>
      <c r="D188" s="9" t="n"/>
      <c r="E188" s="9" t="n"/>
      <c r="F188" s="9" t="n"/>
    </row>
    <row r="189" ht="14.25" customHeight="1" s="38">
      <c r="A189" s="9" t="n"/>
      <c r="B189" s="9" t="n"/>
      <c r="C189" s="9" t="n"/>
      <c r="D189" s="9" t="n"/>
      <c r="E189" s="9" t="n"/>
      <c r="F189" s="9" t="n"/>
    </row>
    <row r="190" ht="14.25" customHeight="1" s="38">
      <c r="A190" s="9" t="n"/>
      <c r="B190" s="9" t="n"/>
      <c r="C190" s="9" t="n"/>
      <c r="D190" s="9" t="n"/>
      <c r="E190" s="9" t="n"/>
      <c r="F190" s="9" t="n"/>
    </row>
    <row r="191" ht="14.25" customHeight="1" s="38">
      <c r="A191" s="9" t="n"/>
      <c r="B191" s="9" t="n"/>
      <c r="C191" s="9" t="n"/>
      <c r="D191" s="9" t="n"/>
      <c r="E191" s="9" t="n"/>
      <c r="F191" s="9" t="n"/>
    </row>
    <row r="192" ht="14.25" customHeight="1" s="38">
      <c r="A192" s="9" t="n"/>
      <c r="B192" s="9" t="n"/>
      <c r="C192" s="9" t="n"/>
      <c r="D192" s="9" t="n"/>
      <c r="E192" s="9" t="n"/>
      <c r="F192" s="9" t="n"/>
    </row>
    <row r="193" ht="14.25" customHeight="1" s="38">
      <c r="A193" s="9" t="n"/>
      <c r="B193" s="9" t="n"/>
      <c r="C193" s="9" t="n"/>
      <c r="D193" s="9" t="n"/>
      <c r="E193" s="9" t="n"/>
      <c r="F193" s="9" t="n"/>
    </row>
    <row r="194" ht="14.25" customHeight="1" s="38">
      <c r="A194" s="9" t="n"/>
      <c r="B194" s="9" t="n"/>
      <c r="C194" s="9" t="n"/>
      <c r="D194" s="9" t="n"/>
      <c r="E194" s="9" t="n"/>
      <c r="F194" s="9" t="n"/>
    </row>
    <row r="195" ht="14.25" customHeight="1" s="38">
      <c r="A195" s="9" t="n"/>
      <c r="B195" s="9" t="n"/>
      <c r="C195" s="9" t="n"/>
      <c r="D195" s="9" t="n"/>
      <c r="E195" s="9" t="n"/>
      <c r="F195" s="9" t="n"/>
    </row>
    <row r="196" ht="14.25" customHeight="1" s="38">
      <c r="A196" s="9" t="n"/>
      <c r="B196" s="9" t="n"/>
      <c r="C196" s="9" t="n"/>
      <c r="D196" s="9" t="n"/>
      <c r="E196" s="9" t="n"/>
      <c r="F196" s="9" t="n"/>
    </row>
    <row r="197" ht="14.25" customHeight="1" s="38">
      <c r="A197" s="9" t="n"/>
      <c r="B197" s="9" t="n"/>
      <c r="C197" s="9" t="n"/>
      <c r="D197" s="9" t="n"/>
      <c r="E197" s="9" t="n"/>
      <c r="F197" s="9" t="n"/>
    </row>
    <row r="198" ht="14.25" customHeight="1" s="38">
      <c r="A198" s="9" t="n"/>
      <c r="B198" s="9" t="n"/>
      <c r="C198" s="9" t="n"/>
      <c r="D198" s="9" t="n"/>
      <c r="E198" s="9" t="n"/>
      <c r="F198" s="9" t="n"/>
    </row>
    <row r="199" ht="14.25" customHeight="1" s="38">
      <c r="A199" s="9" t="n"/>
      <c r="B199" s="9" t="n"/>
      <c r="C199" s="9" t="n"/>
      <c r="D199" s="9" t="n"/>
      <c r="E199" s="9" t="n"/>
      <c r="F199" s="9" t="n"/>
    </row>
    <row r="200" ht="14.25" customHeight="1" s="38">
      <c r="A200" s="9" t="n"/>
      <c r="B200" s="9" t="n"/>
      <c r="C200" s="9" t="n"/>
      <c r="D200" s="9" t="n"/>
      <c r="E200" s="9" t="n"/>
      <c r="F200" s="9" t="n"/>
    </row>
    <row r="201" ht="14.25" customHeight="1" s="38">
      <c r="A201" s="9" t="n"/>
      <c r="B201" s="9" t="n"/>
      <c r="C201" s="9" t="n"/>
      <c r="D201" s="9" t="n"/>
      <c r="E201" s="9" t="n"/>
      <c r="F201" s="9" t="n"/>
    </row>
    <row r="202" ht="14.25" customHeight="1" s="38">
      <c r="A202" s="9" t="n"/>
      <c r="B202" s="9" t="n"/>
      <c r="C202" s="9" t="n"/>
      <c r="D202" s="9" t="n"/>
      <c r="E202" s="9" t="n"/>
      <c r="F202" s="9" t="n"/>
    </row>
    <row r="203" ht="14.25" customHeight="1" s="38">
      <c r="A203" s="9" t="n"/>
      <c r="B203" s="9" t="n"/>
      <c r="C203" s="9" t="n"/>
      <c r="D203" s="9" t="n"/>
      <c r="E203" s="9" t="n"/>
      <c r="F203" s="9" t="n"/>
    </row>
    <row r="204" ht="14.25" customHeight="1" s="38">
      <c r="A204" s="9" t="n"/>
      <c r="B204" s="9" t="n"/>
      <c r="C204" s="9" t="n"/>
      <c r="D204" s="9" t="n"/>
      <c r="E204" s="9" t="n"/>
      <c r="F204" s="9" t="n"/>
    </row>
    <row r="205" ht="14.25" customHeight="1" s="38">
      <c r="A205" s="9" t="n"/>
      <c r="B205" s="9" t="n"/>
      <c r="C205" s="9" t="n"/>
      <c r="D205" s="9" t="n"/>
      <c r="E205" s="9" t="n"/>
      <c r="F205" s="9" t="n"/>
    </row>
    <row r="206" ht="14.25" customHeight="1" s="38">
      <c r="A206" s="9" t="n"/>
      <c r="B206" s="9" t="n"/>
      <c r="C206" s="9" t="n"/>
      <c r="D206" s="9" t="n"/>
      <c r="E206" s="9" t="n"/>
      <c r="F206" s="9" t="n"/>
    </row>
    <row r="207" ht="14.25" customHeight="1" s="38">
      <c r="A207" s="9" t="n"/>
      <c r="B207" s="9" t="n"/>
      <c r="C207" s="9" t="n"/>
      <c r="D207" s="9" t="n"/>
      <c r="E207" s="9" t="n"/>
      <c r="F207" s="9" t="n"/>
    </row>
    <row r="208" ht="14.25" customHeight="1" s="38">
      <c r="A208" s="9" t="n"/>
      <c r="B208" s="9" t="n"/>
      <c r="C208" s="9" t="n"/>
      <c r="D208" s="9" t="n"/>
      <c r="E208" s="9" t="n"/>
      <c r="F208" s="9" t="n"/>
    </row>
    <row r="209" ht="14.25" customHeight="1" s="38">
      <c r="A209" s="9" t="n"/>
      <c r="B209" s="9" t="n"/>
      <c r="C209" s="9" t="n"/>
      <c r="D209" s="9" t="n"/>
      <c r="E209" s="9" t="n"/>
      <c r="F209" s="9" t="n"/>
    </row>
    <row r="210" ht="14.25" customHeight="1" s="38">
      <c r="A210" s="9" t="n"/>
      <c r="B210" s="9" t="n"/>
      <c r="C210" s="9" t="n"/>
      <c r="D210" s="9" t="n"/>
      <c r="E210" s="9" t="n"/>
      <c r="F210" s="9" t="n"/>
    </row>
    <row r="211" ht="14.25" customHeight="1" s="38">
      <c r="A211" s="9" t="n"/>
      <c r="B211" s="9" t="n"/>
      <c r="C211" s="9" t="n"/>
      <c r="D211" s="9" t="n"/>
      <c r="E211" s="9" t="n"/>
      <c r="F211" s="9" t="n"/>
    </row>
    <row r="212" ht="14.25" customHeight="1" s="38">
      <c r="A212" s="9" t="n"/>
      <c r="B212" s="9" t="n"/>
      <c r="C212" s="9" t="n"/>
      <c r="D212" s="9" t="n"/>
      <c r="E212" s="9" t="n"/>
      <c r="F212" s="9" t="n"/>
    </row>
    <row r="213" ht="14.25" customHeight="1" s="38">
      <c r="A213" s="9" t="n"/>
      <c r="B213" s="9" t="n"/>
      <c r="C213" s="9" t="n"/>
      <c r="D213" s="9" t="n"/>
      <c r="E213" s="9" t="n"/>
      <c r="F213" s="9" t="n"/>
    </row>
    <row r="214" ht="14.25" customHeight="1" s="38">
      <c r="A214" s="9" t="n"/>
      <c r="B214" s="9" t="n"/>
      <c r="C214" s="9" t="n"/>
      <c r="D214" s="9" t="n"/>
      <c r="E214" s="9" t="n"/>
      <c r="F214" s="9" t="n"/>
    </row>
    <row r="215" ht="14.25" customHeight="1" s="38">
      <c r="A215" s="9" t="n"/>
      <c r="B215" s="9" t="n"/>
      <c r="C215" s="9" t="n"/>
      <c r="D215" s="9" t="n"/>
      <c r="E215" s="9" t="n"/>
      <c r="F215" s="9" t="n"/>
    </row>
    <row r="216" ht="14.25" customHeight="1" s="38">
      <c r="A216" s="9" t="n"/>
      <c r="B216" s="9" t="n"/>
      <c r="C216" s="9" t="n"/>
      <c r="D216" s="9" t="n"/>
      <c r="E216" s="9" t="n"/>
      <c r="F216" s="9" t="n"/>
    </row>
    <row r="217" ht="14.25" customHeight="1" s="38">
      <c r="A217" s="9" t="n"/>
      <c r="B217" s="9" t="n"/>
      <c r="C217" s="9" t="n"/>
      <c r="D217" s="9" t="n"/>
      <c r="E217" s="9" t="n"/>
      <c r="F217" s="9" t="n"/>
    </row>
    <row r="218" ht="14.25" customHeight="1" s="38">
      <c r="A218" s="9" t="n"/>
      <c r="B218" s="9" t="n"/>
      <c r="C218" s="9" t="n"/>
      <c r="D218" s="9" t="n"/>
      <c r="E218" s="9" t="n"/>
      <c r="F218" s="9" t="n"/>
    </row>
    <row r="219" ht="14.25" customHeight="1" s="38">
      <c r="A219" s="9" t="n"/>
      <c r="B219" s="9" t="n"/>
      <c r="C219" s="9" t="n"/>
      <c r="D219" s="9" t="n"/>
      <c r="E219" s="9" t="n"/>
      <c r="F219" s="9" t="n"/>
    </row>
    <row r="220" ht="14.25" customHeight="1" s="38">
      <c r="A220" s="9" t="n"/>
      <c r="B220" s="9" t="n"/>
      <c r="C220" s="9" t="n"/>
      <c r="D220" s="9" t="n"/>
      <c r="E220" s="9" t="n"/>
      <c r="F220" s="9" t="n"/>
    </row>
    <row r="221" ht="14.25" customHeight="1" s="38">
      <c r="E221" s="11" t="n"/>
    </row>
    <row r="222" ht="14.25" customHeight="1" s="38">
      <c r="E222" s="11" t="n"/>
    </row>
    <row r="223" ht="14.25" customHeight="1" s="38">
      <c r="E223" s="11" t="n"/>
    </row>
    <row r="224" ht="14.25" customHeight="1" s="38">
      <c r="E224" s="11" t="n"/>
    </row>
    <row r="225" ht="14.25" customHeight="1" s="38">
      <c r="E225" s="11" t="n"/>
    </row>
    <row r="226" ht="14.25" customHeight="1" s="38">
      <c r="E226" s="11" t="n"/>
    </row>
    <row r="227" ht="14.25" customHeight="1" s="38">
      <c r="E227" s="11" t="n"/>
    </row>
    <row r="228" ht="14.25" customHeight="1" s="38">
      <c r="E228" s="11" t="n"/>
    </row>
    <row r="229" ht="14.25" customHeight="1" s="38">
      <c r="E229" s="11" t="n"/>
    </row>
    <row r="230" ht="14.25" customHeight="1" s="38">
      <c r="E230" s="11" t="n"/>
    </row>
    <row r="231" ht="14.25" customHeight="1" s="38">
      <c r="E231" s="11" t="n"/>
    </row>
    <row r="232" ht="14.25" customHeight="1" s="38">
      <c r="E232" s="11" t="n"/>
    </row>
    <row r="233" ht="14.25" customHeight="1" s="38">
      <c r="E233" s="11" t="n"/>
    </row>
    <row r="234" ht="14.25" customHeight="1" s="38">
      <c r="E234" s="11" t="n"/>
    </row>
    <row r="235" ht="14.25" customHeight="1" s="38">
      <c r="E235" s="11" t="n"/>
    </row>
    <row r="236" ht="14.25" customHeight="1" s="38">
      <c r="E236" s="11" t="n"/>
    </row>
    <row r="237" ht="14.25" customHeight="1" s="38">
      <c r="E237" s="11" t="n"/>
    </row>
    <row r="238" ht="14.25" customHeight="1" s="38">
      <c r="E238" s="11" t="n"/>
    </row>
    <row r="239" ht="14.25" customHeight="1" s="38">
      <c r="E239" s="11" t="n"/>
    </row>
    <row r="240" ht="14.25" customHeight="1" s="38">
      <c r="E240" s="11" t="n"/>
    </row>
    <row r="241" ht="14.25" customHeight="1" s="38">
      <c r="E241" s="11" t="n"/>
    </row>
    <row r="242" ht="14.25" customHeight="1" s="38">
      <c r="E242" s="11" t="n"/>
    </row>
    <row r="243" ht="14.25" customHeight="1" s="38">
      <c r="E243" s="11" t="n"/>
    </row>
    <row r="244" ht="14.25" customHeight="1" s="38">
      <c r="E244" s="11" t="n"/>
    </row>
    <row r="245" ht="14.25" customHeight="1" s="38">
      <c r="E245" s="11" t="n"/>
    </row>
    <row r="246" ht="14.25" customHeight="1" s="38">
      <c r="E246" s="11" t="n"/>
    </row>
    <row r="247" ht="14.25" customHeight="1" s="38">
      <c r="E247" s="11" t="n"/>
    </row>
    <row r="248" ht="14.25" customHeight="1" s="38">
      <c r="E248" s="11" t="n"/>
    </row>
    <row r="249" ht="14.25" customHeight="1" s="38">
      <c r="E249" s="11" t="n"/>
    </row>
    <row r="250" ht="14.25" customHeight="1" s="38">
      <c r="E250" s="11" t="n"/>
    </row>
    <row r="251" ht="14.25" customHeight="1" s="38">
      <c r="E251" s="11" t="n"/>
    </row>
    <row r="252" ht="14.25" customHeight="1" s="38">
      <c r="E252" s="11" t="n"/>
    </row>
    <row r="253" ht="14.25" customHeight="1" s="38">
      <c r="E253" s="11" t="n"/>
    </row>
    <row r="254" ht="14.25" customHeight="1" s="38">
      <c r="E254" s="11" t="n"/>
    </row>
    <row r="255" ht="14.25" customHeight="1" s="38">
      <c r="E255" s="11" t="n"/>
    </row>
    <row r="256" ht="14.25" customHeight="1" s="38">
      <c r="E256" s="11" t="n"/>
    </row>
    <row r="257" ht="14.25" customHeight="1" s="38">
      <c r="E257" s="11" t="n"/>
    </row>
    <row r="258" ht="14.25" customHeight="1" s="38">
      <c r="E258" s="11" t="n"/>
    </row>
    <row r="259" ht="14.25" customHeight="1" s="38">
      <c r="E259" s="11" t="n"/>
    </row>
    <row r="260" ht="14.25" customHeight="1" s="38">
      <c r="E260" s="11" t="n"/>
    </row>
    <row r="261" ht="14.25" customHeight="1" s="38">
      <c r="E261" s="11" t="n"/>
    </row>
    <row r="262" ht="14.25" customHeight="1" s="38">
      <c r="E262" s="11" t="n"/>
    </row>
    <row r="263" ht="14.25" customHeight="1" s="38">
      <c r="E263" s="11" t="n"/>
    </row>
    <row r="264" ht="14.25" customHeight="1" s="38">
      <c r="E264" s="11" t="n"/>
    </row>
    <row r="265" ht="14.25" customHeight="1" s="38">
      <c r="E265" s="11" t="n"/>
    </row>
    <row r="266" ht="14.25" customHeight="1" s="38">
      <c r="E266" s="11" t="n"/>
    </row>
    <row r="267" ht="14.25" customHeight="1" s="38">
      <c r="E267" s="11" t="n"/>
    </row>
    <row r="268" ht="14.25" customHeight="1" s="38">
      <c r="E268" s="11" t="n"/>
    </row>
    <row r="269" ht="14.25" customHeight="1" s="38">
      <c r="E269" s="11" t="n"/>
    </row>
    <row r="270" ht="14.25" customHeight="1" s="38">
      <c r="E270" s="11" t="n"/>
    </row>
    <row r="271" ht="14.25" customHeight="1" s="38">
      <c r="E271" s="11" t="n"/>
    </row>
    <row r="272" ht="14.25" customHeight="1" s="38">
      <c r="E272" s="11" t="n"/>
    </row>
    <row r="273" ht="14.25" customHeight="1" s="38">
      <c r="E273" s="11" t="n"/>
    </row>
    <row r="274" ht="14.25" customHeight="1" s="38">
      <c r="E274" s="11" t="n"/>
    </row>
    <row r="275" ht="14.25" customHeight="1" s="38">
      <c r="E275" s="11" t="n"/>
    </row>
    <row r="276" ht="14.25" customHeight="1" s="38">
      <c r="E276" s="11" t="n"/>
    </row>
    <row r="277" ht="14.25" customHeight="1" s="38">
      <c r="E277" s="11" t="n"/>
    </row>
    <row r="278" ht="14.25" customHeight="1" s="38">
      <c r="E278" s="11" t="n"/>
    </row>
    <row r="279" ht="14.25" customHeight="1" s="38">
      <c r="E279" s="11" t="n"/>
    </row>
    <row r="280" ht="14.25" customHeight="1" s="38">
      <c r="E280" s="11" t="n"/>
    </row>
    <row r="281" ht="14.25" customHeight="1" s="38">
      <c r="E281" s="11" t="n"/>
    </row>
    <row r="282" ht="14.25" customHeight="1" s="38">
      <c r="E282" s="11" t="n"/>
    </row>
    <row r="283" ht="14.25" customHeight="1" s="38">
      <c r="E283" s="11" t="n"/>
    </row>
    <row r="284" ht="14.25" customHeight="1" s="38">
      <c r="E284" s="11" t="n"/>
    </row>
    <row r="285" ht="14.25" customHeight="1" s="38">
      <c r="E285" s="11" t="n"/>
    </row>
    <row r="286" ht="14.25" customHeight="1" s="38">
      <c r="E286" s="11" t="n"/>
    </row>
    <row r="287" ht="14.25" customHeight="1" s="38">
      <c r="E287" s="11" t="n"/>
    </row>
    <row r="288" ht="14.25" customHeight="1" s="38">
      <c r="E288" s="11" t="n"/>
    </row>
    <row r="289" ht="14.25" customHeight="1" s="38">
      <c r="E289" s="11" t="n"/>
    </row>
    <row r="290" ht="14.25" customHeight="1" s="38">
      <c r="E290" s="11" t="n"/>
    </row>
    <row r="291" ht="14.25" customHeight="1" s="38">
      <c r="E291" s="11" t="n"/>
    </row>
    <row r="292" ht="14.25" customHeight="1" s="38">
      <c r="E292" s="11" t="n"/>
    </row>
    <row r="293" ht="14.25" customHeight="1" s="38">
      <c r="E293" s="11" t="n"/>
    </row>
    <row r="294" ht="14.25" customHeight="1" s="38">
      <c r="E294" s="11" t="n"/>
    </row>
    <row r="295" ht="14.25" customHeight="1" s="38">
      <c r="E295" s="11" t="n"/>
    </row>
    <row r="296" ht="14.25" customHeight="1" s="38">
      <c r="E296" s="11" t="n"/>
    </row>
    <row r="297" ht="14.25" customHeight="1" s="38">
      <c r="E297" s="11" t="n"/>
    </row>
    <row r="298" ht="14.25" customHeight="1" s="38">
      <c r="E298" s="11" t="n"/>
    </row>
    <row r="299" ht="14.25" customHeight="1" s="38">
      <c r="E299" s="11" t="n"/>
    </row>
    <row r="300" ht="14.25" customHeight="1" s="38">
      <c r="E300" s="11" t="n"/>
    </row>
    <row r="301" ht="14.25" customHeight="1" s="38">
      <c r="E301" s="11" t="n"/>
    </row>
    <row r="302" ht="14.25" customHeight="1" s="38">
      <c r="E302" s="11" t="n"/>
    </row>
    <row r="303" ht="14.25" customHeight="1" s="38">
      <c r="E303" s="11" t="n"/>
    </row>
    <row r="304" ht="14.25" customHeight="1" s="38">
      <c r="E304" s="11" t="n"/>
    </row>
    <row r="305" ht="14.25" customHeight="1" s="38">
      <c r="E305" s="11" t="n"/>
    </row>
    <row r="306" ht="14.25" customHeight="1" s="38">
      <c r="E306" s="11" t="n"/>
    </row>
    <row r="307" ht="14.25" customHeight="1" s="38">
      <c r="E307" s="11" t="n"/>
    </row>
    <row r="308" ht="14.25" customHeight="1" s="38">
      <c r="E308" s="11" t="n"/>
    </row>
    <row r="309" ht="14.25" customHeight="1" s="38">
      <c r="E309" s="11" t="n"/>
    </row>
    <row r="310" ht="14.25" customHeight="1" s="38">
      <c r="E310" s="11" t="n"/>
    </row>
    <row r="311" ht="14.25" customHeight="1" s="38">
      <c r="E311" s="11" t="n"/>
    </row>
    <row r="312" ht="14.25" customHeight="1" s="38">
      <c r="E312" s="11" t="n"/>
    </row>
    <row r="313" ht="14.25" customHeight="1" s="38">
      <c r="E313" s="11" t="n"/>
    </row>
    <row r="314" ht="14.25" customHeight="1" s="38">
      <c r="E314" s="11" t="n"/>
    </row>
    <row r="315" ht="14.25" customHeight="1" s="38">
      <c r="E315" s="11" t="n"/>
    </row>
    <row r="316" ht="14.25" customHeight="1" s="38">
      <c r="E316" s="11" t="n"/>
    </row>
    <row r="317" ht="14.25" customHeight="1" s="38">
      <c r="E317" s="11" t="n"/>
    </row>
    <row r="318" ht="14.25" customHeight="1" s="38">
      <c r="E318" s="11" t="n"/>
    </row>
    <row r="319" ht="14.25" customHeight="1" s="38">
      <c r="E319" s="11" t="n"/>
    </row>
    <row r="320" ht="14.25" customHeight="1" s="38">
      <c r="E320" s="11" t="n"/>
    </row>
    <row r="321" ht="14.25" customHeight="1" s="38">
      <c r="E321" s="11" t="n"/>
    </row>
    <row r="322" ht="14.25" customHeight="1" s="38">
      <c r="E322" s="11" t="n"/>
    </row>
    <row r="323" ht="14.25" customHeight="1" s="38">
      <c r="E323" s="11" t="n"/>
    </row>
    <row r="324" ht="14.25" customHeight="1" s="38">
      <c r="E324" s="11" t="n"/>
    </row>
    <row r="325" ht="14.25" customHeight="1" s="38">
      <c r="E325" s="11" t="n"/>
    </row>
    <row r="326" ht="14.25" customHeight="1" s="38">
      <c r="E326" s="11" t="n"/>
    </row>
    <row r="327" ht="14.25" customHeight="1" s="38">
      <c r="E327" s="11" t="n"/>
    </row>
    <row r="328" ht="14.25" customHeight="1" s="38">
      <c r="E328" s="11" t="n"/>
    </row>
    <row r="329" ht="14.25" customHeight="1" s="38">
      <c r="E329" s="11" t="n"/>
    </row>
    <row r="330" ht="14.25" customHeight="1" s="38">
      <c r="E330" s="11" t="n"/>
    </row>
    <row r="331" ht="14.25" customHeight="1" s="38">
      <c r="E331" s="11" t="n"/>
    </row>
    <row r="332" ht="14.25" customHeight="1" s="38">
      <c r="E332" s="11" t="n"/>
    </row>
    <row r="333" ht="14.25" customHeight="1" s="38">
      <c r="E333" s="11" t="n"/>
    </row>
    <row r="334" ht="14.25" customHeight="1" s="38">
      <c r="E334" s="11" t="n"/>
    </row>
    <row r="335" ht="14.25" customHeight="1" s="38">
      <c r="E335" s="11" t="n"/>
    </row>
    <row r="336" ht="14.25" customHeight="1" s="38">
      <c r="E336" s="11" t="n"/>
    </row>
    <row r="337" ht="14.25" customHeight="1" s="38">
      <c r="E337" s="11" t="n"/>
    </row>
    <row r="338" ht="14.25" customHeight="1" s="38">
      <c r="E338" s="11" t="n"/>
    </row>
    <row r="339" ht="14.25" customHeight="1" s="38">
      <c r="E339" s="11" t="n"/>
    </row>
    <row r="340" ht="14.25" customHeight="1" s="38">
      <c r="E340" s="11" t="n"/>
    </row>
    <row r="341" ht="14.25" customHeight="1" s="38">
      <c r="E341" s="11" t="n"/>
    </row>
    <row r="342" ht="14.25" customHeight="1" s="38">
      <c r="E342" s="11" t="n"/>
    </row>
    <row r="343" ht="14.25" customHeight="1" s="38">
      <c r="E343" s="11" t="n"/>
    </row>
    <row r="344" ht="14.25" customHeight="1" s="38">
      <c r="E344" s="11" t="n"/>
    </row>
    <row r="345" ht="14.25" customHeight="1" s="38">
      <c r="E345" s="11" t="n"/>
    </row>
    <row r="346" ht="14.25" customHeight="1" s="38">
      <c r="E346" s="11" t="n"/>
    </row>
    <row r="347" ht="14.25" customHeight="1" s="38">
      <c r="E347" s="11" t="n"/>
    </row>
    <row r="348" ht="14.25" customHeight="1" s="38">
      <c r="E348" s="11" t="n"/>
    </row>
    <row r="349" ht="14.25" customHeight="1" s="38">
      <c r="E349" s="11" t="n"/>
    </row>
    <row r="350" ht="14.25" customHeight="1" s="38">
      <c r="E350" s="11" t="n"/>
    </row>
    <row r="351" ht="14.25" customHeight="1" s="38">
      <c r="E351" s="11" t="n"/>
    </row>
    <row r="352" ht="14.25" customHeight="1" s="38">
      <c r="E352" s="11" t="n"/>
    </row>
    <row r="353" ht="14.25" customHeight="1" s="38">
      <c r="E353" s="11" t="n"/>
    </row>
    <row r="354" ht="14.25" customHeight="1" s="38">
      <c r="E354" s="11" t="n"/>
    </row>
    <row r="355" ht="14.25" customHeight="1" s="38">
      <c r="E355" s="11" t="n"/>
    </row>
    <row r="356" ht="14.25" customHeight="1" s="38">
      <c r="E356" s="11" t="n"/>
    </row>
    <row r="357" ht="14.25" customHeight="1" s="38">
      <c r="E357" s="11" t="n"/>
    </row>
    <row r="358" ht="14.25" customHeight="1" s="38">
      <c r="E358" s="11" t="n"/>
    </row>
    <row r="359" ht="14.25" customHeight="1" s="38">
      <c r="E359" s="11" t="n"/>
    </row>
    <row r="360" ht="14.25" customHeight="1" s="38">
      <c r="E360" s="11" t="n"/>
    </row>
    <row r="361" ht="14.25" customHeight="1" s="38">
      <c r="E361" s="11" t="n"/>
    </row>
    <row r="362" ht="14.25" customHeight="1" s="38">
      <c r="E362" s="11" t="n"/>
    </row>
    <row r="363" ht="14.25" customHeight="1" s="38">
      <c r="E363" s="11" t="n"/>
    </row>
    <row r="364" ht="14.25" customHeight="1" s="38">
      <c r="E364" s="11" t="n"/>
    </row>
    <row r="365" ht="14.25" customHeight="1" s="38">
      <c r="E365" s="11" t="n"/>
    </row>
    <row r="366" ht="14.25" customHeight="1" s="38">
      <c r="E366" s="11" t="n"/>
    </row>
    <row r="367" ht="14.25" customHeight="1" s="38">
      <c r="E367" s="11" t="n"/>
    </row>
    <row r="368" ht="14.25" customHeight="1" s="38">
      <c r="E368" s="11" t="n"/>
    </row>
    <row r="369" ht="14.25" customHeight="1" s="38">
      <c r="E369" s="11" t="n"/>
    </row>
    <row r="370" ht="14.25" customHeight="1" s="38">
      <c r="E370" s="11" t="n"/>
    </row>
    <row r="371" ht="14.25" customHeight="1" s="38">
      <c r="E371" s="11" t="n"/>
    </row>
    <row r="372" ht="14.25" customHeight="1" s="38">
      <c r="E372" s="11" t="n"/>
    </row>
    <row r="373" ht="14.25" customHeight="1" s="38">
      <c r="E373" s="11" t="n"/>
    </row>
    <row r="374" ht="14.25" customHeight="1" s="38">
      <c r="E374" s="11" t="n"/>
    </row>
    <row r="375" ht="14.25" customHeight="1" s="38">
      <c r="E375" s="11" t="n"/>
    </row>
    <row r="376" ht="14.25" customHeight="1" s="38">
      <c r="E376" s="11" t="n"/>
    </row>
    <row r="377" ht="14.25" customHeight="1" s="38">
      <c r="E377" s="11" t="n"/>
    </row>
    <row r="378" ht="14.25" customHeight="1" s="38">
      <c r="E378" s="11" t="n"/>
    </row>
    <row r="379" ht="14.25" customHeight="1" s="38">
      <c r="E379" s="11" t="n"/>
    </row>
    <row r="380" ht="14.25" customHeight="1" s="38">
      <c r="E380" s="11" t="n"/>
    </row>
    <row r="381" ht="14.25" customHeight="1" s="38">
      <c r="E381" s="11" t="n"/>
    </row>
    <row r="382" ht="14.25" customHeight="1" s="38">
      <c r="E382" s="11" t="n"/>
    </row>
    <row r="383" ht="14.25" customHeight="1" s="38">
      <c r="E383" s="11" t="n"/>
    </row>
    <row r="384" ht="14.25" customHeight="1" s="38">
      <c r="E384" s="11" t="n"/>
    </row>
    <row r="385" ht="14.25" customHeight="1" s="38">
      <c r="E385" s="11" t="n"/>
    </row>
    <row r="386" ht="14.25" customHeight="1" s="38">
      <c r="E386" s="11" t="n"/>
    </row>
    <row r="387" ht="14.25" customHeight="1" s="38">
      <c r="E387" s="11" t="n"/>
    </row>
    <row r="388" ht="14.25" customHeight="1" s="38">
      <c r="E388" s="11" t="n"/>
    </row>
    <row r="389" ht="14.25" customHeight="1" s="38">
      <c r="E389" s="11" t="n"/>
    </row>
    <row r="390" ht="14.25" customHeight="1" s="38">
      <c r="E390" s="11" t="n"/>
    </row>
    <row r="391" ht="14.25" customHeight="1" s="38">
      <c r="E391" s="11" t="n"/>
    </row>
    <row r="392" ht="14.25" customHeight="1" s="38">
      <c r="E392" s="11" t="n"/>
    </row>
    <row r="393" ht="14.25" customHeight="1" s="38">
      <c r="E393" s="11" t="n"/>
    </row>
    <row r="394" ht="14.25" customHeight="1" s="38">
      <c r="E394" s="11" t="n"/>
    </row>
    <row r="395" ht="14.25" customHeight="1" s="38">
      <c r="E395" s="11" t="n"/>
    </row>
    <row r="396" ht="14.25" customHeight="1" s="38">
      <c r="E396" s="11" t="n"/>
    </row>
    <row r="397" ht="14.25" customHeight="1" s="38">
      <c r="E397" s="11" t="n"/>
    </row>
    <row r="398" ht="14.25" customHeight="1" s="38">
      <c r="E398" s="11" t="n"/>
    </row>
    <row r="399" ht="14.25" customHeight="1" s="38">
      <c r="E399" s="11" t="n"/>
    </row>
    <row r="400" ht="14.25" customHeight="1" s="38">
      <c r="E400" s="11" t="n"/>
    </row>
    <row r="401" ht="14.25" customHeight="1" s="38">
      <c r="E401" s="11" t="n"/>
    </row>
    <row r="402" ht="14.25" customHeight="1" s="38">
      <c r="E402" s="11" t="n"/>
    </row>
    <row r="403" ht="14.25" customHeight="1" s="38">
      <c r="E403" s="11" t="n"/>
    </row>
    <row r="404" ht="14.25" customHeight="1" s="38">
      <c r="E404" s="11" t="n"/>
    </row>
    <row r="405" ht="14.25" customHeight="1" s="38">
      <c r="E405" s="11" t="n"/>
    </row>
    <row r="406" ht="14.25" customHeight="1" s="38">
      <c r="E406" s="11" t="n"/>
    </row>
    <row r="407" ht="14.25" customHeight="1" s="38">
      <c r="E407" s="11" t="n"/>
    </row>
    <row r="408" ht="14.25" customHeight="1" s="38">
      <c r="E408" s="11" t="n"/>
    </row>
    <row r="409" ht="14.25" customHeight="1" s="38">
      <c r="E409" s="11" t="n"/>
    </row>
    <row r="410" ht="14.25" customHeight="1" s="38">
      <c r="E410" s="11" t="n"/>
    </row>
    <row r="411" ht="14.25" customHeight="1" s="38">
      <c r="E411" s="11" t="n"/>
    </row>
    <row r="412" ht="14.25" customHeight="1" s="38">
      <c r="E412" s="11" t="n"/>
    </row>
    <row r="413" ht="14.25" customHeight="1" s="38">
      <c r="E413" s="11" t="n"/>
    </row>
    <row r="414" ht="14.25" customHeight="1" s="38">
      <c r="E414" s="11" t="n"/>
    </row>
    <row r="415" ht="14.25" customHeight="1" s="38">
      <c r="E415" s="11" t="n"/>
    </row>
    <row r="416" ht="14.25" customHeight="1" s="38">
      <c r="E416" s="11" t="n"/>
    </row>
    <row r="417" ht="14.25" customHeight="1" s="38">
      <c r="E417" s="11" t="n"/>
    </row>
    <row r="418" ht="14.25" customHeight="1" s="38">
      <c r="E418" s="11" t="n"/>
    </row>
    <row r="419" ht="14.25" customHeight="1" s="38">
      <c r="E419" s="11" t="n"/>
    </row>
    <row r="420" ht="14.25" customHeight="1" s="38">
      <c r="E420" s="11" t="n"/>
    </row>
    <row r="421" ht="14.25" customHeight="1" s="38">
      <c r="E421" s="11" t="n"/>
    </row>
    <row r="422" ht="14.25" customHeight="1" s="38">
      <c r="E422" s="11" t="n"/>
    </row>
    <row r="423" ht="14.25" customHeight="1" s="38">
      <c r="E423" s="11" t="n"/>
    </row>
    <row r="424" ht="14.25" customHeight="1" s="38">
      <c r="E424" s="11" t="n"/>
    </row>
    <row r="425" ht="14.25" customHeight="1" s="38">
      <c r="E425" s="11" t="n"/>
    </row>
    <row r="426" ht="14.25" customHeight="1" s="38">
      <c r="E426" s="11" t="n"/>
    </row>
    <row r="427" ht="14.25" customHeight="1" s="38">
      <c r="E427" s="11" t="n"/>
    </row>
    <row r="428" ht="14.25" customHeight="1" s="38">
      <c r="E428" s="11" t="n"/>
    </row>
    <row r="429" ht="14.25" customHeight="1" s="38">
      <c r="E429" s="11" t="n"/>
    </row>
    <row r="430" ht="14.25" customHeight="1" s="38">
      <c r="E430" s="11" t="n"/>
    </row>
    <row r="431" ht="14.25" customHeight="1" s="38">
      <c r="E431" s="11" t="n"/>
    </row>
    <row r="432" ht="14.25" customHeight="1" s="38">
      <c r="E432" s="11" t="n"/>
    </row>
    <row r="433" ht="14.25" customHeight="1" s="38">
      <c r="E433" s="11" t="n"/>
    </row>
    <row r="434" ht="14.25" customHeight="1" s="38">
      <c r="E434" s="11" t="n"/>
    </row>
    <row r="435" ht="14.25" customHeight="1" s="38">
      <c r="E435" s="11" t="n"/>
    </row>
    <row r="436" ht="14.25" customHeight="1" s="38">
      <c r="E436" s="11" t="n"/>
    </row>
    <row r="437" ht="14.25" customHeight="1" s="38">
      <c r="E437" s="11" t="n"/>
    </row>
    <row r="438" ht="14.25" customHeight="1" s="38">
      <c r="E438" s="11" t="n"/>
    </row>
    <row r="439" ht="14.25" customHeight="1" s="38">
      <c r="E439" s="11" t="n"/>
    </row>
    <row r="440" ht="14.25" customHeight="1" s="38">
      <c r="E440" s="11" t="n"/>
    </row>
    <row r="441" ht="14.25" customHeight="1" s="38">
      <c r="E441" s="11" t="n"/>
    </row>
    <row r="442" ht="14.25" customHeight="1" s="38">
      <c r="E442" s="11" t="n"/>
    </row>
    <row r="443" ht="14.25" customHeight="1" s="38">
      <c r="E443" s="11" t="n"/>
    </row>
    <row r="444" ht="14.25" customHeight="1" s="38">
      <c r="E444" s="11" t="n"/>
    </row>
    <row r="445" ht="14.25" customHeight="1" s="38">
      <c r="E445" s="11" t="n"/>
    </row>
    <row r="446" ht="14.25" customHeight="1" s="38">
      <c r="E446" s="11" t="n"/>
    </row>
    <row r="447" ht="14.25" customHeight="1" s="38">
      <c r="E447" s="11" t="n"/>
    </row>
    <row r="448" ht="14.25" customHeight="1" s="38">
      <c r="E448" s="11" t="n"/>
    </row>
    <row r="449" ht="14.25" customHeight="1" s="38">
      <c r="E449" s="11" t="n"/>
    </row>
    <row r="450" ht="14.25" customHeight="1" s="38">
      <c r="E450" s="11" t="n"/>
    </row>
    <row r="451" ht="14.25" customHeight="1" s="38">
      <c r="E451" s="11" t="n"/>
    </row>
    <row r="452" ht="14.25" customHeight="1" s="38">
      <c r="E452" s="11" t="n"/>
    </row>
    <row r="453" ht="14.25" customHeight="1" s="38">
      <c r="E453" s="11" t="n"/>
    </row>
    <row r="454" ht="14.25" customHeight="1" s="38">
      <c r="E454" s="11" t="n"/>
    </row>
    <row r="455" ht="14.25" customHeight="1" s="38">
      <c r="E455" s="11" t="n"/>
    </row>
    <row r="456" ht="14.25" customHeight="1" s="38">
      <c r="E456" s="11" t="n"/>
    </row>
    <row r="457" ht="14.25" customHeight="1" s="38">
      <c r="E457" s="11" t="n"/>
    </row>
    <row r="458" ht="14.25" customHeight="1" s="38">
      <c r="E458" s="11" t="n"/>
    </row>
    <row r="459" ht="14.25" customHeight="1" s="38">
      <c r="E459" s="11" t="n"/>
    </row>
    <row r="460" ht="14.25" customHeight="1" s="38">
      <c r="E460" s="11" t="n"/>
    </row>
    <row r="461" ht="14.25" customHeight="1" s="38">
      <c r="E461" s="11" t="n"/>
    </row>
    <row r="462" ht="14.25" customHeight="1" s="38">
      <c r="E462" s="11" t="n"/>
    </row>
    <row r="463" ht="14.25" customHeight="1" s="38">
      <c r="E463" s="11" t="n"/>
    </row>
    <row r="464" ht="14.25" customHeight="1" s="38">
      <c r="E464" s="11" t="n"/>
    </row>
    <row r="465" ht="14.25" customHeight="1" s="38">
      <c r="E465" s="11" t="n"/>
    </row>
    <row r="466" ht="14.25" customHeight="1" s="38">
      <c r="E466" s="11" t="n"/>
    </row>
    <row r="467" ht="14.25" customHeight="1" s="38">
      <c r="E467" s="11" t="n"/>
    </row>
    <row r="468" ht="14.25" customHeight="1" s="38">
      <c r="E468" s="11" t="n"/>
    </row>
    <row r="469" ht="14.25" customHeight="1" s="38">
      <c r="E469" s="11" t="n"/>
    </row>
    <row r="470" ht="14.25" customHeight="1" s="38">
      <c r="E470" s="11" t="n"/>
    </row>
    <row r="471" ht="14.25" customHeight="1" s="38">
      <c r="E471" s="11" t="n"/>
    </row>
    <row r="472" ht="14.25" customHeight="1" s="38">
      <c r="E472" s="11" t="n"/>
    </row>
    <row r="473" ht="14.25" customHeight="1" s="38">
      <c r="E473" s="11" t="n"/>
    </row>
    <row r="474" ht="14.25" customHeight="1" s="38">
      <c r="E474" s="11" t="n"/>
    </row>
    <row r="475" ht="14.25" customHeight="1" s="38">
      <c r="E475" s="11" t="n"/>
    </row>
    <row r="476" ht="14.25" customHeight="1" s="38">
      <c r="E476" s="11" t="n"/>
    </row>
    <row r="477" ht="14.25" customHeight="1" s="38">
      <c r="E477" s="11" t="n"/>
    </row>
    <row r="478" ht="14.25" customHeight="1" s="38">
      <c r="E478" s="11" t="n"/>
    </row>
    <row r="479" ht="14.25" customHeight="1" s="38">
      <c r="E479" s="11" t="n"/>
    </row>
    <row r="480" ht="14.25" customHeight="1" s="38">
      <c r="E480" s="11" t="n"/>
    </row>
    <row r="481" ht="14.25" customHeight="1" s="38">
      <c r="E481" s="11" t="n"/>
    </row>
    <row r="482" ht="14.25" customHeight="1" s="38">
      <c r="E482" s="11" t="n"/>
    </row>
    <row r="483" ht="14.25" customHeight="1" s="38">
      <c r="E483" s="11" t="n"/>
    </row>
    <row r="484" ht="14.25" customHeight="1" s="38">
      <c r="E484" s="11" t="n"/>
    </row>
    <row r="485" ht="14.25" customHeight="1" s="38">
      <c r="E485" s="11" t="n"/>
    </row>
    <row r="486" ht="14.25" customHeight="1" s="38">
      <c r="E486" s="11" t="n"/>
    </row>
    <row r="487" ht="14.25" customHeight="1" s="38">
      <c r="E487" s="11" t="n"/>
    </row>
    <row r="488" ht="14.25" customHeight="1" s="38">
      <c r="E488" s="11" t="n"/>
    </row>
    <row r="489" ht="14.25" customHeight="1" s="38">
      <c r="E489" s="11" t="n"/>
    </row>
    <row r="490" ht="14.25" customHeight="1" s="38">
      <c r="E490" s="11" t="n"/>
    </row>
    <row r="491" ht="14.25" customHeight="1" s="38">
      <c r="E491" s="11" t="n"/>
    </row>
    <row r="492" ht="14.25" customHeight="1" s="38">
      <c r="E492" s="11" t="n"/>
    </row>
    <row r="493" ht="14.25" customHeight="1" s="38">
      <c r="E493" s="11" t="n"/>
    </row>
    <row r="494" ht="14.25" customHeight="1" s="38">
      <c r="E494" s="11" t="n"/>
    </row>
    <row r="495" ht="14.25" customHeight="1" s="38">
      <c r="E495" s="11" t="n"/>
    </row>
    <row r="496" ht="14.25" customHeight="1" s="38">
      <c r="E496" s="11" t="n"/>
    </row>
    <row r="497" ht="14.25" customHeight="1" s="38">
      <c r="E497" s="11" t="n"/>
    </row>
    <row r="498" ht="14.25" customHeight="1" s="38">
      <c r="E498" s="11" t="n"/>
    </row>
    <row r="499" ht="14.25" customHeight="1" s="38">
      <c r="E499" s="11" t="n"/>
    </row>
    <row r="500" ht="14.25" customHeight="1" s="38">
      <c r="E500" s="11" t="n"/>
    </row>
    <row r="501" ht="14.25" customHeight="1" s="38">
      <c r="E501" s="11" t="n"/>
    </row>
    <row r="502" ht="14.25" customHeight="1" s="38">
      <c r="E502" s="11" t="n"/>
    </row>
    <row r="503" ht="14.25" customHeight="1" s="38">
      <c r="E503" s="11" t="n"/>
    </row>
    <row r="504" ht="14.25" customHeight="1" s="38">
      <c r="E504" s="11" t="n"/>
    </row>
    <row r="505" ht="14.25" customHeight="1" s="38">
      <c r="E505" s="11" t="n"/>
    </row>
    <row r="506" ht="14.25" customHeight="1" s="38">
      <c r="E506" s="11" t="n"/>
    </row>
    <row r="507" ht="14.25" customHeight="1" s="38">
      <c r="E507" s="11" t="n"/>
    </row>
    <row r="508" ht="14.25" customHeight="1" s="38">
      <c r="E508" s="11" t="n"/>
    </row>
    <row r="509" ht="14.25" customHeight="1" s="38">
      <c r="E509" s="11" t="n"/>
    </row>
    <row r="510" ht="14.25" customHeight="1" s="38">
      <c r="E510" s="11" t="n"/>
    </row>
    <row r="511" ht="14.25" customHeight="1" s="38">
      <c r="E511" s="11" t="n"/>
    </row>
    <row r="512" ht="14.25" customHeight="1" s="38">
      <c r="E512" s="11" t="n"/>
    </row>
    <row r="513" ht="14.25" customHeight="1" s="38">
      <c r="E513" s="11" t="n"/>
    </row>
    <row r="514" ht="14.25" customHeight="1" s="38">
      <c r="E514" s="11" t="n"/>
    </row>
    <row r="515" ht="14.25" customHeight="1" s="38">
      <c r="E515" s="11" t="n"/>
    </row>
    <row r="516" ht="14.25" customHeight="1" s="38">
      <c r="E516" s="11" t="n"/>
    </row>
    <row r="517" ht="14.25" customHeight="1" s="38">
      <c r="E517" s="11" t="n"/>
    </row>
    <row r="518" ht="14.25" customHeight="1" s="38">
      <c r="E518" s="11" t="n"/>
    </row>
    <row r="519" ht="14.25" customHeight="1" s="38">
      <c r="E519" s="11" t="n"/>
    </row>
    <row r="520" ht="14.25" customHeight="1" s="38">
      <c r="E520" s="11" t="n"/>
    </row>
    <row r="521" ht="14.25" customHeight="1" s="38">
      <c r="E521" s="11" t="n"/>
    </row>
    <row r="522" ht="14.25" customHeight="1" s="38">
      <c r="E522" s="11" t="n"/>
    </row>
    <row r="523" ht="14.25" customHeight="1" s="38">
      <c r="E523" s="11" t="n"/>
    </row>
    <row r="524" ht="14.25" customHeight="1" s="38">
      <c r="E524" s="11" t="n"/>
    </row>
    <row r="525" ht="14.25" customHeight="1" s="38">
      <c r="E525" s="11" t="n"/>
    </row>
    <row r="526" ht="14.25" customHeight="1" s="38">
      <c r="E526" s="11" t="n"/>
    </row>
    <row r="527" ht="14.25" customHeight="1" s="38">
      <c r="E527" s="11" t="n"/>
    </row>
    <row r="528" ht="14.25" customHeight="1" s="38">
      <c r="E528" s="11" t="n"/>
    </row>
    <row r="529" ht="14.25" customHeight="1" s="38">
      <c r="E529" s="11" t="n"/>
    </row>
    <row r="530" ht="14.25" customHeight="1" s="38">
      <c r="E530" s="11" t="n"/>
    </row>
    <row r="531" ht="14.25" customHeight="1" s="38">
      <c r="E531" s="11" t="n"/>
    </row>
    <row r="532" ht="14.25" customHeight="1" s="38">
      <c r="E532" s="11" t="n"/>
    </row>
    <row r="533" ht="14.25" customHeight="1" s="38">
      <c r="E533" s="11" t="n"/>
    </row>
    <row r="534" ht="14.25" customHeight="1" s="38">
      <c r="E534" s="11" t="n"/>
    </row>
    <row r="535" ht="14.25" customHeight="1" s="38">
      <c r="E535" s="11" t="n"/>
    </row>
    <row r="536" ht="14.25" customHeight="1" s="38">
      <c r="E536" s="11" t="n"/>
    </row>
    <row r="537" ht="14.25" customHeight="1" s="38">
      <c r="E537" s="11" t="n"/>
    </row>
    <row r="538" ht="14.25" customHeight="1" s="38">
      <c r="E538" s="11" t="n"/>
    </row>
    <row r="539" ht="14.25" customHeight="1" s="38">
      <c r="E539" s="11" t="n"/>
    </row>
    <row r="540" ht="14.25" customHeight="1" s="38">
      <c r="E540" s="11" t="n"/>
    </row>
    <row r="541" ht="14.25" customHeight="1" s="38">
      <c r="E541" s="11" t="n"/>
    </row>
    <row r="542" ht="14.25" customHeight="1" s="38">
      <c r="E542" s="11" t="n"/>
    </row>
    <row r="543" ht="14.25" customHeight="1" s="38">
      <c r="E543" s="11" t="n"/>
    </row>
    <row r="544" ht="14.25" customHeight="1" s="38">
      <c r="E544" s="11" t="n"/>
    </row>
    <row r="545" ht="14.25" customHeight="1" s="38">
      <c r="E545" s="11" t="n"/>
    </row>
    <row r="546" ht="14.25" customHeight="1" s="38">
      <c r="E546" s="11" t="n"/>
    </row>
    <row r="547" ht="14.25" customHeight="1" s="38">
      <c r="E547" s="11" t="n"/>
    </row>
    <row r="548" ht="14.25" customHeight="1" s="38">
      <c r="E548" s="11" t="n"/>
    </row>
    <row r="549" ht="14.25" customHeight="1" s="38">
      <c r="E549" s="11" t="n"/>
    </row>
    <row r="550" ht="14.25" customHeight="1" s="38">
      <c r="E550" s="11" t="n"/>
    </row>
    <row r="551" ht="14.25" customHeight="1" s="38">
      <c r="E551" s="11" t="n"/>
    </row>
    <row r="552" ht="14.25" customHeight="1" s="38">
      <c r="E552" s="11" t="n"/>
    </row>
    <row r="553" ht="14.25" customHeight="1" s="38">
      <c r="E553" s="11" t="n"/>
    </row>
    <row r="554" ht="14.25" customHeight="1" s="38">
      <c r="E554" s="11" t="n"/>
    </row>
    <row r="555" ht="14.25" customHeight="1" s="38">
      <c r="E555" s="11" t="n"/>
    </row>
    <row r="556" ht="14.25" customHeight="1" s="38">
      <c r="E556" s="11" t="n"/>
    </row>
    <row r="557" ht="14.25" customHeight="1" s="38">
      <c r="E557" s="11" t="n"/>
    </row>
    <row r="558" ht="14.25" customHeight="1" s="38">
      <c r="E558" s="11" t="n"/>
    </row>
    <row r="559" ht="14.25" customHeight="1" s="38">
      <c r="E559" s="11" t="n"/>
    </row>
    <row r="560" ht="14.25" customHeight="1" s="38">
      <c r="E560" s="11" t="n"/>
    </row>
    <row r="561" ht="14.25" customHeight="1" s="38">
      <c r="E561" s="11" t="n"/>
    </row>
    <row r="562" ht="14.25" customHeight="1" s="38">
      <c r="E562" s="11" t="n"/>
    </row>
    <row r="563" ht="14.25" customHeight="1" s="38">
      <c r="E563" s="11" t="n"/>
    </row>
    <row r="564" ht="14.25" customHeight="1" s="38">
      <c r="E564" s="11" t="n"/>
    </row>
    <row r="565" ht="14.25" customHeight="1" s="38">
      <c r="E565" s="11" t="n"/>
    </row>
    <row r="566" ht="14.25" customHeight="1" s="38">
      <c r="E566" s="11" t="n"/>
    </row>
    <row r="567" ht="14.25" customHeight="1" s="38">
      <c r="E567" s="11" t="n"/>
    </row>
    <row r="568" ht="14.25" customHeight="1" s="38">
      <c r="E568" s="11" t="n"/>
    </row>
    <row r="569" ht="14.25" customHeight="1" s="38">
      <c r="E569" s="11" t="n"/>
    </row>
    <row r="570" ht="14.25" customHeight="1" s="38">
      <c r="E570" s="11" t="n"/>
    </row>
    <row r="571" ht="14.25" customHeight="1" s="38">
      <c r="E571" s="11" t="n"/>
    </row>
    <row r="572" ht="14.25" customHeight="1" s="38">
      <c r="E572" s="11" t="n"/>
    </row>
    <row r="573" ht="14.25" customHeight="1" s="38">
      <c r="E573" s="11" t="n"/>
    </row>
    <row r="574" ht="14.25" customHeight="1" s="38">
      <c r="E574" s="11" t="n"/>
    </row>
    <row r="575" ht="14.25" customHeight="1" s="38">
      <c r="E575" s="11" t="n"/>
    </row>
    <row r="576" ht="14.25" customHeight="1" s="38">
      <c r="E576" s="11" t="n"/>
    </row>
    <row r="577" ht="14.25" customHeight="1" s="38">
      <c r="E577" s="11" t="n"/>
    </row>
    <row r="578" ht="14.25" customHeight="1" s="38">
      <c r="E578" s="11" t="n"/>
    </row>
    <row r="579" ht="14.25" customHeight="1" s="38">
      <c r="E579" s="11" t="n"/>
    </row>
    <row r="580" ht="14.25" customHeight="1" s="38">
      <c r="E580" s="11" t="n"/>
    </row>
    <row r="581" ht="14.25" customHeight="1" s="38">
      <c r="E581" s="11" t="n"/>
    </row>
    <row r="582" ht="14.25" customHeight="1" s="38">
      <c r="E582" s="11" t="n"/>
    </row>
    <row r="583" ht="14.25" customHeight="1" s="38">
      <c r="E583" s="11" t="n"/>
    </row>
    <row r="584" ht="14.25" customHeight="1" s="38">
      <c r="E584" s="11" t="n"/>
    </row>
    <row r="585" ht="14.25" customHeight="1" s="38">
      <c r="E585" s="11" t="n"/>
    </row>
    <row r="586" ht="14.25" customHeight="1" s="38">
      <c r="E586" s="11" t="n"/>
    </row>
    <row r="587" ht="14.25" customHeight="1" s="38">
      <c r="E587" s="11" t="n"/>
    </row>
    <row r="588" ht="14.25" customHeight="1" s="38">
      <c r="E588" s="11" t="n"/>
    </row>
    <row r="589" ht="14.25" customHeight="1" s="38">
      <c r="E589" s="11" t="n"/>
    </row>
    <row r="590" ht="14.25" customHeight="1" s="38">
      <c r="E590" s="11" t="n"/>
    </row>
    <row r="591" ht="14.25" customHeight="1" s="38">
      <c r="E591" s="11" t="n"/>
    </row>
    <row r="592" ht="14.25" customHeight="1" s="38">
      <c r="E592" s="11" t="n"/>
    </row>
    <row r="593" ht="14.25" customHeight="1" s="38">
      <c r="E593" s="11" t="n"/>
    </row>
    <row r="594" ht="14.25" customHeight="1" s="38">
      <c r="E594" s="11" t="n"/>
    </row>
    <row r="595" ht="14.25" customHeight="1" s="38">
      <c r="E595" s="11" t="n"/>
    </row>
    <row r="596" ht="14.25" customHeight="1" s="38">
      <c r="E596" s="11" t="n"/>
    </row>
    <row r="597" ht="14.25" customHeight="1" s="38">
      <c r="E597" s="11" t="n"/>
    </row>
    <row r="598" ht="14.25" customHeight="1" s="38">
      <c r="E598" s="11" t="n"/>
    </row>
    <row r="599" ht="14.25" customHeight="1" s="38">
      <c r="E599" s="11" t="n"/>
    </row>
    <row r="600" ht="14.25" customHeight="1" s="38">
      <c r="E600" s="11" t="n"/>
    </row>
    <row r="601" ht="14.25" customHeight="1" s="38">
      <c r="E601" s="11" t="n"/>
    </row>
    <row r="602" ht="14.25" customHeight="1" s="38">
      <c r="E602" s="11" t="n"/>
    </row>
    <row r="603" ht="14.25" customHeight="1" s="38">
      <c r="E603" s="11" t="n"/>
    </row>
    <row r="604" ht="14.25" customHeight="1" s="38">
      <c r="E604" s="11" t="n"/>
    </row>
    <row r="605" ht="14.25" customHeight="1" s="38">
      <c r="E605" s="11" t="n"/>
    </row>
    <row r="606" ht="14.25" customHeight="1" s="38">
      <c r="E606" s="11" t="n"/>
    </row>
    <row r="607" ht="14.25" customHeight="1" s="38">
      <c r="E607" s="11" t="n"/>
    </row>
    <row r="608" ht="14.25" customHeight="1" s="38">
      <c r="E608" s="11" t="n"/>
    </row>
    <row r="609" ht="14.25" customHeight="1" s="38">
      <c r="E609" s="11" t="n"/>
    </row>
    <row r="610" ht="14.25" customHeight="1" s="38">
      <c r="E610" s="11" t="n"/>
    </row>
    <row r="611" ht="14.25" customHeight="1" s="38">
      <c r="E611" s="11" t="n"/>
    </row>
    <row r="612" ht="14.25" customHeight="1" s="38">
      <c r="E612" s="11" t="n"/>
    </row>
    <row r="613" ht="14.25" customHeight="1" s="38">
      <c r="E613" s="11" t="n"/>
    </row>
    <row r="614" ht="14.25" customHeight="1" s="38">
      <c r="E614" s="11" t="n"/>
    </row>
    <row r="615" ht="14.25" customHeight="1" s="38">
      <c r="E615" s="11" t="n"/>
    </row>
    <row r="616" ht="14.25" customHeight="1" s="38">
      <c r="E616" s="11" t="n"/>
    </row>
    <row r="617" ht="14.25" customHeight="1" s="38">
      <c r="E617" s="11" t="n"/>
    </row>
    <row r="618" ht="14.25" customHeight="1" s="38">
      <c r="E618" s="11" t="n"/>
    </row>
    <row r="619" ht="14.25" customHeight="1" s="38">
      <c r="E619" s="11" t="n"/>
    </row>
    <row r="620" ht="14.25" customHeight="1" s="38">
      <c r="E620" s="11" t="n"/>
    </row>
    <row r="621" ht="14.25" customHeight="1" s="38">
      <c r="E621" s="11" t="n"/>
    </row>
    <row r="622" ht="14.25" customHeight="1" s="38">
      <c r="E622" s="11" t="n"/>
    </row>
    <row r="623" ht="14.25" customHeight="1" s="38">
      <c r="E623" s="11" t="n"/>
    </row>
    <row r="624" ht="14.25" customHeight="1" s="38">
      <c r="E624" s="11" t="n"/>
    </row>
    <row r="625" ht="14.25" customHeight="1" s="38">
      <c r="E625" s="11" t="n"/>
    </row>
    <row r="626" ht="14.25" customHeight="1" s="38">
      <c r="E626" s="11" t="n"/>
    </row>
    <row r="627" ht="14.25" customHeight="1" s="38">
      <c r="E627" s="11" t="n"/>
    </row>
    <row r="628" ht="14.25" customHeight="1" s="38">
      <c r="E628" s="11" t="n"/>
    </row>
    <row r="629" ht="14.25" customHeight="1" s="38">
      <c r="E629" s="11" t="n"/>
    </row>
    <row r="630" ht="14.25" customHeight="1" s="38">
      <c r="E630" s="11" t="n"/>
    </row>
    <row r="631" ht="14.25" customHeight="1" s="38">
      <c r="E631" s="11" t="n"/>
    </row>
    <row r="632" ht="14.25" customHeight="1" s="38">
      <c r="E632" s="11" t="n"/>
    </row>
    <row r="633" ht="14.25" customHeight="1" s="38">
      <c r="E633" s="11" t="n"/>
    </row>
    <row r="634" ht="14.25" customHeight="1" s="38">
      <c r="E634" s="11" t="n"/>
    </row>
    <row r="635" ht="14.25" customHeight="1" s="38">
      <c r="E635" s="11" t="n"/>
    </row>
    <row r="636" ht="14.25" customHeight="1" s="38">
      <c r="E636" s="11" t="n"/>
    </row>
    <row r="637" ht="14.25" customHeight="1" s="38">
      <c r="E637" s="11" t="n"/>
    </row>
    <row r="638" ht="14.25" customHeight="1" s="38">
      <c r="E638" s="11" t="n"/>
    </row>
    <row r="639" ht="14.25" customHeight="1" s="38">
      <c r="E639" s="11" t="n"/>
    </row>
    <row r="640" ht="14.25" customHeight="1" s="38">
      <c r="E640" s="11" t="n"/>
    </row>
    <row r="641" ht="14.25" customHeight="1" s="38">
      <c r="E641" s="11" t="n"/>
    </row>
    <row r="642" ht="14.25" customHeight="1" s="38">
      <c r="E642" s="11" t="n"/>
    </row>
    <row r="643" ht="14.25" customHeight="1" s="38">
      <c r="E643" s="11" t="n"/>
    </row>
    <row r="644" ht="14.25" customHeight="1" s="38">
      <c r="E644" s="11" t="n"/>
    </row>
    <row r="645" ht="14.25" customHeight="1" s="38">
      <c r="E645" s="11" t="n"/>
    </row>
    <row r="646" ht="14.25" customHeight="1" s="38">
      <c r="E646" s="11" t="n"/>
    </row>
    <row r="647" ht="14.25" customHeight="1" s="38">
      <c r="E647" s="11" t="n"/>
    </row>
    <row r="648" ht="14.25" customHeight="1" s="38">
      <c r="E648" s="11" t="n"/>
    </row>
    <row r="649" ht="14.25" customHeight="1" s="38">
      <c r="E649" s="11" t="n"/>
    </row>
    <row r="650" ht="14.25" customHeight="1" s="38">
      <c r="E650" s="11" t="n"/>
    </row>
    <row r="651" ht="14.25" customHeight="1" s="38">
      <c r="E651" s="11" t="n"/>
    </row>
    <row r="652" ht="14.25" customHeight="1" s="38">
      <c r="E652" s="11" t="n"/>
    </row>
    <row r="653" ht="14.25" customHeight="1" s="38">
      <c r="E653" s="11" t="n"/>
    </row>
    <row r="654" ht="14.25" customHeight="1" s="38">
      <c r="E654" s="11" t="n"/>
    </row>
    <row r="655" ht="14.25" customHeight="1" s="38">
      <c r="E655" s="11" t="n"/>
    </row>
    <row r="656" ht="14.25" customHeight="1" s="38">
      <c r="E656" s="11" t="n"/>
    </row>
    <row r="657" ht="14.25" customHeight="1" s="38">
      <c r="E657" s="11" t="n"/>
    </row>
    <row r="658" ht="14.25" customHeight="1" s="38">
      <c r="E658" s="11" t="n"/>
    </row>
    <row r="659" ht="14.25" customHeight="1" s="38">
      <c r="E659" s="11" t="n"/>
    </row>
    <row r="660" ht="14.25" customHeight="1" s="38">
      <c r="E660" s="11" t="n"/>
    </row>
    <row r="661" ht="14.25" customHeight="1" s="38">
      <c r="E661" s="11" t="n"/>
    </row>
    <row r="662" ht="14.25" customHeight="1" s="38">
      <c r="E662" s="11" t="n"/>
    </row>
    <row r="663" ht="14.25" customHeight="1" s="38">
      <c r="E663" s="11" t="n"/>
    </row>
    <row r="664" ht="14.25" customHeight="1" s="38">
      <c r="E664" s="11" t="n"/>
    </row>
    <row r="665" ht="14.25" customHeight="1" s="38">
      <c r="E665" s="11" t="n"/>
    </row>
    <row r="666" ht="14.25" customHeight="1" s="38">
      <c r="E666" s="11" t="n"/>
    </row>
    <row r="667" ht="14.25" customHeight="1" s="38">
      <c r="E667" s="11" t="n"/>
    </row>
    <row r="668" ht="14.25" customHeight="1" s="38">
      <c r="E668" s="11" t="n"/>
    </row>
    <row r="669" ht="14.25" customHeight="1" s="38">
      <c r="E669" s="11" t="n"/>
    </row>
    <row r="670" ht="14.25" customHeight="1" s="38">
      <c r="E670" s="11" t="n"/>
    </row>
    <row r="671" ht="14.25" customHeight="1" s="38">
      <c r="E671" s="11" t="n"/>
    </row>
    <row r="672" ht="14.25" customHeight="1" s="38">
      <c r="E672" s="11" t="n"/>
    </row>
    <row r="673" ht="14.25" customHeight="1" s="38">
      <c r="E673" s="11" t="n"/>
    </row>
    <row r="674" ht="14.25" customHeight="1" s="38">
      <c r="E674" s="11" t="n"/>
    </row>
    <row r="675" ht="14.25" customHeight="1" s="38">
      <c r="E675" s="11" t="n"/>
    </row>
    <row r="676" ht="14.25" customHeight="1" s="38">
      <c r="E676" s="11" t="n"/>
    </row>
    <row r="677" ht="14.25" customHeight="1" s="38">
      <c r="E677" s="11" t="n"/>
    </row>
    <row r="678" ht="14.25" customHeight="1" s="38">
      <c r="E678" s="11" t="n"/>
    </row>
    <row r="679" ht="14.25" customHeight="1" s="38">
      <c r="E679" s="11" t="n"/>
    </row>
    <row r="680" ht="14.25" customHeight="1" s="38">
      <c r="E680" s="11" t="n"/>
    </row>
    <row r="681" ht="14.25" customHeight="1" s="38">
      <c r="E681" s="11" t="n"/>
    </row>
    <row r="682" ht="14.25" customHeight="1" s="38">
      <c r="E682" s="11" t="n"/>
    </row>
    <row r="683" ht="14.25" customHeight="1" s="38">
      <c r="E683" s="11" t="n"/>
    </row>
    <row r="684" ht="14.25" customHeight="1" s="38">
      <c r="E684" s="11" t="n"/>
    </row>
    <row r="685" ht="14.25" customHeight="1" s="38">
      <c r="E685" s="11" t="n"/>
    </row>
    <row r="686" ht="14.25" customHeight="1" s="38">
      <c r="E686" s="11" t="n"/>
    </row>
    <row r="687" ht="14.25" customHeight="1" s="38">
      <c r="E687" s="11" t="n"/>
    </row>
    <row r="688" ht="14.25" customHeight="1" s="38">
      <c r="E688" s="11" t="n"/>
    </row>
    <row r="689" ht="14.25" customHeight="1" s="38">
      <c r="E689" s="11" t="n"/>
    </row>
    <row r="690" ht="14.25" customHeight="1" s="38">
      <c r="E690" s="11" t="n"/>
    </row>
    <row r="691" ht="14.25" customHeight="1" s="38">
      <c r="E691" s="11" t="n"/>
    </row>
    <row r="692" ht="14.25" customHeight="1" s="38">
      <c r="E692" s="11" t="n"/>
    </row>
    <row r="693" ht="14.25" customHeight="1" s="38">
      <c r="E693" s="11" t="n"/>
    </row>
    <row r="694" ht="14.25" customHeight="1" s="38">
      <c r="E694" s="11" t="n"/>
    </row>
    <row r="695" ht="14.25" customHeight="1" s="38">
      <c r="E695" s="11" t="n"/>
    </row>
    <row r="696" ht="14.25" customHeight="1" s="38">
      <c r="E696" s="11" t="n"/>
    </row>
    <row r="697" ht="14.25" customHeight="1" s="38">
      <c r="E697" s="11" t="n"/>
    </row>
    <row r="698" ht="14.25" customHeight="1" s="38">
      <c r="E698" s="11" t="n"/>
    </row>
    <row r="699" ht="14.25" customHeight="1" s="38">
      <c r="E699" s="11" t="n"/>
    </row>
    <row r="700" ht="14.25" customHeight="1" s="38">
      <c r="E700" s="11" t="n"/>
    </row>
    <row r="701" ht="14.25" customHeight="1" s="38">
      <c r="E701" s="11" t="n"/>
    </row>
    <row r="702" ht="14.25" customHeight="1" s="38">
      <c r="E702" s="11" t="n"/>
    </row>
    <row r="703" ht="14.25" customHeight="1" s="38">
      <c r="E703" s="11" t="n"/>
    </row>
    <row r="704" ht="14.25" customHeight="1" s="38">
      <c r="E704" s="11" t="n"/>
    </row>
    <row r="705" ht="14.25" customHeight="1" s="38">
      <c r="E705" s="11" t="n"/>
    </row>
    <row r="706" ht="14.25" customHeight="1" s="38">
      <c r="E706" s="11" t="n"/>
    </row>
    <row r="707" ht="14.25" customHeight="1" s="38">
      <c r="E707" s="11" t="n"/>
    </row>
    <row r="708" ht="14.25" customHeight="1" s="38">
      <c r="E708" s="11" t="n"/>
    </row>
    <row r="709" ht="14.25" customHeight="1" s="38">
      <c r="E709" s="11" t="n"/>
    </row>
    <row r="710" ht="14.25" customHeight="1" s="38">
      <c r="E710" s="11" t="n"/>
    </row>
    <row r="711" ht="14.25" customHeight="1" s="38">
      <c r="E711" s="11" t="n"/>
    </row>
    <row r="712" ht="14.25" customHeight="1" s="38">
      <c r="E712" s="11" t="n"/>
    </row>
    <row r="713" ht="14.25" customHeight="1" s="38">
      <c r="E713" s="11" t="n"/>
    </row>
    <row r="714" ht="14.25" customHeight="1" s="38">
      <c r="E714" s="11" t="n"/>
    </row>
    <row r="715" ht="14.25" customHeight="1" s="38">
      <c r="E715" s="11" t="n"/>
    </row>
    <row r="716" ht="14.25" customHeight="1" s="38">
      <c r="E716" s="11" t="n"/>
    </row>
    <row r="717" ht="14.25" customHeight="1" s="38">
      <c r="E717" s="11" t="n"/>
    </row>
    <row r="718" ht="14.25" customHeight="1" s="38">
      <c r="E718" s="11" t="n"/>
    </row>
    <row r="719" ht="14.25" customHeight="1" s="38">
      <c r="E719" s="11" t="n"/>
    </row>
    <row r="720" ht="14.25" customHeight="1" s="38">
      <c r="E720" s="11" t="n"/>
    </row>
    <row r="721" ht="14.25" customHeight="1" s="38">
      <c r="E721" s="11" t="n"/>
    </row>
    <row r="722" ht="14.25" customHeight="1" s="38">
      <c r="E722" s="11" t="n"/>
    </row>
    <row r="723" ht="14.25" customHeight="1" s="38">
      <c r="E723" s="11" t="n"/>
    </row>
    <row r="724" ht="14.25" customHeight="1" s="38">
      <c r="E724" s="11" t="n"/>
    </row>
    <row r="725" ht="14.25" customHeight="1" s="38">
      <c r="E725" s="11" t="n"/>
    </row>
    <row r="726" ht="14.25" customHeight="1" s="38">
      <c r="E726" s="11" t="n"/>
    </row>
    <row r="727" ht="14.25" customHeight="1" s="38">
      <c r="E727" s="11" t="n"/>
    </row>
    <row r="728" ht="14.25" customHeight="1" s="38">
      <c r="E728" s="11" t="n"/>
    </row>
    <row r="729" ht="14.25" customHeight="1" s="38">
      <c r="E729" s="11" t="n"/>
    </row>
    <row r="730" ht="14.25" customHeight="1" s="38">
      <c r="E730" s="11" t="n"/>
    </row>
    <row r="731" ht="14.25" customHeight="1" s="38">
      <c r="E731" s="11" t="n"/>
    </row>
    <row r="732" ht="14.25" customHeight="1" s="38">
      <c r="E732" s="11" t="n"/>
    </row>
    <row r="733" ht="14.25" customHeight="1" s="38">
      <c r="E733" s="11" t="n"/>
    </row>
    <row r="734" ht="14.25" customHeight="1" s="38">
      <c r="E734" s="11" t="n"/>
    </row>
    <row r="735" ht="14.25" customHeight="1" s="38">
      <c r="E735" s="11" t="n"/>
    </row>
    <row r="736" ht="14.25" customHeight="1" s="38">
      <c r="E736" s="11" t="n"/>
    </row>
    <row r="737" ht="14.25" customHeight="1" s="38">
      <c r="E737" s="11" t="n"/>
    </row>
    <row r="738" ht="14.25" customHeight="1" s="38">
      <c r="E738" s="11" t="n"/>
    </row>
    <row r="739" ht="14.25" customHeight="1" s="38">
      <c r="E739" s="11" t="n"/>
    </row>
    <row r="740" ht="14.25" customHeight="1" s="38">
      <c r="E740" s="11" t="n"/>
    </row>
    <row r="741" ht="14.25" customHeight="1" s="38">
      <c r="E741" s="11" t="n"/>
    </row>
    <row r="742" ht="14.25" customHeight="1" s="38">
      <c r="E742" s="11" t="n"/>
    </row>
    <row r="743" ht="14.25" customHeight="1" s="38">
      <c r="E743" s="11" t="n"/>
    </row>
    <row r="744" ht="14.25" customHeight="1" s="38">
      <c r="E744" s="11" t="n"/>
    </row>
    <row r="745" ht="14.25" customHeight="1" s="38">
      <c r="E745" s="11" t="n"/>
    </row>
    <row r="746" ht="14.25" customHeight="1" s="38">
      <c r="E746" s="11" t="n"/>
    </row>
    <row r="747" ht="14.25" customHeight="1" s="38">
      <c r="E747" s="11" t="n"/>
    </row>
    <row r="748" ht="14.25" customHeight="1" s="38">
      <c r="E748" s="11" t="n"/>
    </row>
    <row r="749" ht="14.25" customHeight="1" s="38">
      <c r="E749" s="11" t="n"/>
    </row>
    <row r="750" ht="14.25" customHeight="1" s="38">
      <c r="E750" s="11" t="n"/>
    </row>
    <row r="751" ht="14.25" customHeight="1" s="38">
      <c r="E751" s="11" t="n"/>
    </row>
    <row r="752" ht="14.25" customHeight="1" s="38">
      <c r="E752" s="11" t="n"/>
    </row>
    <row r="753" ht="14.25" customHeight="1" s="38">
      <c r="E753" s="11" t="n"/>
    </row>
    <row r="754" ht="14.25" customHeight="1" s="38">
      <c r="E754" s="11" t="n"/>
    </row>
    <row r="755" ht="14.25" customHeight="1" s="38">
      <c r="E755" s="11" t="n"/>
    </row>
    <row r="756" ht="14.25" customHeight="1" s="38">
      <c r="E756" s="11" t="n"/>
    </row>
    <row r="757" ht="14.25" customHeight="1" s="38">
      <c r="E757" s="11" t="n"/>
    </row>
    <row r="758" ht="14.25" customHeight="1" s="38">
      <c r="E758" s="11" t="n"/>
    </row>
    <row r="759" ht="14.25" customHeight="1" s="38">
      <c r="E759" s="11" t="n"/>
    </row>
    <row r="760" ht="14.25" customHeight="1" s="38">
      <c r="E760" s="11" t="n"/>
    </row>
    <row r="761" ht="14.25" customHeight="1" s="38">
      <c r="E761" s="11" t="n"/>
    </row>
    <row r="762" ht="14.25" customHeight="1" s="38">
      <c r="E762" s="11" t="n"/>
    </row>
    <row r="763" ht="14.25" customHeight="1" s="38">
      <c r="E763" s="11" t="n"/>
    </row>
    <row r="764" ht="14.25" customHeight="1" s="38">
      <c r="E764" s="11" t="n"/>
    </row>
    <row r="765" ht="14.25" customHeight="1" s="38">
      <c r="E765" s="11" t="n"/>
    </row>
    <row r="766" ht="14.25" customHeight="1" s="38">
      <c r="E766" s="11" t="n"/>
    </row>
    <row r="767" ht="14.25" customHeight="1" s="38">
      <c r="E767" s="11" t="n"/>
    </row>
    <row r="768" ht="14.25" customHeight="1" s="38">
      <c r="E768" s="11" t="n"/>
    </row>
    <row r="769" ht="14.25" customHeight="1" s="38">
      <c r="E769" s="11" t="n"/>
    </row>
    <row r="770" ht="14.25" customHeight="1" s="38">
      <c r="E770" s="11" t="n"/>
    </row>
    <row r="771" ht="14.25" customHeight="1" s="38">
      <c r="E771" s="11" t="n"/>
    </row>
    <row r="772" ht="14.25" customHeight="1" s="38">
      <c r="E772" s="11" t="n"/>
    </row>
    <row r="773" ht="14.25" customHeight="1" s="38">
      <c r="E773" s="11" t="n"/>
    </row>
    <row r="774" ht="14.25" customHeight="1" s="38">
      <c r="E774" s="11" t="n"/>
    </row>
    <row r="775" ht="14.25" customHeight="1" s="38">
      <c r="E775" s="11" t="n"/>
    </row>
    <row r="776" ht="14.25" customHeight="1" s="38">
      <c r="E776" s="11" t="n"/>
    </row>
    <row r="777" ht="14.25" customHeight="1" s="38">
      <c r="E777" s="11" t="n"/>
    </row>
    <row r="778" ht="14.25" customHeight="1" s="38">
      <c r="E778" s="11" t="n"/>
    </row>
    <row r="779" ht="14.25" customHeight="1" s="38">
      <c r="E779" s="11" t="n"/>
    </row>
    <row r="780" ht="14.25" customHeight="1" s="38">
      <c r="E780" s="11" t="n"/>
    </row>
    <row r="781" ht="14.25" customHeight="1" s="38">
      <c r="E781" s="11" t="n"/>
    </row>
    <row r="782" ht="14.25" customHeight="1" s="38">
      <c r="E782" s="11" t="n"/>
    </row>
    <row r="783" ht="14.25" customHeight="1" s="38">
      <c r="E783" s="11" t="n"/>
    </row>
    <row r="784" ht="14.25" customHeight="1" s="38">
      <c r="E784" s="11" t="n"/>
    </row>
    <row r="785" ht="14.25" customHeight="1" s="38">
      <c r="E785" s="11" t="n"/>
    </row>
    <row r="786" ht="14.25" customHeight="1" s="38">
      <c r="E786" s="11" t="n"/>
    </row>
    <row r="787" ht="14.25" customHeight="1" s="38">
      <c r="E787" s="11" t="n"/>
    </row>
    <row r="788" ht="14.25" customHeight="1" s="38">
      <c r="E788" s="11" t="n"/>
    </row>
    <row r="789" ht="14.25" customHeight="1" s="38">
      <c r="E789" s="11" t="n"/>
    </row>
    <row r="790" ht="14.25" customHeight="1" s="38">
      <c r="E790" s="11" t="n"/>
    </row>
    <row r="791" ht="14.25" customHeight="1" s="38">
      <c r="E791" s="11" t="n"/>
    </row>
    <row r="792" ht="14.25" customHeight="1" s="38">
      <c r="E792" s="11" t="n"/>
    </row>
    <row r="793" ht="14.25" customHeight="1" s="38">
      <c r="E793" s="11" t="n"/>
    </row>
    <row r="794" ht="14.25" customHeight="1" s="38">
      <c r="E794" s="11" t="n"/>
    </row>
    <row r="795" ht="14.25" customHeight="1" s="38">
      <c r="E795" s="11" t="n"/>
    </row>
    <row r="796" ht="14.25" customHeight="1" s="38">
      <c r="E796" s="11" t="n"/>
    </row>
    <row r="797" ht="14.25" customHeight="1" s="38">
      <c r="E797" s="11" t="n"/>
    </row>
    <row r="798" ht="14.25" customHeight="1" s="38">
      <c r="E798" s="11" t="n"/>
    </row>
    <row r="799" ht="14.25" customHeight="1" s="38">
      <c r="E799" s="11" t="n"/>
    </row>
    <row r="800" ht="14.25" customHeight="1" s="38">
      <c r="E800" s="11" t="n"/>
    </row>
    <row r="801" ht="14.25" customHeight="1" s="38">
      <c r="E801" s="11" t="n"/>
    </row>
    <row r="802" ht="14.25" customHeight="1" s="38">
      <c r="E802" s="11" t="n"/>
    </row>
    <row r="803" ht="14.25" customHeight="1" s="38">
      <c r="E803" s="11" t="n"/>
    </row>
    <row r="804" ht="14.25" customHeight="1" s="38">
      <c r="E804" s="11" t="n"/>
    </row>
    <row r="805" ht="14.25" customHeight="1" s="38">
      <c r="E805" s="11" t="n"/>
    </row>
    <row r="806" ht="14.25" customHeight="1" s="38">
      <c r="E806" s="11" t="n"/>
    </row>
    <row r="807" ht="14.25" customHeight="1" s="38">
      <c r="E807" s="11" t="n"/>
    </row>
    <row r="808" ht="14.25" customHeight="1" s="38">
      <c r="E808" s="11" t="n"/>
    </row>
    <row r="809" ht="14.25" customHeight="1" s="38">
      <c r="E809" s="11" t="n"/>
    </row>
    <row r="810" ht="14.25" customHeight="1" s="38">
      <c r="E810" s="11" t="n"/>
    </row>
    <row r="811" ht="14.25" customHeight="1" s="38">
      <c r="E811" s="11" t="n"/>
    </row>
    <row r="812" ht="14.25" customHeight="1" s="38">
      <c r="E812" s="11" t="n"/>
    </row>
    <row r="813" ht="14.25" customHeight="1" s="38">
      <c r="E813" s="11" t="n"/>
    </row>
    <row r="814" ht="14.25" customHeight="1" s="38">
      <c r="E814" s="11" t="n"/>
    </row>
    <row r="815" ht="14.25" customHeight="1" s="38">
      <c r="E815" s="11" t="n"/>
    </row>
    <row r="816" ht="14.25" customHeight="1" s="38">
      <c r="E816" s="11" t="n"/>
    </row>
    <row r="817" ht="14.25" customHeight="1" s="38">
      <c r="E817" s="11" t="n"/>
    </row>
    <row r="818" ht="14.25" customHeight="1" s="38">
      <c r="E818" s="11" t="n"/>
    </row>
    <row r="819" ht="14.25" customHeight="1" s="38">
      <c r="E819" s="11" t="n"/>
    </row>
    <row r="820" ht="14.25" customHeight="1" s="38">
      <c r="E820" s="11" t="n"/>
    </row>
    <row r="821" ht="14.25" customHeight="1" s="38">
      <c r="E821" s="11" t="n"/>
    </row>
    <row r="822" ht="14.25" customHeight="1" s="38">
      <c r="E822" s="11" t="n"/>
    </row>
    <row r="823" ht="14.25" customHeight="1" s="38">
      <c r="E823" s="11" t="n"/>
    </row>
    <row r="824" ht="14.25" customHeight="1" s="38">
      <c r="E824" s="11" t="n"/>
    </row>
    <row r="825" ht="14.25" customHeight="1" s="38">
      <c r="E825" s="11" t="n"/>
    </row>
    <row r="826" ht="14.25" customHeight="1" s="38">
      <c r="E826" s="11" t="n"/>
    </row>
    <row r="827" ht="14.25" customHeight="1" s="38">
      <c r="E827" s="11" t="n"/>
    </row>
    <row r="828" ht="14.25" customHeight="1" s="38">
      <c r="E828" s="11" t="n"/>
    </row>
    <row r="829" ht="14.25" customHeight="1" s="38">
      <c r="E829" s="11" t="n"/>
    </row>
    <row r="830" ht="14.25" customHeight="1" s="38">
      <c r="E830" s="11" t="n"/>
    </row>
    <row r="831" ht="14.25" customHeight="1" s="38">
      <c r="E831" s="11" t="n"/>
    </row>
    <row r="832" ht="14.25" customHeight="1" s="38">
      <c r="E832" s="11" t="n"/>
    </row>
    <row r="833" ht="14.25" customHeight="1" s="38">
      <c r="E833" s="11" t="n"/>
    </row>
    <row r="834" ht="14.25" customHeight="1" s="38">
      <c r="E834" s="11" t="n"/>
    </row>
    <row r="835" ht="14.25" customHeight="1" s="38">
      <c r="E835" s="11" t="n"/>
    </row>
    <row r="836" ht="14.25" customHeight="1" s="38">
      <c r="E836" s="11" t="n"/>
    </row>
    <row r="837" ht="14.25" customHeight="1" s="38">
      <c r="E837" s="11" t="n"/>
    </row>
    <row r="838" ht="14.25" customHeight="1" s="38">
      <c r="E838" s="11" t="n"/>
    </row>
    <row r="839" ht="14.25" customHeight="1" s="38">
      <c r="E839" s="11" t="n"/>
    </row>
    <row r="840" ht="14.25" customHeight="1" s="38">
      <c r="E840" s="11" t="n"/>
    </row>
    <row r="841" ht="14.25" customHeight="1" s="38">
      <c r="E841" s="11" t="n"/>
    </row>
    <row r="842" ht="14.25" customHeight="1" s="38">
      <c r="E842" s="11" t="n"/>
    </row>
    <row r="843" ht="14.25" customHeight="1" s="38">
      <c r="E843" s="11" t="n"/>
    </row>
    <row r="844" ht="14.25" customHeight="1" s="38">
      <c r="E844" s="11" t="n"/>
    </row>
    <row r="845" ht="14.25" customHeight="1" s="38">
      <c r="E845" s="11" t="n"/>
    </row>
    <row r="846" ht="14.25" customHeight="1" s="38">
      <c r="E846" s="11" t="n"/>
    </row>
    <row r="847" ht="14.25" customHeight="1" s="38">
      <c r="E847" s="11" t="n"/>
    </row>
    <row r="848" ht="14.25" customHeight="1" s="38">
      <c r="E848" s="11" t="n"/>
    </row>
    <row r="849" ht="14.25" customHeight="1" s="38">
      <c r="E849" s="11" t="n"/>
    </row>
    <row r="850" ht="14.25" customHeight="1" s="38">
      <c r="E850" s="11" t="n"/>
    </row>
    <row r="851" ht="14.25" customHeight="1" s="38">
      <c r="E851" s="11" t="n"/>
    </row>
    <row r="852" ht="14.25" customHeight="1" s="38">
      <c r="E852" s="11" t="n"/>
    </row>
    <row r="853" ht="14.25" customHeight="1" s="38">
      <c r="E853" s="11" t="n"/>
    </row>
    <row r="854" ht="14.25" customHeight="1" s="38">
      <c r="E854" s="11" t="n"/>
    </row>
    <row r="855" ht="14.25" customHeight="1" s="38">
      <c r="E855" s="11" t="n"/>
    </row>
    <row r="856" ht="14.25" customHeight="1" s="38">
      <c r="E856" s="11" t="n"/>
    </row>
    <row r="857" ht="14.25" customHeight="1" s="38">
      <c r="E857" s="11" t="n"/>
    </row>
    <row r="858" ht="14.25" customHeight="1" s="38">
      <c r="E858" s="11" t="n"/>
    </row>
    <row r="859" ht="14.25" customHeight="1" s="38">
      <c r="E859" s="11" t="n"/>
    </row>
    <row r="860" ht="14.25" customHeight="1" s="38">
      <c r="E860" s="11" t="n"/>
    </row>
    <row r="861" ht="14.25" customHeight="1" s="38">
      <c r="E861" s="11" t="n"/>
    </row>
    <row r="862" ht="14.25" customHeight="1" s="38">
      <c r="E862" s="11" t="n"/>
    </row>
    <row r="863" ht="14.25" customHeight="1" s="38">
      <c r="E863" s="11" t="n"/>
    </row>
    <row r="864" ht="14.25" customHeight="1" s="38">
      <c r="E864" s="11" t="n"/>
    </row>
    <row r="865" ht="14.25" customHeight="1" s="38">
      <c r="E865" s="11" t="n"/>
    </row>
    <row r="866" ht="14.25" customHeight="1" s="38">
      <c r="E866" s="11" t="n"/>
    </row>
    <row r="867" ht="14.25" customHeight="1" s="38">
      <c r="E867" s="11" t="n"/>
    </row>
    <row r="868" ht="14.25" customHeight="1" s="38">
      <c r="E868" s="11" t="n"/>
    </row>
    <row r="869" ht="14.25" customHeight="1" s="38">
      <c r="E869" s="11" t="n"/>
    </row>
    <row r="870" ht="14.25" customHeight="1" s="38">
      <c r="E870" s="11" t="n"/>
    </row>
    <row r="871" ht="14.25" customHeight="1" s="38">
      <c r="E871" s="11" t="n"/>
    </row>
    <row r="872" ht="14.25" customHeight="1" s="38">
      <c r="E872" s="11" t="n"/>
    </row>
    <row r="873" ht="14.25" customHeight="1" s="38">
      <c r="E873" s="11" t="n"/>
    </row>
    <row r="874" ht="14.25" customHeight="1" s="38">
      <c r="E874" s="11" t="n"/>
    </row>
    <row r="875" ht="14.25" customHeight="1" s="38">
      <c r="E875" s="11" t="n"/>
    </row>
    <row r="876" ht="14.25" customHeight="1" s="38">
      <c r="E876" s="11" t="n"/>
    </row>
    <row r="877" ht="14.25" customHeight="1" s="38">
      <c r="E877" s="11" t="n"/>
    </row>
    <row r="878" ht="14.25" customHeight="1" s="38">
      <c r="E878" s="11" t="n"/>
    </row>
    <row r="879" ht="14.25" customHeight="1" s="38">
      <c r="E879" s="11" t="n"/>
    </row>
    <row r="880" ht="14.25" customHeight="1" s="38">
      <c r="E880" s="11" t="n"/>
    </row>
    <row r="881" ht="14.25" customHeight="1" s="38">
      <c r="E881" s="11" t="n"/>
    </row>
    <row r="882" ht="14.25" customHeight="1" s="38">
      <c r="E882" s="11" t="n"/>
    </row>
    <row r="883" ht="14.25" customHeight="1" s="38">
      <c r="E883" s="11" t="n"/>
    </row>
    <row r="884" ht="14.25" customHeight="1" s="38">
      <c r="E884" s="11" t="n"/>
    </row>
    <row r="885" ht="14.25" customHeight="1" s="38">
      <c r="E885" s="11" t="n"/>
    </row>
    <row r="886" ht="14.25" customHeight="1" s="38">
      <c r="E886" s="11" t="n"/>
    </row>
    <row r="887" ht="14.25" customHeight="1" s="38">
      <c r="E887" s="11" t="n"/>
    </row>
    <row r="888" ht="14.25" customHeight="1" s="38">
      <c r="E888" s="11" t="n"/>
    </row>
    <row r="889" ht="14.25" customHeight="1" s="38">
      <c r="E889" s="11" t="n"/>
    </row>
    <row r="890" ht="14.25" customHeight="1" s="38">
      <c r="E890" s="11" t="n"/>
    </row>
    <row r="891" ht="14.25" customHeight="1" s="38">
      <c r="E891" s="11" t="n"/>
    </row>
    <row r="892" ht="14.25" customHeight="1" s="38">
      <c r="E892" s="11" t="n"/>
    </row>
    <row r="893" ht="14.25" customHeight="1" s="38">
      <c r="E893" s="11" t="n"/>
    </row>
    <row r="894" ht="14.25" customHeight="1" s="38">
      <c r="E894" s="11" t="n"/>
    </row>
    <row r="895" ht="14.25" customHeight="1" s="38">
      <c r="E895" s="11" t="n"/>
    </row>
    <row r="896" ht="14.25" customHeight="1" s="38">
      <c r="E896" s="11" t="n"/>
    </row>
    <row r="897" ht="14.25" customHeight="1" s="38">
      <c r="E897" s="11" t="n"/>
    </row>
    <row r="898" ht="14.25" customHeight="1" s="38">
      <c r="E898" s="11" t="n"/>
    </row>
    <row r="899" ht="14.25" customHeight="1" s="38">
      <c r="E899" s="11" t="n"/>
    </row>
    <row r="900" ht="14.25" customHeight="1" s="38">
      <c r="E900" s="11" t="n"/>
    </row>
    <row r="901" ht="14.25" customHeight="1" s="38">
      <c r="E901" s="11" t="n"/>
    </row>
    <row r="902" ht="14.25" customHeight="1" s="38">
      <c r="E902" s="11" t="n"/>
    </row>
    <row r="903" ht="14.25" customHeight="1" s="38">
      <c r="E903" s="11" t="n"/>
    </row>
    <row r="904" ht="14.25" customHeight="1" s="38">
      <c r="E904" s="11" t="n"/>
    </row>
    <row r="905" ht="14.25" customHeight="1" s="38">
      <c r="E905" s="11" t="n"/>
    </row>
    <row r="906" ht="14.25" customHeight="1" s="38">
      <c r="E906" s="11" t="n"/>
    </row>
    <row r="907" ht="14.25" customHeight="1" s="38">
      <c r="E907" s="11" t="n"/>
    </row>
    <row r="908" ht="14.25" customHeight="1" s="38">
      <c r="E908" s="11" t="n"/>
    </row>
    <row r="909" ht="14.25" customHeight="1" s="38">
      <c r="E909" s="11" t="n"/>
    </row>
    <row r="910" ht="14.25" customHeight="1" s="38">
      <c r="E910" s="11" t="n"/>
    </row>
    <row r="911" ht="14.25" customHeight="1" s="38">
      <c r="E911" s="11" t="n"/>
    </row>
    <row r="912" ht="14.25" customHeight="1" s="38">
      <c r="E912" s="11" t="n"/>
    </row>
    <row r="913" ht="14.25" customHeight="1" s="38">
      <c r="E913" s="11" t="n"/>
    </row>
    <row r="914" ht="14.25" customHeight="1" s="38">
      <c r="E914" s="11" t="n"/>
    </row>
    <row r="915" ht="14.25" customHeight="1" s="38">
      <c r="E915" s="11" t="n"/>
    </row>
    <row r="916" ht="14.25" customHeight="1" s="38">
      <c r="E916" s="11" t="n"/>
    </row>
    <row r="917" ht="14.25" customHeight="1" s="38">
      <c r="E917" s="11" t="n"/>
    </row>
    <row r="918" ht="14.25" customHeight="1" s="38">
      <c r="E918" s="11" t="n"/>
    </row>
    <row r="919" ht="14.25" customHeight="1" s="38">
      <c r="E919" s="11" t="n"/>
    </row>
    <row r="920" ht="14.25" customHeight="1" s="38">
      <c r="E920" s="11" t="n"/>
    </row>
    <row r="921" ht="14.25" customHeight="1" s="38">
      <c r="E921" s="11" t="n"/>
    </row>
    <row r="922" ht="14.25" customHeight="1" s="38">
      <c r="E922" s="11" t="n"/>
    </row>
    <row r="923" ht="14.25" customHeight="1" s="38">
      <c r="E923" s="11" t="n"/>
    </row>
    <row r="924" ht="14.25" customHeight="1" s="38">
      <c r="E924" s="11" t="n"/>
    </row>
    <row r="925" ht="14.25" customHeight="1" s="38">
      <c r="E925" s="11" t="n"/>
    </row>
    <row r="926" ht="14.25" customHeight="1" s="38">
      <c r="E926" s="11" t="n"/>
    </row>
    <row r="927" ht="14.25" customHeight="1" s="38">
      <c r="E927" s="11" t="n"/>
    </row>
    <row r="928" ht="14.25" customHeight="1" s="38">
      <c r="E928" s="11" t="n"/>
    </row>
    <row r="929" ht="14.25" customHeight="1" s="38">
      <c r="E929" s="11" t="n"/>
    </row>
    <row r="930" ht="14.25" customHeight="1" s="38">
      <c r="E930" s="11" t="n"/>
    </row>
    <row r="931" ht="14.25" customHeight="1" s="38">
      <c r="E931" s="11" t="n"/>
    </row>
    <row r="932" ht="14.25" customHeight="1" s="38">
      <c r="E932" s="11" t="n"/>
    </row>
    <row r="933" ht="14.25" customHeight="1" s="38">
      <c r="E933" s="11" t="n"/>
    </row>
    <row r="934" ht="14.25" customHeight="1" s="38">
      <c r="E934" s="11" t="n"/>
    </row>
    <row r="935" ht="14.25" customHeight="1" s="38">
      <c r="E935" s="11" t="n"/>
    </row>
    <row r="936" ht="14.25" customHeight="1" s="38">
      <c r="E936" s="11" t="n"/>
    </row>
    <row r="937" ht="14.25" customHeight="1" s="38">
      <c r="E937" s="11" t="n"/>
    </row>
    <row r="938" ht="14.25" customHeight="1" s="38">
      <c r="E938" s="11" t="n"/>
    </row>
    <row r="939" ht="14.25" customHeight="1" s="38">
      <c r="E939" s="11" t="n"/>
    </row>
    <row r="940" ht="14.25" customHeight="1" s="38">
      <c r="E940" s="11" t="n"/>
    </row>
    <row r="941" ht="14.25" customHeight="1" s="38">
      <c r="E941" s="11" t="n"/>
    </row>
    <row r="942" ht="14.25" customHeight="1" s="38">
      <c r="E942" s="11" t="n"/>
    </row>
    <row r="943" ht="14.25" customHeight="1" s="38">
      <c r="E943" s="11" t="n"/>
    </row>
    <row r="944" ht="14.25" customHeight="1" s="38">
      <c r="E944" s="11" t="n"/>
    </row>
    <row r="945" ht="14.25" customHeight="1" s="38">
      <c r="E945" s="11" t="n"/>
    </row>
    <row r="946" ht="14.25" customHeight="1" s="38">
      <c r="E946" s="11" t="n"/>
    </row>
    <row r="947" ht="14.25" customHeight="1" s="38">
      <c r="E947" s="11" t="n"/>
    </row>
    <row r="948" ht="14.25" customHeight="1" s="38">
      <c r="E948" s="11" t="n"/>
    </row>
    <row r="949" ht="14.25" customHeight="1" s="38">
      <c r="E949" s="11" t="n"/>
    </row>
    <row r="950" ht="14.25" customHeight="1" s="38">
      <c r="E950" s="11" t="n"/>
    </row>
    <row r="951" ht="14.25" customHeight="1" s="38">
      <c r="E951" s="11" t="n"/>
    </row>
    <row r="952" ht="14.25" customHeight="1" s="38">
      <c r="E952" s="11" t="n"/>
    </row>
    <row r="953" ht="14.25" customHeight="1" s="38">
      <c r="E953" s="11" t="n"/>
    </row>
    <row r="954" ht="14.25" customHeight="1" s="38">
      <c r="E954" s="11" t="n"/>
    </row>
    <row r="955" ht="14.25" customHeight="1" s="38">
      <c r="E955" s="11" t="n"/>
    </row>
    <row r="956" ht="14.25" customHeight="1" s="38">
      <c r="E956" s="11" t="n"/>
    </row>
    <row r="957" ht="14.25" customHeight="1" s="38">
      <c r="E957" s="11" t="n"/>
    </row>
    <row r="958" ht="14.25" customHeight="1" s="38">
      <c r="E958" s="11" t="n"/>
    </row>
    <row r="959" ht="14.25" customHeight="1" s="38">
      <c r="E959" s="11" t="n"/>
    </row>
    <row r="960" ht="14.25" customHeight="1" s="38">
      <c r="E960" s="11" t="n"/>
    </row>
    <row r="961" ht="14.25" customHeight="1" s="38">
      <c r="E961" s="11" t="n"/>
    </row>
    <row r="962" ht="14.25" customHeight="1" s="38">
      <c r="E962" s="11" t="n"/>
    </row>
    <row r="963" ht="14.25" customHeight="1" s="38">
      <c r="E963" s="11" t="n"/>
    </row>
    <row r="964" ht="14.25" customHeight="1" s="38">
      <c r="E964" s="11" t="n"/>
    </row>
    <row r="965" ht="14.25" customHeight="1" s="38">
      <c r="E965" s="11" t="n"/>
    </row>
    <row r="966" ht="14.25" customHeight="1" s="38">
      <c r="E966" s="11" t="n"/>
    </row>
    <row r="967" ht="14.25" customHeight="1" s="38">
      <c r="E967" s="11" t="n"/>
    </row>
    <row r="968" ht="14.25" customHeight="1" s="38">
      <c r="E968" s="11" t="n"/>
    </row>
    <row r="969" ht="14.25" customHeight="1" s="38">
      <c r="E969" s="11" t="n"/>
    </row>
    <row r="970" ht="14.25" customHeight="1" s="38">
      <c r="E970" s="11" t="n"/>
    </row>
    <row r="971" ht="14.25" customHeight="1" s="38">
      <c r="E971" s="11" t="n"/>
    </row>
    <row r="972" ht="14.25" customHeight="1" s="38">
      <c r="E972" s="11" t="n"/>
    </row>
    <row r="973" ht="14.25" customHeight="1" s="38">
      <c r="E973" s="11" t="n"/>
    </row>
    <row r="974" ht="14.25" customHeight="1" s="38">
      <c r="E974" s="11" t="n"/>
    </row>
    <row r="975" ht="14.25" customHeight="1" s="38">
      <c r="E975" s="11" t="n"/>
    </row>
    <row r="976" ht="14.25" customHeight="1" s="38">
      <c r="E976" s="11" t="n"/>
    </row>
    <row r="977" ht="14.25" customHeight="1" s="38">
      <c r="E977" s="11" t="n"/>
    </row>
    <row r="978" ht="14.25" customHeight="1" s="38">
      <c r="E978" s="11" t="n"/>
    </row>
    <row r="979" ht="14.25" customHeight="1" s="38">
      <c r="E979" s="11" t="n"/>
    </row>
    <row r="980" ht="14.25" customHeight="1" s="38">
      <c r="E980" s="11" t="n"/>
    </row>
    <row r="981" ht="14.25" customHeight="1" s="38">
      <c r="E981" s="11" t="n"/>
    </row>
    <row r="982" ht="14.25" customHeight="1" s="38">
      <c r="E982" s="11" t="n"/>
    </row>
    <row r="983" ht="14.25" customHeight="1" s="38">
      <c r="E983" s="11" t="n"/>
    </row>
    <row r="984" ht="14.25" customHeight="1" s="38">
      <c r="E984" s="11" t="n"/>
    </row>
    <row r="985" ht="14.25" customHeight="1" s="38">
      <c r="E985" s="11" t="n"/>
    </row>
    <row r="986" ht="14.25" customHeight="1" s="38">
      <c r="E986" s="11" t="n"/>
    </row>
    <row r="987" ht="14.25" customHeight="1" s="38">
      <c r="E987" s="11" t="n"/>
    </row>
    <row r="988" ht="14.25" customHeight="1" s="38">
      <c r="E988" s="11" t="n"/>
    </row>
    <row r="989" ht="14.25" customHeight="1" s="38">
      <c r="E989" s="11" t="n"/>
    </row>
    <row r="990" ht="14.25" customHeight="1" s="38">
      <c r="E990" s="11" t="n"/>
    </row>
    <row r="991" ht="14.25" customHeight="1" s="38">
      <c r="E991" s="11" t="n"/>
    </row>
    <row r="992" ht="14.25" customHeight="1" s="38">
      <c r="E992" s="11" t="n"/>
    </row>
    <row r="993" ht="14.25" customHeight="1" s="38">
      <c r="E993" s="11" t="n"/>
    </row>
    <row r="994" ht="14.25" customHeight="1" s="38">
      <c r="E994" s="11" t="n"/>
    </row>
    <row r="995" ht="14.25" customHeight="1" s="38">
      <c r="E995" s="11" t="n"/>
    </row>
    <row r="996" ht="14.25" customHeight="1" s="38">
      <c r="E996" s="11" t="n"/>
    </row>
    <row r="997" ht="14.25" customHeight="1" s="38">
      <c r="E997" s="11" t="n"/>
    </row>
    <row r="998" ht="14.25" customHeight="1" s="38">
      <c r="E998" s="11" t="n"/>
    </row>
    <row r="999" ht="14.25" customHeight="1" s="38">
      <c r="E999" s="11" t="n"/>
    </row>
    <row r="1000" ht="14.25" customHeight="1" s="38">
      <c r="E1000" s="11" t="n"/>
    </row>
    <row r="1001" ht="14.25" customHeight="1" s="38">
      <c r="E1001" s="11" t="n"/>
    </row>
  </sheetData>
  <autoFilter ref="$A$1:$F$1001"/>
  <dataValidations count="1">
    <dataValidation sqref="E2:E1001" showDropDown="0" showInputMessage="0" showErrorMessage="0" allowBlank="1" type="list">
      <formula1>LIST!$G$2:$G$4</formula1>
    </dataValidation>
  </dataValidations>
  <pageMargins left="0.25" right="0.25" top="0.35" bottom="0.35" header="0" footer="0"/>
  <pageSetup orientation="landscape" paperSize="9" fitToHeight="0"/>
  <headerFooter>
    <oddHeader/>
    <oddFooter>&amp;CParoki St. Klement I Sepinggan Balikpapan • Statistik 2026&amp;RHalaman &amp;P dari 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2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38" min="1" max="1"/>
    <col width="28" customWidth="1" style="38" min="2" max="2"/>
    <col width="22" customWidth="1" style="38" min="3" max="3"/>
    <col width="18" customWidth="1" style="38" min="4" max="5"/>
    <col width="30" customWidth="1" style="38" min="6" max="6"/>
    <col width="9" customWidth="1" style="38" min="7" max="26"/>
  </cols>
  <sheetData>
    <row r="1" ht="14.25" customHeight="1" s="38">
      <c r="A1" s="7" t="inlineStr">
        <is>
          <t>ID Umat</t>
        </is>
      </c>
      <c r="B1" s="7" t="inlineStr">
        <is>
          <t>Nama</t>
        </is>
      </c>
      <c r="C1" s="7" t="inlineStr">
        <is>
          <t>Lingkungan</t>
        </is>
      </c>
      <c r="D1" s="7" t="inlineStr">
        <is>
          <t>Jenis Kelamin</t>
        </is>
      </c>
      <c r="E1" s="7" t="inlineStr">
        <is>
          <t>Tanggal Sakramen</t>
        </is>
      </c>
      <c r="F1" s="7" t="inlineStr">
        <is>
          <t>Keterangan</t>
        </is>
      </c>
    </row>
    <row r="2" ht="14.25" customHeight="1" s="38">
      <c r="A2" s="9" t="n"/>
      <c r="B2" s="9" t="n"/>
      <c r="C2" s="9" t="n"/>
      <c r="D2" s="9" t="n"/>
      <c r="E2" s="9" t="n"/>
      <c r="F2" s="9" t="n"/>
    </row>
    <row r="3" ht="14.25" customHeight="1" s="38">
      <c r="A3" s="9" t="n"/>
      <c r="B3" s="9" t="n"/>
      <c r="C3" s="9" t="n"/>
      <c r="D3" s="9" t="n"/>
      <c r="E3" s="9" t="n"/>
      <c r="F3" s="9" t="n"/>
    </row>
    <row r="4" ht="14.25" customHeight="1" s="38">
      <c r="A4" s="9" t="n"/>
      <c r="B4" s="9" t="n"/>
      <c r="C4" s="9" t="n"/>
      <c r="D4" s="9" t="n"/>
      <c r="E4" s="9" t="n"/>
      <c r="F4" s="9" t="n"/>
    </row>
    <row r="5" ht="14.25" customHeight="1" s="38">
      <c r="A5" s="9" t="n"/>
      <c r="B5" s="9" t="n"/>
      <c r="C5" s="9" t="n"/>
      <c r="D5" s="9" t="n"/>
      <c r="E5" s="9" t="n"/>
      <c r="F5" s="9" t="n"/>
    </row>
    <row r="6" ht="14.25" customHeight="1" s="38">
      <c r="A6" s="9" t="n"/>
      <c r="B6" s="9" t="n"/>
      <c r="C6" s="9" t="n"/>
      <c r="D6" s="9" t="n"/>
      <c r="E6" s="9" t="n"/>
      <c r="F6" s="9" t="n"/>
    </row>
    <row r="7" ht="14.25" customHeight="1" s="38">
      <c r="A7" s="9" t="n"/>
      <c r="B7" s="9" t="n"/>
      <c r="C7" s="9" t="n"/>
      <c r="D7" s="9" t="n"/>
      <c r="E7" s="9" t="n"/>
      <c r="F7" s="9" t="n"/>
    </row>
    <row r="8" ht="14.25" customHeight="1" s="38">
      <c r="A8" s="9" t="n"/>
      <c r="B8" s="9" t="n"/>
      <c r="C8" s="9" t="n"/>
      <c r="D8" s="9" t="n"/>
      <c r="E8" s="9" t="n"/>
      <c r="F8" s="9" t="n"/>
    </row>
    <row r="9" ht="14.25" customHeight="1" s="38">
      <c r="A9" s="9" t="n"/>
      <c r="B9" s="9" t="n"/>
      <c r="C9" s="9" t="n"/>
      <c r="D9" s="9" t="n"/>
      <c r="E9" s="9" t="n"/>
      <c r="F9" s="9" t="n"/>
    </row>
    <row r="10" ht="14.25" customHeight="1" s="38">
      <c r="A10" s="9" t="n"/>
      <c r="B10" s="9" t="n"/>
      <c r="C10" s="9" t="n"/>
      <c r="D10" s="9" t="n"/>
      <c r="E10" s="9" t="n"/>
      <c r="F10" s="9" t="n"/>
    </row>
    <row r="11" ht="14.25" customHeight="1" s="38">
      <c r="A11" s="9" t="n"/>
      <c r="B11" s="9" t="n"/>
      <c r="C11" s="9" t="n"/>
      <c r="D11" s="9" t="n"/>
      <c r="E11" s="9" t="n"/>
      <c r="F11" s="9" t="n"/>
    </row>
    <row r="12" ht="14.25" customHeight="1" s="38">
      <c r="A12" s="9" t="n"/>
      <c r="B12" s="9" t="n"/>
      <c r="C12" s="9" t="n"/>
      <c r="D12" s="9" t="n"/>
      <c r="E12" s="9" t="n"/>
      <c r="F12" s="9" t="n"/>
    </row>
    <row r="13" ht="14.25" customHeight="1" s="38">
      <c r="A13" s="9" t="n"/>
      <c r="B13" s="9" t="n"/>
      <c r="C13" s="9" t="n"/>
      <c r="D13" s="9" t="n"/>
      <c r="E13" s="9" t="n"/>
      <c r="F13" s="9" t="n"/>
    </row>
    <row r="14" ht="14.25" customHeight="1" s="38">
      <c r="A14" s="9" t="n"/>
      <c r="B14" s="9" t="n"/>
      <c r="C14" s="9" t="n"/>
      <c r="D14" s="9" t="n"/>
      <c r="E14" s="9" t="n"/>
      <c r="F14" s="9" t="n"/>
    </row>
    <row r="15" ht="14.25" customHeight="1" s="38">
      <c r="A15" s="9" t="n"/>
      <c r="B15" s="9" t="n"/>
      <c r="C15" s="9" t="n"/>
      <c r="D15" s="9" t="n"/>
      <c r="E15" s="9" t="n"/>
      <c r="F15" s="9" t="n"/>
    </row>
    <row r="16" ht="14.25" customHeight="1" s="38">
      <c r="A16" s="9" t="n"/>
      <c r="B16" s="9" t="n"/>
      <c r="C16" s="9" t="n"/>
      <c r="D16" s="9" t="n"/>
      <c r="E16" s="9" t="n"/>
      <c r="F16" s="9" t="n"/>
    </row>
    <row r="17" ht="14.25" customHeight="1" s="38">
      <c r="A17" s="9" t="n"/>
      <c r="B17" s="9" t="n"/>
      <c r="C17" s="9" t="n"/>
      <c r="D17" s="9" t="n"/>
      <c r="E17" s="9" t="n"/>
      <c r="F17" s="9" t="n"/>
    </row>
    <row r="18" ht="14.25" customHeight="1" s="38">
      <c r="A18" s="9" t="n"/>
      <c r="B18" s="9" t="n"/>
      <c r="C18" s="9" t="n"/>
      <c r="D18" s="9" t="n"/>
      <c r="E18" s="9" t="n"/>
      <c r="F18" s="9" t="n"/>
    </row>
    <row r="19" ht="14.25" customHeight="1" s="38">
      <c r="A19" s="9" t="n"/>
      <c r="B19" s="9" t="n"/>
      <c r="C19" s="9" t="n"/>
      <c r="D19" s="9" t="n"/>
      <c r="E19" s="9" t="n"/>
      <c r="F19" s="9" t="n"/>
    </row>
    <row r="20" ht="14.25" customHeight="1" s="38">
      <c r="A20" s="9" t="n"/>
      <c r="B20" s="9" t="n"/>
      <c r="C20" s="9" t="n"/>
      <c r="D20" s="9" t="n"/>
      <c r="E20" s="9" t="n"/>
      <c r="F20" s="9" t="n"/>
    </row>
    <row r="21" ht="14.25" customHeight="1" s="38">
      <c r="A21" s="9" t="n"/>
      <c r="B21" s="9" t="n"/>
      <c r="C21" s="9" t="n"/>
      <c r="D21" s="9" t="n"/>
      <c r="E21" s="9" t="n"/>
      <c r="F21" s="9" t="n"/>
    </row>
    <row r="22" ht="14.25" customHeight="1" s="38">
      <c r="A22" s="9" t="n"/>
      <c r="B22" s="9" t="n"/>
      <c r="C22" s="9" t="n"/>
      <c r="D22" s="9" t="n"/>
      <c r="E22" s="9" t="n"/>
      <c r="F22" s="9" t="n"/>
    </row>
    <row r="23" ht="14.25" customHeight="1" s="38">
      <c r="A23" s="9" t="n"/>
      <c r="B23" s="9" t="n"/>
      <c r="C23" s="9" t="n"/>
      <c r="D23" s="9" t="n"/>
      <c r="E23" s="9" t="n"/>
      <c r="F23" s="9" t="n"/>
    </row>
    <row r="24" ht="14.25" customHeight="1" s="38">
      <c r="A24" s="9" t="n"/>
      <c r="B24" s="9" t="n"/>
      <c r="C24" s="9" t="n"/>
      <c r="D24" s="9" t="n"/>
      <c r="E24" s="9" t="n"/>
      <c r="F24" s="9" t="n"/>
    </row>
    <row r="25" ht="14.25" customHeight="1" s="38">
      <c r="A25" s="9" t="n"/>
      <c r="B25" s="9" t="n"/>
      <c r="C25" s="9" t="n"/>
      <c r="D25" s="9" t="n"/>
      <c r="E25" s="9" t="n"/>
      <c r="F25" s="9" t="n"/>
    </row>
    <row r="26" ht="14.25" customHeight="1" s="38">
      <c r="A26" s="9" t="n"/>
      <c r="B26" s="9" t="n"/>
      <c r="C26" s="9" t="n"/>
      <c r="D26" s="9" t="n"/>
      <c r="E26" s="9" t="n"/>
      <c r="F26" s="9" t="n"/>
    </row>
    <row r="27" ht="14.25" customHeight="1" s="38">
      <c r="A27" s="9" t="n"/>
      <c r="B27" s="9" t="n"/>
      <c r="C27" s="9" t="n"/>
      <c r="D27" s="9" t="n"/>
      <c r="E27" s="9" t="n"/>
      <c r="F27" s="9" t="n"/>
    </row>
    <row r="28" ht="14.25" customHeight="1" s="38">
      <c r="A28" s="9" t="n"/>
      <c r="B28" s="9" t="n"/>
      <c r="C28" s="9" t="n"/>
      <c r="D28" s="9" t="n"/>
      <c r="E28" s="9" t="n"/>
      <c r="F28" s="9" t="n"/>
    </row>
    <row r="29" ht="14.25" customHeight="1" s="38">
      <c r="A29" s="9" t="n"/>
      <c r="B29" s="9" t="n"/>
      <c r="C29" s="9" t="n"/>
      <c r="D29" s="9" t="n"/>
      <c r="E29" s="9" t="n"/>
      <c r="F29" s="9" t="n"/>
    </row>
    <row r="30" ht="14.25" customHeight="1" s="38">
      <c r="A30" s="9" t="n"/>
      <c r="B30" s="9" t="n"/>
      <c r="C30" s="9" t="n"/>
      <c r="D30" s="9" t="n"/>
      <c r="E30" s="9" t="n"/>
      <c r="F30" s="9" t="n"/>
    </row>
    <row r="31" ht="14.25" customHeight="1" s="38">
      <c r="A31" s="9" t="n"/>
      <c r="B31" s="9" t="n"/>
      <c r="C31" s="9" t="n"/>
      <c r="D31" s="9" t="n"/>
      <c r="E31" s="9" t="n"/>
      <c r="F31" s="9" t="n"/>
    </row>
    <row r="32" ht="14.25" customHeight="1" s="38">
      <c r="A32" s="9" t="n"/>
      <c r="B32" s="9" t="n"/>
      <c r="C32" s="9" t="n"/>
      <c r="D32" s="9" t="n"/>
      <c r="E32" s="9" t="n"/>
      <c r="F32" s="9" t="n"/>
    </row>
    <row r="33" ht="14.25" customHeight="1" s="38">
      <c r="A33" s="9" t="n"/>
      <c r="B33" s="9" t="n"/>
      <c r="C33" s="9" t="n"/>
      <c r="D33" s="9" t="n"/>
      <c r="E33" s="9" t="n"/>
      <c r="F33" s="9" t="n"/>
    </row>
    <row r="34" ht="14.25" customHeight="1" s="38">
      <c r="A34" s="9" t="n"/>
      <c r="B34" s="9" t="n"/>
      <c r="C34" s="9" t="n"/>
      <c r="D34" s="9" t="n"/>
      <c r="E34" s="9" t="n"/>
      <c r="F34" s="9" t="n"/>
    </row>
    <row r="35" ht="14.25" customHeight="1" s="38">
      <c r="A35" s="9" t="n"/>
      <c r="B35" s="9" t="n"/>
      <c r="C35" s="9" t="n"/>
      <c r="D35" s="9" t="n"/>
      <c r="E35" s="9" t="n"/>
      <c r="F35" s="9" t="n"/>
    </row>
    <row r="36" ht="14.25" customHeight="1" s="38">
      <c r="A36" s="9" t="n"/>
      <c r="B36" s="9" t="n"/>
      <c r="C36" s="9" t="n"/>
      <c r="D36" s="9" t="n"/>
      <c r="E36" s="9" t="n"/>
      <c r="F36" s="9" t="n"/>
    </row>
    <row r="37" ht="14.25" customHeight="1" s="38">
      <c r="A37" s="9" t="n"/>
      <c r="B37" s="9" t="n"/>
      <c r="C37" s="9" t="n"/>
      <c r="D37" s="9" t="n"/>
      <c r="E37" s="9" t="n"/>
      <c r="F37" s="9" t="n"/>
    </row>
    <row r="38" ht="14.25" customHeight="1" s="38">
      <c r="A38" s="9" t="n"/>
      <c r="B38" s="9" t="n"/>
      <c r="C38" s="9" t="n"/>
      <c r="D38" s="9" t="n"/>
      <c r="E38" s="9" t="n"/>
      <c r="F38" s="9" t="n"/>
    </row>
    <row r="39" ht="14.25" customHeight="1" s="38">
      <c r="A39" s="9" t="n"/>
      <c r="B39" s="9" t="n"/>
      <c r="C39" s="9" t="n"/>
      <c r="D39" s="9" t="n"/>
      <c r="E39" s="9" t="n"/>
      <c r="F39" s="9" t="n"/>
    </row>
    <row r="40" ht="14.25" customHeight="1" s="38">
      <c r="A40" s="9" t="n"/>
      <c r="B40" s="9" t="n"/>
      <c r="C40" s="9" t="n"/>
      <c r="D40" s="9" t="n"/>
      <c r="E40" s="9" t="n"/>
      <c r="F40" s="9" t="n"/>
    </row>
    <row r="41" ht="14.25" customHeight="1" s="38">
      <c r="A41" s="9" t="n"/>
      <c r="B41" s="9" t="n"/>
      <c r="C41" s="9" t="n"/>
      <c r="D41" s="9" t="n"/>
      <c r="E41" s="9" t="n"/>
      <c r="F41" s="9" t="n"/>
    </row>
    <row r="42" ht="14.25" customHeight="1" s="38">
      <c r="A42" s="9" t="n"/>
      <c r="B42" s="9" t="n"/>
      <c r="C42" s="9" t="n"/>
      <c r="D42" s="9" t="n"/>
      <c r="E42" s="9" t="n"/>
      <c r="F42" s="9" t="n"/>
    </row>
    <row r="43" ht="14.25" customHeight="1" s="38">
      <c r="A43" s="9" t="n"/>
      <c r="B43" s="9" t="n"/>
      <c r="C43" s="9" t="n"/>
      <c r="D43" s="9" t="n"/>
      <c r="E43" s="9" t="n"/>
      <c r="F43" s="9" t="n"/>
    </row>
    <row r="44" ht="14.25" customHeight="1" s="38">
      <c r="A44" s="9" t="n"/>
      <c r="B44" s="9" t="n"/>
      <c r="C44" s="9" t="n"/>
      <c r="D44" s="9" t="n"/>
      <c r="E44" s="9" t="n"/>
      <c r="F44" s="9" t="n"/>
    </row>
    <row r="45" ht="14.25" customHeight="1" s="38">
      <c r="A45" s="9" t="n"/>
      <c r="B45" s="9" t="n"/>
      <c r="C45" s="9" t="n"/>
      <c r="D45" s="9" t="n"/>
      <c r="E45" s="9" t="n"/>
      <c r="F45" s="9" t="n"/>
    </row>
    <row r="46" ht="14.25" customHeight="1" s="38">
      <c r="A46" s="9" t="n"/>
      <c r="B46" s="9" t="n"/>
      <c r="C46" s="9" t="n"/>
      <c r="D46" s="9" t="n"/>
      <c r="E46" s="9" t="n"/>
      <c r="F46" s="9" t="n"/>
    </row>
    <row r="47" ht="14.25" customHeight="1" s="38">
      <c r="A47" s="9" t="n"/>
      <c r="B47" s="9" t="n"/>
      <c r="C47" s="9" t="n"/>
      <c r="D47" s="9" t="n"/>
      <c r="E47" s="9" t="n"/>
      <c r="F47" s="9" t="n"/>
    </row>
    <row r="48" ht="14.25" customHeight="1" s="38">
      <c r="A48" s="9" t="n"/>
      <c r="B48" s="9" t="n"/>
      <c r="C48" s="9" t="n"/>
      <c r="D48" s="9" t="n"/>
      <c r="E48" s="9" t="n"/>
      <c r="F48" s="9" t="n"/>
    </row>
    <row r="49" ht="14.25" customHeight="1" s="38">
      <c r="A49" s="9" t="n"/>
      <c r="B49" s="9" t="n"/>
      <c r="C49" s="9" t="n"/>
      <c r="D49" s="9" t="n"/>
      <c r="E49" s="9" t="n"/>
      <c r="F49" s="9" t="n"/>
    </row>
    <row r="50" ht="14.25" customHeight="1" s="38">
      <c r="A50" s="9" t="n"/>
      <c r="B50" s="9" t="n"/>
      <c r="C50" s="9" t="n"/>
      <c r="D50" s="9" t="n"/>
      <c r="E50" s="9" t="n"/>
      <c r="F50" s="9" t="n"/>
    </row>
    <row r="51" ht="14.25" customHeight="1" s="38">
      <c r="A51" s="9" t="n"/>
      <c r="B51" s="9" t="n"/>
      <c r="C51" s="9" t="n"/>
      <c r="D51" s="9" t="n"/>
      <c r="E51" s="9" t="n"/>
      <c r="F51" s="9" t="n"/>
    </row>
    <row r="52" ht="14.25" customHeight="1" s="38">
      <c r="A52" s="9" t="n"/>
      <c r="B52" s="9" t="n"/>
      <c r="C52" s="9" t="n"/>
      <c r="D52" s="9" t="n"/>
      <c r="E52" s="9" t="n"/>
      <c r="F52" s="9" t="n"/>
    </row>
    <row r="53" ht="14.25" customHeight="1" s="38">
      <c r="A53" s="9" t="n"/>
      <c r="B53" s="9" t="n"/>
      <c r="C53" s="9" t="n"/>
      <c r="D53" s="9" t="n"/>
      <c r="E53" s="9" t="n"/>
      <c r="F53" s="9" t="n"/>
    </row>
    <row r="54" ht="14.25" customHeight="1" s="38">
      <c r="A54" s="9" t="n"/>
      <c r="B54" s="9" t="n"/>
      <c r="C54" s="9" t="n"/>
      <c r="D54" s="9" t="n"/>
      <c r="E54" s="9" t="n"/>
      <c r="F54" s="9" t="n"/>
    </row>
    <row r="55" ht="14.25" customHeight="1" s="38">
      <c r="A55" s="9" t="n"/>
      <c r="B55" s="9" t="n"/>
      <c r="C55" s="9" t="n"/>
      <c r="D55" s="9" t="n"/>
      <c r="E55" s="9" t="n"/>
      <c r="F55" s="9" t="n"/>
    </row>
    <row r="56" ht="14.25" customHeight="1" s="38">
      <c r="A56" s="9" t="n"/>
      <c r="B56" s="9" t="n"/>
      <c r="C56" s="9" t="n"/>
      <c r="D56" s="9" t="n"/>
      <c r="E56" s="9" t="n"/>
      <c r="F56" s="9" t="n"/>
    </row>
    <row r="57" ht="14.25" customHeight="1" s="38">
      <c r="A57" s="9" t="n"/>
      <c r="B57" s="9" t="n"/>
      <c r="C57" s="9" t="n"/>
      <c r="D57" s="9" t="n"/>
      <c r="E57" s="9" t="n"/>
      <c r="F57" s="9" t="n"/>
    </row>
    <row r="58" ht="14.25" customHeight="1" s="38">
      <c r="A58" s="9" t="n"/>
      <c r="B58" s="9" t="n"/>
      <c r="C58" s="9" t="n"/>
      <c r="D58" s="9" t="n"/>
      <c r="E58" s="9" t="n"/>
      <c r="F58" s="9" t="n"/>
    </row>
    <row r="59" ht="14.25" customHeight="1" s="38">
      <c r="A59" s="9" t="n"/>
      <c r="B59" s="9" t="n"/>
      <c r="C59" s="9" t="n"/>
      <c r="D59" s="9" t="n"/>
      <c r="E59" s="9" t="n"/>
      <c r="F59" s="9" t="n"/>
    </row>
    <row r="60" ht="14.25" customHeight="1" s="38">
      <c r="A60" s="9" t="n"/>
      <c r="B60" s="9" t="n"/>
      <c r="C60" s="9" t="n"/>
      <c r="D60" s="9" t="n"/>
      <c r="E60" s="9" t="n"/>
      <c r="F60" s="9" t="n"/>
    </row>
    <row r="61" ht="14.25" customHeight="1" s="38">
      <c r="A61" s="9" t="n"/>
      <c r="B61" s="9" t="n"/>
      <c r="C61" s="9" t="n"/>
      <c r="D61" s="9" t="n"/>
      <c r="E61" s="9" t="n"/>
      <c r="F61" s="9" t="n"/>
    </row>
    <row r="62" ht="14.25" customHeight="1" s="38">
      <c r="A62" s="9" t="n"/>
      <c r="B62" s="9" t="n"/>
      <c r="C62" s="9" t="n"/>
      <c r="D62" s="9" t="n"/>
      <c r="E62" s="9" t="n"/>
      <c r="F62" s="9" t="n"/>
    </row>
    <row r="63" ht="14.25" customHeight="1" s="38">
      <c r="A63" s="9" t="n"/>
      <c r="B63" s="9" t="n"/>
      <c r="C63" s="9" t="n"/>
      <c r="D63" s="9" t="n"/>
      <c r="E63" s="9" t="n"/>
      <c r="F63" s="9" t="n"/>
    </row>
    <row r="64" ht="14.25" customHeight="1" s="38">
      <c r="A64" s="9" t="n"/>
      <c r="B64" s="9" t="n"/>
      <c r="C64" s="9" t="n"/>
      <c r="D64" s="9" t="n"/>
      <c r="E64" s="9" t="n"/>
      <c r="F64" s="9" t="n"/>
    </row>
    <row r="65" ht="14.25" customHeight="1" s="38">
      <c r="A65" s="9" t="n"/>
      <c r="B65" s="9" t="n"/>
      <c r="C65" s="9" t="n"/>
      <c r="D65" s="9" t="n"/>
      <c r="E65" s="9" t="n"/>
      <c r="F65" s="9" t="n"/>
    </row>
    <row r="66" ht="14.25" customHeight="1" s="38">
      <c r="A66" s="9" t="n"/>
      <c r="B66" s="9" t="n"/>
      <c r="C66" s="9" t="n"/>
      <c r="D66" s="9" t="n"/>
      <c r="E66" s="9" t="n"/>
      <c r="F66" s="9" t="n"/>
    </row>
    <row r="67" ht="14.25" customHeight="1" s="38">
      <c r="A67" s="9" t="n"/>
      <c r="B67" s="9" t="n"/>
      <c r="C67" s="9" t="n"/>
      <c r="D67" s="9" t="n"/>
      <c r="E67" s="9" t="n"/>
      <c r="F67" s="9" t="n"/>
    </row>
    <row r="68" ht="14.25" customHeight="1" s="38">
      <c r="A68" s="9" t="n"/>
      <c r="B68" s="9" t="n"/>
      <c r="C68" s="9" t="n"/>
      <c r="D68" s="9" t="n"/>
      <c r="E68" s="9" t="n"/>
      <c r="F68" s="9" t="n"/>
    </row>
    <row r="69" ht="14.25" customHeight="1" s="38">
      <c r="A69" s="9" t="n"/>
      <c r="B69" s="9" t="n"/>
      <c r="C69" s="9" t="n"/>
      <c r="D69" s="9" t="n"/>
      <c r="E69" s="9" t="n"/>
      <c r="F69" s="9" t="n"/>
    </row>
    <row r="70" ht="14.25" customHeight="1" s="38">
      <c r="A70" s="9" t="n"/>
      <c r="B70" s="9" t="n"/>
      <c r="C70" s="9" t="n"/>
      <c r="D70" s="9" t="n"/>
      <c r="E70" s="9" t="n"/>
      <c r="F70" s="9" t="n"/>
    </row>
    <row r="71" ht="14.25" customHeight="1" s="38">
      <c r="A71" s="9" t="n"/>
      <c r="B71" s="9" t="n"/>
      <c r="C71" s="9" t="n"/>
      <c r="D71" s="9" t="n"/>
      <c r="E71" s="9" t="n"/>
      <c r="F71" s="9" t="n"/>
    </row>
    <row r="72" ht="14.25" customHeight="1" s="38">
      <c r="A72" s="9" t="n"/>
      <c r="B72" s="9" t="n"/>
      <c r="C72" s="9" t="n"/>
      <c r="D72" s="9" t="n"/>
      <c r="E72" s="9" t="n"/>
      <c r="F72" s="9" t="n"/>
    </row>
    <row r="73" ht="14.25" customHeight="1" s="38">
      <c r="A73" s="9" t="n"/>
      <c r="B73" s="9" t="n"/>
      <c r="C73" s="9" t="n"/>
      <c r="D73" s="9" t="n"/>
      <c r="E73" s="9" t="n"/>
      <c r="F73" s="9" t="n"/>
    </row>
    <row r="74" ht="14.25" customHeight="1" s="38">
      <c r="A74" s="9" t="n"/>
      <c r="B74" s="9" t="n"/>
      <c r="C74" s="9" t="n"/>
      <c r="D74" s="9" t="n"/>
      <c r="E74" s="9" t="n"/>
      <c r="F74" s="9" t="n"/>
    </row>
    <row r="75" ht="14.25" customHeight="1" s="38">
      <c r="A75" s="9" t="n"/>
      <c r="B75" s="9" t="n"/>
      <c r="C75" s="9" t="n"/>
      <c r="D75" s="9" t="n"/>
      <c r="E75" s="9" t="n"/>
      <c r="F75" s="9" t="n"/>
    </row>
    <row r="76" ht="14.25" customHeight="1" s="38">
      <c r="A76" s="9" t="n"/>
      <c r="B76" s="9" t="n"/>
      <c r="C76" s="9" t="n"/>
      <c r="D76" s="9" t="n"/>
      <c r="E76" s="9" t="n"/>
      <c r="F76" s="9" t="n"/>
    </row>
    <row r="77" ht="14.25" customHeight="1" s="38">
      <c r="A77" s="9" t="n"/>
      <c r="B77" s="9" t="n"/>
      <c r="C77" s="9" t="n"/>
      <c r="D77" s="9" t="n"/>
      <c r="E77" s="9" t="n"/>
      <c r="F77" s="9" t="n"/>
    </row>
    <row r="78" ht="14.25" customHeight="1" s="38">
      <c r="A78" s="9" t="n"/>
      <c r="B78" s="9" t="n"/>
      <c r="C78" s="9" t="n"/>
      <c r="D78" s="9" t="n"/>
      <c r="E78" s="9" t="n"/>
      <c r="F78" s="9" t="n"/>
    </row>
    <row r="79" ht="14.25" customHeight="1" s="38">
      <c r="A79" s="9" t="n"/>
      <c r="B79" s="9" t="n"/>
      <c r="C79" s="9" t="n"/>
      <c r="D79" s="9" t="n"/>
      <c r="E79" s="9" t="n"/>
      <c r="F79" s="9" t="n"/>
    </row>
    <row r="80" ht="14.25" customHeight="1" s="38">
      <c r="A80" s="9" t="n"/>
      <c r="B80" s="9" t="n"/>
      <c r="C80" s="9" t="n"/>
      <c r="D80" s="9" t="n"/>
      <c r="E80" s="9" t="n"/>
      <c r="F80" s="9" t="n"/>
    </row>
    <row r="81" ht="14.25" customHeight="1" s="38">
      <c r="A81" s="9" t="n"/>
      <c r="B81" s="9" t="n"/>
      <c r="C81" s="9" t="n"/>
      <c r="D81" s="9" t="n"/>
      <c r="E81" s="9" t="n"/>
      <c r="F81" s="9" t="n"/>
    </row>
    <row r="82" ht="14.25" customHeight="1" s="38">
      <c r="A82" s="9" t="n"/>
      <c r="B82" s="9" t="n"/>
      <c r="C82" s="9" t="n"/>
      <c r="D82" s="9" t="n"/>
      <c r="E82" s="9" t="n"/>
      <c r="F82" s="9" t="n"/>
    </row>
    <row r="83" ht="14.25" customHeight="1" s="38">
      <c r="A83" s="9" t="n"/>
      <c r="B83" s="9" t="n"/>
      <c r="C83" s="9" t="n"/>
      <c r="D83" s="9" t="n"/>
      <c r="E83" s="9" t="n"/>
      <c r="F83" s="9" t="n"/>
    </row>
    <row r="84" ht="14.25" customHeight="1" s="38">
      <c r="A84" s="9" t="n"/>
      <c r="B84" s="9" t="n"/>
      <c r="C84" s="9" t="n"/>
      <c r="D84" s="9" t="n"/>
      <c r="E84" s="9" t="n"/>
      <c r="F84" s="9" t="n"/>
    </row>
    <row r="85" ht="14.25" customHeight="1" s="38">
      <c r="A85" s="9" t="n"/>
      <c r="B85" s="9" t="n"/>
      <c r="C85" s="9" t="n"/>
      <c r="D85" s="9" t="n"/>
      <c r="E85" s="9" t="n"/>
      <c r="F85" s="9" t="n"/>
    </row>
    <row r="86" ht="14.25" customHeight="1" s="38">
      <c r="A86" s="9" t="n"/>
      <c r="B86" s="9" t="n"/>
      <c r="C86" s="9" t="n"/>
      <c r="D86" s="9" t="n"/>
      <c r="E86" s="9" t="n"/>
      <c r="F86" s="9" t="n"/>
    </row>
    <row r="87" ht="14.25" customHeight="1" s="38">
      <c r="A87" s="9" t="n"/>
      <c r="B87" s="9" t="n"/>
      <c r="C87" s="9" t="n"/>
      <c r="D87" s="9" t="n"/>
      <c r="E87" s="9" t="n"/>
      <c r="F87" s="9" t="n"/>
    </row>
    <row r="88" ht="14.25" customHeight="1" s="38">
      <c r="A88" s="9" t="n"/>
      <c r="B88" s="9" t="n"/>
      <c r="C88" s="9" t="n"/>
      <c r="D88" s="9" t="n"/>
      <c r="E88" s="9" t="n"/>
      <c r="F88" s="9" t="n"/>
    </row>
    <row r="89" ht="14.25" customHeight="1" s="38">
      <c r="A89" s="9" t="n"/>
      <c r="B89" s="9" t="n"/>
      <c r="C89" s="9" t="n"/>
      <c r="D89" s="9" t="n"/>
      <c r="E89" s="9" t="n"/>
      <c r="F89" s="9" t="n"/>
    </row>
    <row r="90" ht="14.25" customHeight="1" s="38">
      <c r="A90" s="9" t="n"/>
      <c r="B90" s="9" t="n"/>
      <c r="C90" s="9" t="n"/>
      <c r="D90" s="9" t="n"/>
      <c r="E90" s="9" t="n"/>
      <c r="F90" s="9" t="n"/>
    </row>
    <row r="91" ht="14.25" customHeight="1" s="38">
      <c r="A91" s="9" t="n"/>
      <c r="B91" s="9" t="n"/>
      <c r="C91" s="9" t="n"/>
      <c r="D91" s="9" t="n"/>
      <c r="E91" s="9" t="n"/>
      <c r="F91" s="9" t="n"/>
    </row>
    <row r="92" ht="14.25" customHeight="1" s="38">
      <c r="A92" s="9" t="n"/>
      <c r="B92" s="9" t="n"/>
      <c r="C92" s="9" t="n"/>
      <c r="D92" s="9" t="n"/>
      <c r="E92" s="9" t="n"/>
      <c r="F92" s="9" t="n"/>
    </row>
    <row r="93" ht="14.25" customHeight="1" s="38">
      <c r="A93" s="9" t="n"/>
      <c r="B93" s="9" t="n"/>
      <c r="C93" s="9" t="n"/>
      <c r="D93" s="9" t="n"/>
      <c r="E93" s="9" t="n"/>
      <c r="F93" s="9" t="n"/>
    </row>
    <row r="94" ht="14.25" customHeight="1" s="38">
      <c r="A94" s="9" t="n"/>
      <c r="B94" s="9" t="n"/>
      <c r="C94" s="9" t="n"/>
      <c r="D94" s="9" t="n"/>
      <c r="E94" s="9" t="n"/>
      <c r="F94" s="9" t="n"/>
    </row>
    <row r="95" ht="14.25" customHeight="1" s="38">
      <c r="A95" s="9" t="n"/>
      <c r="B95" s="9" t="n"/>
      <c r="C95" s="9" t="n"/>
      <c r="D95" s="9" t="n"/>
      <c r="E95" s="9" t="n"/>
      <c r="F95" s="9" t="n"/>
    </row>
    <row r="96" ht="14.25" customHeight="1" s="38">
      <c r="A96" s="9" t="n"/>
      <c r="B96" s="9" t="n"/>
      <c r="C96" s="9" t="n"/>
      <c r="D96" s="9" t="n"/>
      <c r="E96" s="9" t="n"/>
      <c r="F96" s="9" t="n"/>
    </row>
    <row r="97" ht="14.25" customHeight="1" s="38">
      <c r="A97" s="9" t="n"/>
      <c r="B97" s="9" t="n"/>
      <c r="C97" s="9" t="n"/>
      <c r="D97" s="9" t="n"/>
      <c r="E97" s="9" t="n"/>
      <c r="F97" s="9" t="n"/>
    </row>
    <row r="98" ht="14.25" customHeight="1" s="38">
      <c r="A98" s="9" t="n"/>
      <c r="B98" s="9" t="n"/>
      <c r="C98" s="9" t="n"/>
      <c r="D98" s="9" t="n"/>
      <c r="E98" s="9" t="n"/>
      <c r="F98" s="9" t="n"/>
    </row>
    <row r="99" ht="14.25" customHeight="1" s="38">
      <c r="A99" s="9" t="n"/>
      <c r="B99" s="9" t="n"/>
      <c r="C99" s="9" t="n"/>
      <c r="D99" s="9" t="n"/>
      <c r="E99" s="9" t="n"/>
      <c r="F99" s="9" t="n"/>
    </row>
    <row r="100" ht="14.25" customHeight="1" s="38">
      <c r="A100" s="9" t="n"/>
      <c r="B100" s="9" t="n"/>
      <c r="C100" s="9" t="n"/>
      <c r="D100" s="9" t="n"/>
      <c r="E100" s="9" t="n"/>
      <c r="F100" s="9" t="n"/>
    </row>
    <row r="101" ht="14.25" customHeight="1" s="38">
      <c r="A101" s="9" t="n"/>
      <c r="B101" s="9" t="n"/>
      <c r="C101" s="9" t="n"/>
      <c r="D101" s="9" t="n"/>
      <c r="E101" s="9" t="n"/>
      <c r="F101" s="9" t="n"/>
    </row>
    <row r="102" ht="14.25" customHeight="1" s="38">
      <c r="A102" s="9" t="n"/>
      <c r="B102" s="9" t="n"/>
      <c r="C102" s="9" t="n"/>
      <c r="D102" s="9" t="n"/>
      <c r="E102" s="9" t="n"/>
      <c r="F102" s="9" t="n"/>
    </row>
    <row r="103" ht="14.25" customHeight="1" s="38">
      <c r="A103" s="9" t="n"/>
      <c r="B103" s="9" t="n"/>
      <c r="C103" s="9" t="n"/>
      <c r="D103" s="9" t="n"/>
      <c r="E103" s="9" t="n"/>
      <c r="F103" s="9" t="n"/>
    </row>
    <row r="104" ht="14.25" customHeight="1" s="38">
      <c r="A104" s="9" t="n"/>
      <c r="B104" s="9" t="n"/>
      <c r="C104" s="9" t="n"/>
      <c r="D104" s="9" t="n"/>
      <c r="E104" s="9" t="n"/>
      <c r="F104" s="9" t="n"/>
    </row>
    <row r="105" ht="14.25" customHeight="1" s="38">
      <c r="A105" s="9" t="n"/>
      <c r="B105" s="9" t="n"/>
      <c r="C105" s="9" t="n"/>
      <c r="D105" s="9" t="n"/>
      <c r="E105" s="9" t="n"/>
      <c r="F105" s="9" t="n"/>
    </row>
    <row r="106" ht="14.25" customHeight="1" s="38">
      <c r="A106" s="9" t="n"/>
      <c r="B106" s="9" t="n"/>
      <c r="C106" s="9" t="n"/>
      <c r="D106" s="9" t="n"/>
      <c r="E106" s="9" t="n"/>
      <c r="F106" s="9" t="n"/>
    </row>
    <row r="107" ht="14.25" customHeight="1" s="38">
      <c r="A107" s="9" t="n"/>
      <c r="B107" s="9" t="n"/>
      <c r="C107" s="9" t="n"/>
      <c r="D107" s="9" t="n"/>
      <c r="E107" s="9" t="n"/>
      <c r="F107" s="9" t="n"/>
    </row>
    <row r="108" ht="14.25" customHeight="1" s="38">
      <c r="A108" s="9" t="n"/>
      <c r="B108" s="9" t="n"/>
      <c r="C108" s="9" t="n"/>
      <c r="D108" s="9" t="n"/>
      <c r="E108" s="9" t="n"/>
      <c r="F108" s="9" t="n"/>
    </row>
    <row r="109" ht="14.25" customHeight="1" s="38">
      <c r="A109" s="9" t="n"/>
      <c r="B109" s="9" t="n"/>
      <c r="C109" s="9" t="n"/>
      <c r="D109" s="9" t="n"/>
      <c r="E109" s="9" t="n"/>
      <c r="F109" s="9" t="n"/>
    </row>
    <row r="110" ht="14.25" customHeight="1" s="38">
      <c r="A110" s="9" t="n"/>
      <c r="B110" s="9" t="n"/>
      <c r="C110" s="9" t="n"/>
      <c r="D110" s="9" t="n"/>
      <c r="E110" s="9" t="n"/>
      <c r="F110" s="9" t="n"/>
    </row>
    <row r="111" ht="14.25" customHeight="1" s="38">
      <c r="A111" s="9" t="n"/>
      <c r="B111" s="9" t="n"/>
      <c r="C111" s="9" t="n"/>
      <c r="D111" s="9" t="n"/>
      <c r="E111" s="9" t="n"/>
      <c r="F111" s="9" t="n"/>
    </row>
    <row r="112" ht="14.25" customHeight="1" s="38">
      <c r="A112" s="9" t="n"/>
      <c r="B112" s="9" t="n"/>
      <c r="C112" s="9" t="n"/>
      <c r="D112" s="9" t="n"/>
      <c r="E112" s="9" t="n"/>
      <c r="F112" s="9" t="n"/>
    </row>
    <row r="113" ht="14.25" customHeight="1" s="38">
      <c r="A113" s="9" t="n"/>
      <c r="B113" s="9" t="n"/>
      <c r="C113" s="9" t="n"/>
      <c r="D113" s="9" t="n"/>
      <c r="E113" s="9" t="n"/>
      <c r="F113" s="9" t="n"/>
    </row>
    <row r="114" ht="14.25" customHeight="1" s="38">
      <c r="A114" s="9" t="n"/>
      <c r="B114" s="9" t="n"/>
      <c r="C114" s="9" t="n"/>
      <c r="D114" s="9" t="n"/>
      <c r="E114" s="9" t="n"/>
      <c r="F114" s="9" t="n"/>
    </row>
    <row r="115" ht="14.25" customHeight="1" s="38">
      <c r="A115" s="9" t="n"/>
      <c r="B115" s="9" t="n"/>
      <c r="C115" s="9" t="n"/>
      <c r="D115" s="9" t="n"/>
      <c r="E115" s="9" t="n"/>
      <c r="F115" s="9" t="n"/>
    </row>
    <row r="116" ht="14.25" customHeight="1" s="38">
      <c r="A116" s="9" t="n"/>
      <c r="B116" s="9" t="n"/>
      <c r="C116" s="9" t="n"/>
      <c r="D116" s="9" t="n"/>
      <c r="E116" s="9" t="n"/>
      <c r="F116" s="9" t="n"/>
    </row>
    <row r="117" ht="14.25" customHeight="1" s="38">
      <c r="A117" s="9" t="n"/>
      <c r="B117" s="9" t="n"/>
      <c r="C117" s="9" t="n"/>
      <c r="D117" s="9" t="n"/>
      <c r="E117" s="9" t="n"/>
      <c r="F117" s="9" t="n"/>
    </row>
    <row r="118" ht="14.25" customHeight="1" s="38">
      <c r="A118" s="9" t="n"/>
      <c r="B118" s="9" t="n"/>
      <c r="C118" s="9" t="n"/>
      <c r="D118" s="9" t="n"/>
      <c r="E118" s="9" t="n"/>
      <c r="F118" s="9" t="n"/>
    </row>
    <row r="119" ht="14.25" customHeight="1" s="38">
      <c r="A119" s="9" t="n"/>
      <c r="B119" s="9" t="n"/>
      <c r="C119" s="9" t="n"/>
      <c r="D119" s="9" t="n"/>
      <c r="E119" s="9" t="n"/>
      <c r="F119" s="9" t="n"/>
    </row>
    <row r="120" ht="14.25" customHeight="1" s="38">
      <c r="A120" s="9" t="n"/>
      <c r="B120" s="9" t="n"/>
      <c r="C120" s="9" t="n"/>
      <c r="D120" s="9" t="n"/>
      <c r="E120" s="9" t="n"/>
      <c r="F120" s="9" t="n"/>
    </row>
    <row r="121" ht="14.25" customHeight="1" s="38">
      <c r="A121" s="9" t="n"/>
      <c r="B121" s="9" t="n"/>
      <c r="C121" s="9" t="n"/>
      <c r="D121" s="9" t="n"/>
      <c r="E121" s="9" t="n"/>
      <c r="F121" s="9" t="n"/>
    </row>
    <row r="122" ht="14.25" customHeight="1" s="38">
      <c r="A122" s="9" t="n"/>
      <c r="B122" s="9" t="n"/>
      <c r="C122" s="9" t="n"/>
      <c r="D122" s="9" t="n"/>
      <c r="E122" s="9" t="n"/>
      <c r="F122" s="9" t="n"/>
    </row>
    <row r="123" ht="14.25" customHeight="1" s="38">
      <c r="A123" s="9" t="n"/>
      <c r="B123" s="9" t="n"/>
      <c r="C123" s="9" t="n"/>
      <c r="D123" s="9" t="n"/>
      <c r="E123" s="9" t="n"/>
      <c r="F123" s="9" t="n"/>
    </row>
    <row r="124" ht="14.25" customHeight="1" s="38">
      <c r="A124" s="9" t="n"/>
      <c r="B124" s="9" t="n"/>
      <c r="C124" s="9" t="n"/>
      <c r="D124" s="9" t="n"/>
      <c r="E124" s="9" t="n"/>
      <c r="F124" s="9" t="n"/>
    </row>
    <row r="125" ht="14.25" customHeight="1" s="38">
      <c r="A125" s="9" t="n"/>
      <c r="B125" s="9" t="n"/>
      <c r="C125" s="9" t="n"/>
      <c r="D125" s="9" t="n"/>
      <c r="E125" s="9" t="n"/>
      <c r="F125" s="9" t="n"/>
    </row>
    <row r="126" ht="14.25" customHeight="1" s="38">
      <c r="A126" s="9" t="n"/>
      <c r="B126" s="9" t="n"/>
      <c r="C126" s="9" t="n"/>
      <c r="D126" s="9" t="n"/>
      <c r="E126" s="9" t="n"/>
      <c r="F126" s="9" t="n"/>
    </row>
    <row r="127" ht="14.25" customHeight="1" s="38">
      <c r="A127" s="9" t="n"/>
      <c r="B127" s="9" t="n"/>
      <c r="C127" s="9" t="n"/>
      <c r="D127" s="9" t="n"/>
      <c r="E127" s="9" t="n"/>
      <c r="F127" s="9" t="n"/>
    </row>
    <row r="128" ht="14.25" customHeight="1" s="38">
      <c r="A128" s="9" t="n"/>
      <c r="B128" s="9" t="n"/>
      <c r="C128" s="9" t="n"/>
      <c r="D128" s="9" t="n"/>
      <c r="E128" s="9" t="n"/>
      <c r="F128" s="9" t="n"/>
    </row>
    <row r="129" ht="14.25" customHeight="1" s="38">
      <c r="A129" s="9" t="n"/>
      <c r="B129" s="9" t="n"/>
      <c r="C129" s="9" t="n"/>
      <c r="D129" s="9" t="n"/>
      <c r="E129" s="9" t="n"/>
      <c r="F129" s="9" t="n"/>
    </row>
    <row r="130" ht="14.25" customHeight="1" s="38">
      <c r="A130" s="9" t="n"/>
      <c r="B130" s="9" t="n"/>
      <c r="C130" s="9" t="n"/>
      <c r="D130" s="9" t="n"/>
      <c r="E130" s="9" t="n"/>
      <c r="F130" s="9" t="n"/>
    </row>
    <row r="131" ht="14.25" customHeight="1" s="38">
      <c r="A131" s="9" t="n"/>
      <c r="B131" s="9" t="n"/>
      <c r="C131" s="9" t="n"/>
      <c r="D131" s="9" t="n"/>
      <c r="E131" s="9" t="n"/>
      <c r="F131" s="9" t="n"/>
    </row>
    <row r="132" ht="14.25" customHeight="1" s="38">
      <c r="A132" s="9" t="n"/>
      <c r="B132" s="9" t="n"/>
      <c r="C132" s="9" t="n"/>
      <c r="D132" s="9" t="n"/>
      <c r="E132" s="9" t="n"/>
      <c r="F132" s="9" t="n"/>
    </row>
    <row r="133" ht="14.25" customHeight="1" s="38">
      <c r="A133" s="9" t="n"/>
      <c r="B133" s="9" t="n"/>
      <c r="C133" s="9" t="n"/>
      <c r="D133" s="9" t="n"/>
      <c r="E133" s="9" t="n"/>
      <c r="F133" s="9" t="n"/>
    </row>
    <row r="134" ht="14.25" customHeight="1" s="38">
      <c r="A134" s="9" t="n"/>
      <c r="B134" s="9" t="n"/>
      <c r="C134" s="9" t="n"/>
      <c r="D134" s="9" t="n"/>
      <c r="E134" s="9" t="n"/>
      <c r="F134" s="9" t="n"/>
    </row>
    <row r="135" ht="14.25" customHeight="1" s="38">
      <c r="A135" s="9" t="n"/>
      <c r="B135" s="9" t="n"/>
      <c r="C135" s="9" t="n"/>
      <c r="D135" s="9" t="n"/>
      <c r="E135" s="9" t="n"/>
      <c r="F135" s="9" t="n"/>
    </row>
    <row r="136" ht="14.25" customHeight="1" s="38">
      <c r="A136" s="9" t="n"/>
      <c r="B136" s="9" t="n"/>
      <c r="C136" s="9" t="n"/>
      <c r="D136" s="9" t="n"/>
      <c r="E136" s="9" t="n"/>
      <c r="F136" s="9" t="n"/>
    </row>
    <row r="137" ht="14.25" customHeight="1" s="38">
      <c r="A137" s="9" t="n"/>
      <c r="B137" s="9" t="n"/>
      <c r="C137" s="9" t="n"/>
      <c r="D137" s="9" t="n"/>
      <c r="E137" s="9" t="n"/>
      <c r="F137" s="9" t="n"/>
    </row>
    <row r="138" ht="14.25" customHeight="1" s="38">
      <c r="A138" s="9" t="n"/>
      <c r="B138" s="9" t="n"/>
      <c r="C138" s="9" t="n"/>
      <c r="D138" s="9" t="n"/>
      <c r="E138" s="9" t="n"/>
      <c r="F138" s="9" t="n"/>
    </row>
    <row r="139" ht="14.25" customHeight="1" s="38">
      <c r="A139" s="9" t="n"/>
      <c r="B139" s="9" t="n"/>
      <c r="C139" s="9" t="n"/>
      <c r="D139" s="9" t="n"/>
      <c r="E139" s="9" t="n"/>
      <c r="F139" s="9" t="n"/>
    </row>
    <row r="140" ht="14.25" customHeight="1" s="38">
      <c r="A140" s="9" t="n"/>
      <c r="B140" s="9" t="n"/>
      <c r="C140" s="9" t="n"/>
      <c r="D140" s="9" t="n"/>
      <c r="E140" s="9" t="n"/>
      <c r="F140" s="9" t="n"/>
    </row>
    <row r="141" ht="14.25" customHeight="1" s="38">
      <c r="A141" s="9" t="n"/>
      <c r="B141" s="9" t="n"/>
      <c r="C141" s="9" t="n"/>
      <c r="D141" s="9" t="n"/>
      <c r="E141" s="9" t="n"/>
      <c r="F141" s="9" t="n"/>
    </row>
    <row r="142" ht="14.25" customHeight="1" s="38">
      <c r="A142" s="9" t="n"/>
      <c r="B142" s="9" t="n"/>
      <c r="C142" s="9" t="n"/>
      <c r="D142" s="9" t="n"/>
      <c r="E142" s="9" t="n"/>
      <c r="F142" s="9" t="n"/>
    </row>
    <row r="143" ht="14.25" customHeight="1" s="38">
      <c r="A143" s="9" t="n"/>
      <c r="B143" s="9" t="n"/>
      <c r="C143" s="9" t="n"/>
      <c r="D143" s="9" t="n"/>
      <c r="E143" s="9" t="n"/>
      <c r="F143" s="9" t="n"/>
    </row>
    <row r="144" ht="14.25" customHeight="1" s="38">
      <c r="A144" s="9" t="n"/>
      <c r="B144" s="9" t="n"/>
      <c r="C144" s="9" t="n"/>
      <c r="D144" s="9" t="n"/>
      <c r="E144" s="9" t="n"/>
      <c r="F144" s="9" t="n"/>
    </row>
    <row r="145" ht="14.25" customHeight="1" s="38">
      <c r="A145" s="9" t="n"/>
      <c r="B145" s="9" t="n"/>
      <c r="C145" s="9" t="n"/>
      <c r="D145" s="9" t="n"/>
      <c r="E145" s="9" t="n"/>
      <c r="F145" s="9" t="n"/>
    </row>
    <row r="146" ht="14.25" customHeight="1" s="38">
      <c r="A146" s="9" t="n"/>
      <c r="B146" s="9" t="n"/>
      <c r="C146" s="9" t="n"/>
      <c r="D146" s="9" t="n"/>
      <c r="E146" s="9" t="n"/>
      <c r="F146" s="9" t="n"/>
    </row>
    <row r="147" ht="14.25" customHeight="1" s="38">
      <c r="A147" s="9" t="n"/>
      <c r="B147" s="9" t="n"/>
      <c r="C147" s="9" t="n"/>
      <c r="D147" s="9" t="n"/>
      <c r="E147" s="9" t="n"/>
      <c r="F147" s="9" t="n"/>
    </row>
    <row r="148" ht="14.25" customHeight="1" s="38">
      <c r="A148" s="9" t="n"/>
      <c r="B148" s="9" t="n"/>
      <c r="C148" s="9" t="n"/>
      <c r="D148" s="9" t="n"/>
      <c r="E148" s="9" t="n"/>
      <c r="F148" s="9" t="n"/>
    </row>
    <row r="149" ht="14.25" customHeight="1" s="38">
      <c r="A149" s="9" t="n"/>
      <c r="B149" s="9" t="n"/>
      <c r="C149" s="9" t="n"/>
      <c r="D149" s="9" t="n"/>
      <c r="E149" s="9" t="n"/>
      <c r="F149" s="9" t="n"/>
    </row>
    <row r="150" ht="14.25" customHeight="1" s="38">
      <c r="A150" s="9" t="n"/>
      <c r="B150" s="9" t="n"/>
      <c r="C150" s="9" t="n"/>
      <c r="D150" s="9" t="n"/>
      <c r="E150" s="9" t="n"/>
      <c r="F150" s="9" t="n"/>
    </row>
    <row r="151" ht="14.25" customHeight="1" s="38">
      <c r="A151" s="9" t="n"/>
      <c r="B151" s="9" t="n"/>
      <c r="C151" s="9" t="n"/>
      <c r="D151" s="9" t="n"/>
      <c r="E151" s="9" t="n"/>
      <c r="F151" s="9" t="n"/>
    </row>
    <row r="152" ht="14.25" customHeight="1" s="38">
      <c r="A152" s="9" t="n"/>
      <c r="B152" s="9" t="n"/>
      <c r="C152" s="9" t="n"/>
      <c r="D152" s="9" t="n"/>
      <c r="E152" s="9" t="n"/>
      <c r="F152" s="9" t="n"/>
    </row>
    <row r="153" ht="14.25" customHeight="1" s="38">
      <c r="A153" s="9" t="n"/>
      <c r="B153" s="9" t="n"/>
      <c r="C153" s="9" t="n"/>
      <c r="D153" s="9" t="n"/>
      <c r="E153" s="9" t="n"/>
      <c r="F153" s="9" t="n"/>
    </row>
    <row r="154" ht="14.25" customHeight="1" s="38">
      <c r="A154" s="9" t="n"/>
      <c r="B154" s="9" t="n"/>
      <c r="C154" s="9" t="n"/>
      <c r="D154" s="9" t="n"/>
      <c r="E154" s="9" t="n"/>
      <c r="F154" s="9" t="n"/>
    </row>
    <row r="155" ht="14.25" customHeight="1" s="38">
      <c r="A155" s="9" t="n"/>
      <c r="B155" s="9" t="n"/>
      <c r="C155" s="9" t="n"/>
      <c r="D155" s="9" t="n"/>
      <c r="E155" s="9" t="n"/>
      <c r="F155" s="9" t="n"/>
    </row>
    <row r="156" ht="14.25" customHeight="1" s="38">
      <c r="A156" s="9" t="n"/>
      <c r="B156" s="9" t="n"/>
      <c r="C156" s="9" t="n"/>
      <c r="D156" s="9" t="n"/>
      <c r="E156" s="9" t="n"/>
      <c r="F156" s="9" t="n"/>
    </row>
    <row r="157" ht="14.25" customHeight="1" s="38">
      <c r="A157" s="9" t="n"/>
      <c r="B157" s="9" t="n"/>
      <c r="C157" s="9" t="n"/>
      <c r="D157" s="9" t="n"/>
      <c r="E157" s="9" t="n"/>
      <c r="F157" s="9" t="n"/>
    </row>
    <row r="158" ht="14.25" customHeight="1" s="38">
      <c r="A158" s="9" t="n"/>
      <c r="B158" s="9" t="n"/>
      <c r="C158" s="9" t="n"/>
      <c r="D158" s="9" t="n"/>
      <c r="E158" s="9" t="n"/>
      <c r="F158" s="9" t="n"/>
    </row>
    <row r="159" ht="14.25" customHeight="1" s="38">
      <c r="A159" s="9" t="n"/>
      <c r="B159" s="9" t="n"/>
      <c r="C159" s="9" t="n"/>
      <c r="D159" s="9" t="n"/>
      <c r="E159" s="9" t="n"/>
      <c r="F159" s="9" t="n"/>
    </row>
    <row r="160" ht="14.25" customHeight="1" s="38">
      <c r="A160" s="9" t="n"/>
      <c r="B160" s="9" t="n"/>
      <c r="C160" s="9" t="n"/>
      <c r="D160" s="9" t="n"/>
      <c r="E160" s="9" t="n"/>
      <c r="F160" s="9" t="n"/>
    </row>
    <row r="161" ht="14.25" customHeight="1" s="38">
      <c r="A161" s="9" t="n"/>
      <c r="B161" s="9" t="n"/>
      <c r="C161" s="9" t="n"/>
      <c r="D161" s="9" t="n"/>
      <c r="E161" s="9" t="n"/>
      <c r="F161" s="9" t="n"/>
    </row>
    <row r="162" ht="14.25" customHeight="1" s="38">
      <c r="A162" s="9" t="n"/>
      <c r="B162" s="9" t="n"/>
      <c r="C162" s="9" t="n"/>
      <c r="D162" s="9" t="n"/>
      <c r="E162" s="9" t="n"/>
      <c r="F162" s="9" t="n"/>
    </row>
    <row r="163" ht="14.25" customHeight="1" s="38">
      <c r="A163" s="9" t="n"/>
      <c r="B163" s="9" t="n"/>
      <c r="C163" s="9" t="n"/>
      <c r="D163" s="9" t="n"/>
      <c r="E163" s="9" t="n"/>
      <c r="F163" s="9" t="n"/>
    </row>
    <row r="164" ht="14.25" customHeight="1" s="38">
      <c r="A164" s="9" t="n"/>
      <c r="B164" s="9" t="n"/>
      <c r="C164" s="9" t="n"/>
      <c r="D164" s="9" t="n"/>
      <c r="E164" s="9" t="n"/>
      <c r="F164" s="9" t="n"/>
    </row>
    <row r="165" ht="14.25" customHeight="1" s="38">
      <c r="A165" s="9" t="n"/>
      <c r="B165" s="9" t="n"/>
      <c r="C165" s="9" t="n"/>
      <c r="D165" s="9" t="n"/>
      <c r="E165" s="9" t="n"/>
      <c r="F165" s="9" t="n"/>
    </row>
    <row r="166" ht="14.25" customHeight="1" s="38">
      <c r="A166" s="9" t="n"/>
      <c r="B166" s="9" t="n"/>
      <c r="C166" s="9" t="n"/>
      <c r="D166" s="9" t="n"/>
      <c r="E166" s="9" t="n"/>
      <c r="F166" s="9" t="n"/>
    </row>
    <row r="167" ht="14.25" customHeight="1" s="38">
      <c r="A167" s="9" t="n"/>
      <c r="B167" s="9" t="n"/>
      <c r="C167" s="9" t="n"/>
      <c r="D167" s="9" t="n"/>
      <c r="E167" s="9" t="n"/>
      <c r="F167" s="9" t="n"/>
    </row>
    <row r="168" ht="14.25" customHeight="1" s="38">
      <c r="A168" s="9" t="n"/>
      <c r="B168" s="9" t="n"/>
      <c r="C168" s="9" t="n"/>
      <c r="D168" s="9" t="n"/>
      <c r="E168" s="9" t="n"/>
      <c r="F168" s="9" t="n"/>
    </row>
    <row r="169" ht="14.25" customHeight="1" s="38">
      <c r="A169" s="9" t="n"/>
      <c r="B169" s="9" t="n"/>
      <c r="C169" s="9" t="n"/>
      <c r="D169" s="9" t="n"/>
      <c r="E169" s="9" t="n"/>
      <c r="F169" s="9" t="n"/>
    </row>
    <row r="170" ht="14.25" customHeight="1" s="38">
      <c r="A170" s="9" t="n"/>
      <c r="B170" s="9" t="n"/>
      <c r="C170" s="9" t="n"/>
      <c r="D170" s="9" t="n"/>
      <c r="E170" s="9" t="n"/>
      <c r="F170" s="9" t="n"/>
    </row>
    <row r="171" ht="14.25" customHeight="1" s="38">
      <c r="A171" s="9" t="n"/>
      <c r="B171" s="9" t="n"/>
      <c r="C171" s="9" t="n"/>
      <c r="D171" s="9" t="n"/>
      <c r="E171" s="9" t="n"/>
      <c r="F171" s="9" t="n"/>
    </row>
    <row r="172" ht="14.25" customHeight="1" s="38">
      <c r="A172" s="9" t="n"/>
      <c r="B172" s="9" t="n"/>
      <c r="C172" s="9" t="n"/>
      <c r="D172" s="9" t="n"/>
      <c r="E172" s="9" t="n"/>
      <c r="F172" s="9" t="n"/>
    </row>
    <row r="173" ht="14.25" customHeight="1" s="38">
      <c r="A173" s="9" t="n"/>
      <c r="B173" s="9" t="n"/>
      <c r="C173" s="9" t="n"/>
      <c r="D173" s="9" t="n"/>
      <c r="E173" s="9" t="n"/>
      <c r="F173" s="9" t="n"/>
    </row>
    <row r="174" ht="14.25" customHeight="1" s="38">
      <c r="A174" s="9" t="n"/>
      <c r="B174" s="9" t="n"/>
      <c r="C174" s="9" t="n"/>
      <c r="D174" s="9" t="n"/>
      <c r="E174" s="9" t="n"/>
      <c r="F174" s="9" t="n"/>
    </row>
    <row r="175" ht="14.25" customHeight="1" s="38">
      <c r="A175" s="9" t="n"/>
      <c r="B175" s="9" t="n"/>
      <c r="C175" s="9" t="n"/>
      <c r="D175" s="9" t="n"/>
      <c r="E175" s="9" t="n"/>
      <c r="F175" s="9" t="n"/>
    </row>
    <row r="176" ht="14.25" customHeight="1" s="38">
      <c r="A176" s="9" t="n"/>
      <c r="B176" s="9" t="n"/>
      <c r="C176" s="9" t="n"/>
      <c r="D176" s="9" t="n"/>
      <c r="E176" s="9" t="n"/>
      <c r="F176" s="9" t="n"/>
    </row>
    <row r="177" ht="14.25" customHeight="1" s="38">
      <c r="A177" s="9" t="n"/>
      <c r="B177" s="9" t="n"/>
      <c r="C177" s="9" t="n"/>
      <c r="D177" s="9" t="n"/>
      <c r="E177" s="9" t="n"/>
      <c r="F177" s="9" t="n"/>
    </row>
    <row r="178" ht="14.25" customHeight="1" s="38">
      <c r="A178" s="9" t="n"/>
      <c r="B178" s="9" t="n"/>
      <c r="C178" s="9" t="n"/>
      <c r="D178" s="9" t="n"/>
      <c r="E178" s="9" t="n"/>
      <c r="F178" s="9" t="n"/>
    </row>
    <row r="179" ht="14.25" customHeight="1" s="38">
      <c r="A179" s="9" t="n"/>
      <c r="B179" s="9" t="n"/>
      <c r="C179" s="9" t="n"/>
      <c r="D179" s="9" t="n"/>
      <c r="E179" s="9" t="n"/>
      <c r="F179" s="9" t="n"/>
    </row>
    <row r="180" ht="14.25" customHeight="1" s="38">
      <c r="A180" s="9" t="n"/>
      <c r="B180" s="9" t="n"/>
      <c r="C180" s="9" t="n"/>
      <c r="D180" s="9" t="n"/>
      <c r="E180" s="9" t="n"/>
      <c r="F180" s="9" t="n"/>
    </row>
    <row r="181" ht="14.25" customHeight="1" s="38">
      <c r="A181" s="9" t="n"/>
      <c r="B181" s="9" t="n"/>
      <c r="C181" s="9" t="n"/>
      <c r="D181" s="9" t="n"/>
      <c r="E181" s="9" t="n"/>
      <c r="F181" s="9" t="n"/>
    </row>
    <row r="182" ht="14.25" customHeight="1" s="38">
      <c r="A182" s="9" t="n"/>
      <c r="B182" s="9" t="n"/>
      <c r="C182" s="9" t="n"/>
      <c r="D182" s="9" t="n"/>
      <c r="E182" s="9" t="n"/>
      <c r="F182" s="9" t="n"/>
    </row>
    <row r="183" ht="14.25" customHeight="1" s="38">
      <c r="A183" s="9" t="n"/>
      <c r="B183" s="9" t="n"/>
      <c r="C183" s="9" t="n"/>
      <c r="D183" s="9" t="n"/>
      <c r="E183" s="9" t="n"/>
      <c r="F183" s="9" t="n"/>
    </row>
    <row r="184" ht="14.25" customHeight="1" s="38">
      <c r="A184" s="9" t="n"/>
      <c r="B184" s="9" t="n"/>
      <c r="C184" s="9" t="n"/>
      <c r="D184" s="9" t="n"/>
      <c r="E184" s="9" t="n"/>
      <c r="F184" s="9" t="n"/>
    </row>
    <row r="185" ht="14.25" customHeight="1" s="38">
      <c r="A185" s="9" t="n"/>
      <c r="B185" s="9" t="n"/>
      <c r="C185" s="9" t="n"/>
      <c r="D185" s="9" t="n"/>
      <c r="E185" s="9" t="n"/>
      <c r="F185" s="9" t="n"/>
    </row>
    <row r="186" ht="14.25" customHeight="1" s="38">
      <c r="A186" s="9" t="n"/>
      <c r="B186" s="9" t="n"/>
      <c r="C186" s="9" t="n"/>
      <c r="D186" s="9" t="n"/>
      <c r="E186" s="9" t="n"/>
      <c r="F186" s="9" t="n"/>
    </row>
    <row r="187" ht="14.25" customHeight="1" s="38">
      <c r="A187" s="9" t="n"/>
      <c r="B187" s="9" t="n"/>
      <c r="C187" s="9" t="n"/>
      <c r="D187" s="9" t="n"/>
      <c r="E187" s="9" t="n"/>
      <c r="F187" s="9" t="n"/>
    </row>
    <row r="188" ht="14.25" customHeight="1" s="38">
      <c r="A188" s="9" t="n"/>
      <c r="B188" s="9" t="n"/>
      <c r="C188" s="9" t="n"/>
      <c r="D188" s="9" t="n"/>
      <c r="E188" s="9" t="n"/>
      <c r="F188" s="9" t="n"/>
    </row>
    <row r="189" ht="14.25" customHeight="1" s="38">
      <c r="A189" s="9" t="n"/>
      <c r="B189" s="9" t="n"/>
      <c r="C189" s="9" t="n"/>
      <c r="D189" s="9" t="n"/>
      <c r="E189" s="9" t="n"/>
      <c r="F189" s="9" t="n"/>
    </row>
    <row r="190" ht="14.25" customHeight="1" s="38">
      <c r="A190" s="9" t="n"/>
      <c r="B190" s="9" t="n"/>
      <c r="C190" s="9" t="n"/>
      <c r="D190" s="9" t="n"/>
      <c r="E190" s="9" t="n"/>
      <c r="F190" s="9" t="n"/>
    </row>
    <row r="191" ht="14.25" customHeight="1" s="38">
      <c r="A191" s="9" t="n"/>
      <c r="B191" s="9" t="n"/>
      <c r="C191" s="9" t="n"/>
      <c r="D191" s="9" t="n"/>
      <c r="E191" s="9" t="n"/>
      <c r="F191" s="9" t="n"/>
    </row>
    <row r="192" ht="14.25" customHeight="1" s="38">
      <c r="A192" s="9" t="n"/>
      <c r="B192" s="9" t="n"/>
      <c r="C192" s="9" t="n"/>
      <c r="D192" s="9" t="n"/>
      <c r="E192" s="9" t="n"/>
      <c r="F192" s="9" t="n"/>
    </row>
    <row r="193" ht="14.25" customHeight="1" s="38">
      <c r="A193" s="9" t="n"/>
      <c r="B193" s="9" t="n"/>
      <c r="C193" s="9" t="n"/>
      <c r="D193" s="9" t="n"/>
      <c r="E193" s="9" t="n"/>
      <c r="F193" s="9" t="n"/>
    </row>
    <row r="194" ht="14.25" customHeight="1" s="38">
      <c r="A194" s="9" t="n"/>
      <c r="B194" s="9" t="n"/>
      <c r="C194" s="9" t="n"/>
      <c r="D194" s="9" t="n"/>
      <c r="E194" s="9" t="n"/>
      <c r="F194" s="9" t="n"/>
    </row>
    <row r="195" ht="14.25" customHeight="1" s="38">
      <c r="A195" s="9" t="n"/>
      <c r="B195" s="9" t="n"/>
      <c r="C195" s="9" t="n"/>
      <c r="D195" s="9" t="n"/>
      <c r="E195" s="9" t="n"/>
      <c r="F195" s="9" t="n"/>
    </row>
    <row r="196" ht="14.25" customHeight="1" s="38">
      <c r="A196" s="9" t="n"/>
      <c r="B196" s="9" t="n"/>
      <c r="C196" s="9" t="n"/>
      <c r="D196" s="9" t="n"/>
      <c r="E196" s="9" t="n"/>
      <c r="F196" s="9" t="n"/>
    </row>
    <row r="197" ht="14.25" customHeight="1" s="38">
      <c r="A197" s="9" t="n"/>
      <c r="B197" s="9" t="n"/>
      <c r="C197" s="9" t="n"/>
      <c r="D197" s="9" t="n"/>
      <c r="E197" s="9" t="n"/>
      <c r="F197" s="9" t="n"/>
    </row>
    <row r="198" ht="14.25" customHeight="1" s="38">
      <c r="A198" s="9" t="n"/>
      <c r="B198" s="9" t="n"/>
      <c r="C198" s="9" t="n"/>
      <c r="D198" s="9" t="n"/>
      <c r="E198" s="9" t="n"/>
      <c r="F198" s="9" t="n"/>
    </row>
    <row r="199" ht="14.25" customHeight="1" s="38">
      <c r="A199" s="9" t="n"/>
      <c r="B199" s="9" t="n"/>
      <c r="C199" s="9" t="n"/>
      <c r="D199" s="9" t="n"/>
      <c r="E199" s="9" t="n"/>
      <c r="F199" s="9" t="n"/>
    </row>
    <row r="200" ht="14.25" customHeight="1" s="38">
      <c r="A200" s="9" t="n"/>
      <c r="B200" s="9" t="n"/>
      <c r="C200" s="9" t="n"/>
      <c r="D200" s="9" t="n"/>
      <c r="E200" s="9" t="n"/>
      <c r="F200" s="9" t="n"/>
    </row>
    <row r="201" ht="14.25" customHeight="1" s="38">
      <c r="A201" s="9" t="n"/>
      <c r="B201" s="9" t="n"/>
      <c r="C201" s="9" t="n"/>
      <c r="D201" s="9" t="n"/>
      <c r="E201" s="9" t="n"/>
      <c r="F201" s="9" t="n"/>
    </row>
    <row r="202" ht="14.25" customHeight="1" s="38">
      <c r="A202" s="9" t="n"/>
      <c r="B202" s="9" t="n"/>
      <c r="C202" s="9" t="n"/>
      <c r="D202" s="9" t="n"/>
      <c r="E202" s="9" t="n"/>
      <c r="F202" s="9" t="n"/>
    </row>
    <row r="203" ht="14.25" customHeight="1" s="38">
      <c r="A203" s="9" t="n"/>
      <c r="B203" s="9" t="n"/>
      <c r="C203" s="9" t="n"/>
      <c r="D203" s="9" t="n"/>
      <c r="E203" s="9" t="n"/>
      <c r="F203" s="9" t="n"/>
    </row>
    <row r="204" ht="14.25" customHeight="1" s="38">
      <c r="A204" s="9" t="n"/>
      <c r="B204" s="9" t="n"/>
      <c r="C204" s="9" t="n"/>
      <c r="D204" s="9" t="n"/>
      <c r="E204" s="9" t="n"/>
      <c r="F204" s="9" t="n"/>
    </row>
    <row r="205" ht="14.25" customHeight="1" s="38">
      <c r="A205" s="9" t="n"/>
      <c r="B205" s="9" t="n"/>
      <c r="C205" s="9" t="n"/>
      <c r="D205" s="9" t="n"/>
      <c r="E205" s="9" t="n"/>
      <c r="F205" s="9" t="n"/>
    </row>
    <row r="206" ht="14.25" customHeight="1" s="38">
      <c r="A206" s="9" t="n"/>
      <c r="B206" s="9" t="n"/>
      <c r="C206" s="9" t="n"/>
      <c r="D206" s="9" t="n"/>
      <c r="E206" s="9" t="n"/>
      <c r="F206" s="9" t="n"/>
    </row>
    <row r="207" ht="14.25" customHeight="1" s="38">
      <c r="A207" s="9" t="n"/>
      <c r="B207" s="9" t="n"/>
      <c r="C207" s="9" t="n"/>
      <c r="D207" s="9" t="n"/>
      <c r="E207" s="9" t="n"/>
      <c r="F207" s="9" t="n"/>
    </row>
    <row r="208" ht="14.25" customHeight="1" s="38">
      <c r="A208" s="9" t="n"/>
      <c r="B208" s="9" t="n"/>
      <c r="C208" s="9" t="n"/>
      <c r="D208" s="9" t="n"/>
      <c r="E208" s="9" t="n"/>
      <c r="F208" s="9" t="n"/>
    </row>
    <row r="209" ht="14.25" customHeight="1" s="38">
      <c r="A209" s="9" t="n"/>
      <c r="B209" s="9" t="n"/>
      <c r="C209" s="9" t="n"/>
      <c r="D209" s="9" t="n"/>
      <c r="E209" s="9" t="n"/>
      <c r="F209" s="9" t="n"/>
    </row>
    <row r="210" ht="14.25" customHeight="1" s="38">
      <c r="A210" s="9" t="n"/>
      <c r="B210" s="9" t="n"/>
      <c r="C210" s="9" t="n"/>
      <c r="D210" s="9" t="n"/>
      <c r="E210" s="9" t="n"/>
      <c r="F210" s="9" t="n"/>
    </row>
    <row r="211" ht="14.25" customHeight="1" s="38">
      <c r="A211" s="9" t="n"/>
      <c r="B211" s="9" t="n"/>
      <c r="C211" s="9" t="n"/>
      <c r="D211" s="9" t="n"/>
      <c r="E211" s="9" t="n"/>
      <c r="F211" s="9" t="n"/>
    </row>
    <row r="212" ht="14.25" customHeight="1" s="38">
      <c r="A212" s="9" t="n"/>
      <c r="B212" s="9" t="n"/>
      <c r="C212" s="9" t="n"/>
      <c r="D212" s="9" t="n"/>
      <c r="E212" s="9" t="n"/>
      <c r="F212" s="9" t="n"/>
    </row>
    <row r="213" ht="14.25" customHeight="1" s="38">
      <c r="A213" s="9" t="n"/>
      <c r="B213" s="9" t="n"/>
      <c r="C213" s="9" t="n"/>
      <c r="D213" s="9" t="n"/>
      <c r="E213" s="9" t="n"/>
      <c r="F213" s="9" t="n"/>
    </row>
    <row r="214" ht="14.25" customHeight="1" s="38">
      <c r="A214" s="9" t="n"/>
      <c r="B214" s="9" t="n"/>
      <c r="C214" s="9" t="n"/>
      <c r="D214" s="9" t="n"/>
      <c r="E214" s="9" t="n"/>
      <c r="F214" s="9" t="n"/>
    </row>
    <row r="215" ht="14.25" customHeight="1" s="38">
      <c r="A215" s="9" t="n"/>
      <c r="B215" s="9" t="n"/>
      <c r="C215" s="9" t="n"/>
      <c r="D215" s="9" t="n"/>
      <c r="E215" s="9" t="n"/>
      <c r="F215" s="9" t="n"/>
    </row>
    <row r="216" ht="14.25" customHeight="1" s="38">
      <c r="A216" s="9" t="n"/>
      <c r="B216" s="9" t="n"/>
      <c r="C216" s="9" t="n"/>
      <c r="D216" s="9" t="n"/>
      <c r="E216" s="9" t="n"/>
      <c r="F216" s="9" t="n"/>
    </row>
    <row r="217" ht="14.25" customHeight="1" s="38">
      <c r="A217" s="9" t="n"/>
      <c r="B217" s="9" t="n"/>
      <c r="C217" s="9" t="n"/>
      <c r="D217" s="9" t="n"/>
      <c r="E217" s="9" t="n"/>
      <c r="F217" s="9" t="n"/>
    </row>
    <row r="218" ht="14.25" customHeight="1" s="38">
      <c r="A218" s="9" t="n"/>
      <c r="B218" s="9" t="n"/>
      <c r="C218" s="9" t="n"/>
      <c r="D218" s="9" t="n"/>
      <c r="E218" s="9" t="n"/>
      <c r="F218" s="9" t="n"/>
    </row>
    <row r="219" ht="14.25" customHeight="1" s="38">
      <c r="A219" s="9" t="n"/>
      <c r="B219" s="9" t="n"/>
      <c r="C219" s="9" t="n"/>
      <c r="D219" s="9" t="n"/>
      <c r="E219" s="9" t="n"/>
      <c r="F219" s="9" t="n"/>
    </row>
    <row r="220" ht="14.25" customHeight="1" s="38">
      <c r="A220" s="9" t="n"/>
      <c r="B220" s="9" t="n"/>
      <c r="C220" s="9" t="n"/>
      <c r="D220" s="9" t="n"/>
      <c r="E220" s="9" t="n"/>
      <c r="F220" s="9" t="n"/>
    </row>
    <row r="221" ht="14.25" customHeight="1" s="38"/>
    <row r="222" ht="14.25" customHeight="1" s="38"/>
    <row r="223" ht="14.25" customHeight="1" s="38"/>
    <row r="224" ht="14.25" customHeight="1" s="38"/>
    <row r="225" ht="14.25" customHeight="1" s="38"/>
    <row r="226" ht="14.25" customHeight="1" s="38"/>
    <row r="227" ht="14.25" customHeight="1" s="38"/>
    <row r="228" ht="14.25" customHeight="1" s="38"/>
    <row r="229" ht="14.25" customHeight="1" s="38"/>
    <row r="230" ht="14.25" customHeight="1" s="38"/>
    <row r="231" ht="14.25" customHeight="1" s="38"/>
    <row r="232" ht="14.25" customHeight="1" s="38"/>
    <row r="233" ht="14.25" customHeight="1" s="38"/>
    <row r="234" ht="14.25" customHeight="1" s="38"/>
    <row r="235" ht="14.25" customHeight="1" s="38"/>
    <row r="236" ht="14.25" customHeight="1" s="38"/>
    <row r="237" ht="14.25" customHeight="1" s="38"/>
    <row r="238" ht="14.25" customHeight="1" s="38"/>
    <row r="239" ht="14.25" customHeight="1" s="38"/>
    <row r="240" ht="14.25" customHeight="1" s="38"/>
    <row r="241" ht="14.25" customHeight="1" s="38"/>
    <row r="242" ht="14.25" customHeight="1" s="38"/>
    <row r="243" ht="14.25" customHeight="1" s="38"/>
    <row r="244" ht="14.25" customHeight="1" s="38"/>
    <row r="245" ht="14.25" customHeight="1" s="38"/>
    <row r="246" ht="14.25" customHeight="1" s="38"/>
    <row r="247" ht="14.25" customHeight="1" s="38"/>
    <row r="248" ht="14.25" customHeight="1" s="38"/>
    <row r="249" ht="14.25" customHeight="1" s="38"/>
    <row r="250" ht="14.25" customHeight="1" s="38"/>
    <row r="251" ht="14.25" customHeight="1" s="38"/>
    <row r="252" ht="14.25" customHeight="1" s="38"/>
    <row r="253" ht="14.25" customHeight="1" s="38"/>
    <row r="254" ht="14.25" customHeight="1" s="38"/>
    <row r="255" ht="14.25" customHeight="1" s="38"/>
    <row r="256" ht="14.25" customHeight="1" s="38"/>
    <row r="257" ht="14.25" customHeight="1" s="38"/>
    <row r="258" ht="14.25" customHeight="1" s="38"/>
    <row r="259" ht="14.25" customHeight="1" s="38"/>
    <row r="260" ht="14.25" customHeight="1" s="38"/>
    <row r="261" ht="14.25" customHeight="1" s="38"/>
    <row r="262" ht="14.25" customHeight="1" s="38"/>
    <row r="263" ht="14.25" customHeight="1" s="38"/>
    <row r="264" ht="14.25" customHeight="1" s="38"/>
    <row r="265" ht="14.25" customHeight="1" s="38"/>
    <row r="266" ht="14.25" customHeight="1" s="38"/>
    <row r="267" ht="14.25" customHeight="1" s="38"/>
    <row r="268" ht="14.25" customHeight="1" s="38"/>
    <row r="269" ht="14.25" customHeight="1" s="38"/>
    <row r="270" ht="14.25" customHeight="1" s="38"/>
    <row r="271" ht="14.25" customHeight="1" s="38"/>
    <row r="272" ht="14.25" customHeight="1" s="38"/>
    <row r="273" ht="14.25" customHeight="1" s="38"/>
    <row r="274" ht="14.25" customHeight="1" s="38"/>
    <row r="275" ht="14.25" customHeight="1" s="38"/>
    <row r="276" ht="14.25" customHeight="1" s="38"/>
    <row r="277" ht="14.25" customHeight="1" s="38"/>
    <row r="278" ht="14.25" customHeight="1" s="38"/>
    <row r="279" ht="14.25" customHeight="1" s="38"/>
    <row r="280" ht="14.25" customHeight="1" s="38"/>
    <row r="281" ht="14.25" customHeight="1" s="38"/>
    <row r="282" ht="14.25" customHeight="1" s="38"/>
    <row r="283" ht="14.25" customHeight="1" s="38"/>
    <row r="284" ht="14.25" customHeight="1" s="38"/>
    <row r="285" ht="14.25" customHeight="1" s="38"/>
    <row r="286" ht="14.25" customHeight="1" s="38"/>
    <row r="287" ht="14.25" customHeight="1" s="38"/>
    <row r="288" ht="14.25" customHeight="1" s="38"/>
    <row r="289" ht="14.25" customHeight="1" s="38"/>
    <row r="290" ht="14.25" customHeight="1" s="38"/>
    <row r="291" ht="14.25" customHeight="1" s="38"/>
    <row r="292" ht="14.25" customHeight="1" s="38"/>
    <row r="293" ht="14.25" customHeight="1" s="38"/>
    <row r="294" ht="14.25" customHeight="1" s="38"/>
    <row r="295" ht="14.25" customHeight="1" s="38"/>
    <row r="296" ht="14.25" customHeight="1" s="38"/>
    <row r="297" ht="14.25" customHeight="1" s="38"/>
    <row r="298" ht="14.25" customHeight="1" s="38"/>
    <row r="299" ht="14.25" customHeight="1" s="38"/>
    <row r="300" ht="14.25" customHeight="1" s="38"/>
    <row r="301" ht="14.25" customHeight="1" s="38"/>
    <row r="302" ht="14.25" customHeight="1" s="38"/>
    <row r="303" ht="14.25" customHeight="1" s="38"/>
    <row r="304" ht="14.25" customHeight="1" s="38"/>
    <row r="305" ht="14.25" customHeight="1" s="38"/>
    <row r="306" ht="14.25" customHeight="1" s="38"/>
    <row r="307" ht="14.25" customHeight="1" s="38"/>
    <row r="308" ht="14.25" customHeight="1" s="38"/>
    <row r="309" ht="14.25" customHeight="1" s="38"/>
    <row r="310" ht="14.25" customHeight="1" s="38"/>
    <row r="311" ht="14.25" customHeight="1" s="38"/>
    <row r="312" ht="14.25" customHeight="1" s="38"/>
    <row r="313" ht="14.25" customHeight="1" s="38"/>
    <row r="314" ht="14.25" customHeight="1" s="38"/>
    <row r="315" ht="14.25" customHeight="1" s="38"/>
    <row r="316" ht="14.25" customHeight="1" s="38"/>
    <row r="317" ht="14.25" customHeight="1" s="38"/>
    <row r="318" ht="14.25" customHeight="1" s="38"/>
    <row r="319" ht="14.25" customHeight="1" s="38"/>
    <row r="320" ht="14.25" customHeight="1" s="38"/>
    <row r="321" ht="14.25" customHeight="1" s="38"/>
    <row r="322" ht="14.25" customHeight="1" s="38"/>
    <row r="323" ht="14.25" customHeight="1" s="38"/>
    <row r="324" ht="14.25" customHeight="1" s="38"/>
    <row r="325" ht="14.25" customHeight="1" s="38"/>
    <row r="326" ht="14.25" customHeight="1" s="38"/>
    <row r="327" ht="14.25" customHeight="1" s="38"/>
    <row r="328" ht="14.25" customHeight="1" s="38"/>
    <row r="329" ht="14.25" customHeight="1" s="38"/>
    <row r="330" ht="14.25" customHeight="1" s="38"/>
    <row r="331" ht="14.25" customHeight="1" s="38"/>
    <row r="332" ht="14.25" customHeight="1" s="38"/>
    <row r="333" ht="14.25" customHeight="1" s="38"/>
    <row r="334" ht="14.25" customHeight="1" s="38"/>
    <row r="335" ht="14.25" customHeight="1" s="38"/>
    <row r="336" ht="14.25" customHeight="1" s="38"/>
    <row r="337" ht="14.25" customHeight="1" s="38"/>
    <row r="338" ht="14.25" customHeight="1" s="38"/>
    <row r="339" ht="14.25" customHeight="1" s="38"/>
    <row r="340" ht="14.25" customHeight="1" s="38"/>
    <row r="341" ht="14.25" customHeight="1" s="38"/>
    <row r="342" ht="14.25" customHeight="1" s="38"/>
    <row r="343" ht="14.25" customHeight="1" s="38"/>
    <row r="344" ht="14.25" customHeight="1" s="38"/>
    <row r="345" ht="14.25" customHeight="1" s="38"/>
    <row r="346" ht="14.25" customHeight="1" s="38"/>
    <row r="347" ht="14.25" customHeight="1" s="38"/>
    <row r="348" ht="14.25" customHeight="1" s="38"/>
    <row r="349" ht="14.25" customHeight="1" s="38"/>
    <row r="350" ht="14.25" customHeight="1" s="38"/>
    <row r="351" ht="14.25" customHeight="1" s="38"/>
    <row r="352" ht="14.25" customHeight="1" s="38"/>
    <row r="353" ht="14.25" customHeight="1" s="38"/>
    <row r="354" ht="14.25" customHeight="1" s="38"/>
    <row r="355" ht="14.25" customHeight="1" s="38"/>
    <row r="356" ht="14.25" customHeight="1" s="38"/>
    <row r="357" ht="14.25" customHeight="1" s="38"/>
    <row r="358" ht="14.25" customHeight="1" s="38"/>
    <row r="359" ht="14.25" customHeight="1" s="38"/>
    <row r="360" ht="14.25" customHeight="1" s="38"/>
    <row r="361" ht="14.25" customHeight="1" s="38"/>
    <row r="362" ht="14.25" customHeight="1" s="38"/>
    <row r="363" ht="14.25" customHeight="1" s="38"/>
    <row r="364" ht="14.25" customHeight="1" s="38"/>
    <row r="365" ht="14.25" customHeight="1" s="38"/>
    <row r="366" ht="14.25" customHeight="1" s="38"/>
    <row r="367" ht="14.25" customHeight="1" s="38"/>
    <row r="368" ht="14.25" customHeight="1" s="38"/>
    <row r="369" ht="14.25" customHeight="1" s="38"/>
    <row r="370" ht="14.25" customHeight="1" s="38"/>
    <row r="371" ht="14.25" customHeight="1" s="38"/>
    <row r="372" ht="14.25" customHeight="1" s="38"/>
    <row r="373" ht="14.25" customHeight="1" s="38"/>
    <row r="374" ht="14.25" customHeight="1" s="38"/>
    <row r="375" ht="14.25" customHeight="1" s="38"/>
    <row r="376" ht="14.25" customHeight="1" s="38"/>
    <row r="377" ht="14.25" customHeight="1" s="38"/>
    <row r="378" ht="14.25" customHeight="1" s="38"/>
    <row r="379" ht="14.25" customHeight="1" s="38"/>
    <row r="380" ht="14.25" customHeight="1" s="38"/>
    <row r="381" ht="14.25" customHeight="1" s="38"/>
    <row r="382" ht="14.25" customHeight="1" s="38"/>
    <row r="383" ht="14.25" customHeight="1" s="38"/>
    <row r="384" ht="14.25" customHeight="1" s="38"/>
    <row r="385" ht="14.25" customHeight="1" s="38"/>
    <row r="386" ht="14.25" customHeight="1" s="38"/>
    <row r="387" ht="14.25" customHeight="1" s="38"/>
    <row r="388" ht="14.25" customHeight="1" s="38"/>
    <row r="389" ht="14.25" customHeight="1" s="38"/>
    <row r="390" ht="14.25" customHeight="1" s="38"/>
    <row r="391" ht="14.25" customHeight="1" s="38"/>
    <row r="392" ht="14.25" customHeight="1" s="38"/>
    <row r="393" ht="14.25" customHeight="1" s="38"/>
    <row r="394" ht="14.25" customHeight="1" s="38"/>
    <row r="395" ht="14.25" customHeight="1" s="38"/>
    <row r="396" ht="14.25" customHeight="1" s="38"/>
    <row r="397" ht="14.25" customHeight="1" s="38"/>
    <row r="398" ht="14.25" customHeight="1" s="38"/>
    <row r="399" ht="14.25" customHeight="1" s="38"/>
    <row r="400" ht="14.25" customHeight="1" s="38"/>
    <row r="401" ht="14.25" customHeight="1" s="38"/>
    <row r="402" ht="14.25" customHeight="1" s="38"/>
    <row r="403" ht="14.25" customHeight="1" s="38"/>
    <row r="404" ht="14.25" customHeight="1" s="38"/>
    <row r="405" ht="14.25" customHeight="1" s="38"/>
    <row r="406" ht="14.25" customHeight="1" s="38"/>
    <row r="407" ht="14.25" customHeight="1" s="38"/>
    <row r="408" ht="14.25" customHeight="1" s="38"/>
    <row r="409" ht="14.25" customHeight="1" s="38"/>
    <row r="410" ht="14.25" customHeight="1" s="38"/>
    <row r="411" ht="14.25" customHeight="1" s="38"/>
    <row r="412" ht="14.25" customHeight="1" s="38"/>
    <row r="413" ht="14.25" customHeight="1" s="38"/>
    <row r="414" ht="14.25" customHeight="1" s="38"/>
    <row r="415" ht="14.25" customHeight="1" s="38"/>
    <row r="416" ht="14.25" customHeight="1" s="38"/>
    <row r="417" ht="14.25" customHeight="1" s="38"/>
    <row r="418" ht="14.25" customHeight="1" s="38"/>
    <row r="419" ht="14.25" customHeight="1" s="38"/>
    <row r="420" ht="14.25" customHeight="1" s="38"/>
    <row r="421" ht="14.25" customHeight="1" s="38"/>
    <row r="422" ht="14.25" customHeight="1" s="38"/>
    <row r="423" ht="14.25" customHeight="1" s="38"/>
    <row r="424" ht="14.25" customHeight="1" s="38"/>
    <row r="425" ht="14.25" customHeight="1" s="38"/>
    <row r="426" ht="14.25" customHeight="1" s="38"/>
    <row r="427" ht="14.25" customHeight="1" s="38"/>
    <row r="428" ht="14.25" customHeight="1" s="38"/>
    <row r="429" ht="14.25" customHeight="1" s="38"/>
    <row r="430" ht="14.25" customHeight="1" s="38"/>
    <row r="431" ht="14.25" customHeight="1" s="38"/>
    <row r="432" ht="14.25" customHeight="1" s="38"/>
    <row r="433" ht="14.25" customHeight="1" s="38"/>
    <row r="434" ht="14.25" customHeight="1" s="38"/>
    <row r="435" ht="14.25" customHeight="1" s="38"/>
    <row r="436" ht="14.25" customHeight="1" s="38"/>
    <row r="437" ht="14.25" customHeight="1" s="38"/>
    <row r="438" ht="14.25" customHeight="1" s="38"/>
    <row r="439" ht="14.25" customHeight="1" s="38"/>
    <row r="440" ht="14.25" customHeight="1" s="38"/>
    <row r="441" ht="14.25" customHeight="1" s="38"/>
    <row r="442" ht="14.25" customHeight="1" s="38"/>
    <row r="443" ht="14.25" customHeight="1" s="38"/>
    <row r="444" ht="14.25" customHeight="1" s="38"/>
    <row r="445" ht="14.25" customHeight="1" s="38"/>
    <row r="446" ht="14.25" customHeight="1" s="38"/>
    <row r="447" ht="14.25" customHeight="1" s="38"/>
    <row r="448" ht="14.25" customHeight="1" s="38"/>
    <row r="449" ht="14.25" customHeight="1" s="38"/>
    <row r="450" ht="14.25" customHeight="1" s="38"/>
    <row r="451" ht="14.25" customHeight="1" s="38"/>
    <row r="452" ht="14.25" customHeight="1" s="38"/>
    <row r="453" ht="14.25" customHeight="1" s="38"/>
    <row r="454" ht="14.25" customHeight="1" s="38"/>
    <row r="455" ht="14.25" customHeight="1" s="38"/>
    <row r="456" ht="14.25" customHeight="1" s="38"/>
    <row r="457" ht="14.25" customHeight="1" s="38"/>
    <row r="458" ht="14.25" customHeight="1" s="38"/>
    <row r="459" ht="14.25" customHeight="1" s="38"/>
    <row r="460" ht="14.25" customHeight="1" s="38"/>
    <row r="461" ht="14.25" customHeight="1" s="38"/>
    <row r="462" ht="14.25" customHeight="1" s="38"/>
    <row r="463" ht="14.25" customHeight="1" s="38"/>
    <row r="464" ht="14.25" customHeight="1" s="38"/>
    <row r="465" ht="14.25" customHeight="1" s="38"/>
    <row r="466" ht="14.25" customHeight="1" s="38"/>
    <row r="467" ht="14.25" customHeight="1" s="38"/>
    <row r="468" ht="14.25" customHeight="1" s="38"/>
    <row r="469" ht="14.25" customHeight="1" s="38"/>
    <row r="470" ht="14.25" customHeight="1" s="38"/>
    <row r="471" ht="14.25" customHeight="1" s="38"/>
    <row r="472" ht="14.25" customHeight="1" s="38"/>
    <row r="473" ht="14.25" customHeight="1" s="38"/>
    <row r="474" ht="14.25" customHeight="1" s="38"/>
    <row r="475" ht="14.25" customHeight="1" s="38"/>
    <row r="476" ht="14.25" customHeight="1" s="38"/>
    <row r="477" ht="14.25" customHeight="1" s="38"/>
    <row r="478" ht="14.25" customHeight="1" s="38"/>
    <row r="479" ht="14.25" customHeight="1" s="38"/>
    <row r="480" ht="14.25" customHeight="1" s="38"/>
    <row r="481" ht="14.25" customHeight="1" s="38"/>
    <row r="482" ht="14.25" customHeight="1" s="38"/>
    <row r="483" ht="14.25" customHeight="1" s="38"/>
    <row r="484" ht="14.25" customHeight="1" s="38"/>
    <row r="485" ht="14.25" customHeight="1" s="38"/>
    <row r="486" ht="14.25" customHeight="1" s="38"/>
    <row r="487" ht="14.25" customHeight="1" s="38"/>
    <row r="488" ht="14.25" customHeight="1" s="38"/>
    <row r="489" ht="14.25" customHeight="1" s="38"/>
    <row r="490" ht="14.25" customHeight="1" s="38"/>
    <row r="491" ht="14.25" customHeight="1" s="38"/>
    <row r="492" ht="14.25" customHeight="1" s="38"/>
    <row r="493" ht="14.25" customHeight="1" s="38"/>
    <row r="494" ht="14.25" customHeight="1" s="38"/>
    <row r="495" ht="14.25" customHeight="1" s="38"/>
    <row r="496" ht="14.25" customHeight="1" s="38"/>
    <row r="497" ht="14.25" customHeight="1" s="38"/>
    <row r="498" ht="14.25" customHeight="1" s="38"/>
    <row r="499" ht="14.25" customHeight="1" s="38"/>
    <row r="500" ht="14.25" customHeight="1" s="38"/>
    <row r="501" ht="14.25" customHeight="1" s="38"/>
    <row r="502" ht="14.25" customHeight="1" s="38"/>
    <row r="503" ht="14.25" customHeight="1" s="38"/>
    <row r="504" ht="14.25" customHeight="1" s="38"/>
    <row r="505" ht="14.25" customHeight="1" s="38"/>
    <row r="506" ht="14.25" customHeight="1" s="38"/>
    <row r="507" ht="14.25" customHeight="1" s="38"/>
    <row r="508" ht="14.25" customHeight="1" s="38"/>
    <row r="509" ht="14.25" customHeight="1" s="38"/>
    <row r="510" ht="14.25" customHeight="1" s="38"/>
    <row r="511" ht="14.25" customHeight="1" s="38"/>
    <row r="512" ht="14.25" customHeight="1" s="38"/>
    <row r="513" ht="14.25" customHeight="1" s="38"/>
    <row r="514" ht="14.25" customHeight="1" s="38"/>
    <row r="515" ht="14.25" customHeight="1" s="38"/>
    <row r="516" ht="14.25" customHeight="1" s="38"/>
    <row r="517" ht="14.25" customHeight="1" s="38"/>
    <row r="518" ht="14.25" customHeight="1" s="38"/>
    <row r="519" ht="14.25" customHeight="1" s="38"/>
    <row r="520" ht="14.25" customHeight="1" s="38"/>
    <row r="521" ht="14.25" customHeight="1" s="38"/>
    <row r="522" ht="14.25" customHeight="1" s="38"/>
    <row r="523" ht="14.25" customHeight="1" s="38"/>
    <row r="524" ht="14.25" customHeight="1" s="38"/>
    <row r="525" ht="14.25" customHeight="1" s="38"/>
    <row r="526" ht="14.25" customHeight="1" s="38"/>
    <row r="527" ht="14.25" customHeight="1" s="38"/>
    <row r="528" ht="14.25" customHeight="1" s="38"/>
    <row r="529" ht="14.25" customHeight="1" s="38"/>
    <row r="530" ht="14.25" customHeight="1" s="38"/>
    <row r="531" ht="14.25" customHeight="1" s="38"/>
    <row r="532" ht="14.25" customHeight="1" s="38"/>
    <row r="533" ht="14.25" customHeight="1" s="38"/>
    <row r="534" ht="14.25" customHeight="1" s="38"/>
    <row r="535" ht="14.25" customHeight="1" s="38"/>
    <row r="536" ht="14.25" customHeight="1" s="38"/>
    <row r="537" ht="14.25" customHeight="1" s="38"/>
    <row r="538" ht="14.25" customHeight="1" s="38"/>
    <row r="539" ht="14.25" customHeight="1" s="38"/>
    <row r="540" ht="14.25" customHeight="1" s="38"/>
    <row r="541" ht="14.25" customHeight="1" s="38"/>
    <row r="542" ht="14.25" customHeight="1" s="38"/>
    <row r="543" ht="14.25" customHeight="1" s="38"/>
    <row r="544" ht="14.25" customHeight="1" s="38"/>
    <row r="545" ht="14.25" customHeight="1" s="38"/>
    <row r="546" ht="14.25" customHeight="1" s="38"/>
    <row r="547" ht="14.25" customHeight="1" s="38"/>
    <row r="548" ht="14.25" customHeight="1" s="38"/>
    <row r="549" ht="14.25" customHeight="1" s="38"/>
    <row r="550" ht="14.25" customHeight="1" s="38"/>
    <row r="551" ht="14.25" customHeight="1" s="38"/>
    <row r="552" ht="14.25" customHeight="1" s="38"/>
    <row r="553" ht="14.25" customHeight="1" s="38"/>
    <row r="554" ht="14.25" customHeight="1" s="38"/>
    <row r="555" ht="14.25" customHeight="1" s="38"/>
    <row r="556" ht="14.25" customHeight="1" s="38"/>
    <row r="557" ht="14.25" customHeight="1" s="38"/>
    <row r="558" ht="14.25" customHeight="1" s="38"/>
    <row r="559" ht="14.25" customHeight="1" s="38"/>
    <row r="560" ht="14.25" customHeight="1" s="38"/>
    <row r="561" ht="14.25" customHeight="1" s="38"/>
    <row r="562" ht="14.25" customHeight="1" s="38"/>
    <row r="563" ht="14.25" customHeight="1" s="38"/>
    <row r="564" ht="14.25" customHeight="1" s="38"/>
    <row r="565" ht="14.25" customHeight="1" s="38"/>
    <row r="566" ht="14.25" customHeight="1" s="38"/>
    <row r="567" ht="14.25" customHeight="1" s="38"/>
    <row r="568" ht="14.25" customHeight="1" s="38"/>
    <row r="569" ht="14.25" customHeight="1" s="38"/>
    <row r="570" ht="14.25" customHeight="1" s="38"/>
    <row r="571" ht="14.25" customHeight="1" s="38"/>
    <row r="572" ht="14.25" customHeight="1" s="38"/>
    <row r="573" ht="14.25" customHeight="1" s="38"/>
    <row r="574" ht="14.25" customHeight="1" s="38"/>
    <row r="575" ht="14.25" customHeight="1" s="38"/>
    <row r="576" ht="14.25" customHeight="1" s="38"/>
    <row r="577" ht="14.25" customHeight="1" s="38"/>
    <row r="578" ht="14.25" customHeight="1" s="38"/>
    <row r="579" ht="14.25" customHeight="1" s="38"/>
    <row r="580" ht="14.25" customHeight="1" s="38"/>
    <row r="581" ht="14.25" customHeight="1" s="38"/>
    <row r="582" ht="14.25" customHeight="1" s="38"/>
    <row r="583" ht="14.25" customHeight="1" s="38"/>
    <row r="584" ht="14.25" customHeight="1" s="38"/>
    <row r="585" ht="14.25" customHeight="1" s="38"/>
    <row r="586" ht="14.25" customHeight="1" s="38"/>
    <row r="587" ht="14.25" customHeight="1" s="38"/>
    <row r="588" ht="14.25" customHeight="1" s="38"/>
    <row r="589" ht="14.25" customHeight="1" s="38"/>
    <row r="590" ht="14.25" customHeight="1" s="38"/>
    <row r="591" ht="14.25" customHeight="1" s="38"/>
    <row r="592" ht="14.25" customHeight="1" s="38"/>
    <row r="593" ht="14.25" customHeight="1" s="38"/>
    <row r="594" ht="14.25" customHeight="1" s="38"/>
    <row r="595" ht="14.25" customHeight="1" s="38"/>
    <row r="596" ht="14.25" customHeight="1" s="38"/>
    <row r="597" ht="14.25" customHeight="1" s="38"/>
    <row r="598" ht="14.25" customHeight="1" s="38"/>
    <row r="599" ht="14.25" customHeight="1" s="38"/>
    <row r="600" ht="14.25" customHeight="1" s="38"/>
    <row r="601" ht="14.25" customHeight="1" s="38"/>
    <row r="602" ht="14.25" customHeight="1" s="38"/>
    <row r="603" ht="14.25" customHeight="1" s="38"/>
    <row r="604" ht="14.25" customHeight="1" s="38"/>
    <row r="605" ht="14.25" customHeight="1" s="38"/>
    <row r="606" ht="14.25" customHeight="1" s="38"/>
    <row r="607" ht="14.25" customHeight="1" s="38"/>
    <row r="608" ht="14.25" customHeight="1" s="38"/>
    <row r="609" ht="14.25" customHeight="1" s="38"/>
    <row r="610" ht="14.25" customHeight="1" s="38"/>
    <row r="611" ht="14.25" customHeight="1" s="38"/>
    <row r="612" ht="14.25" customHeight="1" s="38"/>
    <row r="613" ht="14.25" customHeight="1" s="38"/>
    <row r="614" ht="14.25" customHeight="1" s="38"/>
    <row r="615" ht="14.25" customHeight="1" s="38"/>
    <row r="616" ht="14.25" customHeight="1" s="38"/>
    <row r="617" ht="14.25" customHeight="1" s="38"/>
    <row r="618" ht="14.25" customHeight="1" s="38"/>
    <row r="619" ht="14.25" customHeight="1" s="38"/>
    <row r="620" ht="14.25" customHeight="1" s="38"/>
    <row r="621" ht="14.25" customHeight="1" s="38"/>
    <row r="622" ht="14.25" customHeight="1" s="38"/>
    <row r="623" ht="14.25" customHeight="1" s="38"/>
    <row r="624" ht="14.25" customHeight="1" s="38"/>
    <row r="625" ht="14.25" customHeight="1" s="38"/>
    <row r="626" ht="14.25" customHeight="1" s="38"/>
    <row r="627" ht="14.25" customHeight="1" s="38"/>
    <row r="628" ht="14.25" customHeight="1" s="38"/>
    <row r="629" ht="14.25" customHeight="1" s="38"/>
    <row r="630" ht="14.25" customHeight="1" s="38"/>
    <row r="631" ht="14.25" customHeight="1" s="38"/>
    <row r="632" ht="14.25" customHeight="1" s="38"/>
    <row r="633" ht="14.25" customHeight="1" s="38"/>
    <row r="634" ht="14.25" customHeight="1" s="38"/>
    <row r="635" ht="14.25" customHeight="1" s="38"/>
    <row r="636" ht="14.25" customHeight="1" s="38"/>
    <row r="637" ht="14.25" customHeight="1" s="38"/>
    <row r="638" ht="14.25" customHeight="1" s="38"/>
    <row r="639" ht="14.25" customHeight="1" s="38"/>
    <row r="640" ht="14.25" customHeight="1" s="38"/>
    <row r="641" ht="14.25" customHeight="1" s="38"/>
    <row r="642" ht="14.25" customHeight="1" s="38"/>
    <row r="643" ht="14.25" customHeight="1" s="38"/>
    <row r="644" ht="14.25" customHeight="1" s="38"/>
    <row r="645" ht="14.25" customHeight="1" s="38"/>
    <row r="646" ht="14.25" customHeight="1" s="38"/>
    <row r="647" ht="14.25" customHeight="1" s="38"/>
    <row r="648" ht="14.25" customHeight="1" s="38"/>
    <row r="649" ht="14.25" customHeight="1" s="38"/>
    <row r="650" ht="14.25" customHeight="1" s="38"/>
    <row r="651" ht="14.25" customHeight="1" s="38"/>
    <row r="652" ht="14.25" customHeight="1" s="38"/>
    <row r="653" ht="14.25" customHeight="1" s="38"/>
    <row r="654" ht="14.25" customHeight="1" s="38"/>
    <row r="655" ht="14.25" customHeight="1" s="38"/>
    <row r="656" ht="14.25" customHeight="1" s="38"/>
    <row r="657" ht="14.25" customHeight="1" s="38"/>
    <row r="658" ht="14.25" customHeight="1" s="38"/>
    <row r="659" ht="14.25" customHeight="1" s="38"/>
    <row r="660" ht="14.25" customHeight="1" s="38"/>
    <row r="661" ht="14.25" customHeight="1" s="38"/>
    <row r="662" ht="14.25" customHeight="1" s="38"/>
    <row r="663" ht="14.25" customHeight="1" s="38"/>
    <row r="664" ht="14.25" customHeight="1" s="38"/>
    <row r="665" ht="14.25" customHeight="1" s="38"/>
    <row r="666" ht="14.25" customHeight="1" s="38"/>
    <row r="667" ht="14.25" customHeight="1" s="38"/>
    <row r="668" ht="14.25" customHeight="1" s="38"/>
    <row r="669" ht="14.25" customHeight="1" s="38"/>
    <row r="670" ht="14.25" customHeight="1" s="38"/>
    <row r="671" ht="14.25" customHeight="1" s="38"/>
    <row r="672" ht="14.25" customHeight="1" s="38"/>
    <row r="673" ht="14.25" customHeight="1" s="38"/>
    <row r="674" ht="14.25" customHeight="1" s="38"/>
    <row r="675" ht="14.25" customHeight="1" s="38"/>
    <row r="676" ht="14.25" customHeight="1" s="38"/>
    <row r="677" ht="14.25" customHeight="1" s="38"/>
    <row r="678" ht="14.25" customHeight="1" s="38"/>
    <row r="679" ht="14.25" customHeight="1" s="38"/>
    <row r="680" ht="14.25" customHeight="1" s="38"/>
    <row r="681" ht="14.25" customHeight="1" s="38"/>
    <row r="682" ht="14.25" customHeight="1" s="38"/>
    <row r="683" ht="14.25" customHeight="1" s="38"/>
    <row r="684" ht="14.25" customHeight="1" s="38"/>
    <row r="685" ht="14.25" customHeight="1" s="38"/>
    <row r="686" ht="14.25" customHeight="1" s="38"/>
    <row r="687" ht="14.25" customHeight="1" s="38"/>
    <row r="688" ht="14.25" customHeight="1" s="38"/>
    <row r="689" ht="14.25" customHeight="1" s="38"/>
    <row r="690" ht="14.25" customHeight="1" s="38"/>
    <row r="691" ht="14.25" customHeight="1" s="38"/>
    <row r="692" ht="14.25" customHeight="1" s="38"/>
    <row r="693" ht="14.25" customHeight="1" s="38"/>
    <row r="694" ht="14.25" customHeight="1" s="38"/>
    <row r="695" ht="14.25" customHeight="1" s="38"/>
    <row r="696" ht="14.25" customHeight="1" s="38"/>
    <row r="697" ht="14.25" customHeight="1" s="38"/>
    <row r="698" ht="14.25" customHeight="1" s="38"/>
    <row r="699" ht="14.25" customHeight="1" s="38"/>
    <row r="700" ht="14.25" customHeight="1" s="38"/>
    <row r="701" ht="14.25" customHeight="1" s="38"/>
    <row r="702" ht="14.25" customHeight="1" s="38"/>
    <row r="703" ht="14.25" customHeight="1" s="38"/>
    <row r="704" ht="14.25" customHeight="1" s="38"/>
    <row r="705" ht="14.25" customHeight="1" s="38"/>
    <row r="706" ht="14.25" customHeight="1" s="38"/>
    <row r="707" ht="14.25" customHeight="1" s="38"/>
    <row r="708" ht="14.25" customHeight="1" s="38"/>
    <row r="709" ht="14.25" customHeight="1" s="38"/>
    <row r="710" ht="14.25" customHeight="1" s="38"/>
    <row r="711" ht="14.25" customHeight="1" s="38"/>
    <row r="712" ht="14.25" customHeight="1" s="38"/>
    <row r="713" ht="14.25" customHeight="1" s="38"/>
    <row r="714" ht="14.25" customHeight="1" s="38"/>
    <row r="715" ht="14.25" customHeight="1" s="38"/>
    <row r="716" ht="14.25" customHeight="1" s="38"/>
    <row r="717" ht="14.25" customHeight="1" s="38"/>
    <row r="718" ht="14.25" customHeight="1" s="38"/>
    <row r="719" ht="14.25" customHeight="1" s="38"/>
    <row r="720" ht="14.25" customHeight="1" s="38"/>
    <row r="721" ht="14.25" customHeight="1" s="38"/>
    <row r="722" ht="14.25" customHeight="1" s="38"/>
    <row r="723" ht="14.25" customHeight="1" s="38"/>
    <row r="724" ht="14.25" customHeight="1" s="38"/>
    <row r="725" ht="14.25" customHeight="1" s="38"/>
    <row r="726" ht="14.25" customHeight="1" s="38"/>
    <row r="727" ht="14.25" customHeight="1" s="38"/>
    <row r="728" ht="14.25" customHeight="1" s="38"/>
    <row r="729" ht="14.25" customHeight="1" s="38"/>
    <row r="730" ht="14.25" customHeight="1" s="38"/>
    <row r="731" ht="14.25" customHeight="1" s="38"/>
    <row r="732" ht="14.25" customHeight="1" s="38"/>
    <row r="733" ht="14.25" customHeight="1" s="38"/>
    <row r="734" ht="14.25" customHeight="1" s="38"/>
    <row r="735" ht="14.25" customHeight="1" s="38"/>
    <row r="736" ht="14.25" customHeight="1" s="38"/>
    <row r="737" ht="14.25" customHeight="1" s="38"/>
    <row r="738" ht="14.25" customHeight="1" s="38"/>
    <row r="739" ht="14.25" customHeight="1" s="38"/>
    <row r="740" ht="14.25" customHeight="1" s="38"/>
    <row r="741" ht="14.25" customHeight="1" s="38"/>
    <row r="742" ht="14.25" customHeight="1" s="38"/>
    <row r="743" ht="14.25" customHeight="1" s="38"/>
    <row r="744" ht="14.25" customHeight="1" s="38"/>
    <row r="745" ht="14.25" customHeight="1" s="38"/>
    <row r="746" ht="14.25" customHeight="1" s="38"/>
    <row r="747" ht="14.25" customHeight="1" s="38"/>
    <row r="748" ht="14.25" customHeight="1" s="38"/>
    <row r="749" ht="14.25" customHeight="1" s="38"/>
    <row r="750" ht="14.25" customHeight="1" s="38"/>
    <row r="751" ht="14.25" customHeight="1" s="38"/>
    <row r="752" ht="14.25" customHeight="1" s="38"/>
    <row r="753" ht="14.25" customHeight="1" s="38"/>
    <row r="754" ht="14.25" customHeight="1" s="38"/>
    <row r="755" ht="14.25" customHeight="1" s="38"/>
    <row r="756" ht="14.25" customHeight="1" s="38"/>
    <row r="757" ht="14.25" customHeight="1" s="38"/>
    <row r="758" ht="14.25" customHeight="1" s="38"/>
    <row r="759" ht="14.25" customHeight="1" s="38"/>
    <row r="760" ht="14.25" customHeight="1" s="38"/>
    <row r="761" ht="14.25" customHeight="1" s="38"/>
    <row r="762" ht="14.25" customHeight="1" s="38"/>
    <row r="763" ht="14.25" customHeight="1" s="38"/>
    <row r="764" ht="14.25" customHeight="1" s="38"/>
    <row r="765" ht="14.25" customHeight="1" s="38"/>
    <row r="766" ht="14.25" customHeight="1" s="38"/>
    <row r="767" ht="14.25" customHeight="1" s="38"/>
    <row r="768" ht="14.25" customHeight="1" s="38"/>
    <row r="769" ht="14.25" customHeight="1" s="38"/>
    <row r="770" ht="14.25" customHeight="1" s="38"/>
    <row r="771" ht="14.25" customHeight="1" s="38"/>
    <row r="772" ht="14.25" customHeight="1" s="38"/>
    <row r="773" ht="14.25" customHeight="1" s="38"/>
    <row r="774" ht="14.25" customHeight="1" s="38"/>
    <row r="775" ht="14.25" customHeight="1" s="38"/>
    <row r="776" ht="14.25" customHeight="1" s="38"/>
    <row r="777" ht="14.25" customHeight="1" s="38"/>
    <row r="778" ht="14.25" customHeight="1" s="38"/>
    <row r="779" ht="14.25" customHeight="1" s="38"/>
    <row r="780" ht="14.25" customHeight="1" s="38"/>
    <row r="781" ht="14.25" customHeight="1" s="38"/>
    <row r="782" ht="14.25" customHeight="1" s="38"/>
    <row r="783" ht="14.25" customHeight="1" s="38"/>
    <row r="784" ht="14.25" customHeight="1" s="38"/>
    <row r="785" ht="14.25" customHeight="1" s="38"/>
    <row r="786" ht="14.25" customHeight="1" s="38"/>
    <row r="787" ht="14.25" customHeight="1" s="38"/>
    <row r="788" ht="14.25" customHeight="1" s="38"/>
    <row r="789" ht="14.25" customHeight="1" s="38"/>
    <row r="790" ht="14.25" customHeight="1" s="38"/>
    <row r="791" ht="14.25" customHeight="1" s="38"/>
    <row r="792" ht="14.25" customHeight="1" s="38"/>
    <row r="793" ht="14.25" customHeight="1" s="38"/>
    <row r="794" ht="14.25" customHeight="1" s="38"/>
    <row r="795" ht="14.25" customHeight="1" s="38"/>
    <row r="796" ht="14.25" customHeight="1" s="38"/>
    <row r="797" ht="14.25" customHeight="1" s="38"/>
    <row r="798" ht="14.25" customHeight="1" s="38"/>
    <row r="799" ht="14.25" customHeight="1" s="38"/>
    <row r="800" ht="14.25" customHeight="1" s="38"/>
    <row r="801" ht="14.25" customHeight="1" s="38"/>
    <row r="802" ht="14.25" customHeight="1" s="38"/>
    <row r="803" ht="14.25" customHeight="1" s="38"/>
    <row r="804" ht="14.25" customHeight="1" s="38"/>
    <row r="805" ht="14.25" customHeight="1" s="38"/>
    <row r="806" ht="14.25" customHeight="1" s="38"/>
    <row r="807" ht="14.25" customHeight="1" s="38"/>
    <row r="808" ht="14.25" customHeight="1" s="38"/>
    <row r="809" ht="14.25" customHeight="1" s="38"/>
    <row r="810" ht="14.25" customHeight="1" s="38"/>
    <row r="811" ht="14.25" customHeight="1" s="38"/>
    <row r="812" ht="14.25" customHeight="1" s="38"/>
    <row r="813" ht="14.25" customHeight="1" s="38"/>
    <row r="814" ht="14.25" customHeight="1" s="38"/>
    <row r="815" ht="14.25" customHeight="1" s="38"/>
    <row r="816" ht="14.25" customHeight="1" s="38"/>
    <row r="817" ht="14.25" customHeight="1" s="38"/>
    <row r="818" ht="14.25" customHeight="1" s="38"/>
    <row r="819" ht="14.25" customHeight="1" s="38"/>
    <row r="820" ht="14.25" customHeight="1" s="38"/>
    <row r="821" ht="14.25" customHeight="1" s="38"/>
    <row r="822" ht="14.25" customHeight="1" s="38"/>
    <row r="823" ht="14.25" customHeight="1" s="38"/>
    <row r="824" ht="14.25" customHeight="1" s="38"/>
    <row r="825" ht="14.25" customHeight="1" s="38"/>
    <row r="826" ht="14.25" customHeight="1" s="38"/>
    <row r="827" ht="14.25" customHeight="1" s="38"/>
    <row r="828" ht="14.25" customHeight="1" s="38"/>
    <row r="829" ht="14.25" customHeight="1" s="38"/>
    <row r="830" ht="14.25" customHeight="1" s="38"/>
    <row r="831" ht="14.25" customHeight="1" s="38"/>
    <row r="832" ht="14.25" customHeight="1" s="38"/>
    <row r="833" ht="14.25" customHeight="1" s="38"/>
    <row r="834" ht="14.25" customHeight="1" s="38"/>
    <row r="835" ht="14.25" customHeight="1" s="38"/>
    <row r="836" ht="14.25" customHeight="1" s="38"/>
    <row r="837" ht="14.25" customHeight="1" s="38"/>
    <row r="838" ht="14.25" customHeight="1" s="38"/>
    <row r="839" ht="14.25" customHeight="1" s="38"/>
    <row r="840" ht="14.25" customHeight="1" s="38"/>
    <row r="841" ht="14.25" customHeight="1" s="38"/>
    <row r="842" ht="14.25" customHeight="1" s="38"/>
    <row r="843" ht="14.25" customHeight="1" s="38"/>
    <row r="844" ht="14.25" customHeight="1" s="38"/>
    <row r="845" ht="14.25" customHeight="1" s="38"/>
    <row r="846" ht="14.25" customHeight="1" s="38"/>
    <row r="847" ht="14.25" customHeight="1" s="38"/>
    <row r="848" ht="14.25" customHeight="1" s="38"/>
    <row r="849" ht="14.25" customHeight="1" s="38"/>
    <row r="850" ht="14.25" customHeight="1" s="38"/>
    <row r="851" ht="14.25" customHeight="1" s="38"/>
    <row r="852" ht="14.25" customHeight="1" s="38"/>
    <row r="853" ht="14.25" customHeight="1" s="38"/>
    <row r="854" ht="14.25" customHeight="1" s="38"/>
    <row r="855" ht="14.25" customHeight="1" s="38"/>
    <row r="856" ht="14.25" customHeight="1" s="38"/>
    <row r="857" ht="14.25" customHeight="1" s="38"/>
    <row r="858" ht="14.25" customHeight="1" s="38"/>
    <row r="859" ht="14.25" customHeight="1" s="38"/>
    <row r="860" ht="14.25" customHeight="1" s="38"/>
    <row r="861" ht="14.25" customHeight="1" s="38"/>
    <row r="862" ht="14.25" customHeight="1" s="38"/>
    <row r="863" ht="14.25" customHeight="1" s="38"/>
    <row r="864" ht="14.25" customHeight="1" s="38"/>
    <row r="865" ht="14.25" customHeight="1" s="38"/>
    <row r="866" ht="14.25" customHeight="1" s="38"/>
    <row r="867" ht="14.25" customHeight="1" s="38"/>
    <row r="868" ht="14.25" customHeight="1" s="38"/>
    <row r="869" ht="14.25" customHeight="1" s="38"/>
    <row r="870" ht="14.25" customHeight="1" s="38"/>
    <row r="871" ht="14.25" customHeight="1" s="38"/>
    <row r="872" ht="14.25" customHeight="1" s="38"/>
    <row r="873" ht="14.25" customHeight="1" s="38"/>
    <row r="874" ht="14.25" customHeight="1" s="38"/>
    <row r="875" ht="14.25" customHeight="1" s="38"/>
    <row r="876" ht="14.25" customHeight="1" s="38"/>
    <row r="877" ht="14.25" customHeight="1" s="38"/>
    <row r="878" ht="14.25" customHeight="1" s="38"/>
    <row r="879" ht="14.25" customHeight="1" s="38"/>
    <row r="880" ht="14.25" customHeight="1" s="38"/>
    <row r="881" ht="14.25" customHeight="1" s="38"/>
    <row r="882" ht="14.25" customHeight="1" s="38"/>
    <row r="883" ht="14.25" customHeight="1" s="38"/>
    <row r="884" ht="14.25" customHeight="1" s="38"/>
    <row r="885" ht="14.25" customHeight="1" s="38"/>
    <row r="886" ht="14.25" customHeight="1" s="38"/>
    <row r="887" ht="14.25" customHeight="1" s="38"/>
    <row r="888" ht="14.25" customHeight="1" s="38"/>
    <row r="889" ht="14.25" customHeight="1" s="38"/>
    <row r="890" ht="14.25" customHeight="1" s="38"/>
    <row r="891" ht="14.25" customHeight="1" s="38"/>
    <row r="892" ht="14.25" customHeight="1" s="38"/>
    <row r="893" ht="14.25" customHeight="1" s="38"/>
    <row r="894" ht="14.25" customHeight="1" s="38"/>
    <row r="895" ht="14.25" customHeight="1" s="38"/>
    <row r="896" ht="14.25" customHeight="1" s="38"/>
    <row r="897" ht="14.25" customHeight="1" s="38"/>
    <row r="898" ht="14.25" customHeight="1" s="38"/>
    <row r="899" ht="14.25" customHeight="1" s="38"/>
    <row r="900" ht="14.25" customHeight="1" s="38"/>
    <row r="901" ht="14.25" customHeight="1" s="38"/>
    <row r="902" ht="14.25" customHeight="1" s="38"/>
    <row r="903" ht="14.25" customHeight="1" s="38"/>
    <row r="904" ht="14.25" customHeight="1" s="38"/>
    <row r="905" ht="14.25" customHeight="1" s="38"/>
    <row r="906" ht="14.25" customHeight="1" s="38"/>
    <row r="907" ht="14.25" customHeight="1" s="38"/>
    <row r="908" ht="14.25" customHeight="1" s="38"/>
    <row r="909" ht="14.25" customHeight="1" s="38"/>
    <row r="910" ht="14.25" customHeight="1" s="38"/>
    <row r="911" ht="14.25" customHeight="1" s="38"/>
    <row r="912" ht="14.25" customHeight="1" s="38"/>
    <row r="913" ht="14.25" customHeight="1" s="38"/>
    <row r="914" ht="14.25" customHeight="1" s="38"/>
    <row r="915" ht="14.25" customHeight="1" s="38"/>
    <row r="916" ht="14.25" customHeight="1" s="38"/>
    <row r="917" ht="14.25" customHeight="1" s="38"/>
    <row r="918" ht="14.25" customHeight="1" s="38"/>
    <row r="919" ht="14.25" customHeight="1" s="38"/>
    <row r="920" ht="14.25" customHeight="1" s="38"/>
    <row r="921" ht="14.25" customHeight="1" s="38"/>
    <row r="922" ht="14.25" customHeight="1" s="38"/>
    <row r="923" ht="14.25" customHeight="1" s="38"/>
    <row r="924" ht="14.25" customHeight="1" s="38"/>
    <row r="925" ht="14.25" customHeight="1" s="38"/>
    <row r="926" ht="14.25" customHeight="1" s="38"/>
    <row r="927" ht="14.25" customHeight="1" s="38"/>
    <row r="928" ht="14.25" customHeight="1" s="38"/>
    <row r="929" ht="14.25" customHeight="1" s="38"/>
    <row r="930" ht="14.25" customHeight="1" s="38"/>
    <row r="931" ht="14.25" customHeight="1" s="38"/>
    <row r="932" ht="14.25" customHeight="1" s="38"/>
    <row r="933" ht="14.25" customHeight="1" s="38"/>
    <row r="934" ht="14.25" customHeight="1" s="38"/>
    <row r="935" ht="14.25" customHeight="1" s="38"/>
    <row r="936" ht="14.25" customHeight="1" s="38"/>
    <row r="937" ht="14.25" customHeight="1" s="38"/>
    <row r="938" ht="14.25" customHeight="1" s="38"/>
    <row r="939" ht="14.25" customHeight="1" s="38"/>
    <row r="940" ht="14.25" customHeight="1" s="38"/>
    <row r="941" ht="14.25" customHeight="1" s="38"/>
    <row r="942" ht="14.25" customHeight="1" s="38"/>
    <row r="943" ht="14.25" customHeight="1" s="38"/>
    <row r="944" ht="14.25" customHeight="1" s="38"/>
    <row r="945" ht="14.25" customHeight="1" s="38"/>
    <row r="946" ht="14.25" customHeight="1" s="38"/>
    <row r="947" ht="14.25" customHeight="1" s="38"/>
    <row r="948" ht="14.25" customHeight="1" s="38"/>
    <row r="949" ht="14.25" customHeight="1" s="38"/>
    <row r="950" ht="14.25" customHeight="1" s="38"/>
    <row r="951" ht="14.25" customHeight="1" s="38"/>
    <row r="952" ht="14.25" customHeight="1" s="38"/>
    <row r="953" ht="14.25" customHeight="1" s="38"/>
    <row r="954" ht="14.25" customHeight="1" s="38"/>
    <row r="955" ht="14.25" customHeight="1" s="38"/>
    <row r="956" ht="14.25" customHeight="1" s="38"/>
    <row r="957" ht="14.25" customHeight="1" s="38"/>
    <row r="958" ht="14.25" customHeight="1" s="38"/>
    <row r="959" ht="14.25" customHeight="1" s="38"/>
    <row r="960" ht="14.25" customHeight="1" s="38"/>
    <row r="961" ht="14.25" customHeight="1" s="38"/>
    <row r="962" ht="14.25" customHeight="1" s="38"/>
    <row r="963" ht="14.25" customHeight="1" s="38"/>
    <row r="964" ht="14.25" customHeight="1" s="38"/>
    <row r="965" ht="14.25" customHeight="1" s="38"/>
    <row r="966" ht="14.25" customHeight="1" s="38"/>
    <row r="967" ht="14.25" customHeight="1" s="38"/>
    <row r="968" ht="14.25" customHeight="1" s="38"/>
    <row r="969" ht="14.25" customHeight="1" s="38"/>
    <row r="970" ht="14.25" customHeight="1" s="38"/>
    <row r="971" ht="14.25" customHeight="1" s="38"/>
    <row r="972" ht="14.25" customHeight="1" s="38"/>
    <row r="973" ht="14.25" customHeight="1" s="38"/>
    <row r="974" ht="14.25" customHeight="1" s="38"/>
    <row r="975" ht="14.25" customHeight="1" s="38"/>
    <row r="976" ht="14.25" customHeight="1" s="38"/>
    <row r="977" ht="14.25" customHeight="1" s="38"/>
    <row r="978" ht="14.25" customHeight="1" s="38"/>
    <row r="979" ht="14.25" customHeight="1" s="38"/>
    <row r="980" ht="14.25" customHeight="1" s="38"/>
    <row r="981" ht="14.25" customHeight="1" s="38"/>
    <row r="982" ht="14.25" customHeight="1" s="38"/>
    <row r="983" ht="14.25" customHeight="1" s="38"/>
    <row r="984" ht="14.25" customHeight="1" s="38"/>
    <row r="985" ht="14.25" customHeight="1" s="38"/>
    <row r="986" ht="14.25" customHeight="1" s="38"/>
    <row r="987" ht="14.25" customHeight="1" s="38"/>
    <row r="988" ht="14.25" customHeight="1" s="38"/>
    <row r="989" ht="14.25" customHeight="1" s="38"/>
    <row r="990" ht="14.25" customHeight="1" s="38"/>
    <row r="991" ht="14.25" customHeight="1" s="38"/>
    <row r="992" ht="14.25" customHeight="1" s="38"/>
    <row r="993" ht="14.25" customHeight="1" s="38"/>
    <row r="994" ht="14.25" customHeight="1" s="38"/>
    <row r="995" ht="14.25" customHeight="1" s="38"/>
    <row r="996" ht="14.25" customHeight="1" s="38"/>
    <row r="997" ht="14.25" customHeight="1" s="38"/>
    <row r="998" ht="14.25" customHeight="1" s="38"/>
    <row r="999" ht="14.25" customHeight="1" s="38"/>
    <row r="1000" ht="14.25" customHeight="1" s="38"/>
    <row r="1001" ht="14.25" customHeight="1" s="38"/>
  </sheetData>
  <autoFilter ref="$A$1:$F$1001"/>
  <pageMargins left="0.25" right="0.25" top="0.35" bottom="0.35" header="0" footer="0"/>
  <pageSetup orientation="landscape" paperSize="9" fitToHeight="0"/>
  <headerFooter>
    <oddHeader/>
    <oddFooter>&amp;CParoki St. Klement I Sepinggan Balikpapan • Statistik 2026&amp;RHalaman &amp;P dari 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1001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38" min="1" max="1"/>
    <col width="28" customWidth="1" style="38" min="2" max="2"/>
    <col width="22" customWidth="1" style="38" min="3" max="3"/>
    <col width="18" customWidth="1" style="38" min="4" max="4"/>
    <col width="15" customWidth="1" style="38" min="5" max="5"/>
    <col width="18" customWidth="1" style="38" min="6" max="6"/>
    <col width="20" customWidth="1" style="38" min="7" max="7"/>
    <col width="30" customWidth="1" style="38" min="8" max="8"/>
    <col width="9" customWidth="1" style="38" min="9" max="26"/>
  </cols>
  <sheetData>
    <row r="1" ht="14.25" customHeight="1" s="38">
      <c r="A1" s="7" t="inlineStr">
        <is>
          <t>ID Umat</t>
        </is>
      </c>
      <c r="B1" s="7" t="inlineStr">
        <is>
          <t>Nama</t>
        </is>
      </c>
      <c r="C1" s="7" t="inlineStr">
        <is>
          <t>Lingkungan</t>
        </is>
      </c>
      <c r="D1" s="7" t="inlineStr">
        <is>
          <t>Jenis Kelamin</t>
        </is>
      </c>
      <c r="E1" s="7" t="inlineStr">
        <is>
          <t>Tanggal Lahir</t>
        </is>
      </c>
      <c r="F1" s="7" t="inlineStr">
        <is>
          <t>Tanggal Meninggal</t>
        </is>
      </c>
      <c r="G1" s="7" t="inlineStr">
        <is>
          <t>Umur Saat Meninggal</t>
        </is>
      </c>
      <c r="H1" s="7" t="inlineStr">
        <is>
          <t>Keterangan</t>
        </is>
      </c>
    </row>
    <row r="2" ht="14.25" customHeight="1" s="38">
      <c r="A2" s="9" t="n"/>
      <c r="B2" s="9" t="n"/>
      <c r="C2" s="9" t="n"/>
      <c r="D2" s="9" t="n"/>
      <c r="E2" s="9" t="n"/>
      <c r="F2" s="9" t="n"/>
      <c r="G2" s="9">
        <f>IF(OR(E2="",F2=""),"",DATEDIF(E2,F2,"Y"))</f>
        <v/>
      </c>
      <c r="H2" s="9" t="n"/>
    </row>
    <row r="3" ht="14.25" customHeight="1" s="38">
      <c r="A3" s="9" t="n"/>
      <c r="B3" s="9" t="n"/>
      <c r="C3" s="9" t="n"/>
      <c r="D3" s="9" t="n"/>
      <c r="E3" s="9" t="n"/>
      <c r="F3" s="9" t="n"/>
      <c r="G3" s="9">
        <f>IF(OR(E3="",F3=""),"",DATEDIF(E3,F3,"Y"))</f>
        <v/>
      </c>
      <c r="H3" s="9" t="n"/>
    </row>
    <row r="4" ht="14.25" customHeight="1" s="38">
      <c r="A4" s="9" t="n"/>
      <c r="B4" s="9" t="n"/>
      <c r="C4" s="9" t="n"/>
      <c r="D4" s="9" t="n"/>
      <c r="E4" s="9" t="n"/>
      <c r="F4" s="9" t="n"/>
      <c r="G4" s="9">
        <f>IF(OR(E4="",F4=""),"",DATEDIF(E4,F4,"Y"))</f>
        <v/>
      </c>
      <c r="H4" s="9" t="n"/>
    </row>
    <row r="5" ht="14.25" customHeight="1" s="38">
      <c r="A5" s="9" t="n"/>
      <c r="B5" s="9" t="n"/>
      <c r="C5" s="9" t="n"/>
      <c r="D5" s="9" t="n"/>
      <c r="E5" s="9" t="n"/>
      <c r="F5" s="9" t="n"/>
      <c r="G5" s="9">
        <f>IF(OR(E5="",F5=""),"",DATEDIF(E5,F5,"Y"))</f>
        <v/>
      </c>
      <c r="H5" s="9" t="n"/>
    </row>
    <row r="6" ht="14.25" customHeight="1" s="38">
      <c r="A6" s="9" t="n"/>
      <c r="B6" s="9" t="n"/>
      <c r="C6" s="9" t="n"/>
      <c r="D6" s="9" t="n"/>
      <c r="E6" s="9" t="n"/>
      <c r="F6" s="9" t="n"/>
      <c r="G6" s="9">
        <f>IF(OR(E6="",F6=""),"",DATEDIF(E6,F6,"Y"))</f>
        <v/>
      </c>
      <c r="H6" s="9" t="n"/>
    </row>
    <row r="7" ht="14.25" customHeight="1" s="38">
      <c r="A7" s="9" t="n"/>
      <c r="B7" s="9" t="n"/>
      <c r="C7" s="9" t="n"/>
      <c r="D7" s="9" t="n"/>
      <c r="E7" s="9" t="n"/>
      <c r="F7" s="9" t="n"/>
      <c r="G7" s="9">
        <f>IF(OR(E7="",F7=""),"",DATEDIF(E7,F7,"Y"))</f>
        <v/>
      </c>
      <c r="H7" s="9" t="n"/>
    </row>
    <row r="8" ht="14.25" customHeight="1" s="38">
      <c r="A8" s="9" t="n"/>
      <c r="B8" s="9" t="n"/>
      <c r="C8" s="9" t="n"/>
      <c r="D8" s="9" t="n"/>
      <c r="E8" s="9" t="n"/>
      <c r="F8" s="9" t="n"/>
      <c r="G8" s="9">
        <f>IF(OR(E8="",F8=""),"",DATEDIF(E8,F8,"Y"))</f>
        <v/>
      </c>
      <c r="H8" s="9" t="n"/>
    </row>
    <row r="9" ht="14.25" customHeight="1" s="38">
      <c r="A9" s="9" t="n"/>
      <c r="B9" s="9" t="n"/>
      <c r="C9" s="9" t="n"/>
      <c r="D9" s="9" t="n"/>
      <c r="E9" s="9" t="n"/>
      <c r="F9" s="9" t="n"/>
      <c r="G9" s="9">
        <f>IF(OR(E9="",F9=""),"",DATEDIF(E9,F9,"Y"))</f>
        <v/>
      </c>
      <c r="H9" s="9" t="n"/>
    </row>
    <row r="10" ht="14.25" customHeight="1" s="38">
      <c r="A10" s="9" t="n"/>
      <c r="B10" s="9" t="n"/>
      <c r="C10" s="9" t="n"/>
      <c r="D10" s="9" t="n"/>
      <c r="E10" s="9" t="n"/>
      <c r="F10" s="9" t="n"/>
      <c r="G10" s="9">
        <f>IF(OR(E10="",F10=""),"",DATEDIF(E10,F10,"Y"))</f>
        <v/>
      </c>
      <c r="H10" s="9" t="n"/>
    </row>
    <row r="11" ht="14.25" customHeight="1" s="38">
      <c r="A11" s="9" t="n"/>
      <c r="B11" s="9" t="n"/>
      <c r="C11" s="9" t="n"/>
      <c r="D11" s="9" t="n"/>
      <c r="E11" s="9" t="n"/>
      <c r="F11" s="9" t="n"/>
      <c r="G11" s="9">
        <f>IF(OR(E11="",F11=""),"",DATEDIF(E11,F11,"Y"))</f>
        <v/>
      </c>
      <c r="H11" s="9" t="n"/>
    </row>
    <row r="12" ht="14.25" customHeight="1" s="38">
      <c r="A12" s="9" t="n"/>
      <c r="B12" s="9" t="n"/>
      <c r="C12" s="9" t="n"/>
      <c r="D12" s="9" t="n"/>
      <c r="E12" s="9" t="n"/>
      <c r="F12" s="9" t="n"/>
      <c r="G12" s="9">
        <f>IF(OR(E12="",F12=""),"",DATEDIF(E12,F12,"Y"))</f>
        <v/>
      </c>
      <c r="H12" s="9" t="n"/>
    </row>
    <row r="13" ht="14.25" customHeight="1" s="38">
      <c r="A13" s="9" t="n"/>
      <c r="B13" s="9" t="n"/>
      <c r="C13" s="9" t="n"/>
      <c r="D13" s="9" t="n"/>
      <c r="E13" s="9" t="n"/>
      <c r="F13" s="9" t="n"/>
      <c r="G13" s="9">
        <f>IF(OR(E13="",F13=""),"",DATEDIF(E13,F13,"Y"))</f>
        <v/>
      </c>
      <c r="H13" s="9" t="n"/>
    </row>
    <row r="14" ht="14.25" customHeight="1" s="38">
      <c r="A14" s="9" t="n"/>
      <c r="B14" s="9" t="n"/>
      <c r="C14" s="9" t="n"/>
      <c r="D14" s="9" t="n"/>
      <c r="E14" s="9" t="n"/>
      <c r="F14" s="9" t="n"/>
      <c r="G14" s="9">
        <f>IF(OR(E14="",F14=""),"",DATEDIF(E14,F14,"Y"))</f>
        <v/>
      </c>
      <c r="H14" s="9" t="n"/>
    </row>
    <row r="15" ht="14.25" customHeight="1" s="38">
      <c r="A15" s="9" t="n"/>
      <c r="B15" s="9" t="n"/>
      <c r="C15" s="9" t="n"/>
      <c r="D15" s="9" t="n"/>
      <c r="E15" s="9" t="n"/>
      <c r="F15" s="9" t="n"/>
      <c r="G15" s="9">
        <f>IF(OR(E15="",F15=""),"",DATEDIF(E15,F15,"Y"))</f>
        <v/>
      </c>
      <c r="H15" s="9" t="n"/>
    </row>
    <row r="16" ht="14.25" customHeight="1" s="38">
      <c r="A16" s="9" t="n"/>
      <c r="B16" s="9" t="n"/>
      <c r="C16" s="9" t="n"/>
      <c r="D16" s="9" t="n"/>
      <c r="E16" s="9" t="n"/>
      <c r="F16" s="9" t="n"/>
      <c r="G16" s="9">
        <f>IF(OR(E16="",F16=""),"",DATEDIF(E16,F16,"Y"))</f>
        <v/>
      </c>
      <c r="H16" s="9" t="n"/>
    </row>
    <row r="17" ht="14.25" customHeight="1" s="38">
      <c r="A17" s="9" t="n"/>
      <c r="B17" s="9" t="n"/>
      <c r="C17" s="9" t="n"/>
      <c r="D17" s="9" t="n"/>
      <c r="E17" s="9" t="n"/>
      <c r="F17" s="9" t="n"/>
      <c r="G17" s="9">
        <f>IF(OR(E17="",F17=""),"",DATEDIF(E17,F17,"Y"))</f>
        <v/>
      </c>
      <c r="H17" s="9" t="n"/>
    </row>
    <row r="18" ht="14.25" customHeight="1" s="38">
      <c r="A18" s="9" t="n"/>
      <c r="B18" s="9" t="n"/>
      <c r="C18" s="9" t="n"/>
      <c r="D18" s="9" t="n"/>
      <c r="E18" s="9" t="n"/>
      <c r="F18" s="9" t="n"/>
      <c r="G18" s="9">
        <f>IF(OR(E18="",F18=""),"",DATEDIF(E18,F18,"Y"))</f>
        <v/>
      </c>
      <c r="H18" s="9" t="n"/>
    </row>
    <row r="19" ht="14.25" customHeight="1" s="38">
      <c r="A19" s="9" t="n"/>
      <c r="B19" s="9" t="n"/>
      <c r="C19" s="9" t="n"/>
      <c r="D19" s="9" t="n"/>
      <c r="E19" s="9" t="n"/>
      <c r="F19" s="9" t="n"/>
      <c r="G19" s="9">
        <f>IF(OR(E19="",F19=""),"",DATEDIF(E19,F19,"Y"))</f>
        <v/>
      </c>
      <c r="H19" s="9" t="n"/>
    </row>
    <row r="20" ht="14.25" customHeight="1" s="38">
      <c r="A20" s="9" t="n"/>
      <c r="B20" s="9" t="n"/>
      <c r="C20" s="9" t="n"/>
      <c r="D20" s="9" t="n"/>
      <c r="E20" s="9" t="n"/>
      <c r="F20" s="9" t="n"/>
      <c r="G20" s="9">
        <f>IF(OR(E20="",F20=""),"",DATEDIF(E20,F20,"Y"))</f>
        <v/>
      </c>
      <c r="H20" s="9" t="n"/>
    </row>
    <row r="21" ht="14.25" customHeight="1" s="38">
      <c r="A21" s="9" t="n"/>
      <c r="B21" s="9" t="n"/>
      <c r="C21" s="9" t="n"/>
      <c r="D21" s="9" t="n"/>
      <c r="E21" s="9" t="n"/>
      <c r="F21" s="9" t="n"/>
      <c r="G21" s="9">
        <f>IF(OR(E21="",F21=""),"",DATEDIF(E21,F21,"Y"))</f>
        <v/>
      </c>
      <c r="H21" s="9" t="n"/>
    </row>
    <row r="22" ht="14.25" customHeight="1" s="38">
      <c r="A22" s="9" t="n"/>
      <c r="B22" s="9" t="n"/>
      <c r="C22" s="9" t="n"/>
      <c r="D22" s="9" t="n"/>
      <c r="E22" s="9" t="n"/>
      <c r="F22" s="9" t="n"/>
      <c r="G22" s="9">
        <f>IF(OR(E22="",F22=""),"",DATEDIF(E22,F22,"Y"))</f>
        <v/>
      </c>
      <c r="H22" s="9" t="n"/>
    </row>
    <row r="23" ht="14.25" customHeight="1" s="38">
      <c r="A23" s="9" t="n"/>
      <c r="B23" s="9" t="n"/>
      <c r="C23" s="9" t="n"/>
      <c r="D23" s="9" t="n"/>
      <c r="E23" s="9" t="n"/>
      <c r="F23" s="9" t="n"/>
      <c r="G23" s="9">
        <f>IF(OR(E23="",F23=""),"",DATEDIF(E23,F23,"Y"))</f>
        <v/>
      </c>
      <c r="H23" s="9" t="n"/>
    </row>
    <row r="24" ht="14.25" customHeight="1" s="38">
      <c r="A24" s="9" t="n"/>
      <c r="B24" s="9" t="n"/>
      <c r="C24" s="9" t="n"/>
      <c r="D24" s="9" t="n"/>
      <c r="E24" s="9" t="n"/>
      <c r="F24" s="9" t="n"/>
      <c r="G24" s="9">
        <f>IF(OR(E24="",F24=""),"",DATEDIF(E24,F24,"Y"))</f>
        <v/>
      </c>
      <c r="H24" s="9" t="n"/>
    </row>
    <row r="25" ht="14.25" customHeight="1" s="38">
      <c r="A25" s="9" t="n"/>
      <c r="B25" s="9" t="n"/>
      <c r="C25" s="9" t="n"/>
      <c r="D25" s="9" t="n"/>
      <c r="E25" s="9" t="n"/>
      <c r="F25" s="9" t="n"/>
      <c r="G25" s="9">
        <f>IF(OR(E25="",F25=""),"",DATEDIF(E25,F25,"Y"))</f>
        <v/>
      </c>
      <c r="H25" s="9" t="n"/>
    </row>
    <row r="26" ht="14.25" customHeight="1" s="38">
      <c r="A26" s="9" t="n"/>
      <c r="B26" s="9" t="n"/>
      <c r="C26" s="9" t="n"/>
      <c r="D26" s="9" t="n"/>
      <c r="E26" s="9" t="n"/>
      <c r="F26" s="9" t="n"/>
      <c r="G26" s="9">
        <f>IF(OR(E26="",F26=""),"",DATEDIF(E26,F26,"Y"))</f>
        <v/>
      </c>
      <c r="H26" s="9" t="n"/>
    </row>
    <row r="27" ht="14.25" customHeight="1" s="38">
      <c r="A27" s="9" t="n"/>
      <c r="B27" s="9" t="n"/>
      <c r="C27" s="9" t="n"/>
      <c r="D27" s="9" t="n"/>
      <c r="E27" s="9" t="n"/>
      <c r="F27" s="9" t="n"/>
      <c r="G27" s="9">
        <f>IF(OR(E27="",F27=""),"",DATEDIF(E27,F27,"Y"))</f>
        <v/>
      </c>
      <c r="H27" s="9" t="n"/>
    </row>
    <row r="28" ht="14.25" customHeight="1" s="38">
      <c r="A28" s="9" t="n"/>
      <c r="B28" s="9" t="n"/>
      <c r="C28" s="9" t="n"/>
      <c r="D28" s="9" t="n"/>
      <c r="E28" s="9" t="n"/>
      <c r="F28" s="9" t="n"/>
      <c r="G28" s="9">
        <f>IF(OR(E28="",F28=""),"",DATEDIF(E28,F28,"Y"))</f>
        <v/>
      </c>
      <c r="H28" s="9" t="n"/>
    </row>
    <row r="29" ht="14.25" customHeight="1" s="38">
      <c r="A29" s="9" t="n"/>
      <c r="B29" s="9" t="n"/>
      <c r="C29" s="9" t="n"/>
      <c r="D29" s="9" t="n"/>
      <c r="E29" s="9" t="n"/>
      <c r="F29" s="9" t="n"/>
      <c r="G29" s="9">
        <f>IF(OR(E29="",F29=""),"",DATEDIF(E29,F29,"Y"))</f>
        <v/>
      </c>
      <c r="H29" s="9" t="n"/>
    </row>
    <row r="30" ht="14.25" customHeight="1" s="38">
      <c r="A30" s="9" t="n"/>
      <c r="B30" s="9" t="n"/>
      <c r="C30" s="9" t="n"/>
      <c r="D30" s="9" t="n"/>
      <c r="E30" s="9" t="n"/>
      <c r="F30" s="9" t="n"/>
      <c r="G30" s="9">
        <f>IF(OR(E30="",F30=""),"",DATEDIF(E30,F30,"Y"))</f>
        <v/>
      </c>
      <c r="H30" s="9" t="n"/>
    </row>
    <row r="31" ht="14.25" customHeight="1" s="38">
      <c r="A31" s="9" t="n"/>
      <c r="B31" s="9" t="n"/>
      <c r="C31" s="9" t="n"/>
      <c r="D31" s="9" t="n"/>
      <c r="E31" s="9" t="n"/>
      <c r="F31" s="9" t="n"/>
      <c r="G31" s="9">
        <f>IF(OR(E31="",F31=""),"",DATEDIF(E31,F31,"Y"))</f>
        <v/>
      </c>
      <c r="H31" s="9" t="n"/>
    </row>
    <row r="32" ht="14.25" customHeight="1" s="38">
      <c r="A32" s="9" t="n"/>
      <c r="B32" s="9" t="n"/>
      <c r="C32" s="9" t="n"/>
      <c r="D32" s="9" t="n"/>
      <c r="E32" s="9" t="n"/>
      <c r="F32" s="9" t="n"/>
      <c r="G32" s="9">
        <f>IF(OR(E32="",F32=""),"",DATEDIF(E32,F32,"Y"))</f>
        <v/>
      </c>
      <c r="H32" s="9" t="n"/>
    </row>
    <row r="33" ht="14.25" customHeight="1" s="38">
      <c r="A33" s="9" t="n"/>
      <c r="B33" s="9" t="n"/>
      <c r="C33" s="9" t="n"/>
      <c r="D33" s="9" t="n"/>
      <c r="E33" s="9" t="n"/>
      <c r="F33" s="9" t="n"/>
      <c r="G33" s="9">
        <f>IF(OR(E33="",F33=""),"",DATEDIF(E33,F33,"Y"))</f>
        <v/>
      </c>
      <c r="H33" s="9" t="n"/>
    </row>
    <row r="34" ht="14.25" customHeight="1" s="38">
      <c r="A34" s="9" t="n"/>
      <c r="B34" s="9" t="n"/>
      <c r="C34" s="9" t="n"/>
      <c r="D34" s="9" t="n"/>
      <c r="E34" s="9" t="n"/>
      <c r="F34" s="9" t="n"/>
      <c r="G34" s="9">
        <f>IF(OR(E34="",F34=""),"",DATEDIF(E34,F34,"Y"))</f>
        <v/>
      </c>
      <c r="H34" s="9" t="n"/>
    </row>
    <row r="35" ht="14.25" customHeight="1" s="38">
      <c r="A35" s="9" t="n"/>
      <c r="B35" s="9" t="n"/>
      <c r="C35" s="9" t="n"/>
      <c r="D35" s="9" t="n"/>
      <c r="E35" s="9" t="n"/>
      <c r="F35" s="9" t="n"/>
      <c r="G35" s="9">
        <f>IF(OR(E35="",F35=""),"",DATEDIF(E35,F35,"Y"))</f>
        <v/>
      </c>
      <c r="H35" s="9" t="n"/>
    </row>
    <row r="36" ht="14.25" customHeight="1" s="38">
      <c r="A36" s="9" t="n"/>
      <c r="B36" s="9" t="n"/>
      <c r="C36" s="9" t="n"/>
      <c r="D36" s="9" t="n"/>
      <c r="E36" s="9" t="n"/>
      <c r="F36" s="9" t="n"/>
      <c r="G36" s="9">
        <f>IF(OR(E36="",F36=""),"",DATEDIF(E36,F36,"Y"))</f>
        <v/>
      </c>
      <c r="H36" s="9" t="n"/>
    </row>
    <row r="37" ht="14.25" customHeight="1" s="38">
      <c r="A37" s="9" t="n"/>
      <c r="B37" s="9" t="n"/>
      <c r="C37" s="9" t="n"/>
      <c r="D37" s="9" t="n"/>
      <c r="E37" s="9" t="n"/>
      <c r="F37" s="9" t="n"/>
      <c r="G37" s="9">
        <f>IF(OR(E37="",F37=""),"",DATEDIF(E37,F37,"Y"))</f>
        <v/>
      </c>
      <c r="H37" s="9" t="n"/>
    </row>
    <row r="38" ht="14.25" customHeight="1" s="38">
      <c r="A38" s="9" t="n"/>
      <c r="B38" s="9" t="n"/>
      <c r="C38" s="9" t="n"/>
      <c r="D38" s="9" t="n"/>
      <c r="E38" s="9" t="n"/>
      <c r="F38" s="9" t="n"/>
      <c r="G38" s="9">
        <f>IF(OR(E38="",F38=""),"",DATEDIF(E38,F38,"Y"))</f>
        <v/>
      </c>
      <c r="H38" s="9" t="n"/>
    </row>
    <row r="39" ht="14.25" customHeight="1" s="38">
      <c r="A39" s="9" t="n"/>
      <c r="B39" s="9" t="n"/>
      <c r="C39" s="9" t="n"/>
      <c r="D39" s="9" t="n"/>
      <c r="E39" s="9" t="n"/>
      <c r="F39" s="9" t="n"/>
      <c r="G39" s="9">
        <f>IF(OR(E39="",F39=""),"",DATEDIF(E39,F39,"Y"))</f>
        <v/>
      </c>
      <c r="H39" s="9" t="n"/>
    </row>
    <row r="40" ht="14.25" customHeight="1" s="38">
      <c r="A40" s="9" t="n"/>
      <c r="B40" s="9" t="n"/>
      <c r="C40" s="9" t="n"/>
      <c r="D40" s="9" t="n"/>
      <c r="E40" s="9" t="n"/>
      <c r="F40" s="9" t="n"/>
      <c r="G40" s="9">
        <f>IF(OR(E40="",F40=""),"",DATEDIF(E40,F40,"Y"))</f>
        <v/>
      </c>
      <c r="H40" s="9" t="n"/>
    </row>
    <row r="41" ht="14.25" customHeight="1" s="38">
      <c r="A41" s="9" t="n"/>
      <c r="B41" s="9" t="n"/>
      <c r="C41" s="9" t="n"/>
      <c r="D41" s="9" t="n"/>
      <c r="E41" s="9" t="n"/>
      <c r="F41" s="9" t="n"/>
      <c r="G41" s="9">
        <f>IF(OR(E41="",F41=""),"",DATEDIF(E41,F41,"Y"))</f>
        <v/>
      </c>
      <c r="H41" s="9" t="n"/>
    </row>
    <row r="42" ht="14.25" customHeight="1" s="38">
      <c r="A42" s="9" t="n"/>
      <c r="B42" s="9" t="n"/>
      <c r="C42" s="9" t="n"/>
      <c r="D42" s="9" t="n"/>
      <c r="E42" s="9" t="n"/>
      <c r="F42" s="9" t="n"/>
      <c r="G42" s="9">
        <f>IF(OR(E42="",F42=""),"",DATEDIF(E42,F42,"Y"))</f>
        <v/>
      </c>
      <c r="H42" s="9" t="n"/>
    </row>
    <row r="43" ht="14.25" customHeight="1" s="38">
      <c r="A43" s="9" t="n"/>
      <c r="B43" s="9" t="n"/>
      <c r="C43" s="9" t="n"/>
      <c r="D43" s="9" t="n"/>
      <c r="E43" s="9" t="n"/>
      <c r="F43" s="9" t="n"/>
      <c r="G43" s="9">
        <f>IF(OR(E43="",F43=""),"",DATEDIF(E43,F43,"Y"))</f>
        <v/>
      </c>
      <c r="H43" s="9" t="n"/>
    </row>
    <row r="44" ht="14.25" customHeight="1" s="38">
      <c r="A44" s="9" t="n"/>
      <c r="B44" s="9" t="n"/>
      <c r="C44" s="9" t="n"/>
      <c r="D44" s="9" t="n"/>
      <c r="E44" s="9" t="n"/>
      <c r="F44" s="9" t="n"/>
      <c r="G44" s="9">
        <f>IF(OR(E44="",F44=""),"",DATEDIF(E44,F44,"Y"))</f>
        <v/>
      </c>
      <c r="H44" s="9" t="n"/>
    </row>
    <row r="45" ht="14.25" customHeight="1" s="38">
      <c r="A45" s="9" t="n"/>
      <c r="B45" s="9" t="n"/>
      <c r="C45" s="9" t="n"/>
      <c r="D45" s="9" t="n"/>
      <c r="E45" s="9" t="n"/>
      <c r="F45" s="9" t="n"/>
      <c r="G45" s="9">
        <f>IF(OR(E45="",F45=""),"",DATEDIF(E45,F45,"Y"))</f>
        <v/>
      </c>
      <c r="H45" s="9" t="n"/>
    </row>
    <row r="46" ht="14.25" customHeight="1" s="38">
      <c r="A46" s="9" t="n"/>
      <c r="B46" s="9" t="n"/>
      <c r="C46" s="9" t="n"/>
      <c r="D46" s="9" t="n"/>
      <c r="E46" s="9" t="n"/>
      <c r="F46" s="9" t="n"/>
      <c r="G46" s="9">
        <f>IF(OR(E46="",F46=""),"",DATEDIF(E46,F46,"Y"))</f>
        <v/>
      </c>
      <c r="H46" s="9" t="n"/>
    </row>
    <row r="47" ht="14.25" customHeight="1" s="38">
      <c r="A47" s="9" t="n"/>
      <c r="B47" s="9" t="n"/>
      <c r="C47" s="9" t="n"/>
      <c r="D47" s="9" t="n"/>
      <c r="E47" s="9" t="n"/>
      <c r="F47" s="9" t="n"/>
      <c r="G47" s="9">
        <f>IF(OR(E47="",F47=""),"",DATEDIF(E47,F47,"Y"))</f>
        <v/>
      </c>
      <c r="H47" s="9" t="n"/>
    </row>
    <row r="48" ht="14.25" customHeight="1" s="38">
      <c r="A48" s="9" t="n"/>
      <c r="B48" s="9" t="n"/>
      <c r="C48" s="9" t="n"/>
      <c r="D48" s="9" t="n"/>
      <c r="E48" s="9" t="n"/>
      <c r="F48" s="9" t="n"/>
      <c r="G48" s="9">
        <f>IF(OR(E48="",F48=""),"",DATEDIF(E48,F48,"Y"))</f>
        <v/>
      </c>
      <c r="H48" s="9" t="n"/>
    </row>
    <row r="49" ht="14.25" customHeight="1" s="38">
      <c r="A49" s="9" t="n"/>
      <c r="B49" s="9" t="n"/>
      <c r="C49" s="9" t="n"/>
      <c r="D49" s="9" t="n"/>
      <c r="E49" s="9" t="n"/>
      <c r="F49" s="9" t="n"/>
      <c r="G49" s="9">
        <f>IF(OR(E49="",F49=""),"",DATEDIF(E49,F49,"Y"))</f>
        <v/>
      </c>
      <c r="H49" s="9" t="n"/>
    </row>
    <row r="50" ht="14.25" customHeight="1" s="38">
      <c r="A50" s="9" t="n"/>
      <c r="B50" s="9" t="n"/>
      <c r="C50" s="9" t="n"/>
      <c r="D50" s="9" t="n"/>
      <c r="E50" s="9" t="n"/>
      <c r="F50" s="9" t="n"/>
      <c r="G50" s="9">
        <f>IF(OR(E50="",F50=""),"",DATEDIF(E50,F50,"Y"))</f>
        <v/>
      </c>
      <c r="H50" s="9" t="n"/>
    </row>
    <row r="51" ht="14.25" customHeight="1" s="38">
      <c r="A51" s="9" t="n"/>
      <c r="B51" s="9" t="n"/>
      <c r="C51" s="9" t="n"/>
      <c r="D51" s="9" t="n"/>
      <c r="E51" s="9" t="n"/>
      <c r="F51" s="9" t="n"/>
      <c r="G51" s="9">
        <f>IF(OR(E51="",F51=""),"",DATEDIF(E51,F51,"Y"))</f>
        <v/>
      </c>
      <c r="H51" s="9" t="n"/>
    </row>
    <row r="52" ht="14.25" customHeight="1" s="38">
      <c r="A52" s="9" t="n"/>
      <c r="B52" s="9" t="n"/>
      <c r="C52" s="9" t="n"/>
      <c r="D52" s="9" t="n"/>
      <c r="E52" s="9" t="n"/>
      <c r="F52" s="9" t="n"/>
      <c r="G52" s="9">
        <f>IF(OR(E52="",F52=""),"",DATEDIF(E52,F52,"Y"))</f>
        <v/>
      </c>
      <c r="H52" s="9" t="n"/>
    </row>
    <row r="53" ht="14.25" customHeight="1" s="38">
      <c r="A53" s="9" t="n"/>
      <c r="B53" s="9" t="n"/>
      <c r="C53" s="9" t="n"/>
      <c r="D53" s="9" t="n"/>
      <c r="E53" s="9" t="n"/>
      <c r="F53" s="9" t="n"/>
      <c r="G53" s="9">
        <f>IF(OR(E53="",F53=""),"",DATEDIF(E53,F53,"Y"))</f>
        <v/>
      </c>
      <c r="H53" s="9" t="n"/>
    </row>
    <row r="54" ht="14.25" customHeight="1" s="38">
      <c r="A54" s="9" t="n"/>
      <c r="B54" s="9" t="n"/>
      <c r="C54" s="9" t="n"/>
      <c r="D54" s="9" t="n"/>
      <c r="E54" s="9" t="n"/>
      <c r="F54" s="9" t="n"/>
      <c r="G54" s="9">
        <f>IF(OR(E54="",F54=""),"",DATEDIF(E54,F54,"Y"))</f>
        <v/>
      </c>
      <c r="H54" s="9" t="n"/>
    </row>
    <row r="55" ht="14.25" customHeight="1" s="38">
      <c r="A55" s="9" t="n"/>
      <c r="B55" s="9" t="n"/>
      <c r="C55" s="9" t="n"/>
      <c r="D55" s="9" t="n"/>
      <c r="E55" s="9" t="n"/>
      <c r="F55" s="9" t="n"/>
      <c r="G55" s="9">
        <f>IF(OR(E55="",F55=""),"",DATEDIF(E55,F55,"Y"))</f>
        <v/>
      </c>
      <c r="H55" s="9" t="n"/>
    </row>
    <row r="56" ht="14.25" customHeight="1" s="38">
      <c r="A56" s="9" t="n"/>
      <c r="B56" s="9" t="n"/>
      <c r="C56" s="9" t="n"/>
      <c r="D56" s="9" t="n"/>
      <c r="E56" s="9" t="n"/>
      <c r="F56" s="9" t="n"/>
      <c r="G56" s="9">
        <f>IF(OR(E56="",F56=""),"",DATEDIF(E56,F56,"Y"))</f>
        <v/>
      </c>
      <c r="H56" s="9" t="n"/>
    </row>
    <row r="57" ht="14.25" customHeight="1" s="38">
      <c r="A57" s="9" t="n"/>
      <c r="B57" s="9" t="n"/>
      <c r="C57" s="9" t="n"/>
      <c r="D57" s="9" t="n"/>
      <c r="E57" s="9" t="n"/>
      <c r="F57" s="9" t="n"/>
      <c r="G57" s="9">
        <f>IF(OR(E57="",F57=""),"",DATEDIF(E57,F57,"Y"))</f>
        <v/>
      </c>
      <c r="H57" s="9" t="n"/>
    </row>
    <row r="58" ht="14.25" customHeight="1" s="38">
      <c r="A58" s="9" t="n"/>
      <c r="B58" s="9" t="n"/>
      <c r="C58" s="9" t="n"/>
      <c r="D58" s="9" t="n"/>
      <c r="E58" s="9" t="n"/>
      <c r="F58" s="9" t="n"/>
      <c r="G58" s="9">
        <f>IF(OR(E58="",F58=""),"",DATEDIF(E58,F58,"Y"))</f>
        <v/>
      </c>
      <c r="H58" s="9" t="n"/>
    </row>
    <row r="59" ht="14.25" customHeight="1" s="38">
      <c r="A59" s="9" t="n"/>
      <c r="B59" s="9" t="n"/>
      <c r="C59" s="9" t="n"/>
      <c r="D59" s="9" t="n"/>
      <c r="E59" s="9" t="n"/>
      <c r="F59" s="9" t="n"/>
      <c r="G59" s="9">
        <f>IF(OR(E59="",F59=""),"",DATEDIF(E59,F59,"Y"))</f>
        <v/>
      </c>
      <c r="H59" s="9" t="n"/>
    </row>
    <row r="60" ht="14.25" customHeight="1" s="38">
      <c r="A60" s="9" t="n"/>
      <c r="B60" s="9" t="n"/>
      <c r="C60" s="9" t="n"/>
      <c r="D60" s="9" t="n"/>
      <c r="E60" s="9" t="n"/>
      <c r="F60" s="9" t="n"/>
      <c r="G60" s="9">
        <f>IF(OR(E60="",F60=""),"",DATEDIF(E60,F60,"Y"))</f>
        <v/>
      </c>
      <c r="H60" s="9" t="n"/>
    </row>
    <row r="61" ht="14.25" customHeight="1" s="38">
      <c r="A61" s="9" t="n"/>
      <c r="B61" s="9" t="n"/>
      <c r="C61" s="9" t="n"/>
      <c r="D61" s="9" t="n"/>
      <c r="E61" s="9" t="n"/>
      <c r="F61" s="9" t="n"/>
      <c r="G61" s="9">
        <f>IF(OR(E61="",F61=""),"",DATEDIF(E61,F61,"Y"))</f>
        <v/>
      </c>
      <c r="H61" s="9" t="n"/>
    </row>
    <row r="62" ht="14.25" customHeight="1" s="38">
      <c r="A62" s="9" t="n"/>
      <c r="B62" s="9" t="n"/>
      <c r="C62" s="9" t="n"/>
      <c r="D62" s="9" t="n"/>
      <c r="E62" s="9" t="n"/>
      <c r="F62" s="9" t="n"/>
      <c r="G62" s="9">
        <f>IF(OR(E62="",F62=""),"",DATEDIF(E62,F62,"Y"))</f>
        <v/>
      </c>
      <c r="H62" s="9" t="n"/>
    </row>
    <row r="63" ht="14.25" customHeight="1" s="38">
      <c r="A63" s="9" t="n"/>
      <c r="B63" s="9" t="n"/>
      <c r="C63" s="9" t="n"/>
      <c r="D63" s="9" t="n"/>
      <c r="E63" s="9" t="n"/>
      <c r="F63" s="9" t="n"/>
      <c r="G63" s="9">
        <f>IF(OR(E63="",F63=""),"",DATEDIF(E63,F63,"Y"))</f>
        <v/>
      </c>
      <c r="H63" s="9" t="n"/>
    </row>
    <row r="64" ht="14.25" customHeight="1" s="38">
      <c r="A64" s="9" t="n"/>
      <c r="B64" s="9" t="n"/>
      <c r="C64" s="9" t="n"/>
      <c r="D64" s="9" t="n"/>
      <c r="E64" s="9" t="n"/>
      <c r="F64" s="9" t="n"/>
      <c r="G64" s="9">
        <f>IF(OR(E64="",F64=""),"",DATEDIF(E64,F64,"Y"))</f>
        <v/>
      </c>
      <c r="H64" s="9" t="n"/>
    </row>
    <row r="65" ht="14.25" customHeight="1" s="38">
      <c r="A65" s="9" t="n"/>
      <c r="B65" s="9" t="n"/>
      <c r="C65" s="9" t="n"/>
      <c r="D65" s="9" t="n"/>
      <c r="E65" s="9" t="n"/>
      <c r="F65" s="9" t="n"/>
      <c r="G65" s="9">
        <f>IF(OR(E65="",F65=""),"",DATEDIF(E65,F65,"Y"))</f>
        <v/>
      </c>
      <c r="H65" s="9" t="n"/>
    </row>
    <row r="66" ht="14.25" customHeight="1" s="38">
      <c r="A66" s="9" t="n"/>
      <c r="B66" s="9" t="n"/>
      <c r="C66" s="9" t="n"/>
      <c r="D66" s="9" t="n"/>
      <c r="E66" s="9" t="n"/>
      <c r="F66" s="9" t="n"/>
      <c r="G66" s="9">
        <f>IF(OR(E66="",F66=""),"",DATEDIF(E66,F66,"Y"))</f>
        <v/>
      </c>
      <c r="H66" s="9" t="n"/>
    </row>
    <row r="67" ht="14.25" customHeight="1" s="38">
      <c r="A67" s="9" t="n"/>
      <c r="B67" s="9" t="n"/>
      <c r="C67" s="9" t="n"/>
      <c r="D67" s="9" t="n"/>
      <c r="E67" s="9" t="n"/>
      <c r="F67" s="9" t="n"/>
      <c r="G67" s="9">
        <f>IF(OR(E67="",F67=""),"",DATEDIF(E67,F67,"Y"))</f>
        <v/>
      </c>
      <c r="H67" s="9" t="n"/>
    </row>
    <row r="68" ht="14.25" customHeight="1" s="38">
      <c r="A68" s="9" t="n"/>
      <c r="B68" s="9" t="n"/>
      <c r="C68" s="9" t="n"/>
      <c r="D68" s="9" t="n"/>
      <c r="E68" s="9" t="n"/>
      <c r="F68" s="9" t="n"/>
      <c r="G68" s="9">
        <f>IF(OR(E68="",F68=""),"",DATEDIF(E68,F68,"Y"))</f>
        <v/>
      </c>
      <c r="H68" s="9" t="n"/>
    </row>
    <row r="69" ht="14.25" customHeight="1" s="38">
      <c r="A69" s="9" t="n"/>
      <c r="B69" s="9" t="n"/>
      <c r="C69" s="9" t="n"/>
      <c r="D69" s="9" t="n"/>
      <c r="E69" s="9" t="n"/>
      <c r="F69" s="9" t="n"/>
      <c r="G69" s="9">
        <f>IF(OR(E69="",F69=""),"",DATEDIF(E69,F69,"Y"))</f>
        <v/>
      </c>
      <c r="H69" s="9" t="n"/>
    </row>
    <row r="70" ht="14.25" customHeight="1" s="38">
      <c r="A70" s="9" t="n"/>
      <c r="B70" s="9" t="n"/>
      <c r="C70" s="9" t="n"/>
      <c r="D70" s="9" t="n"/>
      <c r="E70" s="9" t="n"/>
      <c r="F70" s="9" t="n"/>
      <c r="G70" s="9">
        <f>IF(OR(E70="",F70=""),"",DATEDIF(E70,F70,"Y"))</f>
        <v/>
      </c>
      <c r="H70" s="9" t="n"/>
    </row>
    <row r="71" ht="14.25" customHeight="1" s="38">
      <c r="A71" s="9" t="n"/>
      <c r="B71" s="9" t="n"/>
      <c r="C71" s="9" t="n"/>
      <c r="D71" s="9" t="n"/>
      <c r="E71" s="9" t="n"/>
      <c r="F71" s="9" t="n"/>
      <c r="G71" s="9">
        <f>IF(OR(E71="",F71=""),"",DATEDIF(E71,F71,"Y"))</f>
        <v/>
      </c>
      <c r="H71" s="9" t="n"/>
    </row>
    <row r="72" ht="14.25" customHeight="1" s="38">
      <c r="A72" s="9" t="n"/>
      <c r="B72" s="9" t="n"/>
      <c r="C72" s="9" t="n"/>
      <c r="D72" s="9" t="n"/>
      <c r="E72" s="9" t="n"/>
      <c r="F72" s="9" t="n"/>
      <c r="G72" s="9">
        <f>IF(OR(E72="",F72=""),"",DATEDIF(E72,F72,"Y"))</f>
        <v/>
      </c>
      <c r="H72" s="9" t="n"/>
    </row>
    <row r="73" ht="14.25" customHeight="1" s="38">
      <c r="A73" s="9" t="n"/>
      <c r="B73" s="9" t="n"/>
      <c r="C73" s="9" t="n"/>
      <c r="D73" s="9" t="n"/>
      <c r="E73" s="9" t="n"/>
      <c r="F73" s="9" t="n"/>
      <c r="G73" s="9">
        <f>IF(OR(E73="",F73=""),"",DATEDIF(E73,F73,"Y"))</f>
        <v/>
      </c>
      <c r="H73" s="9" t="n"/>
    </row>
    <row r="74" ht="14.25" customHeight="1" s="38">
      <c r="A74" s="9" t="n"/>
      <c r="B74" s="9" t="n"/>
      <c r="C74" s="9" t="n"/>
      <c r="D74" s="9" t="n"/>
      <c r="E74" s="9" t="n"/>
      <c r="F74" s="9" t="n"/>
      <c r="G74" s="9">
        <f>IF(OR(E74="",F74=""),"",DATEDIF(E74,F74,"Y"))</f>
        <v/>
      </c>
      <c r="H74" s="9" t="n"/>
    </row>
    <row r="75" ht="14.25" customHeight="1" s="38">
      <c r="A75" s="9" t="n"/>
      <c r="B75" s="9" t="n"/>
      <c r="C75" s="9" t="n"/>
      <c r="D75" s="9" t="n"/>
      <c r="E75" s="9" t="n"/>
      <c r="F75" s="9" t="n"/>
      <c r="G75" s="9">
        <f>IF(OR(E75="",F75=""),"",DATEDIF(E75,F75,"Y"))</f>
        <v/>
      </c>
      <c r="H75" s="9" t="n"/>
    </row>
    <row r="76" ht="14.25" customHeight="1" s="38">
      <c r="A76" s="9" t="n"/>
      <c r="B76" s="9" t="n"/>
      <c r="C76" s="9" t="n"/>
      <c r="D76" s="9" t="n"/>
      <c r="E76" s="9" t="n"/>
      <c r="F76" s="9" t="n"/>
      <c r="G76" s="9">
        <f>IF(OR(E76="",F76=""),"",DATEDIF(E76,F76,"Y"))</f>
        <v/>
      </c>
      <c r="H76" s="9" t="n"/>
    </row>
    <row r="77" ht="14.25" customHeight="1" s="38">
      <c r="A77" s="9" t="n"/>
      <c r="B77" s="9" t="n"/>
      <c r="C77" s="9" t="n"/>
      <c r="D77" s="9" t="n"/>
      <c r="E77" s="9" t="n"/>
      <c r="F77" s="9" t="n"/>
      <c r="G77" s="9">
        <f>IF(OR(E77="",F77=""),"",DATEDIF(E77,F77,"Y"))</f>
        <v/>
      </c>
      <c r="H77" s="9" t="n"/>
    </row>
    <row r="78" ht="14.25" customHeight="1" s="38">
      <c r="A78" s="9" t="n"/>
      <c r="B78" s="9" t="n"/>
      <c r="C78" s="9" t="n"/>
      <c r="D78" s="9" t="n"/>
      <c r="E78" s="9" t="n"/>
      <c r="F78" s="9" t="n"/>
      <c r="G78" s="9">
        <f>IF(OR(E78="",F78=""),"",DATEDIF(E78,F78,"Y"))</f>
        <v/>
      </c>
      <c r="H78" s="9" t="n"/>
    </row>
    <row r="79" ht="14.25" customHeight="1" s="38">
      <c r="A79" s="9" t="n"/>
      <c r="B79" s="9" t="n"/>
      <c r="C79" s="9" t="n"/>
      <c r="D79" s="9" t="n"/>
      <c r="E79" s="9" t="n"/>
      <c r="F79" s="9" t="n"/>
      <c r="G79" s="9">
        <f>IF(OR(E79="",F79=""),"",DATEDIF(E79,F79,"Y"))</f>
        <v/>
      </c>
      <c r="H79" s="9" t="n"/>
    </row>
    <row r="80" ht="14.25" customHeight="1" s="38">
      <c r="A80" s="9" t="n"/>
      <c r="B80" s="9" t="n"/>
      <c r="C80" s="9" t="n"/>
      <c r="D80" s="9" t="n"/>
      <c r="E80" s="9" t="n"/>
      <c r="F80" s="9" t="n"/>
      <c r="G80" s="9">
        <f>IF(OR(E80="",F80=""),"",DATEDIF(E80,F80,"Y"))</f>
        <v/>
      </c>
      <c r="H80" s="9" t="n"/>
    </row>
    <row r="81" ht="14.25" customHeight="1" s="38">
      <c r="A81" s="9" t="n"/>
      <c r="B81" s="9" t="n"/>
      <c r="C81" s="9" t="n"/>
      <c r="D81" s="9" t="n"/>
      <c r="E81" s="9" t="n"/>
      <c r="F81" s="9" t="n"/>
      <c r="G81" s="9">
        <f>IF(OR(E81="",F81=""),"",DATEDIF(E81,F81,"Y"))</f>
        <v/>
      </c>
      <c r="H81" s="9" t="n"/>
    </row>
    <row r="82" ht="14.25" customHeight="1" s="38">
      <c r="A82" s="9" t="n"/>
      <c r="B82" s="9" t="n"/>
      <c r="C82" s="9" t="n"/>
      <c r="D82" s="9" t="n"/>
      <c r="E82" s="9" t="n"/>
      <c r="F82" s="9" t="n"/>
      <c r="G82" s="9">
        <f>IF(OR(E82="",F82=""),"",DATEDIF(E82,F82,"Y"))</f>
        <v/>
      </c>
      <c r="H82" s="9" t="n"/>
    </row>
    <row r="83" ht="14.25" customHeight="1" s="38">
      <c r="A83" s="9" t="n"/>
      <c r="B83" s="9" t="n"/>
      <c r="C83" s="9" t="n"/>
      <c r="D83" s="9" t="n"/>
      <c r="E83" s="9" t="n"/>
      <c r="F83" s="9" t="n"/>
      <c r="G83" s="9">
        <f>IF(OR(E83="",F83=""),"",DATEDIF(E83,F83,"Y"))</f>
        <v/>
      </c>
      <c r="H83" s="9" t="n"/>
    </row>
    <row r="84" ht="14.25" customHeight="1" s="38">
      <c r="A84" s="9" t="n"/>
      <c r="B84" s="9" t="n"/>
      <c r="C84" s="9" t="n"/>
      <c r="D84" s="9" t="n"/>
      <c r="E84" s="9" t="n"/>
      <c r="F84" s="9" t="n"/>
      <c r="G84" s="9">
        <f>IF(OR(E84="",F84=""),"",DATEDIF(E84,F84,"Y"))</f>
        <v/>
      </c>
      <c r="H84" s="9" t="n"/>
    </row>
    <row r="85" ht="14.25" customHeight="1" s="38">
      <c r="A85" s="9" t="n"/>
      <c r="B85" s="9" t="n"/>
      <c r="C85" s="9" t="n"/>
      <c r="D85" s="9" t="n"/>
      <c r="E85" s="9" t="n"/>
      <c r="F85" s="9" t="n"/>
      <c r="G85" s="9">
        <f>IF(OR(E85="",F85=""),"",DATEDIF(E85,F85,"Y"))</f>
        <v/>
      </c>
      <c r="H85" s="9" t="n"/>
    </row>
    <row r="86" ht="14.25" customHeight="1" s="38">
      <c r="A86" s="9" t="n"/>
      <c r="B86" s="9" t="n"/>
      <c r="C86" s="9" t="n"/>
      <c r="D86" s="9" t="n"/>
      <c r="E86" s="9" t="n"/>
      <c r="F86" s="9" t="n"/>
      <c r="G86" s="9">
        <f>IF(OR(E86="",F86=""),"",DATEDIF(E86,F86,"Y"))</f>
        <v/>
      </c>
      <c r="H86" s="9" t="n"/>
    </row>
    <row r="87" ht="14.25" customHeight="1" s="38">
      <c r="A87" s="9" t="n"/>
      <c r="B87" s="9" t="n"/>
      <c r="C87" s="9" t="n"/>
      <c r="D87" s="9" t="n"/>
      <c r="E87" s="9" t="n"/>
      <c r="F87" s="9" t="n"/>
      <c r="G87" s="9">
        <f>IF(OR(E87="",F87=""),"",DATEDIF(E87,F87,"Y"))</f>
        <v/>
      </c>
      <c r="H87" s="9" t="n"/>
    </row>
    <row r="88" ht="14.25" customHeight="1" s="38">
      <c r="A88" s="9" t="n"/>
      <c r="B88" s="9" t="n"/>
      <c r="C88" s="9" t="n"/>
      <c r="D88" s="9" t="n"/>
      <c r="E88" s="9" t="n"/>
      <c r="F88" s="9" t="n"/>
      <c r="G88" s="9">
        <f>IF(OR(E88="",F88=""),"",DATEDIF(E88,F88,"Y"))</f>
        <v/>
      </c>
      <c r="H88" s="9" t="n"/>
    </row>
    <row r="89" ht="14.25" customHeight="1" s="38">
      <c r="A89" s="9" t="n"/>
      <c r="B89" s="9" t="n"/>
      <c r="C89" s="9" t="n"/>
      <c r="D89" s="9" t="n"/>
      <c r="E89" s="9" t="n"/>
      <c r="F89" s="9" t="n"/>
      <c r="G89" s="9">
        <f>IF(OR(E89="",F89=""),"",DATEDIF(E89,F89,"Y"))</f>
        <v/>
      </c>
      <c r="H89" s="9" t="n"/>
    </row>
    <row r="90" ht="14.25" customHeight="1" s="38">
      <c r="A90" s="9" t="n"/>
      <c r="B90" s="9" t="n"/>
      <c r="C90" s="9" t="n"/>
      <c r="D90" s="9" t="n"/>
      <c r="E90" s="9" t="n"/>
      <c r="F90" s="9" t="n"/>
      <c r="G90" s="9">
        <f>IF(OR(E90="",F90=""),"",DATEDIF(E90,F90,"Y"))</f>
        <v/>
      </c>
      <c r="H90" s="9" t="n"/>
    </row>
    <row r="91" ht="14.25" customHeight="1" s="38">
      <c r="A91" s="9" t="n"/>
      <c r="B91" s="9" t="n"/>
      <c r="C91" s="9" t="n"/>
      <c r="D91" s="9" t="n"/>
      <c r="E91" s="9" t="n"/>
      <c r="F91" s="9" t="n"/>
      <c r="G91" s="9">
        <f>IF(OR(E91="",F91=""),"",DATEDIF(E91,F91,"Y"))</f>
        <v/>
      </c>
      <c r="H91" s="9" t="n"/>
    </row>
    <row r="92" ht="14.25" customHeight="1" s="38">
      <c r="A92" s="9" t="n"/>
      <c r="B92" s="9" t="n"/>
      <c r="C92" s="9" t="n"/>
      <c r="D92" s="9" t="n"/>
      <c r="E92" s="9" t="n"/>
      <c r="F92" s="9" t="n"/>
      <c r="G92" s="9">
        <f>IF(OR(E92="",F92=""),"",DATEDIF(E92,F92,"Y"))</f>
        <v/>
      </c>
      <c r="H92" s="9" t="n"/>
    </row>
    <row r="93" ht="14.25" customHeight="1" s="38">
      <c r="A93" s="9" t="n"/>
      <c r="B93" s="9" t="n"/>
      <c r="C93" s="9" t="n"/>
      <c r="D93" s="9" t="n"/>
      <c r="E93" s="9" t="n"/>
      <c r="F93" s="9" t="n"/>
      <c r="G93" s="9">
        <f>IF(OR(E93="",F93=""),"",DATEDIF(E93,F93,"Y"))</f>
        <v/>
      </c>
      <c r="H93" s="9" t="n"/>
    </row>
    <row r="94" ht="14.25" customHeight="1" s="38">
      <c r="A94" s="9" t="n"/>
      <c r="B94" s="9" t="n"/>
      <c r="C94" s="9" t="n"/>
      <c r="D94" s="9" t="n"/>
      <c r="E94" s="9" t="n"/>
      <c r="F94" s="9" t="n"/>
      <c r="G94" s="9">
        <f>IF(OR(E94="",F94=""),"",DATEDIF(E94,F94,"Y"))</f>
        <v/>
      </c>
      <c r="H94" s="9" t="n"/>
    </row>
    <row r="95" ht="14.25" customHeight="1" s="38">
      <c r="A95" s="9" t="n"/>
      <c r="B95" s="9" t="n"/>
      <c r="C95" s="9" t="n"/>
      <c r="D95" s="9" t="n"/>
      <c r="E95" s="9" t="n"/>
      <c r="F95" s="9" t="n"/>
      <c r="G95" s="9">
        <f>IF(OR(E95="",F95=""),"",DATEDIF(E95,F95,"Y"))</f>
        <v/>
      </c>
      <c r="H95" s="9" t="n"/>
    </row>
    <row r="96" ht="14.25" customHeight="1" s="38">
      <c r="A96" s="9" t="n"/>
      <c r="B96" s="9" t="n"/>
      <c r="C96" s="9" t="n"/>
      <c r="D96" s="9" t="n"/>
      <c r="E96" s="9" t="n"/>
      <c r="F96" s="9" t="n"/>
      <c r="G96" s="9">
        <f>IF(OR(E96="",F96=""),"",DATEDIF(E96,F96,"Y"))</f>
        <v/>
      </c>
      <c r="H96" s="9" t="n"/>
    </row>
    <row r="97" ht="14.25" customHeight="1" s="38">
      <c r="A97" s="9" t="n"/>
      <c r="B97" s="9" t="n"/>
      <c r="C97" s="9" t="n"/>
      <c r="D97" s="9" t="n"/>
      <c r="E97" s="9" t="n"/>
      <c r="F97" s="9" t="n"/>
      <c r="G97" s="9">
        <f>IF(OR(E97="",F97=""),"",DATEDIF(E97,F97,"Y"))</f>
        <v/>
      </c>
      <c r="H97" s="9" t="n"/>
    </row>
    <row r="98" ht="14.25" customHeight="1" s="38">
      <c r="A98" s="9" t="n"/>
      <c r="B98" s="9" t="n"/>
      <c r="C98" s="9" t="n"/>
      <c r="D98" s="9" t="n"/>
      <c r="E98" s="9" t="n"/>
      <c r="F98" s="9" t="n"/>
      <c r="G98" s="9">
        <f>IF(OR(E98="",F98=""),"",DATEDIF(E98,F98,"Y"))</f>
        <v/>
      </c>
      <c r="H98" s="9" t="n"/>
    </row>
    <row r="99" ht="14.25" customHeight="1" s="38">
      <c r="A99" s="9" t="n"/>
      <c r="B99" s="9" t="n"/>
      <c r="C99" s="9" t="n"/>
      <c r="D99" s="9" t="n"/>
      <c r="E99" s="9" t="n"/>
      <c r="F99" s="9" t="n"/>
      <c r="G99" s="9">
        <f>IF(OR(E99="",F99=""),"",DATEDIF(E99,F99,"Y"))</f>
        <v/>
      </c>
      <c r="H99" s="9" t="n"/>
    </row>
    <row r="100" ht="14.25" customHeight="1" s="38">
      <c r="A100" s="9" t="n"/>
      <c r="B100" s="9" t="n"/>
      <c r="C100" s="9" t="n"/>
      <c r="D100" s="9" t="n"/>
      <c r="E100" s="9" t="n"/>
      <c r="F100" s="9" t="n"/>
      <c r="G100" s="9">
        <f>IF(OR(E100="",F100=""),"",DATEDIF(E100,F100,"Y"))</f>
        <v/>
      </c>
      <c r="H100" s="9" t="n"/>
    </row>
    <row r="101" ht="14.25" customHeight="1" s="38">
      <c r="A101" s="9" t="n"/>
      <c r="B101" s="9" t="n"/>
      <c r="C101" s="9" t="n"/>
      <c r="D101" s="9" t="n"/>
      <c r="E101" s="9" t="n"/>
      <c r="F101" s="9" t="n"/>
      <c r="G101" s="9">
        <f>IF(OR(E101="",F101=""),"",DATEDIF(E101,F101,"Y"))</f>
        <v/>
      </c>
      <c r="H101" s="9" t="n"/>
    </row>
    <row r="102" ht="14.25" customHeight="1" s="38">
      <c r="A102" s="9" t="n"/>
      <c r="B102" s="9" t="n"/>
      <c r="C102" s="9" t="n"/>
      <c r="D102" s="9" t="n"/>
      <c r="E102" s="9" t="n"/>
      <c r="F102" s="9" t="n"/>
      <c r="G102" s="9">
        <f>IF(OR(E102="",F102=""),"",DATEDIF(E102,F102,"Y"))</f>
        <v/>
      </c>
      <c r="H102" s="9" t="n"/>
    </row>
    <row r="103" ht="14.25" customHeight="1" s="38">
      <c r="A103" s="9" t="n"/>
      <c r="B103" s="9" t="n"/>
      <c r="C103" s="9" t="n"/>
      <c r="D103" s="9" t="n"/>
      <c r="E103" s="9" t="n"/>
      <c r="F103" s="9" t="n"/>
      <c r="G103" s="9">
        <f>IF(OR(E103="",F103=""),"",DATEDIF(E103,F103,"Y"))</f>
        <v/>
      </c>
      <c r="H103" s="9" t="n"/>
    </row>
    <row r="104" ht="14.25" customHeight="1" s="38">
      <c r="A104" s="9" t="n"/>
      <c r="B104" s="9" t="n"/>
      <c r="C104" s="9" t="n"/>
      <c r="D104" s="9" t="n"/>
      <c r="E104" s="9" t="n"/>
      <c r="F104" s="9" t="n"/>
      <c r="G104" s="9">
        <f>IF(OR(E104="",F104=""),"",DATEDIF(E104,F104,"Y"))</f>
        <v/>
      </c>
      <c r="H104" s="9" t="n"/>
    </row>
    <row r="105" ht="14.25" customHeight="1" s="38">
      <c r="A105" s="9" t="n"/>
      <c r="B105" s="9" t="n"/>
      <c r="C105" s="9" t="n"/>
      <c r="D105" s="9" t="n"/>
      <c r="E105" s="9" t="n"/>
      <c r="F105" s="9" t="n"/>
      <c r="G105" s="9">
        <f>IF(OR(E105="",F105=""),"",DATEDIF(E105,F105,"Y"))</f>
        <v/>
      </c>
      <c r="H105" s="9" t="n"/>
    </row>
    <row r="106" ht="14.25" customHeight="1" s="38">
      <c r="A106" s="9" t="n"/>
      <c r="B106" s="9" t="n"/>
      <c r="C106" s="9" t="n"/>
      <c r="D106" s="9" t="n"/>
      <c r="E106" s="9" t="n"/>
      <c r="F106" s="9" t="n"/>
      <c r="G106" s="9">
        <f>IF(OR(E106="",F106=""),"",DATEDIF(E106,F106,"Y"))</f>
        <v/>
      </c>
      <c r="H106" s="9" t="n"/>
    </row>
    <row r="107" ht="14.25" customHeight="1" s="38">
      <c r="A107" s="9" t="n"/>
      <c r="B107" s="9" t="n"/>
      <c r="C107" s="9" t="n"/>
      <c r="D107" s="9" t="n"/>
      <c r="E107" s="9" t="n"/>
      <c r="F107" s="9" t="n"/>
      <c r="G107" s="9">
        <f>IF(OR(E107="",F107=""),"",DATEDIF(E107,F107,"Y"))</f>
        <v/>
      </c>
      <c r="H107" s="9" t="n"/>
    </row>
    <row r="108" ht="14.25" customHeight="1" s="38">
      <c r="A108" s="9" t="n"/>
      <c r="B108" s="9" t="n"/>
      <c r="C108" s="9" t="n"/>
      <c r="D108" s="9" t="n"/>
      <c r="E108" s="9" t="n"/>
      <c r="F108" s="9" t="n"/>
      <c r="G108" s="9">
        <f>IF(OR(E108="",F108=""),"",DATEDIF(E108,F108,"Y"))</f>
        <v/>
      </c>
      <c r="H108" s="9" t="n"/>
    </row>
    <row r="109" ht="14.25" customHeight="1" s="38">
      <c r="A109" s="9" t="n"/>
      <c r="B109" s="9" t="n"/>
      <c r="C109" s="9" t="n"/>
      <c r="D109" s="9" t="n"/>
      <c r="E109" s="9" t="n"/>
      <c r="F109" s="9" t="n"/>
      <c r="G109" s="9">
        <f>IF(OR(E109="",F109=""),"",DATEDIF(E109,F109,"Y"))</f>
        <v/>
      </c>
      <c r="H109" s="9" t="n"/>
    </row>
    <row r="110" ht="14.25" customHeight="1" s="38">
      <c r="A110" s="9" t="n"/>
      <c r="B110" s="9" t="n"/>
      <c r="C110" s="9" t="n"/>
      <c r="D110" s="9" t="n"/>
      <c r="E110" s="9" t="n"/>
      <c r="F110" s="9" t="n"/>
      <c r="G110" s="9">
        <f>IF(OR(E110="",F110=""),"",DATEDIF(E110,F110,"Y"))</f>
        <v/>
      </c>
      <c r="H110" s="9" t="n"/>
    </row>
    <row r="111" ht="14.25" customHeight="1" s="38">
      <c r="A111" s="9" t="n"/>
      <c r="B111" s="9" t="n"/>
      <c r="C111" s="9" t="n"/>
      <c r="D111" s="9" t="n"/>
      <c r="E111" s="9" t="n"/>
      <c r="F111" s="9" t="n"/>
      <c r="G111" s="9">
        <f>IF(OR(E111="",F111=""),"",DATEDIF(E111,F111,"Y"))</f>
        <v/>
      </c>
      <c r="H111" s="9" t="n"/>
    </row>
    <row r="112" ht="14.25" customHeight="1" s="38">
      <c r="A112" s="9" t="n"/>
      <c r="B112" s="9" t="n"/>
      <c r="C112" s="9" t="n"/>
      <c r="D112" s="9" t="n"/>
      <c r="E112" s="9" t="n"/>
      <c r="F112" s="9" t="n"/>
      <c r="G112" s="9">
        <f>IF(OR(E112="",F112=""),"",DATEDIF(E112,F112,"Y"))</f>
        <v/>
      </c>
      <c r="H112" s="9" t="n"/>
    </row>
    <row r="113" ht="14.25" customHeight="1" s="38">
      <c r="A113" s="9" t="n"/>
      <c r="B113" s="9" t="n"/>
      <c r="C113" s="9" t="n"/>
      <c r="D113" s="9" t="n"/>
      <c r="E113" s="9" t="n"/>
      <c r="F113" s="9" t="n"/>
      <c r="G113" s="9">
        <f>IF(OR(E113="",F113=""),"",DATEDIF(E113,F113,"Y"))</f>
        <v/>
      </c>
      <c r="H113" s="9" t="n"/>
    </row>
    <row r="114" ht="14.25" customHeight="1" s="38">
      <c r="A114" s="9" t="n"/>
      <c r="B114" s="9" t="n"/>
      <c r="C114" s="9" t="n"/>
      <c r="D114" s="9" t="n"/>
      <c r="E114" s="9" t="n"/>
      <c r="F114" s="9" t="n"/>
      <c r="G114" s="9">
        <f>IF(OR(E114="",F114=""),"",DATEDIF(E114,F114,"Y"))</f>
        <v/>
      </c>
      <c r="H114" s="9" t="n"/>
    </row>
    <row r="115" ht="14.25" customHeight="1" s="38">
      <c r="A115" s="9" t="n"/>
      <c r="B115" s="9" t="n"/>
      <c r="C115" s="9" t="n"/>
      <c r="D115" s="9" t="n"/>
      <c r="E115" s="9" t="n"/>
      <c r="F115" s="9" t="n"/>
      <c r="G115" s="9">
        <f>IF(OR(E115="",F115=""),"",DATEDIF(E115,F115,"Y"))</f>
        <v/>
      </c>
      <c r="H115" s="9" t="n"/>
    </row>
    <row r="116" ht="14.25" customHeight="1" s="38">
      <c r="A116" s="9" t="n"/>
      <c r="B116" s="9" t="n"/>
      <c r="C116" s="9" t="n"/>
      <c r="D116" s="9" t="n"/>
      <c r="E116" s="9" t="n"/>
      <c r="F116" s="9" t="n"/>
      <c r="G116" s="9">
        <f>IF(OR(E116="",F116=""),"",DATEDIF(E116,F116,"Y"))</f>
        <v/>
      </c>
      <c r="H116" s="9" t="n"/>
    </row>
    <row r="117" ht="14.25" customHeight="1" s="38">
      <c r="A117" s="9" t="n"/>
      <c r="B117" s="9" t="n"/>
      <c r="C117" s="9" t="n"/>
      <c r="D117" s="9" t="n"/>
      <c r="E117" s="9" t="n"/>
      <c r="F117" s="9" t="n"/>
      <c r="G117" s="9">
        <f>IF(OR(E117="",F117=""),"",DATEDIF(E117,F117,"Y"))</f>
        <v/>
      </c>
      <c r="H117" s="9" t="n"/>
    </row>
    <row r="118" ht="14.25" customHeight="1" s="38">
      <c r="A118" s="9" t="n"/>
      <c r="B118" s="9" t="n"/>
      <c r="C118" s="9" t="n"/>
      <c r="D118" s="9" t="n"/>
      <c r="E118" s="9" t="n"/>
      <c r="F118" s="9" t="n"/>
      <c r="G118" s="9">
        <f>IF(OR(E118="",F118=""),"",DATEDIF(E118,F118,"Y"))</f>
        <v/>
      </c>
      <c r="H118" s="9" t="n"/>
    </row>
    <row r="119" ht="14.25" customHeight="1" s="38">
      <c r="A119" s="9" t="n"/>
      <c r="B119" s="9" t="n"/>
      <c r="C119" s="9" t="n"/>
      <c r="D119" s="9" t="n"/>
      <c r="E119" s="9" t="n"/>
      <c r="F119" s="9" t="n"/>
      <c r="G119" s="9">
        <f>IF(OR(E119="",F119=""),"",DATEDIF(E119,F119,"Y"))</f>
        <v/>
      </c>
      <c r="H119" s="9" t="n"/>
    </row>
    <row r="120" ht="14.25" customHeight="1" s="38">
      <c r="A120" s="9" t="n"/>
      <c r="B120" s="9" t="n"/>
      <c r="C120" s="9" t="n"/>
      <c r="D120" s="9" t="n"/>
      <c r="E120" s="9" t="n"/>
      <c r="F120" s="9" t="n"/>
      <c r="G120" s="9">
        <f>IF(OR(E120="",F120=""),"",DATEDIF(E120,F120,"Y"))</f>
        <v/>
      </c>
      <c r="H120" s="9" t="n"/>
    </row>
    <row r="121" ht="14.25" customHeight="1" s="38">
      <c r="A121" s="9" t="n"/>
      <c r="B121" s="9" t="n"/>
      <c r="C121" s="9" t="n"/>
      <c r="D121" s="9" t="n"/>
      <c r="E121" s="9" t="n"/>
      <c r="F121" s="9" t="n"/>
      <c r="G121" s="9">
        <f>IF(OR(E121="",F121=""),"",DATEDIF(E121,F121,"Y"))</f>
        <v/>
      </c>
      <c r="H121" s="9" t="n"/>
    </row>
    <row r="122" ht="14.25" customHeight="1" s="38">
      <c r="A122" s="9" t="n"/>
      <c r="B122" s="9" t="n"/>
      <c r="C122" s="9" t="n"/>
      <c r="D122" s="9" t="n"/>
      <c r="E122" s="9" t="n"/>
      <c r="F122" s="9" t="n"/>
      <c r="G122" s="9">
        <f>IF(OR(E122="",F122=""),"",DATEDIF(E122,F122,"Y"))</f>
        <v/>
      </c>
      <c r="H122" s="9" t="n"/>
    </row>
    <row r="123" ht="14.25" customHeight="1" s="38">
      <c r="A123" s="9" t="n"/>
      <c r="B123" s="9" t="n"/>
      <c r="C123" s="9" t="n"/>
      <c r="D123" s="9" t="n"/>
      <c r="E123" s="9" t="n"/>
      <c r="F123" s="9" t="n"/>
      <c r="G123" s="9">
        <f>IF(OR(E123="",F123=""),"",DATEDIF(E123,F123,"Y"))</f>
        <v/>
      </c>
      <c r="H123" s="9" t="n"/>
    </row>
    <row r="124" ht="14.25" customHeight="1" s="38">
      <c r="A124" s="9" t="n"/>
      <c r="B124" s="9" t="n"/>
      <c r="C124" s="9" t="n"/>
      <c r="D124" s="9" t="n"/>
      <c r="E124" s="9" t="n"/>
      <c r="F124" s="9" t="n"/>
      <c r="G124" s="9">
        <f>IF(OR(E124="",F124=""),"",DATEDIF(E124,F124,"Y"))</f>
        <v/>
      </c>
      <c r="H124" s="9" t="n"/>
    </row>
    <row r="125" ht="14.25" customHeight="1" s="38">
      <c r="A125" s="9" t="n"/>
      <c r="B125" s="9" t="n"/>
      <c r="C125" s="9" t="n"/>
      <c r="D125" s="9" t="n"/>
      <c r="E125" s="9" t="n"/>
      <c r="F125" s="9" t="n"/>
      <c r="G125" s="9">
        <f>IF(OR(E125="",F125=""),"",DATEDIF(E125,F125,"Y"))</f>
        <v/>
      </c>
      <c r="H125" s="9" t="n"/>
    </row>
    <row r="126" ht="14.25" customHeight="1" s="38">
      <c r="A126" s="9" t="n"/>
      <c r="B126" s="9" t="n"/>
      <c r="C126" s="9" t="n"/>
      <c r="D126" s="9" t="n"/>
      <c r="E126" s="9" t="n"/>
      <c r="F126" s="9" t="n"/>
      <c r="G126" s="9">
        <f>IF(OR(E126="",F126=""),"",DATEDIF(E126,F126,"Y"))</f>
        <v/>
      </c>
      <c r="H126" s="9" t="n"/>
    </row>
    <row r="127" ht="14.25" customHeight="1" s="38">
      <c r="A127" s="9" t="n"/>
      <c r="B127" s="9" t="n"/>
      <c r="C127" s="9" t="n"/>
      <c r="D127" s="9" t="n"/>
      <c r="E127" s="9" t="n"/>
      <c r="F127" s="9" t="n"/>
      <c r="G127" s="9">
        <f>IF(OR(E127="",F127=""),"",DATEDIF(E127,F127,"Y"))</f>
        <v/>
      </c>
      <c r="H127" s="9" t="n"/>
    </row>
    <row r="128" ht="14.25" customHeight="1" s="38">
      <c r="A128" s="9" t="n"/>
      <c r="B128" s="9" t="n"/>
      <c r="C128" s="9" t="n"/>
      <c r="D128" s="9" t="n"/>
      <c r="E128" s="9" t="n"/>
      <c r="F128" s="9" t="n"/>
      <c r="G128" s="9">
        <f>IF(OR(E128="",F128=""),"",DATEDIF(E128,F128,"Y"))</f>
        <v/>
      </c>
      <c r="H128" s="9" t="n"/>
    </row>
    <row r="129" ht="14.25" customHeight="1" s="38">
      <c r="A129" s="9" t="n"/>
      <c r="B129" s="9" t="n"/>
      <c r="C129" s="9" t="n"/>
      <c r="D129" s="9" t="n"/>
      <c r="E129" s="9" t="n"/>
      <c r="F129" s="9" t="n"/>
      <c r="G129" s="9">
        <f>IF(OR(E129="",F129=""),"",DATEDIF(E129,F129,"Y"))</f>
        <v/>
      </c>
      <c r="H129" s="9" t="n"/>
    </row>
    <row r="130" ht="14.25" customHeight="1" s="38">
      <c r="A130" s="9" t="n"/>
      <c r="B130" s="9" t="n"/>
      <c r="C130" s="9" t="n"/>
      <c r="D130" s="9" t="n"/>
      <c r="E130" s="9" t="n"/>
      <c r="F130" s="9" t="n"/>
      <c r="G130" s="9">
        <f>IF(OR(E130="",F130=""),"",DATEDIF(E130,F130,"Y"))</f>
        <v/>
      </c>
      <c r="H130" s="9" t="n"/>
    </row>
    <row r="131" ht="14.25" customHeight="1" s="38">
      <c r="A131" s="9" t="n"/>
      <c r="B131" s="9" t="n"/>
      <c r="C131" s="9" t="n"/>
      <c r="D131" s="9" t="n"/>
      <c r="E131" s="9" t="n"/>
      <c r="F131" s="9" t="n"/>
      <c r="G131" s="9">
        <f>IF(OR(E131="",F131=""),"",DATEDIF(E131,F131,"Y"))</f>
        <v/>
      </c>
      <c r="H131" s="9" t="n"/>
    </row>
    <row r="132" ht="14.25" customHeight="1" s="38">
      <c r="A132" s="9" t="n"/>
      <c r="B132" s="9" t="n"/>
      <c r="C132" s="9" t="n"/>
      <c r="D132" s="9" t="n"/>
      <c r="E132" s="9" t="n"/>
      <c r="F132" s="9" t="n"/>
      <c r="G132" s="9">
        <f>IF(OR(E132="",F132=""),"",DATEDIF(E132,F132,"Y"))</f>
        <v/>
      </c>
      <c r="H132" s="9" t="n"/>
    </row>
    <row r="133" ht="14.25" customHeight="1" s="38">
      <c r="A133" s="9" t="n"/>
      <c r="B133" s="9" t="n"/>
      <c r="C133" s="9" t="n"/>
      <c r="D133" s="9" t="n"/>
      <c r="E133" s="9" t="n"/>
      <c r="F133" s="9" t="n"/>
      <c r="G133" s="9">
        <f>IF(OR(E133="",F133=""),"",DATEDIF(E133,F133,"Y"))</f>
        <v/>
      </c>
      <c r="H133" s="9" t="n"/>
    </row>
    <row r="134" ht="14.25" customHeight="1" s="38">
      <c r="A134" s="9" t="n"/>
      <c r="B134" s="9" t="n"/>
      <c r="C134" s="9" t="n"/>
      <c r="D134" s="9" t="n"/>
      <c r="E134" s="9" t="n"/>
      <c r="F134" s="9" t="n"/>
      <c r="G134" s="9">
        <f>IF(OR(E134="",F134=""),"",DATEDIF(E134,F134,"Y"))</f>
        <v/>
      </c>
      <c r="H134" s="9" t="n"/>
    </row>
    <row r="135" ht="14.25" customHeight="1" s="38">
      <c r="A135" s="9" t="n"/>
      <c r="B135" s="9" t="n"/>
      <c r="C135" s="9" t="n"/>
      <c r="D135" s="9" t="n"/>
      <c r="E135" s="9" t="n"/>
      <c r="F135" s="9" t="n"/>
      <c r="G135" s="9">
        <f>IF(OR(E135="",F135=""),"",DATEDIF(E135,F135,"Y"))</f>
        <v/>
      </c>
      <c r="H135" s="9" t="n"/>
    </row>
    <row r="136" ht="14.25" customHeight="1" s="38">
      <c r="A136" s="9" t="n"/>
      <c r="B136" s="9" t="n"/>
      <c r="C136" s="9" t="n"/>
      <c r="D136" s="9" t="n"/>
      <c r="E136" s="9" t="n"/>
      <c r="F136" s="9" t="n"/>
      <c r="G136" s="9">
        <f>IF(OR(E136="",F136=""),"",DATEDIF(E136,F136,"Y"))</f>
        <v/>
      </c>
      <c r="H136" s="9" t="n"/>
    </row>
    <row r="137" ht="14.25" customHeight="1" s="38">
      <c r="A137" s="9" t="n"/>
      <c r="B137" s="9" t="n"/>
      <c r="C137" s="9" t="n"/>
      <c r="D137" s="9" t="n"/>
      <c r="E137" s="9" t="n"/>
      <c r="F137" s="9" t="n"/>
      <c r="G137" s="9">
        <f>IF(OR(E137="",F137=""),"",DATEDIF(E137,F137,"Y"))</f>
        <v/>
      </c>
      <c r="H137" s="9" t="n"/>
    </row>
    <row r="138" ht="14.25" customHeight="1" s="38">
      <c r="A138" s="9" t="n"/>
      <c r="B138" s="9" t="n"/>
      <c r="C138" s="9" t="n"/>
      <c r="D138" s="9" t="n"/>
      <c r="E138" s="9" t="n"/>
      <c r="F138" s="9" t="n"/>
      <c r="G138" s="9">
        <f>IF(OR(E138="",F138=""),"",DATEDIF(E138,F138,"Y"))</f>
        <v/>
      </c>
      <c r="H138" s="9" t="n"/>
    </row>
    <row r="139" ht="14.25" customHeight="1" s="38">
      <c r="A139" s="9" t="n"/>
      <c r="B139" s="9" t="n"/>
      <c r="C139" s="9" t="n"/>
      <c r="D139" s="9" t="n"/>
      <c r="E139" s="9" t="n"/>
      <c r="F139" s="9" t="n"/>
      <c r="G139" s="9">
        <f>IF(OR(E139="",F139=""),"",DATEDIF(E139,F139,"Y"))</f>
        <v/>
      </c>
      <c r="H139" s="9" t="n"/>
    </row>
    <row r="140" ht="14.25" customHeight="1" s="38">
      <c r="A140" s="9" t="n"/>
      <c r="B140" s="9" t="n"/>
      <c r="C140" s="9" t="n"/>
      <c r="D140" s="9" t="n"/>
      <c r="E140" s="9" t="n"/>
      <c r="F140" s="9" t="n"/>
      <c r="G140" s="9">
        <f>IF(OR(E140="",F140=""),"",DATEDIF(E140,F140,"Y"))</f>
        <v/>
      </c>
      <c r="H140" s="9" t="n"/>
    </row>
    <row r="141" ht="14.25" customHeight="1" s="38">
      <c r="A141" s="9" t="n"/>
      <c r="B141" s="9" t="n"/>
      <c r="C141" s="9" t="n"/>
      <c r="D141" s="9" t="n"/>
      <c r="E141" s="9" t="n"/>
      <c r="F141" s="9" t="n"/>
      <c r="G141" s="9">
        <f>IF(OR(E141="",F141=""),"",DATEDIF(E141,F141,"Y"))</f>
        <v/>
      </c>
      <c r="H141" s="9" t="n"/>
    </row>
    <row r="142" ht="14.25" customHeight="1" s="38">
      <c r="A142" s="9" t="n"/>
      <c r="B142" s="9" t="n"/>
      <c r="C142" s="9" t="n"/>
      <c r="D142" s="9" t="n"/>
      <c r="E142" s="9" t="n"/>
      <c r="F142" s="9" t="n"/>
      <c r="G142" s="9">
        <f>IF(OR(E142="",F142=""),"",DATEDIF(E142,F142,"Y"))</f>
        <v/>
      </c>
      <c r="H142" s="9" t="n"/>
    </row>
    <row r="143" ht="14.25" customHeight="1" s="38">
      <c r="A143" s="9" t="n"/>
      <c r="B143" s="9" t="n"/>
      <c r="C143" s="9" t="n"/>
      <c r="D143" s="9" t="n"/>
      <c r="E143" s="9" t="n"/>
      <c r="F143" s="9" t="n"/>
      <c r="G143" s="9">
        <f>IF(OR(E143="",F143=""),"",DATEDIF(E143,F143,"Y"))</f>
        <v/>
      </c>
      <c r="H143" s="9" t="n"/>
    </row>
    <row r="144" ht="14.25" customHeight="1" s="38">
      <c r="A144" s="9" t="n"/>
      <c r="B144" s="9" t="n"/>
      <c r="C144" s="9" t="n"/>
      <c r="D144" s="9" t="n"/>
      <c r="E144" s="9" t="n"/>
      <c r="F144" s="9" t="n"/>
      <c r="G144" s="9">
        <f>IF(OR(E144="",F144=""),"",DATEDIF(E144,F144,"Y"))</f>
        <v/>
      </c>
      <c r="H144" s="9" t="n"/>
    </row>
    <row r="145" ht="14.25" customHeight="1" s="38">
      <c r="A145" s="9" t="n"/>
      <c r="B145" s="9" t="n"/>
      <c r="C145" s="9" t="n"/>
      <c r="D145" s="9" t="n"/>
      <c r="E145" s="9" t="n"/>
      <c r="F145" s="9" t="n"/>
      <c r="G145" s="9">
        <f>IF(OR(E145="",F145=""),"",DATEDIF(E145,F145,"Y"))</f>
        <v/>
      </c>
      <c r="H145" s="9" t="n"/>
    </row>
    <row r="146" ht="14.25" customHeight="1" s="38">
      <c r="A146" s="9" t="n"/>
      <c r="B146" s="9" t="n"/>
      <c r="C146" s="9" t="n"/>
      <c r="D146" s="9" t="n"/>
      <c r="E146" s="9" t="n"/>
      <c r="F146" s="9" t="n"/>
      <c r="G146" s="9">
        <f>IF(OR(E146="",F146=""),"",DATEDIF(E146,F146,"Y"))</f>
        <v/>
      </c>
      <c r="H146" s="9" t="n"/>
    </row>
    <row r="147" ht="14.25" customHeight="1" s="38">
      <c r="A147" s="9" t="n"/>
      <c r="B147" s="9" t="n"/>
      <c r="C147" s="9" t="n"/>
      <c r="D147" s="9" t="n"/>
      <c r="E147" s="9" t="n"/>
      <c r="F147" s="9" t="n"/>
      <c r="G147" s="9">
        <f>IF(OR(E147="",F147=""),"",DATEDIF(E147,F147,"Y"))</f>
        <v/>
      </c>
      <c r="H147" s="9" t="n"/>
    </row>
    <row r="148" ht="14.25" customHeight="1" s="38">
      <c r="A148" s="9" t="n"/>
      <c r="B148" s="9" t="n"/>
      <c r="C148" s="9" t="n"/>
      <c r="D148" s="9" t="n"/>
      <c r="E148" s="9" t="n"/>
      <c r="F148" s="9" t="n"/>
      <c r="G148" s="9">
        <f>IF(OR(E148="",F148=""),"",DATEDIF(E148,F148,"Y"))</f>
        <v/>
      </c>
      <c r="H148" s="9" t="n"/>
    </row>
    <row r="149" ht="14.25" customHeight="1" s="38">
      <c r="A149" s="9" t="n"/>
      <c r="B149" s="9" t="n"/>
      <c r="C149" s="9" t="n"/>
      <c r="D149" s="9" t="n"/>
      <c r="E149" s="9" t="n"/>
      <c r="F149" s="9" t="n"/>
      <c r="G149" s="9">
        <f>IF(OR(E149="",F149=""),"",DATEDIF(E149,F149,"Y"))</f>
        <v/>
      </c>
      <c r="H149" s="9" t="n"/>
    </row>
    <row r="150" ht="14.25" customHeight="1" s="38">
      <c r="A150" s="9" t="n"/>
      <c r="B150" s="9" t="n"/>
      <c r="C150" s="9" t="n"/>
      <c r="D150" s="9" t="n"/>
      <c r="E150" s="9" t="n"/>
      <c r="F150" s="9" t="n"/>
      <c r="G150" s="9">
        <f>IF(OR(E150="",F150=""),"",DATEDIF(E150,F150,"Y"))</f>
        <v/>
      </c>
      <c r="H150" s="9" t="n"/>
    </row>
    <row r="151" ht="14.25" customHeight="1" s="38">
      <c r="A151" s="9" t="n"/>
      <c r="B151" s="9" t="n"/>
      <c r="C151" s="9" t="n"/>
      <c r="D151" s="9" t="n"/>
      <c r="E151" s="9" t="n"/>
      <c r="F151" s="9" t="n"/>
      <c r="G151" s="9">
        <f>IF(OR(E151="",F151=""),"",DATEDIF(E151,F151,"Y"))</f>
        <v/>
      </c>
      <c r="H151" s="9" t="n"/>
    </row>
    <row r="152" ht="14.25" customHeight="1" s="38">
      <c r="A152" s="9" t="n"/>
      <c r="B152" s="9" t="n"/>
      <c r="C152" s="9" t="n"/>
      <c r="D152" s="9" t="n"/>
      <c r="E152" s="9" t="n"/>
      <c r="F152" s="9" t="n"/>
      <c r="G152" s="9">
        <f>IF(OR(E152="",F152=""),"",DATEDIF(E152,F152,"Y"))</f>
        <v/>
      </c>
      <c r="H152" s="9" t="n"/>
    </row>
    <row r="153" ht="14.25" customHeight="1" s="38">
      <c r="A153" s="9" t="n"/>
      <c r="B153" s="9" t="n"/>
      <c r="C153" s="9" t="n"/>
      <c r="D153" s="9" t="n"/>
      <c r="E153" s="9" t="n"/>
      <c r="F153" s="9" t="n"/>
      <c r="G153" s="9">
        <f>IF(OR(E153="",F153=""),"",DATEDIF(E153,F153,"Y"))</f>
        <v/>
      </c>
      <c r="H153" s="9" t="n"/>
    </row>
    <row r="154" ht="14.25" customHeight="1" s="38">
      <c r="A154" s="9" t="n"/>
      <c r="B154" s="9" t="n"/>
      <c r="C154" s="9" t="n"/>
      <c r="D154" s="9" t="n"/>
      <c r="E154" s="9" t="n"/>
      <c r="F154" s="9" t="n"/>
      <c r="G154" s="9">
        <f>IF(OR(E154="",F154=""),"",DATEDIF(E154,F154,"Y"))</f>
        <v/>
      </c>
      <c r="H154" s="9" t="n"/>
    </row>
    <row r="155" ht="14.25" customHeight="1" s="38">
      <c r="A155" s="9" t="n"/>
      <c r="B155" s="9" t="n"/>
      <c r="C155" s="9" t="n"/>
      <c r="D155" s="9" t="n"/>
      <c r="E155" s="9" t="n"/>
      <c r="F155" s="9" t="n"/>
      <c r="G155" s="9">
        <f>IF(OR(E155="",F155=""),"",DATEDIF(E155,F155,"Y"))</f>
        <v/>
      </c>
      <c r="H155" s="9" t="n"/>
    </row>
    <row r="156" ht="14.25" customHeight="1" s="38">
      <c r="A156" s="9" t="n"/>
      <c r="B156" s="9" t="n"/>
      <c r="C156" s="9" t="n"/>
      <c r="D156" s="9" t="n"/>
      <c r="E156" s="9" t="n"/>
      <c r="F156" s="9" t="n"/>
      <c r="G156" s="9">
        <f>IF(OR(E156="",F156=""),"",DATEDIF(E156,F156,"Y"))</f>
        <v/>
      </c>
      <c r="H156" s="9" t="n"/>
    </row>
    <row r="157" ht="14.25" customHeight="1" s="38">
      <c r="A157" s="9" t="n"/>
      <c r="B157" s="9" t="n"/>
      <c r="C157" s="9" t="n"/>
      <c r="D157" s="9" t="n"/>
      <c r="E157" s="9" t="n"/>
      <c r="F157" s="9" t="n"/>
      <c r="G157" s="9">
        <f>IF(OR(E157="",F157=""),"",DATEDIF(E157,F157,"Y"))</f>
        <v/>
      </c>
      <c r="H157" s="9" t="n"/>
    </row>
    <row r="158" ht="14.25" customHeight="1" s="38">
      <c r="A158" s="9" t="n"/>
      <c r="B158" s="9" t="n"/>
      <c r="C158" s="9" t="n"/>
      <c r="D158" s="9" t="n"/>
      <c r="E158" s="9" t="n"/>
      <c r="F158" s="9" t="n"/>
      <c r="G158" s="9">
        <f>IF(OR(E158="",F158=""),"",DATEDIF(E158,F158,"Y"))</f>
        <v/>
      </c>
      <c r="H158" s="9" t="n"/>
    </row>
    <row r="159" ht="14.25" customHeight="1" s="38">
      <c r="A159" s="9" t="n"/>
      <c r="B159" s="9" t="n"/>
      <c r="C159" s="9" t="n"/>
      <c r="D159" s="9" t="n"/>
      <c r="E159" s="9" t="n"/>
      <c r="F159" s="9" t="n"/>
      <c r="G159" s="9">
        <f>IF(OR(E159="",F159=""),"",DATEDIF(E159,F159,"Y"))</f>
        <v/>
      </c>
      <c r="H159" s="9" t="n"/>
    </row>
    <row r="160" ht="14.25" customHeight="1" s="38">
      <c r="A160" s="9" t="n"/>
      <c r="B160" s="9" t="n"/>
      <c r="C160" s="9" t="n"/>
      <c r="D160" s="9" t="n"/>
      <c r="E160" s="9" t="n"/>
      <c r="F160" s="9" t="n"/>
      <c r="G160" s="9">
        <f>IF(OR(E160="",F160=""),"",DATEDIF(E160,F160,"Y"))</f>
        <v/>
      </c>
      <c r="H160" s="9" t="n"/>
    </row>
    <row r="161" ht="14.25" customHeight="1" s="38">
      <c r="A161" s="9" t="n"/>
      <c r="B161" s="9" t="n"/>
      <c r="C161" s="9" t="n"/>
      <c r="D161" s="9" t="n"/>
      <c r="E161" s="9" t="n"/>
      <c r="F161" s="9" t="n"/>
      <c r="G161" s="9">
        <f>IF(OR(E161="",F161=""),"",DATEDIF(E161,F161,"Y"))</f>
        <v/>
      </c>
      <c r="H161" s="9" t="n"/>
    </row>
    <row r="162" ht="14.25" customHeight="1" s="38">
      <c r="A162" s="9" t="n"/>
      <c r="B162" s="9" t="n"/>
      <c r="C162" s="9" t="n"/>
      <c r="D162" s="9" t="n"/>
      <c r="E162" s="9" t="n"/>
      <c r="F162" s="9" t="n"/>
      <c r="G162" s="9">
        <f>IF(OR(E162="",F162=""),"",DATEDIF(E162,F162,"Y"))</f>
        <v/>
      </c>
      <c r="H162" s="9" t="n"/>
    </row>
    <row r="163" ht="14.25" customHeight="1" s="38">
      <c r="A163" s="9" t="n"/>
      <c r="B163" s="9" t="n"/>
      <c r="C163" s="9" t="n"/>
      <c r="D163" s="9" t="n"/>
      <c r="E163" s="9" t="n"/>
      <c r="F163" s="9" t="n"/>
      <c r="G163" s="9">
        <f>IF(OR(E163="",F163=""),"",DATEDIF(E163,F163,"Y"))</f>
        <v/>
      </c>
      <c r="H163" s="9" t="n"/>
    </row>
    <row r="164" ht="14.25" customHeight="1" s="38">
      <c r="A164" s="9" t="n"/>
      <c r="B164" s="9" t="n"/>
      <c r="C164" s="9" t="n"/>
      <c r="D164" s="9" t="n"/>
      <c r="E164" s="9" t="n"/>
      <c r="F164" s="9" t="n"/>
      <c r="G164" s="9">
        <f>IF(OR(E164="",F164=""),"",DATEDIF(E164,F164,"Y"))</f>
        <v/>
      </c>
      <c r="H164" s="9" t="n"/>
    </row>
    <row r="165" ht="14.25" customHeight="1" s="38">
      <c r="A165" s="9" t="n"/>
      <c r="B165" s="9" t="n"/>
      <c r="C165" s="9" t="n"/>
      <c r="D165" s="9" t="n"/>
      <c r="E165" s="9" t="n"/>
      <c r="F165" s="9" t="n"/>
      <c r="G165" s="9">
        <f>IF(OR(E165="",F165=""),"",DATEDIF(E165,F165,"Y"))</f>
        <v/>
      </c>
      <c r="H165" s="9" t="n"/>
    </row>
    <row r="166" ht="14.25" customHeight="1" s="38">
      <c r="A166" s="9" t="n"/>
      <c r="B166" s="9" t="n"/>
      <c r="C166" s="9" t="n"/>
      <c r="D166" s="9" t="n"/>
      <c r="E166" s="9" t="n"/>
      <c r="F166" s="9" t="n"/>
      <c r="G166" s="9">
        <f>IF(OR(E166="",F166=""),"",DATEDIF(E166,F166,"Y"))</f>
        <v/>
      </c>
      <c r="H166" s="9" t="n"/>
    </row>
    <row r="167" ht="14.25" customHeight="1" s="38">
      <c r="A167" s="9" t="n"/>
      <c r="B167" s="9" t="n"/>
      <c r="C167" s="9" t="n"/>
      <c r="D167" s="9" t="n"/>
      <c r="E167" s="9" t="n"/>
      <c r="F167" s="9" t="n"/>
      <c r="G167" s="9">
        <f>IF(OR(E167="",F167=""),"",DATEDIF(E167,F167,"Y"))</f>
        <v/>
      </c>
      <c r="H167" s="9" t="n"/>
    </row>
    <row r="168" ht="14.25" customHeight="1" s="38">
      <c r="A168" s="9" t="n"/>
      <c r="B168" s="9" t="n"/>
      <c r="C168" s="9" t="n"/>
      <c r="D168" s="9" t="n"/>
      <c r="E168" s="9" t="n"/>
      <c r="F168" s="9" t="n"/>
      <c r="G168" s="9">
        <f>IF(OR(E168="",F168=""),"",DATEDIF(E168,F168,"Y"))</f>
        <v/>
      </c>
      <c r="H168" s="9" t="n"/>
    </row>
    <row r="169" ht="14.25" customHeight="1" s="38">
      <c r="A169" s="9" t="n"/>
      <c r="B169" s="9" t="n"/>
      <c r="C169" s="9" t="n"/>
      <c r="D169" s="9" t="n"/>
      <c r="E169" s="9" t="n"/>
      <c r="F169" s="9" t="n"/>
      <c r="G169" s="9">
        <f>IF(OR(E169="",F169=""),"",DATEDIF(E169,F169,"Y"))</f>
        <v/>
      </c>
      <c r="H169" s="9" t="n"/>
    </row>
    <row r="170" ht="14.25" customHeight="1" s="38">
      <c r="A170" s="9" t="n"/>
      <c r="B170" s="9" t="n"/>
      <c r="C170" s="9" t="n"/>
      <c r="D170" s="9" t="n"/>
      <c r="E170" s="9" t="n"/>
      <c r="F170" s="9" t="n"/>
      <c r="G170" s="9">
        <f>IF(OR(E170="",F170=""),"",DATEDIF(E170,F170,"Y"))</f>
        <v/>
      </c>
      <c r="H170" s="9" t="n"/>
    </row>
    <row r="171" ht="14.25" customHeight="1" s="38">
      <c r="A171" s="9" t="n"/>
      <c r="B171" s="9" t="n"/>
      <c r="C171" s="9" t="n"/>
      <c r="D171" s="9" t="n"/>
      <c r="E171" s="9" t="n"/>
      <c r="F171" s="9" t="n"/>
      <c r="G171" s="9">
        <f>IF(OR(E171="",F171=""),"",DATEDIF(E171,F171,"Y"))</f>
        <v/>
      </c>
      <c r="H171" s="9" t="n"/>
    </row>
    <row r="172" ht="14.25" customHeight="1" s="38">
      <c r="A172" s="9" t="n"/>
      <c r="B172" s="9" t="n"/>
      <c r="C172" s="9" t="n"/>
      <c r="D172" s="9" t="n"/>
      <c r="E172" s="9" t="n"/>
      <c r="F172" s="9" t="n"/>
      <c r="G172" s="9">
        <f>IF(OR(E172="",F172=""),"",DATEDIF(E172,F172,"Y"))</f>
        <v/>
      </c>
      <c r="H172" s="9" t="n"/>
    </row>
    <row r="173" ht="14.25" customHeight="1" s="38">
      <c r="A173" s="9" t="n"/>
      <c r="B173" s="9" t="n"/>
      <c r="C173" s="9" t="n"/>
      <c r="D173" s="9" t="n"/>
      <c r="E173" s="9" t="n"/>
      <c r="F173" s="9" t="n"/>
      <c r="G173" s="9">
        <f>IF(OR(E173="",F173=""),"",DATEDIF(E173,F173,"Y"))</f>
        <v/>
      </c>
      <c r="H173" s="9" t="n"/>
    </row>
    <row r="174" ht="14.25" customHeight="1" s="38">
      <c r="A174" s="9" t="n"/>
      <c r="B174" s="9" t="n"/>
      <c r="C174" s="9" t="n"/>
      <c r="D174" s="9" t="n"/>
      <c r="E174" s="9" t="n"/>
      <c r="F174" s="9" t="n"/>
      <c r="G174" s="9">
        <f>IF(OR(E174="",F174=""),"",DATEDIF(E174,F174,"Y"))</f>
        <v/>
      </c>
      <c r="H174" s="9" t="n"/>
    </row>
    <row r="175" ht="14.25" customHeight="1" s="38">
      <c r="A175" s="9" t="n"/>
      <c r="B175" s="9" t="n"/>
      <c r="C175" s="9" t="n"/>
      <c r="D175" s="9" t="n"/>
      <c r="E175" s="9" t="n"/>
      <c r="F175" s="9" t="n"/>
      <c r="G175" s="9">
        <f>IF(OR(E175="",F175=""),"",DATEDIF(E175,F175,"Y"))</f>
        <v/>
      </c>
      <c r="H175" s="9" t="n"/>
    </row>
    <row r="176" ht="14.25" customHeight="1" s="38">
      <c r="A176" s="9" t="n"/>
      <c r="B176" s="9" t="n"/>
      <c r="C176" s="9" t="n"/>
      <c r="D176" s="9" t="n"/>
      <c r="E176" s="9" t="n"/>
      <c r="F176" s="9" t="n"/>
      <c r="G176" s="9">
        <f>IF(OR(E176="",F176=""),"",DATEDIF(E176,F176,"Y"))</f>
        <v/>
      </c>
      <c r="H176" s="9" t="n"/>
    </row>
    <row r="177" ht="14.25" customHeight="1" s="38">
      <c r="A177" s="9" t="n"/>
      <c r="B177" s="9" t="n"/>
      <c r="C177" s="9" t="n"/>
      <c r="D177" s="9" t="n"/>
      <c r="E177" s="9" t="n"/>
      <c r="F177" s="9" t="n"/>
      <c r="G177" s="9">
        <f>IF(OR(E177="",F177=""),"",DATEDIF(E177,F177,"Y"))</f>
        <v/>
      </c>
      <c r="H177" s="9" t="n"/>
    </row>
    <row r="178" ht="14.25" customHeight="1" s="38">
      <c r="A178" s="9" t="n"/>
      <c r="B178" s="9" t="n"/>
      <c r="C178" s="9" t="n"/>
      <c r="D178" s="9" t="n"/>
      <c r="E178" s="9" t="n"/>
      <c r="F178" s="9" t="n"/>
      <c r="G178" s="9">
        <f>IF(OR(E178="",F178=""),"",DATEDIF(E178,F178,"Y"))</f>
        <v/>
      </c>
      <c r="H178" s="9" t="n"/>
    </row>
    <row r="179" ht="14.25" customHeight="1" s="38">
      <c r="A179" s="9" t="n"/>
      <c r="B179" s="9" t="n"/>
      <c r="C179" s="9" t="n"/>
      <c r="D179" s="9" t="n"/>
      <c r="E179" s="9" t="n"/>
      <c r="F179" s="9" t="n"/>
      <c r="G179" s="9">
        <f>IF(OR(E179="",F179=""),"",DATEDIF(E179,F179,"Y"))</f>
        <v/>
      </c>
      <c r="H179" s="9" t="n"/>
    </row>
    <row r="180" ht="14.25" customHeight="1" s="38">
      <c r="A180" s="9" t="n"/>
      <c r="B180" s="9" t="n"/>
      <c r="C180" s="9" t="n"/>
      <c r="D180" s="9" t="n"/>
      <c r="E180" s="9" t="n"/>
      <c r="F180" s="9" t="n"/>
      <c r="G180" s="9">
        <f>IF(OR(E180="",F180=""),"",DATEDIF(E180,F180,"Y"))</f>
        <v/>
      </c>
      <c r="H180" s="9" t="n"/>
    </row>
    <row r="181" ht="14.25" customHeight="1" s="38">
      <c r="A181" s="9" t="n"/>
      <c r="B181" s="9" t="n"/>
      <c r="C181" s="9" t="n"/>
      <c r="D181" s="9" t="n"/>
      <c r="E181" s="9" t="n"/>
      <c r="F181" s="9" t="n"/>
      <c r="G181" s="9">
        <f>IF(OR(E181="",F181=""),"",DATEDIF(E181,F181,"Y"))</f>
        <v/>
      </c>
      <c r="H181" s="9" t="n"/>
    </row>
    <row r="182" ht="14.25" customHeight="1" s="38">
      <c r="A182" s="9" t="n"/>
      <c r="B182" s="9" t="n"/>
      <c r="C182" s="9" t="n"/>
      <c r="D182" s="9" t="n"/>
      <c r="E182" s="9" t="n"/>
      <c r="F182" s="9" t="n"/>
      <c r="G182" s="9">
        <f>IF(OR(E182="",F182=""),"",DATEDIF(E182,F182,"Y"))</f>
        <v/>
      </c>
      <c r="H182" s="9" t="n"/>
    </row>
    <row r="183" ht="14.25" customHeight="1" s="38">
      <c r="A183" s="9" t="n"/>
      <c r="B183" s="9" t="n"/>
      <c r="C183" s="9" t="n"/>
      <c r="D183" s="9" t="n"/>
      <c r="E183" s="9" t="n"/>
      <c r="F183" s="9" t="n"/>
      <c r="G183" s="9">
        <f>IF(OR(E183="",F183=""),"",DATEDIF(E183,F183,"Y"))</f>
        <v/>
      </c>
      <c r="H183" s="9" t="n"/>
    </row>
    <row r="184" ht="14.25" customHeight="1" s="38">
      <c r="A184" s="9" t="n"/>
      <c r="B184" s="9" t="n"/>
      <c r="C184" s="9" t="n"/>
      <c r="D184" s="9" t="n"/>
      <c r="E184" s="9" t="n"/>
      <c r="F184" s="9" t="n"/>
      <c r="G184" s="9">
        <f>IF(OR(E184="",F184=""),"",DATEDIF(E184,F184,"Y"))</f>
        <v/>
      </c>
      <c r="H184" s="9" t="n"/>
    </row>
    <row r="185" ht="14.25" customHeight="1" s="38">
      <c r="A185" s="9" t="n"/>
      <c r="B185" s="9" t="n"/>
      <c r="C185" s="9" t="n"/>
      <c r="D185" s="9" t="n"/>
      <c r="E185" s="9" t="n"/>
      <c r="F185" s="9" t="n"/>
      <c r="G185" s="9">
        <f>IF(OR(E185="",F185=""),"",DATEDIF(E185,F185,"Y"))</f>
        <v/>
      </c>
      <c r="H185" s="9" t="n"/>
    </row>
    <row r="186" ht="14.25" customHeight="1" s="38">
      <c r="A186" s="9" t="n"/>
      <c r="B186" s="9" t="n"/>
      <c r="C186" s="9" t="n"/>
      <c r="D186" s="9" t="n"/>
      <c r="E186" s="9" t="n"/>
      <c r="F186" s="9" t="n"/>
      <c r="G186" s="9">
        <f>IF(OR(E186="",F186=""),"",DATEDIF(E186,F186,"Y"))</f>
        <v/>
      </c>
      <c r="H186" s="9" t="n"/>
    </row>
    <row r="187" ht="14.25" customHeight="1" s="38">
      <c r="A187" s="9" t="n"/>
      <c r="B187" s="9" t="n"/>
      <c r="C187" s="9" t="n"/>
      <c r="D187" s="9" t="n"/>
      <c r="E187" s="9" t="n"/>
      <c r="F187" s="9" t="n"/>
      <c r="G187" s="9">
        <f>IF(OR(E187="",F187=""),"",DATEDIF(E187,F187,"Y"))</f>
        <v/>
      </c>
      <c r="H187" s="9" t="n"/>
    </row>
    <row r="188" ht="14.25" customHeight="1" s="38">
      <c r="A188" s="9" t="n"/>
      <c r="B188" s="9" t="n"/>
      <c r="C188" s="9" t="n"/>
      <c r="D188" s="9" t="n"/>
      <c r="E188" s="9" t="n"/>
      <c r="F188" s="9" t="n"/>
      <c r="G188" s="9">
        <f>IF(OR(E188="",F188=""),"",DATEDIF(E188,F188,"Y"))</f>
        <v/>
      </c>
      <c r="H188" s="9" t="n"/>
    </row>
    <row r="189" ht="14.25" customHeight="1" s="38">
      <c r="A189" s="9" t="n"/>
      <c r="B189" s="9" t="n"/>
      <c r="C189" s="9" t="n"/>
      <c r="D189" s="9" t="n"/>
      <c r="E189" s="9" t="n"/>
      <c r="F189" s="9" t="n"/>
      <c r="G189" s="9">
        <f>IF(OR(E189="",F189=""),"",DATEDIF(E189,F189,"Y"))</f>
        <v/>
      </c>
      <c r="H189" s="9" t="n"/>
    </row>
    <row r="190" ht="14.25" customHeight="1" s="38">
      <c r="A190" s="9" t="n"/>
      <c r="B190" s="9" t="n"/>
      <c r="C190" s="9" t="n"/>
      <c r="D190" s="9" t="n"/>
      <c r="E190" s="9" t="n"/>
      <c r="F190" s="9" t="n"/>
      <c r="G190" s="9">
        <f>IF(OR(E190="",F190=""),"",DATEDIF(E190,F190,"Y"))</f>
        <v/>
      </c>
      <c r="H190" s="9" t="n"/>
    </row>
    <row r="191" ht="14.25" customHeight="1" s="38">
      <c r="A191" s="9" t="n"/>
      <c r="B191" s="9" t="n"/>
      <c r="C191" s="9" t="n"/>
      <c r="D191" s="9" t="n"/>
      <c r="E191" s="9" t="n"/>
      <c r="F191" s="9" t="n"/>
      <c r="G191" s="9">
        <f>IF(OR(E191="",F191=""),"",DATEDIF(E191,F191,"Y"))</f>
        <v/>
      </c>
      <c r="H191" s="9" t="n"/>
    </row>
    <row r="192" ht="14.25" customHeight="1" s="38">
      <c r="A192" s="9" t="n"/>
      <c r="B192" s="9" t="n"/>
      <c r="C192" s="9" t="n"/>
      <c r="D192" s="9" t="n"/>
      <c r="E192" s="9" t="n"/>
      <c r="F192" s="9" t="n"/>
      <c r="G192" s="9">
        <f>IF(OR(E192="",F192=""),"",DATEDIF(E192,F192,"Y"))</f>
        <v/>
      </c>
      <c r="H192" s="9" t="n"/>
    </row>
    <row r="193" ht="14.25" customHeight="1" s="38">
      <c r="A193" s="9" t="n"/>
      <c r="B193" s="9" t="n"/>
      <c r="C193" s="9" t="n"/>
      <c r="D193" s="9" t="n"/>
      <c r="E193" s="9" t="n"/>
      <c r="F193" s="9" t="n"/>
      <c r="G193" s="9">
        <f>IF(OR(E193="",F193=""),"",DATEDIF(E193,F193,"Y"))</f>
        <v/>
      </c>
      <c r="H193" s="9" t="n"/>
    </row>
    <row r="194" ht="14.25" customHeight="1" s="38">
      <c r="A194" s="9" t="n"/>
      <c r="B194" s="9" t="n"/>
      <c r="C194" s="9" t="n"/>
      <c r="D194" s="9" t="n"/>
      <c r="E194" s="9" t="n"/>
      <c r="F194" s="9" t="n"/>
      <c r="G194" s="9">
        <f>IF(OR(E194="",F194=""),"",DATEDIF(E194,F194,"Y"))</f>
        <v/>
      </c>
      <c r="H194" s="9" t="n"/>
    </row>
    <row r="195" ht="14.25" customHeight="1" s="38">
      <c r="A195" s="9" t="n"/>
      <c r="B195" s="9" t="n"/>
      <c r="C195" s="9" t="n"/>
      <c r="D195" s="9" t="n"/>
      <c r="E195" s="9" t="n"/>
      <c r="F195" s="9" t="n"/>
      <c r="G195" s="9">
        <f>IF(OR(E195="",F195=""),"",DATEDIF(E195,F195,"Y"))</f>
        <v/>
      </c>
      <c r="H195" s="9" t="n"/>
    </row>
    <row r="196" ht="14.25" customHeight="1" s="38">
      <c r="A196" s="9" t="n"/>
      <c r="B196" s="9" t="n"/>
      <c r="C196" s="9" t="n"/>
      <c r="D196" s="9" t="n"/>
      <c r="E196" s="9" t="n"/>
      <c r="F196" s="9" t="n"/>
      <c r="G196" s="9">
        <f>IF(OR(E196="",F196=""),"",DATEDIF(E196,F196,"Y"))</f>
        <v/>
      </c>
      <c r="H196" s="9" t="n"/>
    </row>
    <row r="197" ht="14.25" customHeight="1" s="38">
      <c r="A197" s="9" t="n"/>
      <c r="B197" s="9" t="n"/>
      <c r="C197" s="9" t="n"/>
      <c r="D197" s="9" t="n"/>
      <c r="E197" s="9" t="n"/>
      <c r="F197" s="9" t="n"/>
      <c r="G197" s="9">
        <f>IF(OR(E197="",F197=""),"",DATEDIF(E197,F197,"Y"))</f>
        <v/>
      </c>
      <c r="H197" s="9" t="n"/>
    </row>
    <row r="198" ht="14.25" customHeight="1" s="38">
      <c r="A198" s="9" t="n"/>
      <c r="B198" s="9" t="n"/>
      <c r="C198" s="9" t="n"/>
      <c r="D198" s="9" t="n"/>
      <c r="E198" s="9" t="n"/>
      <c r="F198" s="9" t="n"/>
      <c r="G198" s="9">
        <f>IF(OR(E198="",F198=""),"",DATEDIF(E198,F198,"Y"))</f>
        <v/>
      </c>
      <c r="H198" s="9" t="n"/>
    </row>
    <row r="199" ht="14.25" customHeight="1" s="38">
      <c r="A199" s="9" t="n"/>
      <c r="B199" s="9" t="n"/>
      <c r="C199" s="9" t="n"/>
      <c r="D199" s="9" t="n"/>
      <c r="E199" s="9" t="n"/>
      <c r="F199" s="9" t="n"/>
      <c r="G199" s="9">
        <f>IF(OR(E199="",F199=""),"",DATEDIF(E199,F199,"Y"))</f>
        <v/>
      </c>
      <c r="H199" s="9" t="n"/>
    </row>
    <row r="200" ht="14.25" customHeight="1" s="38">
      <c r="A200" s="9" t="n"/>
      <c r="B200" s="9" t="n"/>
      <c r="C200" s="9" t="n"/>
      <c r="D200" s="9" t="n"/>
      <c r="E200" s="9" t="n"/>
      <c r="F200" s="9" t="n"/>
      <c r="G200" s="9">
        <f>IF(OR(E200="",F200=""),"",DATEDIF(E200,F200,"Y"))</f>
        <v/>
      </c>
      <c r="H200" s="9" t="n"/>
    </row>
    <row r="201" ht="14.25" customHeight="1" s="38">
      <c r="A201" s="9" t="n"/>
      <c r="B201" s="9" t="n"/>
      <c r="C201" s="9" t="n"/>
      <c r="D201" s="9" t="n"/>
      <c r="E201" s="9" t="n"/>
      <c r="F201" s="9" t="n"/>
      <c r="G201" s="9">
        <f>IF(OR(E201="",F201=""),"",DATEDIF(E201,F201,"Y"))</f>
        <v/>
      </c>
      <c r="H201" s="9" t="n"/>
    </row>
    <row r="202" ht="14.25" customHeight="1" s="38">
      <c r="A202" s="9" t="n"/>
      <c r="B202" s="9" t="n"/>
      <c r="C202" s="9" t="n"/>
      <c r="D202" s="9" t="n"/>
      <c r="E202" s="9" t="n"/>
      <c r="F202" s="9" t="n"/>
      <c r="G202" s="9">
        <f>IF(OR(E202="",F202=""),"",DATEDIF(E202,F202,"Y"))</f>
        <v/>
      </c>
      <c r="H202" s="9" t="n"/>
    </row>
    <row r="203" ht="14.25" customHeight="1" s="38">
      <c r="A203" s="9" t="n"/>
      <c r="B203" s="9" t="n"/>
      <c r="C203" s="9" t="n"/>
      <c r="D203" s="9" t="n"/>
      <c r="E203" s="9" t="n"/>
      <c r="F203" s="9" t="n"/>
      <c r="G203" s="9">
        <f>IF(OR(E203="",F203=""),"",DATEDIF(E203,F203,"Y"))</f>
        <v/>
      </c>
      <c r="H203" s="9" t="n"/>
    </row>
    <row r="204" ht="14.25" customHeight="1" s="38">
      <c r="A204" s="9" t="n"/>
      <c r="B204" s="9" t="n"/>
      <c r="C204" s="9" t="n"/>
      <c r="D204" s="9" t="n"/>
      <c r="E204" s="9" t="n"/>
      <c r="F204" s="9" t="n"/>
      <c r="G204" s="9">
        <f>IF(OR(E204="",F204=""),"",DATEDIF(E204,F204,"Y"))</f>
        <v/>
      </c>
      <c r="H204" s="9" t="n"/>
    </row>
    <row r="205" ht="14.25" customHeight="1" s="38">
      <c r="A205" s="9" t="n"/>
      <c r="B205" s="9" t="n"/>
      <c r="C205" s="9" t="n"/>
      <c r="D205" s="9" t="n"/>
      <c r="E205" s="9" t="n"/>
      <c r="F205" s="9" t="n"/>
      <c r="G205" s="9">
        <f>IF(OR(E205="",F205=""),"",DATEDIF(E205,F205,"Y"))</f>
        <v/>
      </c>
      <c r="H205" s="9" t="n"/>
    </row>
    <row r="206" ht="14.25" customHeight="1" s="38">
      <c r="A206" s="9" t="n"/>
      <c r="B206" s="9" t="n"/>
      <c r="C206" s="9" t="n"/>
      <c r="D206" s="9" t="n"/>
      <c r="E206" s="9" t="n"/>
      <c r="F206" s="9" t="n"/>
      <c r="G206" s="9">
        <f>IF(OR(E206="",F206=""),"",DATEDIF(E206,F206,"Y"))</f>
        <v/>
      </c>
      <c r="H206" s="9" t="n"/>
    </row>
    <row r="207" ht="14.25" customHeight="1" s="38">
      <c r="A207" s="9" t="n"/>
      <c r="B207" s="9" t="n"/>
      <c r="C207" s="9" t="n"/>
      <c r="D207" s="9" t="n"/>
      <c r="E207" s="9" t="n"/>
      <c r="F207" s="9" t="n"/>
      <c r="G207" s="9">
        <f>IF(OR(E207="",F207=""),"",DATEDIF(E207,F207,"Y"))</f>
        <v/>
      </c>
      <c r="H207" s="9" t="n"/>
    </row>
    <row r="208" ht="14.25" customHeight="1" s="38">
      <c r="A208" s="9" t="n"/>
      <c r="B208" s="9" t="n"/>
      <c r="C208" s="9" t="n"/>
      <c r="D208" s="9" t="n"/>
      <c r="E208" s="9" t="n"/>
      <c r="F208" s="9" t="n"/>
      <c r="G208" s="9">
        <f>IF(OR(E208="",F208=""),"",DATEDIF(E208,F208,"Y"))</f>
        <v/>
      </c>
      <c r="H208" s="9" t="n"/>
    </row>
    <row r="209" ht="14.25" customHeight="1" s="38">
      <c r="A209" s="9" t="n"/>
      <c r="B209" s="9" t="n"/>
      <c r="C209" s="9" t="n"/>
      <c r="D209" s="9" t="n"/>
      <c r="E209" s="9" t="n"/>
      <c r="F209" s="9" t="n"/>
      <c r="G209" s="9">
        <f>IF(OR(E209="",F209=""),"",DATEDIF(E209,F209,"Y"))</f>
        <v/>
      </c>
      <c r="H209" s="9" t="n"/>
    </row>
    <row r="210" ht="14.25" customHeight="1" s="38">
      <c r="A210" s="9" t="n"/>
      <c r="B210" s="9" t="n"/>
      <c r="C210" s="9" t="n"/>
      <c r="D210" s="9" t="n"/>
      <c r="E210" s="9" t="n"/>
      <c r="F210" s="9" t="n"/>
      <c r="G210" s="9">
        <f>IF(OR(E210="",F210=""),"",DATEDIF(E210,F210,"Y"))</f>
        <v/>
      </c>
      <c r="H210" s="9" t="n"/>
    </row>
    <row r="211" ht="14.25" customHeight="1" s="38">
      <c r="A211" s="9" t="n"/>
      <c r="B211" s="9" t="n"/>
      <c r="C211" s="9" t="n"/>
      <c r="D211" s="9" t="n"/>
      <c r="E211" s="9" t="n"/>
      <c r="F211" s="9" t="n"/>
      <c r="G211" s="9">
        <f>IF(OR(E211="",F211=""),"",DATEDIF(E211,F211,"Y"))</f>
        <v/>
      </c>
      <c r="H211" s="9" t="n"/>
    </row>
    <row r="212" ht="14.25" customHeight="1" s="38">
      <c r="A212" s="9" t="n"/>
      <c r="B212" s="9" t="n"/>
      <c r="C212" s="9" t="n"/>
      <c r="D212" s="9" t="n"/>
      <c r="E212" s="9" t="n"/>
      <c r="F212" s="9" t="n"/>
      <c r="G212" s="9">
        <f>IF(OR(E212="",F212=""),"",DATEDIF(E212,F212,"Y"))</f>
        <v/>
      </c>
      <c r="H212" s="9" t="n"/>
    </row>
    <row r="213" ht="14.25" customHeight="1" s="38">
      <c r="A213" s="9" t="n"/>
      <c r="B213" s="9" t="n"/>
      <c r="C213" s="9" t="n"/>
      <c r="D213" s="9" t="n"/>
      <c r="E213" s="9" t="n"/>
      <c r="F213" s="9" t="n"/>
      <c r="G213" s="9">
        <f>IF(OR(E213="",F213=""),"",DATEDIF(E213,F213,"Y"))</f>
        <v/>
      </c>
      <c r="H213" s="9" t="n"/>
    </row>
    <row r="214" ht="14.25" customHeight="1" s="38">
      <c r="A214" s="9" t="n"/>
      <c r="B214" s="9" t="n"/>
      <c r="C214" s="9" t="n"/>
      <c r="D214" s="9" t="n"/>
      <c r="E214" s="9" t="n"/>
      <c r="F214" s="9" t="n"/>
      <c r="G214" s="9">
        <f>IF(OR(E214="",F214=""),"",DATEDIF(E214,F214,"Y"))</f>
        <v/>
      </c>
      <c r="H214" s="9" t="n"/>
    </row>
    <row r="215" ht="14.25" customHeight="1" s="38">
      <c r="A215" s="9" t="n"/>
      <c r="B215" s="9" t="n"/>
      <c r="C215" s="9" t="n"/>
      <c r="D215" s="9" t="n"/>
      <c r="E215" s="9" t="n"/>
      <c r="F215" s="9" t="n"/>
      <c r="G215" s="9">
        <f>IF(OR(E215="",F215=""),"",DATEDIF(E215,F215,"Y"))</f>
        <v/>
      </c>
      <c r="H215" s="9" t="n"/>
    </row>
    <row r="216" ht="14.25" customHeight="1" s="38">
      <c r="A216" s="9" t="n"/>
      <c r="B216" s="9" t="n"/>
      <c r="C216" s="9" t="n"/>
      <c r="D216" s="9" t="n"/>
      <c r="E216" s="9" t="n"/>
      <c r="F216" s="9" t="n"/>
      <c r="G216" s="9">
        <f>IF(OR(E216="",F216=""),"",DATEDIF(E216,F216,"Y"))</f>
        <v/>
      </c>
      <c r="H216" s="9" t="n"/>
    </row>
    <row r="217" ht="14.25" customHeight="1" s="38">
      <c r="A217" s="9" t="n"/>
      <c r="B217" s="9" t="n"/>
      <c r="C217" s="9" t="n"/>
      <c r="D217" s="9" t="n"/>
      <c r="E217" s="9" t="n"/>
      <c r="F217" s="9" t="n"/>
      <c r="G217" s="9">
        <f>IF(OR(E217="",F217=""),"",DATEDIF(E217,F217,"Y"))</f>
        <v/>
      </c>
      <c r="H217" s="9" t="n"/>
    </row>
    <row r="218" ht="14.25" customHeight="1" s="38">
      <c r="A218" s="9" t="n"/>
      <c r="B218" s="9" t="n"/>
      <c r="C218" s="9" t="n"/>
      <c r="D218" s="9" t="n"/>
      <c r="E218" s="9" t="n"/>
      <c r="F218" s="9" t="n"/>
      <c r="G218" s="9">
        <f>IF(OR(E218="",F218=""),"",DATEDIF(E218,F218,"Y"))</f>
        <v/>
      </c>
      <c r="H218" s="9" t="n"/>
    </row>
    <row r="219" ht="14.25" customHeight="1" s="38">
      <c r="A219" s="9" t="n"/>
      <c r="B219" s="9" t="n"/>
      <c r="C219" s="9" t="n"/>
      <c r="D219" s="9" t="n"/>
      <c r="E219" s="9" t="n"/>
      <c r="F219" s="9" t="n"/>
      <c r="G219" s="9">
        <f>IF(OR(E219="",F219=""),"",DATEDIF(E219,F219,"Y"))</f>
        <v/>
      </c>
      <c r="H219" s="9" t="n"/>
    </row>
    <row r="220" ht="14.25" customHeight="1" s="38">
      <c r="A220" s="9" t="n"/>
      <c r="B220" s="9" t="n"/>
      <c r="C220" s="9" t="n"/>
      <c r="D220" s="9" t="n"/>
      <c r="E220" s="9" t="n"/>
      <c r="F220" s="9" t="n"/>
      <c r="G220" s="9">
        <f>IF(OR(E220="",F220=""),"",DATEDIF(E220,F220,"Y"))</f>
        <v/>
      </c>
      <c r="H220" s="9" t="n"/>
    </row>
    <row r="221" ht="14.25" customHeight="1" s="38">
      <c r="A221" s="9" t="n"/>
      <c r="B221" s="9" t="n"/>
      <c r="C221" s="9" t="n"/>
      <c r="D221" s="9" t="n"/>
      <c r="E221" s="9" t="n"/>
      <c r="F221" s="9" t="n"/>
      <c r="G221" s="9">
        <f>IF(OR(E221="",F221=""),"",DATEDIF(E221,F221,"Y"))</f>
        <v/>
      </c>
      <c r="H221" s="9" t="n"/>
    </row>
    <row r="222" ht="14.25" customHeight="1" s="38">
      <c r="A222" s="9" t="n"/>
      <c r="B222" s="9" t="n"/>
      <c r="C222" s="9" t="n"/>
      <c r="D222" s="9" t="n"/>
      <c r="E222" s="9" t="n"/>
      <c r="F222" s="9" t="n"/>
      <c r="G222" s="9">
        <f>IF(OR(E222="",F222=""),"",DATEDIF(E222,F222,"Y"))</f>
        <v/>
      </c>
      <c r="H222" s="9" t="n"/>
    </row>
    <row r="223" ht="14.25" customHeight="1" s="38">
      <c r="A223" s="9" t="n"/>
      <c r="B223" s="9" t="n"/>
      <c r="C223" s="9" t="n"/>
      <c r="D223" s="9" t="n"/>
      <c r="E223" s="9" t="n"/>
      <c r="F223" s="9" t="n"/>
      <c r="G223" s="9">
        <f>IF(OR(E223="",F223=""),"",DATEDIF(E223,F223,"Y"))</f>
        <v/>
      </c>
      <c r="H223" s="9" t="n"/>
    </row>
    <row r="224" ht="14.25" customHeight="1" s="38">
      <c r="A224" s="9" t="n"/>
      <c r="B224" s="9" t="n"/>
      <c r="C224" s="9" t="n"/>
      <c r="D224" s="9" t="n"/>
      <c r="E224" s="9" t="n"/>
      <c r="F224" s="9" t="n"/>
      <c r="G224" s="9">
        <f>IF(OR(E224="",F224=""),"",DATEDIF(E224,F224,"Y"))</f>
        <v/>
      </c>
      <c r="H224" s="9" t="n"/>
    </row>
    <row r="225" ht="14.25" customHeight="1" s="38">
      <c r="A225" s="9" t="n"/>
      <c r="B225" s="9" t="n"/>
      <c r="C225" s="9" t="n"/>
      <c r="D225" s="9" t="n"/>
      <c r="E225" s="9" t="n"/>
      <c r="F225" s="9" t="n"/>
      <c r="G225" s="9">
        <f>IF(OR(E225="",F225=""),"",DATEDIF(E225,F225,"Y"))</f>
        <v/>
      </c>
      <c r="H225" s="9" t="n"/>
    </row>
    <row r="226" ht="14.25" customHeight="1" s="38">
      <c r="A226" s="9" t="n"/>
      <c r="B226" s="9" t="n"/>
      <c r="C226" s="9" t="n"/>
      <c r="D226" s="9" t="n"/>
      <c r="E226" s="9" t="n"/>
      <c r="F226" s="9" t="n"/>
      <c r="G226" s="9">
        <f>IF(OR(E226="",F226=""),"",DATEDIF(E226,F226,"Y"))</f>
        <v/>
      </c>
      <c r="H226" s="9" t="n"/>
    </row>
    <row r="227" ht="14.25" customHeight="1" s="38">
      <c r="A227" s="9" t="n"/>
      <c r="B227" s="9" t="n"/>
      <c r="C227" s="9" t="n"/>
      <c r="D227" s="9" t="n"/>
      <c r="E227" s="9" t="n"/>
      <c r="F227" s="9" t="n"/>
      <c r="G227" s="9">
        <f>IF(OR(E227="",F227=""),"",DATEDIF(E227,F227,"Y"))</f>
        <v/>
      </c>
      <c r="H227" s="9" t="n"/>
    </row>
    <row r="228" ht="14.25" customHeight="1" s="38">
      <c r="A228" s="9" t="n"/>
      <c r="B228" s="9" t="n"/>
      <c r="C228" s="9" t="n"/>
      <c r="D228" s="9" t="n"/>
      <c r="E228" s="9" t="n"/>
      <c r="F228" s="9" t="n"/>
      <c r="G228" s="9">
        <f>IF(OR(E228="",F228=""),"",DATEDIF(E228,F228,"Y"))</f>
        <v/>
      </c>
      <c r="H228" s="9" t="n"/>
    </row>
    <row r="229" ht="14.25" customHeight="1" s="38">
      <c r="A229" s="9" t="n"/>
      <c r="B229" s="9" t="n"/>
      <c r="C229" s="9" t="n"/>
      <c r="D229" s="9" t="n"/>
      <c r="E229" s="9" t="n"/>
      <c r="F229" s="9" t="n"/>
      <c r="G229" s="9">
        <f>IF(OR(E229="",F229=""),"",DATEDIF(E229,F229,"Y"))</f>
        <v/>
      </c>
      <c r="H229" s="9" t="n"/>
    </row>
    <row r="230" ht="14.25" customHeight="1" s="38">
      <c r="A230" s="9" t="n"/>
      <c r="B230" s="9" t="n"/>
      <c r="C230" s="9" t="n"/>
      <c r="D230" s="9" t="n"/>
      <c r="E230" s="9" t="n"/>
      <c r="F230" s="9" t="n"/>
      <c r="G230" s="9">
        <f>IF(OR(E230="",F230=""),"",DATEDIF(E230,F230,"Y"))</f>
        <v/>
      </c>
      <c r="H230" s="9" t="n"/>
    </row>
    <row r="231" ht="14.25" customHeight="1" s="38">
      <c r="A231" s="9" t="n"/>
      <c r="B231" s="9" t="n"/>
      <c r="C231" s="9" t="n"/>
      <c r="D231" s="9" t="n"/>
      <c r="E231" s="9" t="n"/>
      <c r="F231" s="9" t="n"/>
      <c r="G231" s="9">
        <f>IF(OR(E231="",F231=""),"",DATEDIF(E231,F231,"Y"))</f>
        <v/>
      </c>
      <c r="H231" s="9" t="n"/>
    </row>
    <row r="232" ht="14.25" customHeight="1" s="38">
      <c r="A232" s="9" t="n"/>
      <c r="B232" s="9" t="n"/>
      <c r="C232" s="9" t="n"/>
      <c r="D232" s="9" t="n"/>
      <c r="E232" s="9" t="n"/>
      <c r="F232" s="9" t="n"/>
      <c r="G232" s="9">
        <f>IF(OR(E232="",F232=""),"",DATEDIF(E232,F232,"Y"))</f>
        <v/>
      </c>
      <c r="H232" s="9" t="n"/>
    </row>
    <row r="233" ht="14.25" customHeight="1" s="38">
      <c r="A233" s="9" t="n"/>
      <c r="B233" s="9" t="n"/>
      <c r="C233" s="9" t="n"/>
      <c r="D233" s="9" t="n"/>
      <c r="E233" s="9" t="n"/>
      <c r="F233" s="9" t="n"/>
      <c r="G233" s="9">
        <f>IF(OR(E233="",F233=""),"",DATEDIF(E233,F233,"Y"))</f>
        <v/>
      </c>
      <c r="H233" s="9" t="n"/>
    </row>
    <row r="234" ht="14.25" customHeight="1" s="38">
      <c r="A234" s="9" t="n"/>
      <c r="B234" s="9" t="n"/>
      <c r="C234" s="9" t="n"/>
      <c r="D234" s="9" t="n"/>
      <c r="E234" s="9" t="n"/>
      <c r="F234" s="9" t="n"/>
      <c r="G234" s="9">
        <f>IF(OR(E234="",F234=""),"",DATEDIF(E234,F234,"Y"))</f>
        <v/>
      </c>
      <c r="H234" s="9" t="n"/>
    </row>
    <row r="235" ht="14.25" customHeight="1" s="38">
      <c r="A235" s="9" t="n"/>
      <c r="B235" s="9" t="n"/>
      <c r="C235" s="9" t="n"/>
      <c r="D235" s="9" t="n"/>
      <c r="E235" s="9" t="n"/>
      <c r="F235" s="9" t="n"/>
      <c r="G235" s="9">
        <f>IF(OR(E235="",F235=""),"",DATEDIF(E235,F235,"Y"))</f>
        <v/>
      </c>
      <c r="H235" s="9" t="n"/>
    </row>
    <row r="236" ht="14.25" customHeight="1" s="38">
      <c r="A236" s="9" t="n"/>
      <c r="B236" s="9" t="n"/>
      <c r="C236" s="9" t="n"/>
      <c r="D236" s="9" t="n"/>
      <c r="E236" s="9" t="n"/>
      <c r="F236" s="9" t="n"/>
      <c r="G236" s="9">
        <f>IF(OR(E236="",F236=""),"",DATEDIF(E236,F236,"Y"))</f>
        <v/>
      </c>
      <c r="H236" s="9" t="n"/>
    </row>
    <row r="237" ht="14.25" customHeight="1" s="38">
      <c r="A237" s="9" t="n"/>
      <c r="B237" s="9" t="n"/>
      <c r="C237" s="9" t="n"/>
      <c r="D237" s="9" t="n"/>
      <c r="E237" s="9" t="n"/>
      <c r="F237" s="9" t="n"/>
      <c r="G237" s="9">
        <f>IF(OR(E237="",F237=""),"",DATEDIF(E237,F237,"Y"))</f>
        <v/>
      </c>
      <c r="H237" s="9" t="n"/>
    </row>
    <row r="238" ht="14.25" customHeight="1" s="38">
      <c r="A238" s="9" t="n"/>
      <c r="B238" s="9" t="n"/>
      <c r="C238" s="9" t="n"/>
      <c r="D238" s="9" t="n"/>
      <c r="E238" s="9" t="n"/>
      <c r="F238" s="9" t="n"/>
      <c r="G238" s="9">
        <f>IF(OR(E238="",F238=""),"",DATEDIF(E238,F238,"Y"))</f>
        <v/>
      </c>
      <c r="H238" s="9" t="n"/>
    </row>
    <row r="239" ht="14.25" customHeight="1" s="38">
      <c r="A239" s="9" t="n"/>
      <c r="B239" s="9" t="n"/>
      <c r="C239" s="9" t="n"/>
      <c r="D239" s="9" t="n"/>
      <c r="E239" s="9" t="n"/>
      <c r="F239" s="9" t="n"/>
      <c r="G239" s="9">
        <f>IF(OR(E239="",F239=""),"",DATEDIF(E239,F239,"Y"))</f>
        <v/>
      </c>
      <c r="H239" s="9" t="n"/>
    </row>
    <row r="240" ht="14.25" customHeight="1" s="38">
      <c r="A240" s="9" t="n"/>
      <c r="B240" s="9" t="n"/>
      <c r="C240" s="9" t="n"/>
      <c r="D240" s="9" t="n"/>
      <c r="E240" s="9" t="n"/>
      <c r="F240" s="9" t="n"/>
      <c r="G240" s="9">
        <f>IF(OR(E240="",F240=""),"",DATEDIF(E240,F240,"Y"))</f>
        <v/>
      </c>
      <c r="H240" s="9" t="n"/>
    </row>
    <row r="241" ht="14.25" customHeight="1" s="38">
      <c r="A241" s="9" t="n"/>
      <c r="B241" s="9" t="n"/>
      <c r="C241" s="9" t="n"/>
      <c r="D241" s="9" t="n"/>
      <c r="E241" s="9" t="n"/>
      <c r="F241" s="9" t="n"/>
      <c r="G241" s="9">
        <f>IF(OR(E241="",F241=""),"",DATEDIF(E241,F241,"Y"))</f>
        <v/>
      </c>
      <c r="H241" s="9" t="n"/>
    </row>
    <row r="242" ht="14.25" customHeight="1" s="38">
      <c r="A242" s="9" t="n"/>
      <c r="B242" s="9" t="n"/>
      <c r="C242" s="9" t="n"/>
      <c r="D242" s="9" t="n"/>
      <c r="E242" s="9" t="n"/>
      <c r="F242" s="9" t="n"/>
      <c r="G242" s="9">
        <f>IF(OR(E242="",F242=""),"",DATEDIF(E242,F242,"Y"))</f>
        <v/>
      </c>
      <c r="H242" s="9" t="n"/>
    </row>
    <row r="243" ht="14.25" customHeight="1" s="38">
      <c r="A243" s="9" t="n"/>
      <c r="B243" s="9" t="n"/>
      <c r="C243" s="9" t="n"/>
      <c r="D243" s="9" t="n"/>
      <c r="E243" s="9" t="n"/>
      <c r="F243" s="9" t="n"/>
      <c r="G243" s="9">
        <f>IF(OR(E243="",F243=""),"",DATEDIF(E243,F243,"Y"))</f>
        <v/>
      </c>
      <c r="H243" s="9" t="n"/>
    </row>
    <row r="244" ht="14.25" customHeight="1" s="38">
      <c r="A244" s="9" t="n"/>
      <c r="B244" s="9" t="n"/>
      <c r="C244" s="9" t="n"/>
      <c r="D244" s="9" t="n"/>
      <c r="E244" s="9" t="n"/>
      <c r="F244" s="9" t="n"/>
      <c r="G244" s="9">
        <f>IF(OR(E244="",F244=""),"",DATEDIF(E244,F244,"Y"))</f>
        <v/>
      </c>
      <c r="H244" s="9" t="n"/>
    </row>
    <row r="245" ht="14.25" customHeight="1" s="38">
      <c r="A245" s="9" t="n"/>
      <c r="B245" s="9" t="n"/>
      <c r="C245" s="9" t="n"/>
      <c r="D245" s="9" t="n"/>
      <c r="E245" s="9" t="n"/>
      <c r="F245" s="9" t="n"/>
      <c r="G245" s="9">
        <f>IF(OR(E245="",F245=""),"",DATEDIF(E245,F245,"Y"))</f>
        <v/>
      </c>
      <c r="H245" s="9" t="n"/>
    </row>
    <row r="246" ht="14.25" customHeight="1" s="38">
      <c r="A246" s="9" t="n"/>
      <c r="B246" s="9" t="n"/>
      <c r="C246" s="9" t="n"/>
      <c r="D246" s="9" t="n"/>
      <c r="E246" s="9" t="n"/>
      <c r="F246" s="9" t="n"/>
      <c r="G246" s="9">
        <f>IF(OR(E246="",F246=""),"",DATEDIF(E246,F246,"Y"))</f>
        <v/>
      </c>
      <c r="H246" s="9" t="n"/>
    </row>
    <row r="247" ht="14.25" customHeight="1" s="38">
      <c r="A247" s="9" t="n"/>
      <c r="B247" s="9" t="n"/>
      <c r="C247" s="9" t="n"/>
      <c r="D247" s="9" t="n"/>
      <c r="E247" s="9" t="n"/>
      <c r="F247" s="9" t="n"/>
      <c r="G247" s="9">
        <f>IF(OR(E247="",F247=""),"",DATEDIF(E247,F247,"Y"))</f>
        <v/>
      </c>
      <c r="H247" s="9" t="n"/>
    </row>
    <row r="248" ht="14.25" customHeight="1" s="38">
      <c r="A248" s="9" t="n"/>
      <c r="B248" s="9" t="n"/>
      <c r="C248" s="9" t="n"/>
      <c r="D248" s="9" t="n"/>
      <c r="E248" s="9" t="n"/>
      <c r="F248" s="9" t="n"/>
      <c r="G248" s="9">
        <f>IF(OR(E248="",F248=""),"",DATEDIF(E248,F248,"Y"))</f>
        <v/>
      </c>
      <c r="H248" s="9" t="n"/>
    </row>
    <row r="249" ht="14.25" customHeight="1" s="38">
      <c r="A249" s="9" t="n"/>
      <c r="B249" s="9" t="n"/>
      <c r="C249" s="9" t="n"/>
      <c r="D249" s="9" t="n"/>
      <c r="E249" s="9" t="n"/>
      <c r="F249" s="9" t="n"/>
      <c r="G249" s="9">
        <f>IF(OR(E249="",F249=""),"",DATEDIF(E249,F249,"Y"))</f>
        <v/>
      </c>
      <c r="H249" s="9" t="n"/>
    </row>
    <row r="250" ht="14.25" customHeight="1" s="38">
      <c r="A250" s="9" t="n"/>
      <c r="B250" s="9" t="n"/>
      <c r="C250" s="9" t="n"/>
      <c r="D250" s="9" t="n"/>
      <c r="E250" s="9" t="n"/>
      <c r="F250" s="9" t="n"/>
      <c r="G250" s="9">
        <f>IF(OR(E250="",F250=""),"",DATEDIF(E250,F250,"Y"))</f>
        <v/>
      </c>
      <c r="H250" s="9" t="n"/>
    </row>
    <row r="251" ht="14.25" customHeight="1" s="38">
      <c r="A251" s="9" t="n"/>
      <c r="B251" s="9" t="n"/>
      <c r="C251" s="9" t="n"/>
      <c r="D251" s="9" t="n"/>
      <c r="E251" s="9" t="n"/>
      <c r="F251" s="9" t="n"/>
      <c r="G251" s="9">
        <f>IF(OR(E251="",F251=""),"",DATEDIF(E251,F251,"Y"))</f>
        <v/>
      </c>
      <c r="H251" s="9" t="n"/>
    </row>
    <row r="252" ht="14.25" customHeight="1" s="38">
      <c r="A252" s="9" t="n"/>
      <c r="B252" s="9" t="n"/>
      <c r="C252" s="9" t="n"/>
      <c r="D252" s="9" t="n"/>
      <c r="E252" s="9" t="n"/>
      <c r="F252" s="9" t="n"/>
      <c r="G252" s="9">
        <f>IF(OR(E252="",F252=""),"",DATEDIF(E252,F252,"Y"))</f>
        <v/>
      </c>
      <c r="H252" s="9" t="n"/>
    </row>
    <row r="253" ht="14.25" customHeight="1" s="38">
      <c r="A253" s="9" t="n"/>
      <c r="B253" s="9" t="n"/>
      <c r="C253" s="9" t="n"/>
      <c r="D253" s="9" t="n"/>
      <c r="E253" s="9" t="n"/>
      <c r="F253" s="9" t="n"/>
      <c r="G253" s="9">
        <f>IF(OR(E253="",F253=""),"",DATEDIF(E253,F253,"Y"))</f>
        <v/>
      </c>
      <c r="H253" s="9" t="n"/>
    </row>
    <row r="254" ht="14.25" customHeight="1" s="38">
      <c r="A254" s="9" t="n"/>
      <c r="B254" s="9" t="n"/>
      <c r="C254" s="9" t="n"/>
      <c r="D254" s="9" t="n"/>
      <c r="E254" s="9" t="n"/>
      <c r="F254" s="9" t="n"/>
      <c r="G254" s="9">
        <f>IF(OR(E254="",F254=""),"",DATEDIF(E254,F254,"Y"))</f>
        <v/>
      </c>
      <c r="H254" s="9" t="n"/>
    </row>
    <row r="255" ht="14.25" customHeight="1" s="38">
      <c r="A255" s="9" t="n"/>
      <c r="B255" s="9" t="n"/>
      <c r="C255" s="9" t="n"/>
      <c r="D255" s="9" t="n"/>
      <c r="E255" s="9" t="n"/>
      <c r="F255" s="9" t="n"/>
      <c r="G255" s="9">
        <f>IF(OR(E255="",F255=""),"",DATEDIF(E255,F255,"Y"))</f>
        <v/>
      </c>
      <c r="H255" s="9" t="n"/>
    </row>
    <row r="256" ht="14.25" customHeight="1" s="38">
      <c r="A256" s="9" t="n"/>
      <c r="B256" s="9" t="n"/>
      <c r="C256" s="9" t="n"/>
      <c r="D256" s="9" t="n"/>
      <c r="E256" s="9" t="n"/>
      <c r="F256" s="9" t="n"/>
      <c r="G256" s="9">
        <f>IF(OR(E256="",F256=""),"",DATEDIF(E256,F256,"Y"))</f>
        <v/>
      </c>
      <c r="H256" s="9" t="n"/>
    </row>
    <row r="257" ht="14.25" customHeight="1" s="38">
      <c r="A257" s="9" t="n"/>
      <c r="B257" s="9" t="n"/>
      <c r="C257" s="9" t="n"/>
      <c r="D257" s="9" t="n"/>
      <c r="E257" s="9" t="n"/>
      <c r="F257" s="9" t="n"/>
      <c r="G257" s="9">
        <f>IF(OR(E257="",F257=""),"",DATEDIF(E257,F257,"Y"))</f>
        <v/>
      </c>
      <c r="H257" s="9" t="n"/>
    </row>
    <row r="258" ht="14.25" customHeight="1" s="38">
      <c r="A258" s="9" t="n"/>
      <c r="B258" s="9" t="n"/>
      <c r="C258" s="9" t="n"/>
      <c r="D258" s="9" t="n"/>
      <c r="E258" s="9" t="n"/>
      <c r="F258" s="9" t="n"/>
      <c r="G258" s="9">
        <f>IF(OR(E258="",F258=""),"",DATEDIF(E258,F258,"Y"))</f>
        <v/>
      </c>
      <c r="H258" s="9" t="n"/>
    </row>
    <row r="259" ht="14.25" customHeight="1" s="38">
      <c r="A259" s="9" t="n"/>
      <c r="B259" s="9" t="n"/>
      <c r="C259" s="9" t="n"/>
      <c r="D259" s="9" t="n"/>
      <c r="E259" s="9" t="n"/>
      <c r="F259" s="9" t="n"/>
      <c r="G259" s="9">
        <f>IF(OR(E259="",F259=""),"",DATEDIF(E259,F259,"Y"))</f>
        <v/>
      </c>
      <c r="H259" s="9" t="n"/>
    </row>
    <row r="260" ht="14.25" customHeight="1" s="38">
      <c r="A260" s="9" t="n"/>
      <c r="B260" s="9" t="n"/>
      <c r="C260" s="9" t="n"/>
      <c r="D260" s="9" t="n"/>
      <c r="E260" s="9" t="n"/>
      <c r="F260" s="9" t="n"/>
      <c r="G260" s="9">
        <f>IF(OR(E260="",F260=""),"",DATEDIF(E260,F260,"Y"))</f>
        <v/>
      </c>
      <c r="H260" s="9" t="n"/>
    </row>
    <row r="261" ht="14.25" customHeight="1" s="38">
      <c r="A261" s="9" t="n"/>
      <c r="B261" s="9" t="n"/>
      <c r="C261" s="9" t="n"/>
      <c r="D261" s="9" t="n"/>
      <c r="E261" s="9" t="n"/>
      <c r="F261" s="9" t="n"/>
      <c r="G261" s="9">
        <f>IF(OR(E261="",F261=""),"",DATEDIF(E261,F261,"Y"))</f>
        <v/>
      </c>
      <c r="H261" s="9" t="n"/>
    </row>
    <row r="262" ht="14.25" customHeight="1" s="38">
      <c r="A262" s="9" t="n"/>
      <c r="B262" s="9" t="n"/>
      <c r="C262" s="9" t="n"/>
      <c r="D262" s="9" t="n"/>
      <c r="E262" s="9" t="n"/>
      <c r="F262" s="9" t="n"/>
      <c r="G262" s="9">
        <f>IF(OR(E262="",F262=""),"",DATEDIF(E262,F262,"Y"))</f>
        <v/>
      </c>
      <c r="H262" s="9" t="n"/>
    </row>
    <row r="263" ht="14.25" customHeight="1" s="38">
      <c r="A263" s="9" t="n"/>
      <c r="B263" s="9" t="n"/>
      <c r="C263" s="9" t="n"/>
      <c r="D263" s="9" t="n"/>
      <c r="E263" s="9" t="n"/>
      <c r="F263" s="9" t="n"/>
      <c r="G263" s="9">
        <f>IF(OR(E263="",F263=""),"",DATEDIF(E263,F263,"Y"))</f>
        <v/>
      </c>
      <c r="H263" s="9" t="n"/>
    </row>
    <row r="264" ht="14.25" customHeight="1" s="38">
      <c r="A264" s="9" t="n"/>
      <c r="B264" s="9" t="n"/>
      <c r="C264" s="9" t="n"/>
      <c r="D264" s="9" t="n"/>
      <c r="E264" s="9" t="n"/>
      <c r="F264" s="9" t="n"/>
      <c r="G264" s="9">
        <f>IF(OR(E264="",F264=""),"",DATEDIF(E264,F264,"Y"))</f>
        <v/>
      </c>
      <c r="H264" s="9" t="n"/>
    </row>
    <row r="265" ht="14.25" customHeight="1" s="38">
      <c r="A265" s="9" t="n"/>
      <c r="B265" s="9" t="n"/>
      <c r="C265" s="9" t="n"/>
      <c r="D265" s="9" t="n"/>
      <c r="E265" s="9" t="n"/>
      <c r="F265" s="9" t="n"/>
      <c r="G265" s="9">
        <f>IF(OR(E265="",F265=""),"",DATEDIF(E265,F265,"Y"))</f>
        <v/>
      </c>
      <c r="H265" s="9" t="n"/>
    </row>
    <row r="266" ht="14.25" customHeight="1" s="38">
      <c r="A266" s="9" t="n"/>
      <c r="B266" s="9" t="n"/>
      <c r="C266" s="9" t="n"/>
      <c r="D266" s="9" t="n"/>
      <c r="E266" s="9" t="n"/>
      <c r="F266" s="9" t="n"/>
      <c r="G266" s="9">
        <f>IF(OR(E266="",F266=""),"",DATEDIF(E266,F266,"Y"))</f>
        <v/>
      </c>
      <c r="H266" s="9" t="n"/>
    </row>
    <row r="267" ht="14.25" customHeight="1" s="38">
      <c r="A267" s="9" t="n"/>
      <c r="B267" s="9" t="n"/>
      <c r="C267" s="9" t="n"/>
      <c r="D267" s="9" t="n"/>
      <c r="E267" s="9" t="n"/>
      <c r="F267" s="9" t="n"/>
      <c r="G267" s="9">
        <f>IF(OR(E267="",F267=""),"",DATEDIF(E267,F267,"Y"))</f>
        <v/>
      </c>
      <c r="H267" s="9" t="n"/>
    </row>
    <row r="268" ht="14.25" customHeight="1" s="38">
      <c r="A268" s="9" t="n"/>
      <c r="B268" s="9" t="n"/>
      <c r="C268" s="9" t="n"/>
      <c r="D268" s="9" t="n"/>
      <c r="E268" s="9" t="n"/>
      <c r="F268" s="9" t="n"/>
      <c r="G268" s="9">
        <f>IF(OR(E268="",F268=""),"",DATEDIF(E268,F268,"Y"))</f>
        <v/>
      </c>
      <c r="H268" s="9" t="n"/>
    </row>
    <row r="269" ht="14.25" customHeight="1" s="38">
      <c r="A269" s="9" t="n"/>
      <c r="B269" s="9" t="n"/>
      <c r="C269" s="9" t="n"/>
      <c r="D269" s="9" t="n"/>
      <c r="E269" s="9" t="n"/>
      <c r="F269" s="9" t="n"/>
      <c r="G269" s="9">
        <f>IF(OR(E269="",F269=""),"",DATEDIF(E269,F269,"Y"))</f>
        <v/>
      </c>
      <c r="H269" s="9" t="n"/>
    </row>
    <row r="270" ht="14.25" customHeight="1" s="38">
      <c r="A270" s="9" t="n"/>
      <c r="B270" s="9" t="n"/>
      <c r="C270" s="9" t="n"/>
      <c r="D270" s="9" t="n"/>
      <c r="E270" s="9" t="n"/>
      <c r="F270" s="9" t="n"/>
      <c r="G270" s="9">
        <f>IF(OR(E270="",F270=""),"",DATEDIF(E270,F270,"Y"))</f>
        <v/>
      </c>
      <c r="H270" s="9" t="n"/>
    </row>
    <row r="271" ht="14.25" customHeight="1" s="38">
      <c r="A271" s="9" t="n"/>
      <c r="B271" s="9" t="n"/>
      <c r="C271" s="9" t="n"/>
      <c r="D271" s="9" t="n"/>
      <c r="E271" s="9" t="n"/>
      <c r="F271" s="9" t="n"/>
      <c r="G271" s="9">
        <f>IF(OR(E271="",F271=""),"",DATEDIF(E271,F271,"Y"))</f>
        <v/>
      </c>
      <c r="H271" s="9" t="n"/>
    </row>
    <row r="272" ht="14.25" customHeight="1" s="38">
      <c r="A272" s="9" t="n"/>
      <c r="B272" s="9" t="n"/>
      <c r="C272" s="9" t="n"/>
      <c r="D272" s="9" t="n"/>
      <c r="E272" s="9" t="n"/>
      <c r="F272" s="9" t="n"/>
      <c r="G272" s="9">
        <f>IF(OR(E272="",F272=""),"",DATEDIF(E272,F272,"Y"))</f>
        <v/>
      </c>
      <c r="H272" s="9" t="n"/>
    </row>
    <row r="273" ht="14.25" customHeight="1" s="38">
      <c r="A273" s="9" t="n"/>
      <c r="B273" s="9" t="n"/>
      <c r="C273" s="9" t="n"/>
      <c r="D273" s="9" t="n"/>
      <c r="E273" s="9" t="n"/>
      <c r="F273" s="9" t="n"/>
      <c r="G273" s="9">
        <f>IF(OR(E273="",F273=""),"",DATEDIF(E273,F273,"Y"))</f>
        <v/>
      </c>
      <c r="H273" s="9" t="n"/>
    </row>
    <row r="274" ht="14.25" customHeight="1" s="38">
      <c r="A274" s="9" t="n"/>
      <c r="B274" s="9" t="n"/>
      <c r="C274" s="9" t="n"/>
      <c r="D274" s="9" t="n"/>
      <c r="E274" s="9" t="n"/>
      <c r="F274" s="9" t="n"/>
      <c r="G274" s="9">
        <f>IF(OR(E274="",F274=""),"",DATEDIF(E274,F274,"Y"))</f>
        <v/>
      </c>
      <c r="H274" s="9" t="n"/>
    </row>
    <row r="275" ht="14.25" customHeight="1" s="38">
      <c r="A275" s="9" t="n"/>
      <c r="B275" s="9" t="n"/>
      <c r="C275" s="9" t="n"/>
      <c r="D275" s="9" t="n"/>
      <c r="E275" s="9" t="n"/>
      <c r="F275" s="9" t="n"/>
      <c r="G275" s="9">
        <f>IF(OR(E275="",F275=""),"",DATEDIF(E275,F275,"Y"))</f>
        <v/>
      </c>
      <c r="H275" s="9" t="n"/>
    </row>
    <row r="276" ht="14.25" customHeight="1" s="38">
      <c r="A276" s="9" t="n"/>
      <c r="B276" s="9" t="n"/>
      <c r="C276" s="9" t="n"/>
      <c r="D276" s="9" t="n"/>
      <c r="E276" s="9" t="n"/>
      <c r="F276" s="9" t="n"/>
      <c r="G276" s="9">
        <f>IF(OR(E276="",F276=""),"",DATEDIF(E276,F276,"Y"))</f>
        <v/>
      </c>
      <c r="H276" s="9" t="n"/>
    </row>
    <row r="277" ht="14.25" customHeight="1" s="38">
      <c r="A277" s="9" t="n"/>
      <c r="B277" s="9" t="n"/>
      <c r="C277" s="9" t="n"/>
      <c r="D277" s="9" t="n"/>
      <c r="E277" s="9" t="n"/>
      <c r="F277" s="9" t="n"/>
      <c r="G277" s="9">
        <f>IF(OR(E277="",F277=""),"",DATEDIF(E277,F277,"Y"))</f>
        <v/>
      </c>
      <c r="H277" s="9" t="n"/>
    </row>
    <row r="278" ht="14.25" customHeight="1" s="38">
      <c r="A278" s="9" t="n"/>
      <c r="B278" s="9" t="n"/>
      <c r="C278" s="9" t="n"/>
      <c r="D278" s="9" t="n"/>
      <c r="E278" s="9" t="n"/>
      <c r="F278" s="9" t="n"/>
      <c r="G278" s="9">
        <f>IF(OR(E278="",F278=""),"",DATEDIF(E278,F278,"Y"))</f>
        <v/>
      </c>
      <c r="H278" s="9" t="n"/>
    </row>
    <row r="279" ht="14.25" customHeight="1" s="38">
      <c r="A279" s="9" t="n"/>
      <c r="B279" s="9" t="n"/>
      <c r="C279" s="9" t="n"/>
      <c r="D279" s="9" t="n"/>
      <c r="E279" s="9" t="n"/>
      <c r="F279" s="9" t="n"/>
      <c r="G279" s="9">
        <f>IF(OR(E279="",F279=""),"",DATEDIF(E279,F279,"Y"))</f>
        <v/>
      </c>
      <c r="H279" s="9" t="n"/>
    </row>
    <row r="280" ht="14.25" customHeight="1" s="38">
      <c r="A280" s="9" t="n"/>
      <c r="B280" s="9" t="n"/>
      <c r="C280" s="9" t="n"/>
      <c r="D280" s="9" t="n"/>
      <c r="E280" s="9" t="n"/>
      <c r="F280" s="9" t="n"/>
      <c r="G280" s="9">
        <f>IF(OR(E280="",F280=""),"",DATEDIF(E280,F280,"Y"))</f>
        <v/>
      </c>
      <c r="H280" s="9" t="n"/>
    </row>
    <row r="281" ht="14.25" customHeight="1" s="38">
      <c r="A281" s="9" t="n"/>
      <c r="B281" s="9" t="n"/>
      <c r="C281" s="9" t="n"/>
      <c r="D281" s="9" t="n"/>
      <c r="E281" s="9" t="n"/>
      <c r="F281" s="9" t="n"/>
      <c r="G281" s="9">
        <f>IF(OR(E281="",F281=""),"",DATEDIF(E281,F281,"Y"))</f>
        <v/>
      </c>
      <c r="H281" s="9" t="n"/>
    </row>
    <row r="282" ht="14.25" customHeight="1" s="38">
      <c r="A282" s="9" t="n"/>
      <c r="B282" s="9" t="n"/>
      <c r="C282" s="9" t="n"/>
      <c r="D282" s="9" t="n"/>
      <c r="E282" s="9" t="n"/>
      <c r="F282" s="9" t="n"/>
      <c r="G282" s="9">
        <f>IF(OR(E282="",F282=""),"",DATEDIF(E282,F282,"Y"))</f>
        <v/>
      </c>
      <c r="H282" s="9" t="n"/>
    </row>
    <row r="283" ht="14.25" customHeight="1" s="38">
      <c r="A283" s="9" t="n"/>
      <c r="B283" s="9" t="n"/>
      <c r="C283" s="9" t="n"/>
      <c r="D283" s="9" t="n"/>
      <c r="E283" s="9" t="n"/>
      <c r="F283" s="9" t="n"/>
      <c r="G283" s="9">
        <f>IF(OR(E283="",F283=""),"",DATEDIF(E283,F283,"Y"))</f>
        <v/>
      </c>
      <c r="H283" s="9" t="n"/>
    </row>
    <row r="284" ht="14.25" customHeight="1" s="38">
      <c r="A284" s="9" t="n"/>
      <c r="B284" s="9" t="n"/>
      <c r="C284" s="9" t="n"/>
      <c r="D284" s="9" t="n"/>
      <c r="E284" s="9" t="n"/>
      <c r="F284" s="9" t="n"/>
      <c r="G284" s="9">
        <f>IF(OR(E284="",F284=""),"",DATEDIF(E284,F284,"Y"))</f>
        <v/>
      </c>
      <c r="H284" s="9" t="n"/>
    </row>
    <row r="285" ht="14.25" customHeight="1" s="38">
      <c r="A285" s="9" t="n"/>
      <c r="B285" s="9" t="n"/>
      <c r="C285" s="9" t="n"/>
      <c r="D285" s="9" t="n"/>
      <c r="E285" s="9" t="n"/>
      <c r="F285" s="9" t="n"/>
      <c r="G285" s="9">
        <f>IF(OR(E285="",F285=""),"",DATEDIF(E285,F285,"Y"))</f>
        <v/>
      </c>
      <c r="H285" s="9" t="n"/>
    </row>
    <row r="286" ht="14.25" customHeight="1" s="38">
      <c r="A286" s="9" t="n"/>
      <c r="B286" s="9" t="n"/>
      <c r="C286" s="9" t="n"/>
      <c r="D286" s="9" t="n"/>
      <c r="E286" s="9" t="n"/>
      <c r="F286" s="9" t="n"/>
      <c r="G286" s="9">
        <f>IF(OR(E286="",F286=""),"",DATEDIF(E286,F286,"Y"))</f>
        <v/>
      </c>
      <c r="H286" s="9" t="n"/>
    </row>
    <row r="287" ht="14.25" customHeight="1" s="38">
      <c r="A287" s="9" t="n"/>
      <c r="B287" s="9" t="n"/>
      <c r="C287" s="9" t="n"/>
      <c r="D287" s="9" t="n"/>
      <c r="E287" s="9" t="n"/>
      <c r="F287" s="9" t="n"/>
      <c r="G287" s="9">
        <f>IF(OR(E287="",F287=""),"",DATEDIF(E287,F287,"Y"))</f>
        <v/>
      </c>
      <c r="H287" s="9" t="n"/>
    </row>
    <row r="288" ht="14.25" customHeight="1" s="38">
      <c r="A288" s="9" t="n"/>
      <c r="B288" s="9" t="n"/>
      <c r="C288" s="9" t="n"/>
      <c r="D288" s="9" t="n"/>
      <c r="E288" s="9" t="n"/>
      <c r="F288" s="9" t="n"/>
      <c r="G288" s="9">
        <f>IF(OR(E288="",F288=""),"",DATEDIF(E288,F288,"Y"))</f>
        <v/>
      </c>
      <c r="H288" s="9" t="n"/>
    </row>
    <row r="289" ht="14.25" customHeight="1" s="38">
      <c r="A289" s="9" t="n"/>
      <c r="B289" s="9" t="n"/>
      <c r="C289" s="9" t="n"/>
      <c r="D289" s="9" t="n"/>
      <c r="E289" s="9" t="n"/>
      <c r="F289" s="9" t="n"/>
      <c r="G289" s="9">
        <f>IF(OR(E289="",F289=""),"",DATEDIF(E289,F289,"Y"))</f>
        <v/>
      </c>
      <c r="H289" s="9" t="n"/>
    </row>
    <row r="290" ht="14.25" customHeight="1" s="38">
      <c r="A290" s="9" t="n"/>
      <c r="B290" s="9" t="n"/>
      <c r="C290" s="9" t="n"/>
      <c r="D290" s="9" t="n"/>
      <c r="E290" s="9" t="n"/>
      <c r="F290" s="9" t="n"/>
      <c r="G290" s="9">
        <f>IF(OR(E290="",F290=""),"",DATEDIF(E290,F290,"Y"))</f>
        <v/>
      </c>
      <c r="H290" s="9" t="n"/>
    </row>
    <row r="291" ht="14.25" customHeight="1" s="38">
      <c r="A291" s="9" t="n"/>
      <c r="B291" s="9" t="n"/>
      <c r="C291" s="9" t="n"/>
      <c r="D291" s="9" t="n"/>
      <c r="E291" s="9" t="n"/>
      <c r="F291" s="9" t="n"/>
      <c r="G291" s="9">
        <f>IF(OR(E291="",F291=""),"",DATEDIF(E291,F291,"Y"))</f>
        <v/>
      </c>
      <c r="H291" s="9" t="n"/>
    </row>
    <row r="292" ht="14.25" customHeight="1" s="38">
      <c r="A292" s="9" t="n"/>
      <c r="B292" s="9" t="n"/>
      <c r="C292" s="9" t="n"/>
      <c r="D292" s="9" t="n"/>
      <c r="E292" s="9" t="n"/>
      <c r="F292" s="9" t="n"/>
      <c r="G292" s="9">
        <f>IF(OR(E292="",F292=""),"",DATEDIF(E292,F292,"Y"))</f>
        <v/>
      </c>
      <c r="H292" s="9" t="n"/>
    </row>
    <row r="293" ht="14.25" customHeight="1" s="38">
      <c r="A293" s="9" t="n"/>
      <c r="B293" s="9" t="n"/>
      <c r="C293" s="9" t="n"/>
      <c r="D293" s="9" t="n"/>
      <c r="E293" s="9" t="n"/>
      <c r="F293" s="9" t="n"/>
      <c r="G293" s="9">
        <f>IF(OR(E293="",F293=""),"",DATEDIF(E293,F293,"Y"))</f>
        <v/>
      </c>
      <c r="H293" s="9" t="n"/>
    </row>
    <row r="294" ht="14.25" customHeight="1" s="38">
      <c r="A294" s="9" t="n"/>
      <c r="B294" s="9" t="n"/>
      <c r="C294" s="9" t="n"/>
      <c r="D294" s="9" t="n"/>
      <c r="E294" s="9" t="n"/>
      <c r="F294" s="9" t="n"/>
      <c r="G294" s="9">
        <f>IF(OR(E294="",F294=""),"",DATEDIF(E294,F294,"Y"))</f>
        <v/>
      </c>
      <c r="H294" s="9" t="n"/>
    </row>
    <row r="295" ht="14.25" customHeight="1" s="38">
      <c r="A295" s="9" t="n"/>
      <c r="B295" s="9" t="n"/>
      <c r="C295" s="9" t="n"/>
      <c r="D295" s="9" t="n"/>
      <c r="E295" s="9" t="n"/>
      <c r="F295" s="9" t="n"/>
      <c r="G295" s="9">
        <f>IF(OR(E295="",F295=""),"",DATEDIF(E295,F295,"Y"))</f>
        <v/>
      </c>
      <c r="H295" s="9" t="n"/>
    </row>
    <row r="296" ht="14.25" customHeight="1" s="38">
      <c r="A296" s="9" t="n"/>
      <c r="B296" s="9" t="n"/>
      <c r="C296" s="9" t="n"/>
      <c r="D296" s="9" t="n"/>
      <c r="E296" s="9" t="n"/>
      <c r="F296" s="9" t="n"/>
      <c r="G296" s="9">
        <f>IF(OR(E296="",F296=""),"",DATEDIF(E296,F296,"Y"))</f>
        <v/>
      </c>
      <c r="H296" s="9" t="n"/>
    </row>
    <row r="297" ht="14.25" customHeight="1" s="38">
      <c r="A297" s="9" t="n"/>
      <c r="B297" s="9" t="n"/>
      <c r="C297" s="9" t="n"/>
      <c r="D297" s="9" t="n"/>
      <c r="E297" s="9" t="n"/>
      <c r="F297" s="9" t="n"/>
      <c r="G297" s="9">
        <f>IF(OR(E297="",F297=""),"",DATEDIF(E297,F297,"Y"))</f>
        <v/>
      </c>
      <c r="H297" s="9" t="n"/>
    </row>
    <row r="298" ht="14.25" customHeight="1" s="38">
      <c r="A298" s="9" t="n"/>
      <c r="B298" s="9" t="n"/>
      <c r="C298" s="9" t="n"/>
      <c r="D298" s="9" t="n"/>
      <c r="E298" s="9" t="n"/>
      <c r="F298" s="9" t="n"/>
      <c r="G298" s="9">
        <f>IF(OR(E298="",F298=""),"",DATEDIF(E298,F298,"Y"))</f>
        <v/>
      </c>
      <c r="H298" s="9" t="n"/>
    </row>
    <row r="299" ht="14.25" customHeight="1" s="38">
      <c r="A299" s="9" t="n"/>
      <c r="B299" s="9" t="n"/>
      <c r="C299" s="9" t="n"/>
      <c r="D299" s="9" t="n"/>
      <c r="E299" s="9" t="n"/>
      <c r="F299" s="9" t="n"/>
      <c r="G299" s="9">
        <f>IF(OR(E299="",F299=""),"",DATEDIF(E299,F299,"Y"))</f>
        <v/>
      </c>
      <c r="H299" s="9" t="n"/>
    </row>
    <row r="300" ht="14.25" customHeight="1" s="38">
      <c r="A300" s="9" t="n"/>
      <c r="B300" s="9" t="n"/>
      <c r="C300" s="9" t="n"/>
      <c r="D300" s="9" t="n"/>
      <c r="E300" s="9" t="n"/>
      <c r="F300" s="9" t="n"/>
      <c r="G300" s="9">
        <f>IF(OR(E300="",F300=""),"",DATEDIF(E300,F300,"Y"))</f>
        <v/>
      </c>
      <c r="H300" s="9" t="n"/>
    </row>
    <row r="301" ht="14.25" customHeight="1" s="38">
      <c r="A301" s="9" t="n"/>
      <c r="B301" s="9" t="n"/>
      <c r="C301" s="9" t="n"/>
      <c r="D301" s="9" t="n"/>
      <c r="E301" s="9" t="n"/>
      <c r="F301" s="9" t="n"/>
      <c r="G301" s="9">
        <f>IF(OR(E301="",F301=""),"",DATEDIF(E301,F301,"Y"))</f>
        <v/>
      </c>
      <c r="H301" s="9" t="n"/>
    </row>
    <row r="302" ht="14.25" customHeight="1" s="38">
      <c r="A302" s="9" t="n"/>
      <c r="B302" s="9" t="n"/>
      <c r="C302" s="9" t="n"/>
      <c r="D302" s="9" t="n"/>
      <c r="E302" s="9" t="n"/>
      <c r="F302" s="9" t="n"/>
      <c r="G302" s="9">
        <f>IF(OR(E302="",F302=""),"",DATEDIF(E302,F302,"Y"))</f>
        <v/>
      </c>
      <c r="H302" s="9" t="n"/>
    </row>
    <row r="303" ht="14.25" customHeight="1" s="38">
      <c r="A303" s="9" t="n"/>
      <c r="B303" s="9" t="n"/>
      <c r="C303" s="9" t="n"/>
      <c r="D303" s="9" t="n"/>
      <c r="E303" s="9" t="n"/>
      <c r="F303" s="9" t="n"/>
      <c r="G303" s="9">
        <f>IF(OR(E303="",F303=""),"",DATEDIF(E303,F303,"Y"))</f>
        <v/>
      </c>
      <c r="H303" s="9" t="n"/>
    </row>
    <row r="304" ht="14.25" customHeight="1" s="38">
      <c r="A304" s="9" t="n"/>
      <c r="B304" s="9" t="n"/>
      <c r="C304" s="9" t="n"/>
      <c r="D304" s="9" t="n"/>
      <c r="E304" s="9" t="n"/>
      <c r="F304" s="9" t="n"/>
      <c r="G304" s="9">
        <f>IF(OR(E304="",F304=""),"",DATEDIF(E304,F304,"Y"))</f>
        <v/>
      </c>
      <c r="H304" s="9" t="n"/>
    </row>
    <row r="305" ht="14.25" customHeight="1" s="38">
      <c r="A305" s="9" t="n"/>
      <c r="B305" s="9" t="n"/>
      <c r="C305" s="9" t="n"/>
      <c r="D305" s="9" t="n"/>
      <c r="E305" s="9" t="n"/>
      <c r="F305" s="9" t="n"/>
      <c r="G305" s="9">
        <f>IF(OR(E305="",F305=""),"",DATEDIF(E305,F305,"Y"))</f>
        <v/>
      </c>
      <c r="H305" s="9" t="n"/>
    </row>
    <row r="306" ht="14.25" customHeight="1" s="38">
      <c r="A306" s="9" t="n"/>
      <c r="B306" s="9" t="n"/>
      <c r="C306" s="9" t="n"/>
      <c r="D306" s="9" t="n"/>
      <c r="E306" s="9" t="n"/>
      <c r="F306" s="9" t="n"/>
      <c r="G306" s="9">
        <f>IF(OR(E306="",F306=""),"",DATEDIF(E306,F306,"Y"))</f>
        <v/>
      </c>
      <c r="H306" s="9" t="n"/>
    </row>
    <row r="307" ht="14.25" customHeight="1" s="38">
      <c r="A307" s="9" t="n"/>
      <c r="B307" s="9" t="n"/>
      <c r="C307" s="9" t="n"/>
      <c r="D307" s="9" t="n"/>
      <c r="E307" s="9" t="n"/>
      <c r="F307" s="9" t="n"/>
      <c r="G307" s="9">
        <f>IF(OR(E307="",F307=""),"",DATEDIF(E307,F307,"Y"))</f>
        <v/>
      </c>
      <c r="H307" s="9" t="n"/>
    </row>
    <row r="308" ht="14.25" customHeight="1" s="38">
      <c r="A308" s="9" t="n"/>
      <c r="B308" s="9" t="n"/>
      <c r="C308" s="9" t="n"/>
      <c r="D308" s="9" t="n"/>
      <c r="E308" s="9" t="n"/>
      <c r="F308" s="9" t="n"/>
      <c r="G308" s="9">
        <f>IF(OR(E308="",F308=""),"",DATEDIF(E308,F308,"Y"))</f>
        <v/>
      </c>
      <c r="H308" s="9" t="n"/>
    </row>
    <row r="309" ht="14.25" customHeight="1" s="38">
      <c r="A309" s="9" t="n"/>
      <c r="B309" s="9" t="n"/>
      <c r="C309" s="9" t="n"/>
      <c r="D309" s="9" t="n"/>
      <c r="E309" s="9" t="n"/>
      <c r="F309" s="9" t="n"/>
      <c r="G309" s="9">
        <f>IF(OR(E309="",F309=""),"",DATEDIF(E309,F309,"Y"))</f>
        <v/>
      </c>
      <c r="H309" s="9" t="n"/>
    </row>
    <row r="310" ht="14.25" customHeight="1" s="38">
      <c r="A310" s="9" t="n"/>
      <c r="B310" s="9" t="n"/>
      <c r="C310" s="9" t="n"/>
      <c r="D310" s="9" t="n"/>
      <c r="E310" s="9" t="n"/>
      <c r="F310" s="9" t="n"/>
      <c r="G310" s="9">
        <f>IF(OR(E310="",F310=""),"",DATEDIF(E310,F310,"Y"))</f>
        <v/>
      </c>
      <c r="H310" s="9" t="n"/>
    </row>
    <row r="311" ht="14.25" customHeight="1" s="38">
      <c r="A311" s="9" t="n"/>
      <c r="B311" s="9" t="n"/>
      <c r="C311" s="9" t="n"/>
      <c r="D311" s="9" t="n"/>
      <c r="E311" s="9" t="n"/>
      <c r="F311" s="9" t="n"/>
      <c r="G311" s="9">
        <f>IF(OR(E311="",F311=""),"",DATEDIF(E311,F311,"Y"))</f>
        <v/>
      </c>
      <c r="H311" s="9" t="n"/>
    </row>
    <row r="312" ht="14.25" customHeight="1" s="38">
      <c r="A312" s="9" t="n"/>
      <c r="B312" s="9" t="n"/>
      <c r="C312" s="9" t="n"/>
      <c r="D312" s="9" t="n"/>
      <c r="E312" s="9" t="n"/>
      <c r="F312" s="9" t="n"/>
      <c r="G312" s="9">
        <f>IF(OR(E312="",F312=""),"",DATEDIF(E312,F312,"Y"))</f>
        <v/>
      </c>
      <c r="H312" s="9" t="n"/>
    </row>
    <row r="313" ht="14.25" customHeight="1" s="38">
      <c r="A313" s="9" t="n"/>
      <c r="B313" s="9" t="n"/>
      <c r="C313" s="9" t="n"/>
      <c r="D313" s="9" t="n"/>
      <c r="E313" s="9" t="n"/>
      <c r="F313" s="9" t="n"/>
      <c r="G313" s="9">
        <f>IF(OR(E313="",F313=""),"",DATEDIF(E313,F313,"Y"))</f>
        <v/>
      </c>
      <c r="H313" s="9" t="n"/>
    </row>
    <row r="314" ht="14.25" customHeight="1" s="38">
      <c r="A314" s="9" t="n"/>
      <c r="B314" s="9" t="n"/>
      <c r="C314" s="9" t="n"/>
      <c r="D314" s="9" t="n"/>
      <c r="E314" s="9" t="n"/>
      <c r="F314" s="9" t="n"/>
      <c r="G314" s="9">
        <f>IF(OR(E314="",F314=""),"",DATEDIF(E314,F314,"Y"))</f>
        <v/>
      </c>
      <c r="H314" s="9" t="n"/>
    </row>
    <row r="315" ht="14.25" customHeight="1" s="38">
      <c r="A315" s="9" t="n"/>
      <c r="B315" s="9" t="n"/>
      <c r="C315" s="9" t="n"/>
      <c r="D315" s="9" t="n"/>
      <c r="E315" s="9" t="n"/>
      <c r="F315" s="9" t="n"/>
      <c r="G315" s="9">
        <f>IF(OR(E315="",F315=""),"",DATEDIF(E315,F315,"Y"))</f>
        <v/>
      </c>
      <c r="H315" s="9" t="n"/>
    </row>
    <row r="316" ht="14.25" customHeight="1" s="38">
      <c r="A316" s="9" t="n"/>
      <c r="B316" s="9" t="n"/>
      <c r="C316" s="9" t="n"/>
      <c r="D316" s="9" t="n"/>
      <c r="E316" s="9" t="n"/>
      <c r="F316" s="9" t="n"/>
      <c r="G316" s="9">
        <f>IF(OR(E316="",F316=""),"",DATEDIF(E316,F316,"Y"))</f>
        <v/>
      </c>
      <c r="H316" s="9" t="n"/>
    </row>
    <row r="317" ht="14.25" customHeight="1" s="38">
      <c r="A317" s="9" t="n"/>
      <c r="B317" s="9" t="n"/>
      <c r="C317" s="9" t="n"/>
      <c r="D317" s="9" t="n"/>
      <c r="E317" s="9" t="n"/>
      <c r="F317" s="9" t="n"/>
      <c r="G317" s="9">
        <f>IF(OR(E317="",F317=""),"",DATEDIF(E317,F317,"Y"))</f>
        <v/>
      </c>
      <c r="H317" s="9" t="n"/>
    </row>
    <row r="318" ht="14.25" customHeight="1" s="38">
      <c r="A318" s="9" t="n"/>
      <c r="B318" s="9" t="n"/>
      <c r="C318" s="9" t="n"/>
      <c r="D318" s="9" t="n"/>
      <c r="E318" s="9" t="n"/>
      <c r="F318" s="9" t="n"/>
      <c r="G318" s="9">
        <f>IF(OR(E318="",F318=""),"",DATEDIF(E318,F318,"Y"))</f>
        <v/>
      </c>
      <c r="H318" s="9" t="n"/>
    </row>
    <row r="319" ht="14.25" customHeight="1" s="38">
      <c r="A319" s="9" t="n"/>
      <c r="B319" s="9" t="n"/>
      <c r="C319" s="9" t="n"/>
      <c r="D319" s="9" t="n"/>
      <c r="E319" s="9" t="n"/>
      <c r="F319" s="9" t="n"/>
      <c r="G319" s="9">
        <f>IF(OR(E319="",F319=""),"",DATEDIF(E319,F319,"Y"))</f>
        <v/>
      </c>
      <c r="H319" s="9" t="n"/>
    </row>
    <row r="320" ht="14.25" customHeight="1" s="38">
      <c r="A320" s="9" t="n"/>
      <c r="B320" s="9" t="n"/>
      <c r="C320" s="9" t="n"/>
      <c r="D320" s="9" t="n"/>
      <c r="E320" s="9" t="n"/>
      <c r="F320" s="9" t="n"/>
      <c r="G320" s="9">
        <f>IF(OR(E320="",F320=""),"",DATEDIF(E320,F320,"Y"))</f>
        <v/>
      </c>
      <c r="H320" s="9" t="n"/>
    </row>
    <row r="321" ht="14.25" customHeight="1" s="38">
      <c r="A321" s="9" t="n"/>
      <c r="B321" s="9" t="n"/>
      <c r="C321" s="9" t="n"/>
      <c r="D321" s="9" t="n"/>
      <c r="E321" s="9" t="n"/>
      <c r="F321" s="9" t="n"/>
      <c r="G321" s="9">
        <f>IF(OR(E321="",F321=""),"",DATEDIF(E321,F321,"Y"))</f>
        <v/>
      </c>
      <c r="H321" s="9" t="n"/>
    </row>
    <row r="322" ht="14.25" customHeight="1" s="38">
      <c r="A322" s="9" t="n"/>
      <c r="B322" s="9" t="n"/>
      <c r="C322" s="9" t="n"/>
      <c r="D322" s="9" t="n"/>
      <c r="E322" s="9" t="n"/>
      <c r="F322" s="9" t="n"/>
      <c r="G322" s="9">
        <f>IF(OR(E322="",F322=""),"",DATEDIF(E322,F322,"Y"))</f>
        <v/>
      </c>
      <c r="H322" s="9" t="n"/>
    </row>
    <row r="323" ht="14.25" customHeight="1" s="38">
      <c r="A323" s="9" t="n"/>
      <c r="B323" s="9" t="n"/>
      <c r="C323" s="9" t="n"/>
      <c r="D323" s="9" t="n"/>
      <c r="E323" s="9" t="n"/>
      <c r="F323" s="9" t="n"/>
      <c r="G323" s="9">
        <f>IF(OR(E323="",F323=""),"",DATEDIF(E323,F323,"Y"))</f>
        <v/>
      </c>
      <c r="H323" s="9" t="n"/>
    </row>
    <row r="324" ht="14.25" customHeight="1" s="38">
      <c r="A324" s="9" t="n"/>
      <c r="B324" s="9" t="n"/>
      <c r="C324" s="9" t="n"/>
      <c r="D324" s="9" t="n"/>
      <c r="E324" s="9" t="n"/>
      <c r="F324" s="9" t="n"/>
      <c r="G324" s="9">
        <f>IF(OR(E324="",F324=""),"",DATEDIF(E324,F324,"Y"))</f>
        <v/>
      </c>
      <c r="H324" s="9" t="n"/>
    </row>
    <row r="325" ht="14.25" customHeight="1" s="38">
      <c r="A325" s="9" t="n"/>
      <c r="B325" s="9" t="n"/>
      <c r="C325" s="9" t="n"/>
      <c r="D325" s="9" t="n"/>
      <c r="E325" s="9" t="n"/>
      <c r="F325" s="9" t="n"/>
      <c r="G325" s="9">
        <f>IF(OR(E325="",F325=""),"",DATEDIF(E325,F325,"Y"))</f>
        <v/>
      </c>
      <c r="H325" s="9" t="n"/>
    </row>
    <row r="326" ht="14.25" customHeight="1" s="38">
      <c r="A326" s="9" t="n"/>
      <c r="B326" s="9" t="n"/>
      <c r="C326" s="9" t="n"/>
      <c r="D326" s="9" t="n"/>
      <c r="E326" s="9" t="n"/>
      <c r="F326" s="9" t="n"/>
      <c r="G326" s="9">
        <f>IF(OR(E326="",F326=""),"",DATEDIF(E326,F326,"Y"))</f>
        <v/>
      </c>
      <c r="H326" s="9" t="n"/>
    </row>
    <row r="327" ht="14.25" customHeight="1" s="38">
      <c r="A327" s="9" t="n"/>
      <c r="B327" s="9" t="n"/>
      <c r="C327" s="9" t="n"/>
      <c r="D327" s="9" t="n"/>
      <c r="E327" s="9" t="n"/>
      <c r="F327" s="9" t="n"/>
      <c r="G327" s="9">
        <f>IF(OR(E327="",F327=""),"",DATEDIF(E327,F327,"Y"))</f>
        <v/>
      </c>
      <c r="H327" s="9" t="n"/>
    </row>
    <row r="328" ht="14.25" customHeight="1" s="38">
      <c r="A328" s="9" t="n"/>
      <c r="B328" s="9" t="n"/>
      <c r="C328" s="9" t="n"/>
      <c r="D328" s="9" t="n"/>
      <c r="E328" s="9" t="n"/>
      <c r="F328" s="9" t="n"/>
      <c r="G328" s="9">
        <f>IF(OR(E328="",F328=""),"",DATEDIF(E328,F328,"Y"))</f>
        <v/>
      </c>
      <c r="H328" s="9" t="n"/>
    </row>
    <row r="329" ht="14.25" customHeight="1" s="38">
      <c r="A329" s="9" t="n"/>
      <c r="B329" s="9" t="n"/>
      <c r="C329" s="9" t="n"/>
      <c r="D329" s="9" t="n"/>
      <c r="E329" s="9" t="n"/>
      <c r="F329" s="9" t="n"/>
      <c r="G329" s="9">
        <f>IF(OR(E329="",F329=""),"",DATEDIF(E329,F329,"Y"))</f>
        <v/>
      </c>
      <c r="H329" s="9" t="n"/>
    </row>
    <row r="330" ht="14.25" customHeight="1" s="38">
      <c r="A330" s="9" t="n"/>
      <c r="B330" s="9" t="n"/>
      <c r="C330" s="9" t="n"/>
      <c r="D330" s="9" t="n"/>
      <c r="E330" s="9" t="n"/>
      <c r="F330" s="9" t="n"/>
      <c r="G330" s="9">
        <f>IF(OR(E330="",F330=""),"",DATEDIF(E330,F330,"Y"))</f>
        <v/>
      </c>
      <c r="H330" s="9" t="n"/>
    </row>
    <row r="331" ht="14.25" customHeight="1" s="38">
      <c r="A331" s="9" t="n"/>
      <c r="B331" s="9" t="n"/>
      <c r="C331" s="9" t="n"/>
      <c r="D331" s="9" t="n"/>
      <c r="E331" s="9" t="n"/>
      <c r="F331" s="9" t="n"/>
      <c r="G331" s="9">
        <f>IF(OR(E331="",F331=""),"",DATEDIF(E331,F331,"Y"))</f>
        <v/>
      </c>
      <c r="H331" s="9" t="n"/>
    </row>
    <row r="332" ht="14.25" customHeight="1" s="38">
      <c r="A332" s="9" t="n"/>
      <c r="B332" s="9" t="n"/>
      <c r="C332" s="9" t="n"/>
      <c r="D332" s="9" t="n"/>
      <c r="E332" s="9" t="n"/>
      <c r="F332" s="9" t="n"/>
      <c r="G332" s="9">
        <f>IF(OR(E332="",F332=""),"",DATEDIF(E332,F332,"Y"))</f>
        <v/>
      </c>
      <c r="H332" s="9" t="n"/>
    </row>
    <row r="333" ht="14.25" customHeight="1" s="38">
      <c r="A333" s="9" t="n"/>
      <c r="B333" s="9" t="n"/>
      <c r="C333" s="9" t="n"/>
      <c r="D333" s="9" t="n"/>
      <c r="E333" s="9" t="n"/>
      <c r="F333" s="9" t="n"/>
      <c r="G333" s="9">
        <f>IF(OR(E333="",F333=""),"",DATEDIF(E333,F333,"Y"))</f>
        <v/>
      </c>
      <c r="H333" s="9" t="n"/>
    </row>
    <row r="334" ht="14.25" customHeight="1" s="38">
      <c r="A334" s="9" t="n"/>
      <c r="B334" s="9" t="n"/>
      <c r="C334" s="9" t="n"/>
      <c r="D334" s="9" t="n"/>
      <c r="E334" s="9" t="n"/>
      <c r="F334" s="9" t="n"/>
      <c r="G334" s="9">
        <f>IF(OR(E334="",F334=""),"",DATEDIF(E334,F334,"Y"))</f>
        <v/>
      </c>
      <c r="H334" s="9" t="n"/>
    </row>
    <row r="335" ht="14.25" customHeight="1" s="38">
      <c r="A335" s="9" t="n"/>
      <c r="B335" s="9" t="n"/>
      <c r="C335" s="9" t="n"/>
      <c r="D335" s="9" t="n"/>
      <c r="E335" s="9" t="n"/>
      <c r="F335" s="9" t="n"/>
      <c r="G335" s="9">
        <f>IF(OR(E335="",F335=""),"",DATEDIF(E335,F335,"Y"))</f>
        <v/>
      </c>
      <c r="H335" s="9" t="n"/>
    </row>
    <row r="336" ht="14.25" customHeight="1" s="38">
      <c r="A336" s="9" t="n"/>
      <c r="B336" s="9" t="n"/>
      <c r="C336" s="9" t="n"/>
      <c r="D336" s="9" t="n"/>
      <c r="E336" s="9" t="n"/>
      <c r="F336" s="9" t="n"/>
      <c r="G336" s="9">
        <f>IF(OR(E336="",F336=""),"",DATEDIF(E336,F336,"Y"))</f>
        <v/>
      </c>
      <c r="H336" s="9" t="n"/>
    </row>
    <row r="337" ht="14.25" customHeight="1" s="38">
      <c r="A337" s="9" t="n"/>
      <c r="B337" s="9" t="n"/>
      <c r="C337" s="9" t="n"/>
      <c r="D337" s="9" t="n"/>
      <c r="E337" s="9" t="n"/>
      <c r="F337" s="9" t="n"/>
      <c r="G337" s="9">
        <f>IF(OR(E337="",F337=""),"",DATEDIF(E337,F337,"Y"))</f>
        <v/>
      </c>
      <c r="H337" s="9" t="n"/>
    </row>
    <row r="338" ht="14.25" customHeight="1" s="38">
      <c r="A338" s="9" t="n"/>
      <c r="B338" s="9" t="n"/>
      <c r="C338" s="9" t="n"/>
      <c r="D338" s="9" t="n"/>
      <c r="E338" s="9" t="n"/>
      <c r="F338" s="9" t="n"/>
      <c r="G338" s="9">
        <f>IF(OR(E338="",F338=""),"",DATEDIF(E338,F338,"Y"))</f>
        <v/>
      </c>
      <c r="H338" s="9" t="n"/>
    </row>
    <row r="339" ht="14.25" customHeight="1" s="38">
      <c r="A339" s="9" t="n"/>
      <c r="B339" s="9" t="n"/>
      <c r="C339" s="9" t="n"/>
      <c r="D339" s="9" t="n"/>
      <c r="E339" s="9" t="n"/>
      <c r="F339" s="9" t="n"/>
      <c r="G339" s="9">
        <f>IF(OR(E339="",F339=""),"",DATEDIF(E339,F339,"Y"))</f>
        <v/>
      </c>
      <c r="H339" s="9" t="n"/>
    </row>
    <row r="340" ht="14.25" customHeight="1" s="38">
      <c r="A340" s="9" t="n"/>
      <c r="B340" s="9" t="n"/>
      <c r="C340" s="9" t="n"/>
      <c r="D340" s="9" t="n"/>
      <c r="E340" s="9" t="n"/>
      <c r="F340" s="9" t="n"/>
      <c r="G340" s="9">
        <f>IF(OR(E340="",F340=""),"",DATEDIF(E340,F340,"Y"))</f>
        <v/>
      </c>
      <c r="H340" s="9" t="n"/>
    </row>
    <row r="341" ht="14.25" customHeight="1" s="38">
      <c r="A341" s="9" t="n"/>
      <c r="B341" s="9" t="n"/>
      <c r="C341" s="9" t="n"/>
      <c r="D341" s="9" t="n"/>
      <c r="E341" s="9" t="n"/>
      <c r="F341" s="9" t="n"/>
      <c r="G341" s="9">
        <f>IF(OR(E341="",F341=""),"",DATEDIF(E341,F341,"Y"))</f>
        <v/>
      </c>
      <c r="H341" s="9" t="n"/>
    </row>
    <row r="342" ht="14.25" customHeight="1" s="38">
      <c r="A342" s="9" t="n"/>
      <c r="B342" s="9" t="n"/>
      <c r="C342" s="9" t="n"/>
      <c r="D342" s="9" t="n"/>
      <c r="E342" s="9" t="n"/>
      <c r="F342" s="9" t="n"/>
      <c r="G342" s="9">
        <f>IF(OR(E342="",F342=""),"",DATEDIF(E342,F342,"Y"))</f>
        <v/>
      </c>
      <c r="H342" s="9" t="n"/>
    </row>
    <row r="343" ht="14.25" customHeight="1" s="38">
      <c r="A343" s="9" t="n"/>
      <c r="B343" s="9" t="n"/>
      <c r="C343" s="9" t="n"/>
      <c r="D343" s="9" t="n"/>
      <c r="E343" s="9" t="n"/>
      <c r="F343" s="9" t="n"/>
      <c r="G343" s="9">
        <f>IF(OR(E343="",F343=""),"",DATEDIF(E343,F343,"Y"))</f>
        <v/>
      </c>
      <c r="H343" s="9" t="n"/>
    </row>
    <row r="344" ht="14.25" customHeight="1" s="38">
      <c r="A344" s="9" t="n"/>
      <c r="B344" s="9" t="n"/>
      <c r="C344" s="9" t="n"/>
      <c r="D344" s="9" t="n"/>
      <c r="E344" s="9" t="n"/>
      <c r="F344" s="9" t="n"/>
      <c r="G344" s="9">
        <f>IF(OR(E344="",F344=""),"",DATEDIF(E344,F344,"Y"))</f>
        <v/>
      </c>
      <c r="H344" s="9" t="n"/>
    </row>
    <row r="345" ht="14.25" customHeight="1" s="38">
      <c r="A345" s="9" t="n"/>
      <c r="B345" s="9" t="n"/>
      <c r="C345" s="9" t="n"/>
      <c r="D345" s="9" t="n"/>
      <c r="E345" s="9" t="n"/>
      <c r="F345" s="9" t="n"/>
      <c r="G345" s="9">
        <f>IF(OR(E345="",F345=""),"",DATEDIF(E345,F345,"Y"))</f>
        <v/>
      </c>
      <c r="H345" s="9" t="n"/>
    </row>
    <row r="346" ht="14.25" customHeight="1" s="38">
      <c r="A346" s="9" t="n"/>
      <c r="B346" s="9" t="n"/>
      <c r="C346" s="9" t="n"/>
      <c r="D346" s="9" t="n"/>
      <c r="E346" s="9" t="n"/>
      <c r="F346" s="9" t="n"/>
      <c r="G346" s="9">
        <f>IF(OR(E346="",F346=""),"",DATEDIF(E346,F346,"Y"))</f>
        <v/>
      </c>
      <c r="H346" s="9" t="n"/>
    </row>
    <row r="347" ht="14.25" customHeight="1" s="38">
      <c r="A347" s="9" t="n"/>
      <c r="B347" s="9" t="n"/>
      <c r="C347" s="9" t="n"/>
      <c r="D347" s="9" t="n"/>
      <c r="E347" s="9" t="n"/>
      <c r="F347" s="9" t="n"/>
      <c r="G347" s="9">
        <f>IF(OR(E347="",F347=""),"",DATEDIF(E347,F347,"Y"))</f>
        <v/>
      </c>
      <c r="H347" s="9" t="n"/>
    </row>
    <row r="348" ht="14.25" customHeight="1" s="38">
      <c r="A348" s="9" t="n"/>
      <c r="B348" s="9" t="n"/>
      <c r="C348" s="9" t="n"/>
      <c r="D348" s="9" t="n"/>
      <c r="E348" s="9" t="n"/>
      <c r="F348" s="9" t="n"/>
      <c r="G348" s="9">
        <f>IF(OR(E348="",F348=""),"",DATEDIF(E348,F348,"Y"))</f>
        <v/>
      </c>
      <c r="H348" s="9" t="n"/>
    </row>
    <row r="349" ht="14.25" customHeight="1" s="38">
      <c r="A349" s="9" t="n"/>
      <c r="B349" s="9" t="n"/>
      <c r="C349" s="9" t="n"/>
      <c r="D349" s="9" t="n"/>
      <c r="E349" s="9" t="n"/>
      <c r="F349" s="9" t="n"/>
      <c r="G349" s="9">
        <f>IF(OR(E349="",F349=""),"",DATEDIF(E349,F349,"Y"))</f>
        <v/>
      </c>
      <c r="H349" s="9" t="n"/>
    </row>
    <row r="350" ht="14.25" customHeight="1" s="38">
      <c r="A350" s="9" t="n"/>
      <c r="B350" s="9" t="n"/>
      <c r="C350" s="9" t="n"/>
      <c r="D350" s="9" t="n"/>
      <c r="E350" s="9" t="n"/>
      <c r="F350" s="9" t="n"/>
      <c r="G350" s="9">
        <f>IF(OR(E350="",F350=""),"",DATEDIF(E350,F350,"Y"))</f>
        <v/>
      </c>
      <c r="H350" s="9" t="n"/>
    </row>
    <row r="351" ht="14.25" customHeight="1" s="38">
      <c r="A351" s="9" t="n"/>
      <c r="B351" s="9" t="n"/>
      <c r="C351" s="9" t="n"/>
      <c r="D351" s="9" t="n"/>
      <c r="E351" s="9" t="n"/>
      <c r="F351" s="9" t="n"/>
      <c r="G351" s="9">
        <f>IF(OR(E351="",F351=""),"",DATEDIF(E351,F351,"Y"))</f>
        <v/>
      </c>
      <c r="H351" s="9" t="n"/>
    </row>
    <row r="352" ht="14.25" customHeight="1" s="38">
      <c r="A352" s="9" t="n"/>
      <c r="B352" s="9" t="n"/>
      <c r="C352" s="9" t="n"/>
      <c r="D352" s="9" t="n"/>
      <c r="E352" s="9" t="n"/>
      <c r="F352" s="9" t="n"/>
      <c r="G352" s="9">
        <f>IF(OR(E352="",F352=""),"",DATEDIF(E352,F352,"Y"))</f>
        <v/>
      </c>
      <c r="H352" s="9" t="n"/>
    </row>
    <row r="353" ht="14.25" customHeight="1" s="38">
      <c r="A353" s="9" t="n"/>
      <c r="B353" s="9" t="n"/>
      <c r="C353" s="9" t="n"/>
      <c r="D353" s="9" t="n"/>
      <c r="E353" s="9" t="n"/>
      <c r="F353" s="9" t="n"/>
      <c r="G353" s="9">
        <f>IF(OR(E353="",F353=""),"",DATEDIF(E353,F353,"Y"))</f>
        <v/>
      </c>
      <c r="H353" s="9" t="n"/>
    </row>
    <row r="354" ht="14.25" customHeight="1" s="38">
      <c r="A354" s="9" t="n"/>
      <c r="B354" s="9" t="n"/>
      <c r="C354" s="9" t="n"/>
      <c r="D354" s="9" t="n"/>
      <c r="E354" s="9" t="n"/>
      <c r="F354" s="9" t="n"/>
      <c r="G354" s="9">
        <f>IF(OR(E354="",F354=""),"",DATEDIF(E354,F354,"Y"))</f>
        <v/>
      </c>
      <c r="H354" s="9" t="n"/>
    </row>
    <row r="355" ht="14.25" customHeight="1" s="38">
      <c r="A355" s="9" t="n"/>
      <c r="B355" s="9" t="n"/>
      <c r="C355" s="9" t="n"/>
      <c r="D355" s="9" t="n"/>
      <c r="E355" s="9" t="n"/>
      <c r="F355" s="9" t="n"/>
      <c r="G355" s="9">
        <f>IF(OR(E355="",F355=""),"",DATEDIF(E355,F355,"Y"))</f>
        <v/>
      </c>
      <c r="H355" s="9" t="n"/>
    </row>
    <row r="356" ht="14.25" customHeight="1" s="38">
      <c r="A356" s="9" t="n"/>
      <c r="B356" s="9" t="n"/>
      <c r="C356" s="9" t="n"/>
      <c r="D356" s="9" t="n"/>
      <c r="E356" s="9" t="n"/>
      <c r="F356" s="9" t="n"/>
      <c r="G356" s="9">
        <f>IF(OR(E356="",F356=""),"",DATEDIF(E356,F356,"Y"))</f>
        <v/>
      </c>
      <c r="H356" s="9" t="n"/>
    </row>
    <row r="357" ht="14.25" customHeight="1" s="38">
      <c r="A357" s="9" t="n"/>
      <c r="B357" s="9" t="n"/>
      <c r="C357" s="9" t="n"/>
      <c r="D357" s="9" t="n"/>
      <c r="E357" s="9" t="n"/>
      <c r="F357" s="9" t="n"/>
      <c r="G357" s="9">
        <f>IF(OR(E357="",F357=""),"",DATEDIF(E357,F357,"Y"))</f>
        <v/>
      </c>
      <c r="H357" s="9" t="n"/>
    </row>
    <row r="358" ht="14.25" customHeight="1" s="38">
      <c r="A358" s="9" t="n"/>
      <c r="B358" s="9" t="n"/>
      <c r="C358" s="9" t="n"/>
      <c r="D358" s="9" t="n"/>
      <c r="E358" s="9" t="n"/>
      <c r="F358" s="9" t="n"/>
      <c r="G358" s="9">
        <f>IF(OR(E358="",F358=""),"",DATEDIF(E358,F358,"Y"))</f>
        <v/>
      </c>
      <c r="H358" s="9" t="n"/>
    </row>
    <row r="359" ht="14.25" customHeight="1" s="38">
      <c r="A359" s="9" t="n"/>
      <c r="B359" s="9" t="n"/>
      <c r="C359" s="9" t="n"/>
      <c r="D359" s="9" t="n"/>
      <c r="E359" s="9" t="n"/>
      <c r="F359" s="9" t="n"/>
      <c r="G359" s="9">
        <f>IF(OR(E359="",F359=""),"",DATEDIF(E359,F359,"Y"))</f>
        <v/>
      </c>
      <c r="H359" s="9" t="n"/>
    </row>
    <row r="360" ht="14.25" customHeight="1" s="38">
      <c r="A360" s="9" t="n"/>
      <c r="B360" s="9" t="n"/>
      <c r="C360" s="9" t="n"/>
      <c r="D360" s="9" t="n"/>
      <c r="E360" s="9" t="n"/>
      <c r="F360" s="9" t="n"/>
      <c r="G360" s="9">
        <f>IF(OR(E360="",F360=""),"",DATEDIF(E360,F360,"Y"))</f>
        <v/>
      </c>
      <c r="H360" s="9" t="n"/>
    </row>
    <row r="361" ht="14.25" customHeight="1" s="38">
      <c r="A361" s="9" t="n"/>
      <c r="B361" s="9" t="n"/>
      <c r="C361" s="9" t="n"/>
      <c r="D361" s="9" t="n"/>
      <c r="E361" s="9" t="n"/>
      <c r="F361" s="9" t="n"/>
      <c r="G361" s="9">
        <f>IF(OR(E361="",F361=""),"",DATEDIF(E361,F361,"Y"))</f>
        <v/>
      </c>
      <c r="H361" s="9" t="n"/>
    </row>
    <row r="362" ht="14.25" customHeight="1" s="38">
      <c r="A362" s="9" t="n"/>
      <c r="B362" s="9" t="n"/>
      <c r="C362" s="9" t="n"/>
      <c r="D362" s="9" t="n"/>
      <c r="E362" s="9" t="n"/>
      <c r="F362" s="9" t="n"/>
      <c r="G362" s="9">
        <f>IF(OR(E362="",F362=""),"",DATEDIF(E362,F362,"Y"))</f>
        <v/>
      </c>
      <c r="H362" s="9" t="n"/>
    </row>
    <row r="363" ht="14.25" customHeight="1" s="38">
      <c r="A363" s="9" t="n"/>
      <c r="B363" s="9" t="n"/>
      <c r="C363" s="9" t="n"/>
      <c r="D363" s="9" t="n"/>
      <c r="E363" s="9" t="n"/>
      <c r="F363" s="9" t="n"/>
      <c r="G363" s="9">
        <f>IF(OR(E363="",F363=""),"",DATEDIF(E363,F363,"Y"))</f>
        <v/>
      </c>
      <c r="H363" s="9" t="n"/>
    </row>
    <row r="364" ht="14.25" customHeight="1" s="38">
      <c r="A364" s="9" t="n"/>
      <c r="B364" s="9" t="n"/>
      <c r="C364" s="9" t="n"/>
      <c r="D364" s="9" t="n"/>
      <c r="E364" s="9" t="n"/>
      <c r="F364" s="9" t="n"/>
      <c r="G364" s="9">
        <f>IF(OR(E364="",F364=""),"",DATEDIF(E364,F364,"Y"))</f>
        <v/>
      </c>
      <c r="H364" s="9" t="n"/>
    </row>
    <row r="365" ht="14.25" customHeight="1" s="38">
      <c r="A365" s="9" t="n"/>
      <c r="B365" s="9" t="n"/>
      <c r="C365" s="9" t="n"/>
      <c r="D365" s="9" t="n"/>
      <c r="E365" s="9" t="n"/>
      <c r="F365" s="9" t="n"/>
      <c r="G365" s="9">
        <f>IF(OR(E365="",F365=""),"",DATEDIF(E365,F365,"Y"))</f>
        <v/>
      </c>
      <c r="H365" s="9" t="n"/>
    </row>
    <row r="366" ht="14.25" customHeight="1" s="38">
      <c r="A366" s="9" t="n"/>
      <c r="B366" s="9" t="n"/>
      <c r="C366" s="9" t="n"/>
      <c r="D366" s="9" t="n"/>
      <c r="E366" s="9" t="n"/>
      <c r="F366" s="9" t="n"/>
      <c r="G366" s="9">
        <f>IF(OR(E366="",F366=""),"",DATEDIF(E366,F366,"Y"))</f>
        <v/>
      </c>
      <c r="H366" s="9" t="n"/>
    </row>
    <row r="367" ht="14.25" customHeight="1" s="38">
      <c r="A367" s="9" t="n"/>
      <c r="B367" s="9" t="n"/>
      <c r="C367" s="9" t="n"/>
      <c r="D367" s="9" t="n"/>
      <c r="E367" s="9" t="n"/>
      <c r="F367" s="9" t="n"/>
      <c r="G367" s="9">
        <f>IF(OR(E367="",F367=""),"",DATEDIF(E367,F367,"Y"))</f>
        <v/>
      </c>
      <c r="H367" s="9" t="n"/>
    </row>
    <row r="368" ht="14.25" customHeight="1" s="38">
      <c r="A368" s="9" t="n"/>
      <c r="B368" s="9" t="n"/>
      <c r="C368" s="9" t="n"/>
      <c r="D368" s="9" t="n"/>
      <c r="E368" s="9" t="n"/>
      <c r="F368" s="9" t="n"/>
      <c r="G368" s="9">
        <f>IF(OR(E368="",F368=""),"",DATEDIF(E368,F368,"Y"))</f>
        <v/>
      </c>
      <c r="H368" s="9" t="n"/>
    </row>
    <row r="369" ht="14.25" customHeight="1" s="38">
      <c r="A369" s="9" t="n"/>
      <c r="B369" s="9" t="n"/>
      <c r="C369" s="9" t="n"/>
      <c r="D369" s="9" t="n"/>
      <c r="E369" s="9" t="n"/>
      <c r="F369" s="9" t="n"/>
      <c r="G369" s="9">
        <f>IF(OR(E369="",F369=""),"",DATEDIF(E369,F369,"Y"))</f>
        <v/>
      </c>
      <c r="H369" s="9" t="n"/>
    </row>
    <row r="370" ht="14.25" customHeight="1" s="38">
      <c r="A370" s="9" t="n"/>
      <c r="B370" s="9" t="n"/>
      <c r="C370" s="9" t="n"/>
      <c r="D370" s="9" t="n"/>
      <c r="E370" s="9" t="n"/>
      <c r="F370" s="9" t="n"/>
      <c r="G370" s="9">
        <f>IF(OR(E370="",F370=""),"",DATEDIF(E370,F370,"Y"))</f>
        <v/>
      </c>
      <c r="H370" s="9" t="n"/>
    </row>
    <row r="371" ht="14.25" customHeight="1" s="38">
      <c r="A371" s="9" t="n"/>
      <c r="B371" s="9" t="n"/>
      <c r="C371" s="9" t="n"/>
      <c r="D371" s="9" t="n"/>
      <c r="E371" s="9" t="n"/>
      <c r="F371" s="9" t="n"/>
      <c r="G371" s="9">
        <f>IF(OR(E371="",F371=""),"",DATEDIF(E371,F371,"Y"))</f>
        <v/>
      </c>
      <c r="H371" s="9" t="n"/>
    </row>
    <row r="372" ht="14.25" customHeight="1" s="38">
      <c r="A372" s="9" t="n"/>
      <c r="B372" s="9" t="n"/>
      <c r="C372" s="9" t="n"/>
      <c r="D372" s="9" t="n"/>
      <c r="E372" s="9" t="n"/>
      <c r="F372" s="9" t="n"/>
      <c r="G372" s="9">
        <f>IF(OR(E372="",F372=""),"",DATEDIF(E372,F372,"Y"))</f>
        <v/>
      </c>
      <c r="H372" s="9" t="n"/>
    </row>
    <row r="373" ht="14.25" customHeight="1" s="38">
      <c r="A373" s="9" t="n"/>
      <c r="B373" s="9" t="n"/>
      <c r="C373" s="9" t="n"/>
      <c r="D373" s="9" t="n"/>
      <c r="E373" s="9" t="n"/>
      <c r="F373" s="9" t="n"/>
      <c r="G373" s="9">
        <f>IF(OR(E373="",F373=""),"",DATEDIF(E373,F373,"Y"))</f>
        <v/>
      </c>
      <c r="H373" s="9" t="n"/>
    </row>
    <row r="374" ht="14.25" customHeight="1" s="38">
      <c r="A374" s="9" t="n"/>
      <c r="B374" s="9" t="n"/>
      <c r="C374" s="9" t="n"/>
      <c r="D374" s="9" t="n"/>
      <c r="E374" s="9" t="n"/>
      <c r="F374" s="9" t="n"/>
      <c r="G374" s="9">
        <f>IF(OR(E374="",F374=""),"",DATEDIF(E374,F374,"Y"))</f>
        <v/>
      </c>
      <c r="H374" s="9" t="n"/>
    </row>
    <row r="375" ht="14.25" customHeight="1" s="38">
      <c r="A375" s="9" t="n"/>
      <c r="B375" s="9" t="n"/>
      <c r="C375" s="9" t="n"/>
      <c r="D375" s="9" t="n"/>
      <c r="E375" s="9" t="n"/>
      <c r="F375" s="9" t="n"/>
      <c r="G375" s="9">
        <f>IF(OR(E375="",F375=""),"",DATEDIF(E375,F375,"Y"))</f>
        <v/>
      </c>
      <c r="H375" s="9" t="n"/>
    </row>
    <row r="376" ht="14.25" customHeight="1" s="38">
      <c r="A376" s="9" t="n"/>
      <c r="B376" s="9" t="n"/>
      <c r="C376" s="9" t="n"/>
      <c r="D376" s="9" t="n"/>
      <c r="E376" s="9" t="n"/>
      <c r="F376" s="9" t="n"/>
      <c r="G376" s="9">
        <f>IF(OR(E376="",F376=""),"",DATEDIF(E376,F376,"Y"))</f>
        <v/>
      </c>
      <c r="H376" s="9" t="n"/>
    </row>
    <row r="377" ht="14.25" customHeight="1" s="38">
      <c r="A377" s="9" t="n"/>
      <c r="B377" s="9" t="n"/>
      <c r="C377" s="9" t="n"/>
      <c r="D377" s="9" t="n"/>
      <c r="E377" s="9" t="n"/>
      <c r="F377" s="9" t="n"/>
      <c r="G377" s="9">
        <f>IF(OR(E377="",F377=""),"",DATEDIF(E377,F377,"Y"))</f>
        <v/>
      </c>
      <c r="H377" s="9" t="n"/>
    </row>
    <row r="378" ht="14.25" customHeight="1" s="38">
      <c r="A378" s="9" t="n"/>
      <c r="B378" s="9" t="n"/>
      <c r="C378" s="9" t="n"/>
      <c r="D378" s="9" t="n"/>
      <c r="E378" s="9" t="n"/>
      <c r="F378" s="9" t="n"/>
      <c r="G378" s="9">
        <f>IF(OR(E378="",F378=""),"",DATEDIF(E378,F378,"Y"))</f>
        <v/>
      </c>
      <c r="H378" s="9" t="n"/>
    </row>
    <row r="379" ht="14.25" customHeight="1" s="38">
      <c r="A379" s="9" t="n"/>
      <c r="B379" s="9" t="n"/>
      <c r="C379" s="9" t="n"/>
      <c r="D379" s="9" t="n"/>
      <c r="E379" s="9" t="n"/>
      <c r="F379" s="9" t="n"/>
      <c r="G379" s="9">
        <f>IF(OR(E379="",F379=""),"",DATEDIF(E379,F379,"Y"))</f>
        <v/>
      </c>
      <c r="H379" s="9" t="n"/>
    </row>
    <row r="380" ht="14.25" customHeight="1" s="38">
      <c r="A380" s="9" t="n"/>
      <c r="B380" s="9" t="n"/>
      <c r="C380" s="9" t="n"/>
      <c r="D380" s="9" t="n"/>
      <c r="E380" s="9" t="n"/>
      <c r="F380" s="9" t="n"/>
      <c r="G380" s="9">
        <f>IF(OR(E380="",F380=""),"",DATEDIF(E380,F380,"Y"))</f>
        <v/>
      </c>
      <c r="H380" s="9" t="n"/>
    </row>
    <row r="381" ht="14.25" customHeight="1" s="38">
      <c r="A381" s="9" t="n"/>
      <c r="B381" s="9" t="n"/>
      <c r="C381" s="9" t="n"/>
      <c r="D381" s="9" t="n"/>
      <c r="E381" s="9" t="n"/>
      <c r="F381" s="9" t="n"/>
      <c r="G381" s="9">
        <f>IF(OR(E381="",F381=""),"",DATEDIF(E381,F381,"Y"))</f>
        <v/>
      </c>
      <c r="H381" s="9" t="n"/>
    </row>
    <row r="382" ht="14.25" customHeight="1" s="38">
      <c r="A382" s="9" t="n"/>
      <c r="B382" s="9" t="n"/>
      <c r="C382" s="9" t="n"/>
      <c r="D382" s="9" t="n"/>
      <c r="E382" s="9" t="n"/>
      <c r="F382" s="9" t="n"/>
      <c r="G382" s="9">
        <f>IF(OR(E382="",F382=""),"",DATEDIF(E382,F382,"Y"))</f>
        <v/>
      </c>
      <c r="H382" s="9" t="n"/>
    </row>
    <row r="383" ht="14.25" customHeight="1" s="38">
      <c r="A383" s="9" t="n"/>
      <c r="B383" s="9" t="n"/>
      <c r="C383" s="9" t="n"/>
      <c r="D383" s="9" t="n"/>
      <c r="E383" s="9" t="n"/>
      <c r="F383" s="9" t="n"/>
      <c r="G383" s="9">
        <f>IF(OR(E383="",F383=""),"",DATEDIF(E383,F383,"Y"))</f>
        <v/>
      </c>
      <c r="H383" s="9" t="n"/>
    </row>
    <row r="384" ht="14.25" customHeight="1" s="38">
      <c r="A384" s="9" t="n"/>
      <c r="B384" s="9" t="n"/>
      <c r="C384" s="9" t="n"/>
      <c r="D384" s="9" t="n"/>
      <c r="E384" s="9" t="n"/>
      <c r="F384" s="9" t="n"/>
      <c r="G384" s="9">
        <f>IF(OR(E384="",F384=""),"",DATEDIF(E384,F384,"Y"))</f>
        <v/>
      </c>
      <c r="H384" s="9" t="n"/>
    </row>
    <row r="385" ht="14.25" customHeight="1" s="38">
      <c r="A385" s="9" t="n"/>
      <c r="B385" s="9" t="n"/>
      <c r="C385" s="9" t="n"/>
      <c r="D385" s="9" t="n"/>
      <c r="E385" s="9" t="n"/>
      <c r="F385" s="9" t="n"/>
      <c r="G385" s="9">
        <f>IF(OR(E385="",F385=""),"",DATEDIF(E385,F385,"Y"))</f>
        <v/>
      </c>
      <c r="H385" s="9" t="n"/>
    </row>
    <row r="386" ht="14.25" customHeight="1" s="38">
      <c r="A386" s="9" t="n"/>
      <c r="B386" s="9" t="n"/>
      <c r="C386" s="9" t="n"/>
      <c r="D386" s="9" t="n"/>
      <c r="E386" s="9" t="n"/>
      <c r="F386" s="9" t="n"/>
      <c r="G386" s="9">
        <f>IF(OR(E386="",F386=""),"",DATEDIF(E386,F386,"Y"))</f>
        <v/>
      </c>
      <c r="H386" s="9" t="n"/>
    </row>
    <row r="387" ht="14.25" customHeight="1" s="38">
      <c r="A387" s="9" t="n"/>
      <c r="B387" s="9" t="n"/>
      <c r="C387" s="9" t="n"/>
      <c r="D387" s="9" t="n"/>
      <c r="E387" s="9" t="n"/>
      <c r="F387" s="9" t="n"/>
      <c r="G387" s="9">
        <f>IF(OR(E387="",F387=""),"",DATEDIF(E387,F387,"Y"))</f>
        <v/>
      </c>
      <c r="H387" s="9" t="n"/>
    </row>
    <row r="388" ht="14.25" customHeight="1" s="38">
      <c r="A388" s="9" t="n"/>
      <c r="B388" s="9" t="n"/>
      <c r="C388" s="9" t="n"/>
      <c r="D388" s="9" t="n"/>
      <c r="E388" s="9" t="n"/>
      <c r="F388" s="9" t="n"/>
      <c r="G388" s="9">
        <f>IF(OR(E388="",F388=""),"",DATEDIF(E388,F388,"Y"))</f>
        <v/>
      </c>
      <c r="H388" s="9" t="n"/>
    </row>
    <row r="389" ht="14.25" customHeight="1" s="38">
      <c r="A389" s="9" t="n"/>
      <c r="B389" s="9" t="n"/>
      <c r="C389" s="9" t="n"/>
      <c r="D389" s="9" t="n"/>
      <c r="E389" s="9" t="n"/>
      <c r="F389" s="9" t="n"/>
      <c r="G389" s="9">
        <f>IF(OR(E389="",F389=""),"",DATEDIF(E389,F389,"Y"))</f>
        <v/>
      </c>
      <c r="H389" s="9" t="n"/>
    </row>
    <row r="390" ht="14.25" customHeight="1" s="38">
      <c r="A390" s="9" t="n"/>
      <c r="B390" s="9" t="n"/>
      <c r="C390" s="9" t="n"/>
      <c r="D390" s="9" t="n"/>
      <c r="E390" s="9" t="n"/>
      <c r="F390" s="9" t="n"/>
      <c r="G390" s="9">
        <f>IF(OR(E390="",F390=""),"",DATEDIF(E390,F390,"Y"))</f>
        <v/>
      </c>
      <c r="H390" s="9" t="n"/>
    </row>
    <row r="391" ht="14.25" customHeight="1" s="38">
      <c r="A391" s="9" t="n"/>
      <c r="B391" s="9" t="n"/>
      <c r="C391" s="9" t="n"/>
      <c r="D391" s="9" t="n"/>
      <c r="E391" s="9" t="n"/>
      <c r="F391" s="9" t="n"/>
      <c r="G391" s="9">
        <f>IF(OR(E391="",F391=""),"",DATEDIF(E391,F391,"Y"))</f>
        <v/>
      </c>
      <c r="H391" s="9" t="n"/>
    </row>
    <row r="392" ht="14.25" customHeight="1" s="38">
      <c r="A392" s="9" t="n"/>
      <c r="B392" s="9" t="n"/>
      <c r="C392" s="9" t="n"/>
      <c r="D392" s="9" t="n"/>
      <c r="E392" s="9" t="n"/>
      <c r="F392" s="9" t="n"/>
      <c r="G392" s="9">
        <f>IF(OR(E392="",F392=""),"",DATEDIF(E392,F392,"Y"))</f>
        <v/>
      </c>
      <c r="H392" s="9" t="n"/>
    </row>
    <row r="393" ht="14.25" customHeight="1" s="38">
      <c r="A393" s="9" t="n"/>
      <c r="B393" s="9" t="n"/>
      <c r="C393" s="9" t="n"/>
      <c r="D393" s="9" t="n"/>
      <c r="E393" s="9" t="n"/>
      <c r="F393" s="9" t="n"/>
      <c r="G393" s="9">
        <f>IF(OR(E393="",F393=""),"",DATEDIF(E393,F393,"Y"))</f>
        <v/>
      </c>
      <c r="H393" s="9" t="n"/>
    </row>
    <row r="394" ht="14.25" customHeight="1" s="38">
      <c r="A394" s="9" t="n"/>
      <c r="B394" s="9" t="n"/>
      <c r="C394" s="9" t="n"/>
      <c r="D394" s="9" t="n"/>
      <c r="E394" s="9" t="n"/>
      <c r="F394" s="9" t="n"/>
      <c r="G394" s="9">
        <f>IF(OR(E394="",F394=""),"",DATEDIF(E394,F394,"Y"))</f>
        <v/>
      </c>
      <c r="H394" s="9" t="n"/>
    </row>
    <row r="395" ht="14.25" customHeight="1" s="38">
      <c r="A395" s="9" t="n"/>
      <c r="B395" s="9" t="n"/>
      <c r="C395" s="9" t="n"/>
      <c r="D395" s="9" t="n"/>
      <c r="E395" s="9" t="n"/>
      <c r="F395" s="9" t="n"/>
      <c r="G395" s="9">
        <f>IF(OR(E395="",F395=""),"",DATEDIF(E395,F395,"Y"))</f>
        <v/>
      </c>
      <c r="H395" s="9" t="n"/>
    </row>
    <row r="396" ht="14.25" customHeight="1" s="38">
      <c r="A396" s="9" t="n"/>
      <c r="B396" s="9" t="n"/>
      <c r="C396" s="9" t="n"/>
      <c r="D396" s="9" t="n"/>
      <c r="E396" s="9" t="n"/>
      <c r="F396" s="9" t="n"/>
      <c r="G396" s="9">
        <f>IF(OR(E396="",F396=""),"",DATEDIF(E396,F396,"Y"))</f>
        <v/>
      </c>
      <c r="H396" s="9" t="n"/>
    </row>
    <row r="397" ht="14.25" customHeight="1" s="38">
      <c r="A397" s="9" t="n"/>
      <c r="B397" s="9" t="n"/>
      <c r="C397" s="9" t="n"/>
      <c r="D397" s="9" t="n"/>
      <c r="E397" s="9" t="n"/>
      <c r="F397" s="9" t="n"/>
      <c r="G397" s="9">
        <f>IF(OR(E397="",F397=""),"",DATEDIF(E397,F397,"Y"))</f>
        <v/>
      </c>
      <c r="H397" s="9" t="n"/>
    </row>
    <row r="398" ht="14.25" customHeight="1" s="38">
      <c r="A398" s="9" t="n"/>
      <c r="B398" s="9" t="n"/>
      <c r="C398" s="9" t="n"/>
      <c r="D398" s="9" t="n"/>
      <c r="E398" s="9" t="n"/>
      <c r="F398" s="9" t="n"/>
      <c r="G398" s="9">
        <f>IF(OR(E398="",F398=""),"",DATEDIF(E398,F398,"Y"))</f>
        <v/>
      </c>
      <c r="H398" s="9" t="n"/>
    </row>
    <row r="399" ht="14.25" customHeight="1" s="38">
      <c r="A399" s="9" t="n"/>
      <c r="B399" s="9" t="n"/>
      <c r="C399" s="9" t="n"/>
      <c r="D399" s="9" t="n"/>
      <c r="E399" s="9" t="n"/>
      <c r="F399" s="9" t="n"/>
      <c r="G399" s="9">
        <f>IF(OR(E399="",F399=""),"",DATEDIF(E399,F399,"Y"))</f>
        <v/>
      </c>
      <c r="H399" s="9" t="n"/>
    </row>
    <row r="400" ht="14.25" customHeight="1" s="38">
      <c r="A400" s="9" t="n"/>
      <c r="B400" s="9" t="n"/>
      <c r="C400" s="9" t="n"/>
      <c r="D400" s="9" t="n"/>
      <c r="E400" s="9" t="n"/>
      <c r="F400" s="9" t="n"/>
      <c r="G400" s="9">
        <f>IF(OR(E400="",F400=""),"",DATEDIF(E400,F400,"Y"))</f>
        <v/>
      </c>
      <c r="H400" s="9" t="n"/>
    </row>
    <row r="401" ht="14.25" customHeight="1" s="38">
      <c r="A401" s="9" t="n"/>
      <c r="B401" s="9" t="n"/>
      <c r="C401" s="9" t="n"/>
      <c r="D401" s="9" t="n"/>
      <c r="E401" s="9" t="n"/>
      <c r="F401" s="9" t="n"/>
      <c r="G401" s="9">
        <f>IF(OR(E401="",F401=""),"",DATEDIF(E401,F401,"Y"))</f>
        <v/>
      </c>
      <c r="H401" s="9" t="n"/>
    </row>
    <row r="402" ht="14.25" customHeight="1" s="38">
      <c r="A402" s="9" t="n"/>
      <c r="B402" s="9" t="n"/>
      <c r="C402" s="9" t="n"/>
      <c r="D402" s="9" t="n"/>
      <c r="E402" s="9" t="n"/>
      <c r="F402" s="9" t="n"/>
      <c r="G402" s="9">
        <f>IF(OR(E402="",F402=""),"",DATEDIF(E402,F402,"Y"))</f>
        <v/>
      </c>
      <c r="H402" s="9" t="n"/>
    </row>
    <row r="403" ht="14.25" customHeight="1" s="38">
      <c r="A403" s="9" t="n"/>
      <c r="B403" s="9" t="n"/>
      <c r="C403" s="9" t="n"/>
      <c r="D403" s="9" t="n"/>
      <c r="E403" s="9" t="n"/>
      <c r="F403" s="9" t="n"/>
      <c r="G403" s="9">
        <f>IF(OR(E403="",F403=""),"",DATEDIF(E403,F403,"Y"))</f>
        <v/>
      </c>
      <c r="H403" s="9" t="n"/>
    </row>
    <row r="404" ht="14.25" customHeight="1" s="38">
      <c r="A404" s="9" t="n"/>
      <c r="B404" s="9" t="n"/>
      <c r="C404" s="9" t="n"/>
      <c r="D404" s="9" t="n"/>
      <c r="E404" s="9" t="n"/>
      <c r="F404" s="9" t="n"/>
      <c r="G404" s="9">
        <f>IF(OR(E404="",F404=""),"",DATEDIF(E404,F404,"Y"))</f>
        <v/>
      </c>
      <c r="H404" s="9" t="n"/>
    </row>
    <row r="405" ht="14.25" customHeight="1" s="38">
      <c r="A405" s="9" t="n"/>
      <c r="B405" s="9" t="n"/>
      <c r="C405" s="9" t="n"/>
      <c r="D405" s="9" t="n"/>
      <c r="E405" s="9" t="n"/>
      <c r="F405" s="9" t="n"/>
      <c r="G405" s="9">
        <f>IF(OR(E405="",F405=""),"",DATEDIF(E405,F405,"Y"))</f>
        <v/>
      </c>
      <c r="H405" s="9" t="n"/>
    </row>
    <row r="406" ht="14.25" customHeight="1" s="38">
      <c r="A406" s="9" t="n"/>
      <c r="B406" s="9" t="n"/>
      <c r="C406" s="9" t="n"/>
      <c r="D406" s="9" t="n"/>
      <c r="E406" s="9" t="n"/>
      <c r="F406" s="9" t="n"/>
      <c r="G406" s="9">
        <f>IF(OR(E406="",F406=""),"",DATEDIF(E406,F406,"Y"))</f>
        <v/>
      </c>
      <c r="H406" s="9" t="n"/>
    </row>
    <row r="407" ht="14.25" customHeight="1" s="38">
      <c r="A407" s="9" t="n"/>
      <c r="B407" s="9" t="n"/>
      <c r="C407" s="9" t="n"/>
      <c r="D407" s="9" t="n"/>
      <c r="E407" s="9" t="n"/>
      <c r="F407" s="9" t="n"/>
      <c r="G407" s="9">
        <f>IF(OR(E407="",F407=""),"",DATEDIF(E407,F407,"Y"))</f>
        <v/>
      </c>
      <c r="H407" s="9" t="n"/>
    </row>
    <row r="408" ht="14.25" customHeight="1" s="38">
      <c r="A408" s="9" t="n"/>
      <c r="B408" s="9" t="n"/>
      <c r="C408" s="9" t="n"/>
      <c r="D408" s="9" t="n"/>
      <c r="E408" s="9" t="n"/>
      <c r="F408" s="9" t="n"/>
      <c r="G408" s="9">
        <f>IF(OR(E408="",F408=""),"",DATEDIF(E408,F408,"Y"))</f>
        <v/>
      </c>
      <c r="H408" s="9" t="n"/>
    </row>
    <row r="409" ht="14.25" customHeight="1" s="38">
      <c r="A409" s="9" t="n"/>
      <c r="B409" s="9" t="n"/>
      <c r="C409" s="9" t="n"/>
      <c r="D409" s="9" t="n"/>
      <c r="E409" s="9" t="n"/>
      <c r="F409" s="9" t="n"/>
      <c r="G409" s="9">
        <f>IF(OR(E409="",F409=""),"",DATEDIF(E409,F409,"Y"))</f>
        <v/>
      </c>
      <c r="H409" s="9" t="n"/>
    </row>
    <row r="410" ht="14.25" customHeight="1" s="38">
      <c r="A410" s="9" t="n"/>
      <c r="B410" s="9" t="n"/>
      <c r="C410" s="9" t="n"/>
      <c r="D410" s="9" t="n"/>
      <c r="E410" s="9" t="n"/>
      <c r="F410" s="9" t="n"/>
      <c r="G410" s="9">
        <f>IF(OR(E410="",F410=""),"",DATEDIF(E410,F410,"Y"))</f>
        <v/>
      </c>
      <c r="H410" s="9" t="n"/>
    </row>
    <row r="411" ht="14.25" customHeight="1" s="38">
      <c r="A411" s="9" t="n"/>
      <c r="B411" s="9" t="n"/>
      <c r="C411" s="9" t="n"/>
      <c r="D411" s="9" t="n"/>
      <c r="E411" s="9" t="n"/>
      <c r="F411" s="9" t="n"/>
      <c r="G411" s="9">
        <f>IF(OR(E411="",F411=""),"",DATEDIF(E411,F411,"Y"))</f>
        <v/>
      </c>
      <c r="H411" s="9" t="n"/>
    </row>
    <row r="412" ht="14.25" customHeight="1" s="38">
      <c r="A412" s="9" t="n"/>
      <c r="B412" s="9" t="n"/>
      <c r="C412" s="9" t="n"/>
      <c r="D412" s="9" t="n"/>
      <c r="E412" s="9" t="n"/>
      <c r="F412" s="9" t="n"/>
      <c r="G412" s="9">
        <f>IF(OR(E412="",F412=""),"",DATEDIF(E412,F412,"Y"))</f>
        <v/>
      </c>
      <c r="H412" s="9" t="n"/>
    </row>
    <row r="413" ht="14.25" customHeight="1" s="38">
      <c r="A413" s="9" t="n"/>
      <c r="B413" s="9" t="n"/>
      <c r="C413" s="9" t="n"/>
      <c r="D413" s="9" t="n"/>
      <c r="E413" s="9" t="n"/>
      <c r="F413" s="9" t="n"/>
      <c r="G413" s="9">
        <f>IF(OR(E413="",F413=""),"",DATEDIF(E413,F413,"Y"))</f>
        <v/>
      </c>
      <c r="H413" s="9" t="n"/>
    </row>
    <row r="414" ht="14.25" customHeight="1" s="38">
      <c r="A414" s="9" t="n"/>
      <c r="B414" s="9" t="n"/>
      <c r="C414" s="9" t="n"/>
      <c r="D414" s="9" t="n"/>
      <c r="E414" s="9" t="n"/>
      <c r="F414" s="9" t="n"/>
      <c r="G414" s="9">
        <f>IF(OR(E414="",F414=""),"",DATEDIF(E414,F414,"Y"))</f>
        <v/>
      </c>
      <c r="H414" s="9" t="n"/>
    </row>
    <row r="415" ht="14.25" customHeight="1" s="38">
      <c r="A415" s="9" t="n"/>
      <c r="B415" s="9" t="n"/>
      <c r="C415" s="9" t="n"/>
      <c r="D415" s="9" t="n"/>
      <c r="E415" s="9" t="n"/>
      <c r="F415" s="9" t="n"/>
      <c r="G415" s="9">
        <f>IF(OR(E415="",F415=""),"",DATEDIF(E415,F415,"Y"))</f>
        <v/>
      </c>
      <c r="H415" s="9" t="n"/>
    </row>
    <row r="416" ht="14.25" customHeight="1" s="38">
      <c r="A416" s="9" t="n"/>
      <c r="B416" s="9" t="n"/>
      <c r="C416" s="9" t="n"/>
      <c r="D416" s="9" t="n"/>
      <c r="E416" s="9" t="n"/>
      <c r="F416" s="9" t="n"/>
      <c r="G416" s="9">
        <f>IF(OR(E416="",F416=""),"",DATEDIF(E416,F416,"Y"))</f>
        <v/>
      </c>
      <c r="H416" s="9" t="n"/>
    </row>
    <row r="417" ht="14.25" customHeight="1" s="38">
      <c r="A417" s="9" t="n"/>
      <c r="B417" s="9" t="n"/>
      <c r="C417" s="9" t="n"/>
      <c r="D417" s="9" t="n"/>
      <c r="E417" s="9" t="n"/>
      <c r="F417" s="9" t="n"/>
      <c r="G417" s="9">
        <f>IF(OR(E417="",F417=""),"",DATEDIF(E417,F417,"Y"))</f>
        <v/>
      </c>
      <c r="H417" s="9" t="n"/>
    </row>
    <row r="418" ht="14.25" customHeight="1" s="38">
      <c r="A418" s="9" t="n"/>
      <c r="B418" s="9" t="n"/>
      <c r="C418" s="9" t="n"/>
      <c r="D418" s="9" t="n"/>
      <c r="E418" s="9" t="n"/>
      <c r="F418" s="9" t="n"/>
      <c r="G418" s="9">
        <f>IF(OR(E418="",F418=""),"",DATEDIF(E418,F418,"Y"))</f>
        <v/>
      </c>
      <c r="H418" s="9" t="n"/>
    </row>
    <row r="419" ht="14.25" customHeight="1" s="38">
      <c r="A419" s="9" t="n"/>
      <c r="B419" s="9" t="n"/>
      <c r="C419" s="9" t="n"/>
      <c r="D419" s="9" t="n"/>
      <c r="E419" s="9" t="n"/>
      <c r="F419" s="9" t="n"/>
      <c r="G419" s="9">
        <f>IF(OR(E419="",F419=""),"",DATEDIF(E419,F419,"Y"))</f>
        <v/>
      </c>
      <c r="H419" s="9" t="n"/>
    </row>
    <row r="420" ht="14.25" customHeight="1" s="38">
      <c r="A420" s="9" t="n"/>
      <c r="B420" s="9" t="n"/>
      <c r="C420" s="9" t="n"/>
      <c r="D420" s="9" t="n"/>
      <c r="E420" s="9" t="n"/>
      <c r="F420" s="9" t="n"/>
      <c r="G420" s="9">
        <f>IF(OR(E420="",F420=""),"",DATEDIF(E420,F420,"Y"))</f>
        <v/>
      </c>
      <c r="H420" s="9" t="n"/>
    </row>
    <row r="421" ht="14.25" customHeight="1" s="38">
      <c r="A421" s="9" t="n"/>
      <c r="B421" s="9" t="n"/>
      <c r="C421" s="9" t="n"/>
      <c r="D421" s="9" t="n"/>
      <c r="E421" s="9" t="n"/>
      <c r="F421" s="9" t="n"/>
      <c r="G421" s="9">
        <f>IF(OR(E421="",F421=""),"",DATEDIF(E421,F421,"Y"))</f>
        <v/>
      </c>
      <c r="H421" s="9" t="n"/>
    </row>
    <row r="422" ht="14.25" customHeight="1" s="38">
      <c r="A422" s="9" t="n"/>
      <c r="B422" s="9" t="n"/>
      <c r="C422" s="9" t="n"/>
      <c r="D422" s="9" t="n"/>
      <c r="E422" s="9" t="n"/>
      <c r="F422" s="9" t="n"/>
      <c r="G422" s="9">
        <f>IF(OR(E422="",F422=""),"",DATEDIF(E422,F422,"Y"))</f>
        <v/>
      </c>
      <c r="H422" s="9" t="n"/>
    </row>
    <row r="423" ht="14.25" customHeight="1" s="38">
      <c r="A423" s="9" t="n"/>
      <c r="B423" s="9" t="n"/>
      <c r="C423" s="9" t="n"/>
      <c r="D423" s="9" t="n"/>
      <c r="E423" s="9" t="n"/>
      <c r="F423" s="9" t="n"/>
      <c r="G423" s="9">
        <f>IF(OR(E423="",F423=""),"",DATEDIF(E423,F423,"Y"))</f>
        <v/>
      </c>
      <c r="H423" s="9" t="n"/>
    </row>
    <row r="424" ht="14.25" customHeight="1" s="38">
      <c r="A424" s="9" t="n"/>
      <c r="B424" s="9" t="n"/>
      <c r="C424" s="9" t="n"/>
      <c r="D424" s="9" t="n"/>
      <c r="E424" s="9" t="n"/>
      <c r="F424" s="9" t="n"/>
      <c r="G424" s="9">
        <f>IF(OR(E424="",F424=""),"",DATEDIF(E424,F424,"Y"))</f>
        <v/>
      </c>
      <c r="H424" s="9" t="n"/>
    </row>
    <row r="425" ht="14.25" customHeight="1" s="38">
      <c r="A425" s="9" t="n"/>
      <c r="B425" s="9" t="n"/>
      <c r="C425" s="9" t="n"/>
      <c r="D425" s="9" t="n"/>
      <c r="E425" s="9" t="n"/>
      <c r="F425" s="9" t="n"/>
      <c r="G425" s="9">
        <f>IF(OR(E425="",F425=""),"",DATEDIF(E425,F425,"Y"))</f>
        <v/>
      </c>
      <c r="H425" s="9" t="n"/>
    </row>
    <row r="426" ht="14.25" customHeight="1" s="38">
      <c r="A426" s="9" t="n"/>
      <c r="B426" s="9" t="n"/>
      <c r="C426" s="9" t="n"/>
      <c r="D426" s="9" t="n"/>
      <c r="E426" s="9" t="n"/>
      <c r="F426" s="9" t="n"/>
      <c r="G426" s="9">
        <f>IF(OR(E426="",F426=""),"",DATEDIF(E426,F426,"Y"))</f>
        <v/>
      </c>
      <c r="H426" s="9" t="n"/>
    </row>
    <row r="427" ht="14.25" customHeight="1" s="38">
      <c r="A427" s="9" t="n"/>
      <c r="B427" s="9" t="n"/>
      <c r="C427" s="9" t="n"/>
      <c r="D427" s="9" t="n"/>
      <c r="E427" s="9" t="n"/>
      <c r="F427" s="9" t="n"/>
      <c r="G427" s="9">
        <f>IF(OR(E427="",F427=""),"",DATEDIF(E427,F427,"Y"))</f>
        <v/>
      </c>
      <c r="H427" s="9" t="n"/>
    </row>
    <row r="428" ht="14.25" customHeight="1" s="38">
      <c r="A428" s="9" t="n"/>
      <c r="B428" s="9" t="n"/>
      <c r="C428" s="9" t="n"/>
      <c r="D428" s="9" t="n"/>
      <c r="E428" s="9" t="n"/>
      <c r="F428" s="9" t="n"/>
      <c r="G428" s="9">
        <f>IF(OR(E428="",F428=""),"",DATEDIF(E428,F428,"Y"))</f>
        <v/>
      </c>
      <c r="H428" s="9" t="n"/>
    </row>
    <row r="429" ht="14.25" customHeight="1" s="38">
      <c r="A429" s="9" t="n"/>
      <c r="B429" s="9" t="n"/>
      <c r="C429" s="9" t="n"/>
      <c r="D429" s="9" t="n"/>
      <c r="E429" s="9" t="n"/>
      <c r="F429" s="9" t="n"/>
      <c r="G429" s="9">
        <f>IF(OR(E429="",F429=""),"",DATEDIF(E429,F429,"Y"))</f>
        <v/>
      </c>
      <c r="H429" s="9" t="n"/>
    </row>
    <row r="430" ht="14.25" customHeight="1" s="38">
      <c r="A430" s="9" t="n"/>
      <c r="B430" s="9" t="n"/>
      <c r="C430" s="9" t="n"/>
      <c r="D430" s="9" t="n"/>
      <c r="E430" s="9" t="n"/>
      <c r="F430" s="9" t="n"/>
      <c r="G430" s="9">
        <f>IF(OR(E430="",F430=""),"",DATEDIF(E430,F430,"Y"))</f>
        <v/>
      </c>
      <c r="H430" s="9" t="n"/>
    </row>
    <row r="431" ht="14.25" customHeight="1" s="38">
      <c r="A431" s="9" t="n"/>
      <c r="B431" s="9" t="n"/>
      <c r="C431" s="9" t="n"/>
      <c r="D431" s="9" t="n"/>
      <c r="E431" s="9" t="n"/>
      <c r="F431" s="9" t="n"/>
      <c r="G431" s="9">
        <f>IF(OR(E431="",F431=""),"",DATEDIF(E431,F431,"Y"))</f>
        <v/>
      </c>
      <c r="H431" s="9" t="n"/>
    </row>
    <row r="432" ht="14.25" customHeight="1" s="38">
      <c r="A432" s="9" t="n"/>
      <c r="B432" s="9" t="n"/>
      <c r="C432" s="9" t="n"/>
      <c r="D432" s="9" t="n"/>
      <c r="E432" s="9" t="n"/>
      <c r="F432" s="9" t="n"/>
      <c r="G432" s="9">
        <f>IF(OR(E432="",F432=""),"",DATEDIF(E432,F432,"Y"))</f>
        <v/>
      </c>
      <c r="H432" s="9" t="n"/>
    </row>
    <row r="433" ht="14.25" customHeight="1" s="38">
      <c r="A433" s="9" t="n"/>
      <c r="B433" s="9" t="n"/>
      <c r="C433" s="9" t="n"/>
      <c r="D433" s="9" t="n"/>
      <c r="E433" s="9" t="n"/>
      <c r="F433" s="9" t="n"/>
      <c r="G433" s="9">
        <f>IF(OR(E433="",F433=""),"",DATEDIF(E433,F433,"Y"))</f>
        <v/>
      </c>
      <c r="H433" s="9" t="n"/>
    </row>
    <row r="434" ht="14.25" customHeight="1" s="38">
      <c r="A434" s="9" t="n"/>
      <c r="B434" s="9" t="n"/>
      <c r="C434" s="9" t="n"/>
      <c r="D434" s="9" t="n"/>
      <c r="E434" s="9" t="n"/>
      <c r="F434" s="9" t="n"/>
      <c r="G434" s="9">
        <f>IF(OR(E434="",F434=""),"",DATEDIF(E434,F434,"Y"))</f>
        <v/>
      </c>
      <c r="H434" s="9" t="n"/>
    </row>
    <row r="435" ht="14.25" customHeight="1" s="38">
      <c r="A435" s="9" t="n"/>
      <c r="B435" s="9" t="n"/>
      <c r="C435" s="9" t="n"/>
      <c r="D435" s="9" t="n"/>
      <c r="E435" s="9" t="n"/>
      <c r="F435" s="9" t="n"/>
      <c r="G435" s="9">
        <f>IF(OR(E435="",F435=""),"",DATEDIF(E435,F435,"Y"))</f>
        <v/>
      </c>
      <c r="H435" s="9" t="n"/>
    </row>
    <row r="436" ht="14.25" customHeight="1" s="38">
      <c r="A436" s="9" t="n"/>
      <c r="B436" s="9" t="n"/>
      <c r="C436" s="9" t="n"/>
      <c r="D436" s="9" t="n"/>
      <c r="E436" s="9" t="n"/>
      <c r="F436" s="9" t="n"/>
      <c r="G436" s="9">
        <f>IF(OR(E436="",F436=""),"",DATEDIF(E436,F436,"Y"))</f>
        <v/>
      </c>
      <c r="H436" s="9" t="n"/>
    </row>
    <row r="437" ht="14.25" customHeight="1" s="38">
      <c r="A437" s="9" t="n"/>
      <c r="B437" s="9" t="n"/>
      <c r="C437" s="9" t="n"/>
      <c r="D437" s="9" t="n"/>
      <c r="E437" s="9" t="n"/>
      <c r="F437" s="9" t="n"/>
      <c r="G437" s="9">
        <f>IF(OR(E437="",F437=""),"",DATEDIF(E437,F437,"Y"))</f>
        <v/>
      </c>
      <c r="H437" s="9" t="n"/>
    </row>
    <row r="438" ht="14.25" customHeight="1" s="38">
      <c r="A438" s="9" t="n"/>
      <c r="B438" s="9" t="n"/>
      <c r="C438" s="9" t="n"/>
      <c r="D438" s="9" t="n"/>
      <c r="E438" s="9" t="n"/>
      <c r="F438" s="9" t="n"/>
      <c r="G438" s="9">
        <f>IF(OR(E438="",F438=""),"",DATEDIF(E438,F438,"Y"))</f>
        <v/>
      </c>
      <c r="H438" s="9" t="n"/>
    </row>
    <row r="439" ht="14.25" customHeight="1" s="38">
      <c r="A439" s="9" t="n"/>
      <c r="B439" s="9" t="n"/>
      <c r="C439" s="9" t="n"/>
      <c r="D439" s="9" t="n"/>
      <c r="E439" s="9" t="n"/>
      <c r="F439" s="9" t="n"/>
      <c r="G439" s="9">
        <f>IF(OR(E439="",F439=""),"",DATEDIF(E439,F439,"Y"))</f>
        <v/>
      </c>
      <c r="H439" s="9" t="n"/>
    </row>
    <row r="440" ht="14.25" customHeight="1" s="38">
      <c r="A440" s="9" t="n"/>
      <c r="B440" s="9" t="n"/>
      <c r="C440" s="9" t="n"/>
      <c r="D440" s="9" t="n"/>
      <c r="E440" s="9" t="n"/>
      <c r="F440" s="9" t="n"/>
      <c r="G440" s="9">
        <f>IF(OR(E440="",F440=""),"",DATEDIF(E440,F440,"Y"))</f>
        <v/>
      </c>
      <c r="H440" s="9" t="n"/>
    </row>
    <row r="441" ht="14.25" customHeight="1" s="38">
      <c r="A441" s="9" t="n"/>
      <c r="B441" s="9" t="n"/>
      <c r="C441" s="9" t="n"/>
      <c r="D441" s="9" t="n"/>
      <c r="E441" s="9" t="n"/>
      <c r="F441" s="9" t="n"/>
      <c r="G441" s="9">
        <f>IF(OR(E441="",F441=""),"",DATEDIF(E441,F441,"Y"))</f>
        <v/>
      </c>
      <c r="H441" s="9" t="n"/>
    </row>
    <row r="442" ht="14.25" customHeight="1" s="38">
      <c r="A442" s="9" t="n"/>
      <c r="B442" s="9" t="n"/>
      <c r="C442" s="9" t="n"/>
      <c r="D442" s="9" t="n"/>
      <c r="E442" s="9" t="n"/>
      <c r="F442" s="9" t="n"/>
      <c r="G442" s="9">
        <f>IF(OR(E442="",F442=""),"",DATEDIF(E442,F442,"Y"))</f>
        <v/>
      </c>
      <c r="H442" s="9" t="n"/>
    </row>
    <row r="443" ht="14.25" customHeight="1" s="38">
      <c r="A443" s="9" t="n"/>
      <c r="B443" s="9" t="n"/>
      <c r="C443" s="9" t="n"/>
      <c r="D443" s="9" t="n"/>
      <c r="E443" s="9" t="n"/>
      <c r="F443" s="9" t="n"/>
      <c r="G443" s="9">
        <f>IF(OR(E443="",F443=""),"",DATEDIF(E443,F443,"Y"))</f>
        <v/>
      </c>
      <c r="H443" s="9" t="n"/>
    </row>
    <row r="444" ht="14.25" customHeight="1" s="38">
      <c r="A444" s="9" t="n"/>
      <c r="B444" s="9" t="n"/>
      <c r="C444" s="9" t="n"/>
      <c r="D444" s="9" t="n"/>
      <c r="E444" s="9" t="n"/>
      <c r="F444" s="9" t="n"/>
      <c r="G444" s="9">
        <f>IF(OR(E444="",F444=""),"",DATEDIF(E444,F444,"Y"))</f>
        <v/>
      </c>
      <c r="H444" s="9" t="n"/>
    </row>
    <row r="445" ht="14.25" customHeight="1" s="38">
      <c r="A445" s="9" t="n"/>
      <c r="B445" s="9" t="n"/>
      <c r="C445" s="9" t="n"/>
      <c r="D445" s="9" t="n"/>
      <c r="E445" s="9" t="n"/>
      <c r="F445" s="9" t="n"/>
      <c r="G445" s="9">
        <f>IF(OR(E445="",F445=""),"",DATEDIF(E445,F445,"Y"))</f>
        <v/>
      </c>
      <c r="H445" s="9" t="n"/>
    </row>
    <row r="446" ht="14.25" customHeight="1" s="38">
      <c r="A446" s="9" t="n"/>
      <c r="B446" s="9" t="n"/>
      <c r="C446" s="9" t="n"/>
      <c r="D446" s="9" t="n"/>
      <c r="E446" s="9" t="n"/>
      <c r="F446" s="9" t="n"/>
      <c r="G446" s="9">
        <f>IF(OR(E446="",F446=""),"",DATEDIF(E446,F446,"Y"))</f>
        <v/>
      </c>
      <c r="H446" s="9" t="n"/>
    </row>
    <row r="447" ht="14.25" customHeight="1" s="38">
      <c r="A447" s="9" t="n"/>
      <c r="B447" s="9" t="n"/>
      <c r="C447" s="9" t="n"/>
      <c r="D447" s="9" t="n"/>
      <c r="E447" s="9" t="n"/>
      <c r="F447" s="9" t="n"/>
      <c r="G447" s="9">
        <f>IF(OR(E447="",F447=""),"",DATEDIF(E447,F447,"Y"))</f>
        <v/>
      </c>
      <c r="H447" s="9" t="n"/>
    </row>
    <row r="448" ht="14.25" customHeight="1" s="38">
      <c r="A448" s="9" t="n"/>
      <c r="B448" s="9" t="n"/>
      <c r="C448" s="9" t="n"/>
      <c r="D448" s="9" t="n"/>
      <c r="E448" s="9" t="n"/>
      <c r="F448" s="9" t="n"/>
      <c r="G448" s="9">
        <f>IF(OR(E448="",F448=""),"",DATEDIF(E448,F448,"Y"))</f>
        <v/>
      </c>
      <c r="H448" s="9" t="n"/>
    </row>
    <row r="449" ht="14.25" customHeight="1" s="38">
      <c r="A449" s="9" t="n"/>
      <c r="B449" s="9" t="n"/>
      <c r="C449" s="9" t="n"/>
      <c r="D449" s="9" t="n"/>
      <c r="E449" s="9" t="n"/>
      <c r="F449" s="9" t="n"/>
      <c r="G449" s="9">
        <f>IF(OR(E449="",F449=""),"",DATEDIF(E449,F449,"Y"))</f>
        <v/>
      </c>
      <c r="H449" s="9" t="n"/>
    </row>
    <row r="450" ht="14.25" customHeight="1" s="38">
      <c r="A450" s="9" t="n"/>
      <c r="B450" s="9" t="n"/>
      <c r="C450" s="9" t="n"/>
      <c r="D450" s="9" t="n"/>
      <c r="E450" s="9" t="n"/>
      <c r="F450" s="9" t="n"/>
      <c r="G450" s="9">
        <f>IF(OR(E450="",F450=""),"",DATEDIF(E450,F450,"Y"))</f>
        <v/>
      </c>
      <c r="H450" s="9" t="n"/>
    </row>
    <row r="451" ht="14.25" customHeight="1" s="38">
      <c r="A451" s="9" t="n"/>
      <c r="B451" s="9" t="n"/>
      <c r="C451" s="9" t="n"/>
      <c r="D451" s="9" t="n"/>
      <c r="E451" s="9" t="n"/>
      <c r="F451" s="9" t="n"/>
      <c r="G451" s="9">
        <f>IF(OR(E451="",F451=""),"",DATEDIF(E451,F451,"Y"))</f>
        <v/>
      </c>
      <c r="H451" s="9" t="n"/>
    </row>
    <row r="452" ht="14.25" customHeight="1" s="38">
      <c r="A452" s="9" t="n"/>
      <c r="B452" s="9" t="n"/>
      <c r="C452" s="9" t="n"/>
      <c r="D452" s="9" t="n"/>
      <c r="E452" s="9" t="n"/>
      <c r="F452" s="9" t="n"/>
      <c r="G452" s="9">
        <f>IF(OR(E452="",F452=""),"",DATEDIF(E452,F452,"Y"))</f>
        <v/>
      </c>
      <c r="H452" s="9" t="n"/>
    </row>
    <row r="453" ht="14.25" customHeight="1" s="38">
      <c r="A453" s="9" t="n"/>
      <c r="B453" s="9" t="n"/>
      <c r="C453" s="9" t="n"/>
      <c r="D453" s="9" t="n"/>
      <c r="E453" s="9" t="n"/>
      <c r="F453" s="9" t="n"/>
      <c r="G453" s="9">
        <f>IF(OR(E453="",F453=""),"",DATEDIF(E453,F453,"Y"))</f>
        <v/>
      </c>
      <c r="H453" s="9" t="n"/>
    </row>
    <row r="454" ht="14.25" customHeight="1" s="38">
      <c r="A454" s="9" t="n"/>
      <c r="B454" s="9" t="n"/>
      <c r="C454" s="9" t="n"/>
      <c r="D454" s="9" t="n"/>
      <c r="E454" s="9" t="n"/>
      <c r="F454" s="9" t="n"/>
      <c r="G454" s="9">
        <f>IF(OR(E454="",F454=""),"",DATEDIF(E454,F454,"Y"))</f>
        <v/>
      </c>
      <c r="H454" s="9" t="n"/>
    </row>
    <row r="455" ht="14.25" customHeight="1" s="38">
      <c r="A455" s="9" t="n"/>
      <c r="B455" s="9" t="n"/>
      <c r="C455" s="9" t="n"/>
      <c r="D455" s="9" t="n"/>
      <c r="E455" s="9" t="n"/>
      <c r="F455" s="9" t="n"/>
      <c r="G455" s="9">
        <f>IF(OR(E455="",F455=""),"",DATEDIF(E455,F455,"Y"))</f>
        <v/>
      </c>
      <c r="H455" s="9" t="n"/>
    </row>
    <row r="456" ht="14.25" customHeight="1" s="38">
      <c r="A456" s="9" t="n"/>
      <c r="B456" s="9" t="n"/>
      <c r="C456" s="9" t="n"/>
      <c r="D456" s="9" t="n"/>
      <c r="E456" s="9" t="n"/>
      <c r="F456" s="9" t="n"/>
      <c r="G456" s="9">
        <f>IF(OR(E456="",F456=""),"",DATEDIF(E456,F456,"Y"))</f>
        <v/>
      </c>
      <c r="H456" s="9" t="n"/>
    </row>
    <row r="457" ht="14.25" customHeight="1" s="38">
      <c r="A457" s="9" t="n"/>
      <c r="B457" s="9" t="n"/>
      <c r="C457" s="9" t="n"/>
      <c r="D457" s="9" t="n"/>
      <c r="E457" s="9" t="n"/>
      <c r="F457" s="9" t="n"/>
      <c r="G457" s="9">
        <f>IF(OR(E457="",F457=""),"",DATEDIF(E457,F457,"Y"))</f>
        <v/>
      </c>
      <c r="H457" s="9" t="n"/>
    </row>
    <row r="458" ht="14.25" customHeight="1" s="38">
      <c r="A458" s="9" t="n"/>
      <c r="B458" s="9" t="n"/>
      <c r="C458" s="9" t="n"/>
      <c r="D458" s="9" t="n"/>
      <c r="E458" s="9" t="n"/>
      <c r="F458" s="9" t="n"/>
      <c r="G458" s="9">
        <f>IF(OR(E458="",F458=""),"",DATEDIF(E458,F458,"Y"))</f>
        <v/>
      </c>
      <c r="H458" s="9" t="n"/>
    </row>
    <row r="459" ht="14.25" customHeight="1" s="38">
      <c r="A459" s="9" t="n"/>
      <c r="B459" s="9" t="n"/>
      <c r="C459" s="9" t="n"/>
      <c r="D459" s="9" t="n"/>
      <c r="E459" s="9" t="n"/>
      <c r="F459" s="9" t="n"/>
      <c r="G459" s="9">
        <f>IF(OR(E459="",F459=""),"",DATEDIF(E459,F459,"Y"))</f>
        <v/>
      </c>
      <c r="H459" s="9" t="n"/>
    </row>
    <row r="460" ht="14.25" customHeight="1" s="38">
      <c r="A460" s="9" t="n"/>
      <c r="B460" s="9" t="n"/>
      <c r="C460" s="9" t="n"/>
      <c r="D460" s="9" t="n"/>
      <c r="E460" s="9" t="n"/>
      <c r="F460" s="9" t="n"/>
      <c r="G460" s="9">
        <f>IF(OR(E460="",F460=""),"",DATEDIF(E460,F460,"Y"))</f>
        <v/>
      </c>
      <c r="H460" s="9" t="n"/>
    </row>
    <row r="461" ht="14.25" customHeight="1" s="38">
      <c r="A461" s="9" t="n"/>
      <c r="B461" s="9" t="n"/>
      <c r="C461" s="9" t="n"/>
      <c r="D461" s="9" t="n"/>
      <c r="E461" s="9" t="n"/>
      <c r="F461" s="9" t="n"/>
      <c r="G461" s="9">
        <f>IF(OR(E461="",F461=""),"",DATEDIF(E461,F461,"Y"))</f>
        <v/>
      </c>
      <c r="H461" s="9" t="n"/>
    </row>
    <row r="462" ht="14.25" customHeight="1" s="38">
      <c r="A462" s="9" t="n"/>
      <c r="B462" s="9" t="n"/>
      <c r="C462" s="9" t="n"/>
      <c r="D462" s="9" t="n"/>
      <c r="E462" s="9" t="n"/>
      <c r="F462" s="9" t="n"/>
      <c r="G462" s="9">
        <f>IF(OR(E462="",F462=""),"",DATEDIF(E462,F462,"Y"))</f>
        <v/>
      </c>
      <c r="H462" s="9" t="n"/>
    </row>
    <row r="463" ht="14.25" customHeight="1" s="38">
      <c r="A463" s="9" t="n"/>
      <c r="B463" s="9" t="n"/>
      <c r="C463" s="9" t="n"/>
      <c r="D463" s="9" t="n"/>
      <c r="E463" s="9" t="n"/>
      <c r="F463" s="9" t="n"/>
      <c r="G463" s="9">
        <f>IF(OR(E463="",F463=""),"",DATEDIF(E463,F463,"Y"))</f>
        <v/>
      </c>
      <c r="H463" s="9" t="n"/>
    </row>
    <row r="464" ht="14.25" customHeight="1" s="38">
      <c r="A464" s="9" t="n"/>
      <c r="B464" s="9" t="n"/>
      <c r="C464" s="9" t="n"/>
      <c r="D464" s="9" t="n"/>
      <c r="E464" s="9" t="n"/>
      <c r="F464" s="9" t="n"/>
      <c r="G464" s="9">
        <f>IF(OR(E464="",F464=""),"",DATEDIF(E464,F464,"Y"))</f>
        <v/>
      </c>
      <c r="H464" s="9" t="n"/>
    </row>
    <row r="465" ht="14.25" customHeight="1" s="38">
      <c r="A465" s="9" t="n"/>
      <c r="B465" s="9" t="n"/>
      <c r="C465" s="9" t="n"/>
      <c r="D465" s="9" t="n"/>
      <c r="E465" s="9" t="n"/>
      <c r="F465" s="9" t="n"/>
      <c r="G465" s="9">
        <f>IF(OR(E465="",F465=""),"",DATEDIF(E465,F465,"Y"))</f>
        <v/>
      </c>
      <c r="H465" s="9" t="n"/>
    </row>
    <row r="466" ht="14.25" customHeight="1" s="38">
      <c r="A466" s="9" t="n"/>
      <c r="B466" s="9" t="n"/>
      <c r="C466" s="9" t="n"/>
      <c r="D466" s="9" t="n"/>
      <c r="E466" s="9" t="n"/>
      <c r="F466" s="9" t="n"/>
      <c r="G466" s="9">
        <f>IF(OR(E466="",F466=""),"",DATEDIF(E466,F466,"Y"))</f>
        <v/>
      </c>
      <c r="H466" s="9" t="n"/>
    </row>
    <row r="467" ht="14.25" customHeight="1" s="38">
      <c r="A467" s="9" t="n"/>
      <c r="B467" s="9" t="n"/>
      <c r="C467" s="9" t="n"/>
      <c r="D467" s="9" t="n"/>
      <c r="E467" s="9" t="n"/>
      <c r="F467" s="9" t="n"/>
      <c r="G467" s="9">
        <f>IF(OR(E467="",F467=""),"",DATEDIF(E467,F467,"Y"))</f>
        <v/>
      </c>
      <c r="H467" s="9" t="n"/>
    </row>
    <row r="468" ht="14.25" customHeight="1" s="38">
      <c r="A468" s="9" t="n"/>
      <c r="B468" s="9" t="n"/>
      <c r="C468" s="9" t="n"/>
      <c r="D468" s="9" t="n"/>
      <c r="E468" s="9" t="n"/>
      <c r="F468" s="9" t="n"/>
      <c r="G468" s="9">
        <f>IF(OR(E468="",F468=""),"",DATEDIF(E468,F468,"Y"))</f>
        <v/>
      </c>
      <c r="H468" s="9" t="n"/>
    </row>
    <row r="469" ht="14.25" customHeight="1" s="38">
      <c r="A469" s="9" t="n"/>
      <c r="B469" s="9" t="n"/>
      <c r="C469" s="9" t="n"/>
      <c r="D469" s="9" t="n"/>
      <c r="E469" s="9" t="n"/>
      <c r="F469" s="9" t="n"/>
      <c r="G469" s="9">
        <f>IF(OR(E469="",F469=""),"",DATEDIF(E469,F469,"Y"))</f>
        <v/>
      </c>
      <c r="H469" s="9" t="n"/>
    </row>
    <row r="470" ht="14.25" customHeight="1" s="38">
      <c r="A470" s="9" t="n"/>
      <c r="B470" s="9" t="n"/>
      <c r="C470" s="9" t="n"/>
      <c r="D470" s="9" t="n"/>
      <c r="E470" s="9" t="n"/>
      <c r="F470" s="9" t="n"/>
      <c r="G470" s="9">
        <f>IF(OR(E470="",F470=""),"",DATEDIF(E470,F470,"Y"))</f>
        <v/>
      </c>
      <c r="H470" s="9" t="n"/>
    </row>
    <row r="471" ht="14.25" customHeight="1" s="38">
      <c r="A471" s="9" t="n"/>
      <c r="B471" s="9" t="n"/>
      <c r="C471" s="9" t="n"/>
      <c r="D471" s="9" t="n"/>
      <c r="E471" s="9" t="n"/>
      <c r="F471" s="9" t="n"/>
      <c r="G471" s="9">
        <f>IF(OR(E471="",F471=""),"",DATEDIF(E471,F471,"Y"))</f>
        <v/>
      </c>
      <c r="H471" s="9" t="n"/>
    </row>
    <row r="472" ht="14.25" customHeight="1" s="38">
      <c r="A472" s="9" t="n"/>
      <c r="B472" s="9" t="n"/>
      <c r="C472" s="9" t="n"/>
      <c r="D472" s="9" t="n"/>
      <c r="E472" s="9" t="n"/>
      <c r="F472" s="9" t="n"/>
      <c r="G472" s="9">
        <f>IF(OR(E472="",F472=""),"",DATEDIF(E472,F472,"Y"))</f>
        <v/>
      </c>
      <c r="H472" s="9" t="n"/>
    </row>
    <row r="473" ht="14.25" customHeight="1" s="38">
      <c r="A473" s="9" t="n"/>
      <c r="B473" s="9" t="n"/>
      <c r="C473" s="9" t="n"/>
      <c r="D473" s="9" t="n"/>
      <c r="E473" s="9" t="n"/>
      <c r="F473" s="9" t="n"/>
      <c r="G473" s="9">
        <f>IF(OR(E473="",F473=""),"",DATEDIF(E473,F473,"Y"))</f>
        <v/>
      </c>
      <c r="H473" s="9" t="n"/>
    </row>
    <row r="474" ht="14.25" customHeight="1" s="38">
      <c r="A474" s="9" t="n"/>
      <c r="B474" s="9" t="n"/>
      <c r="C474" s="9" t="n"/>
      <c r="D474" s="9" t="n"/>
      <c r="E474" s="9" t="n"/>
      <c r="F474" s="9" t="n"/>
      <c r="G474" s="9">
        <f>IF(OR(E474="",F474=""),"",DATEDIF(E474,F474,"Y"))</f>
        <v/>
      </c>
      <c r="H474" s="9" t="n"/>
    </row>
    <row r="475" ht="14.25" customHeight="1" s="38">
      <c r="A475" s="9" t="n"/>
      <c r="B475" s="9" t="n"/>
      <c r="C475" s="9" t="n"/>
      <c r="D475" s="9" t="n"/>
      <c r="E475" s="9" t="n"/>
      <c r="F475" s="9" t="n"/>
      <c r="G475" s="9">
        <f>IF(OR(E475="",F475=""),"",DATEDIF(E475,F475,"Y"))</f>
        <v/>
      </c>
      <c r="H475" s="9" t="n"/>
    </row>
    <row r="476" ht="14.25" customHeight="1" s="38">
      <c r="A476" s="9" t="n"/>
      <c r="B476" s="9" t="n"/>
      <c r="C476" s="9" t="n"/>
      <c r="D476" s="9" t="n"/>
      <c r="E476" s="9" t="n"/>
      <c r="F476" s="9" t="n"/>
      <c r="G476" s="9">
        <f>IF(OR(E476="",F476=""),"",DATEDIF(E476,F476,"Y"))</f>
        <v/>
      </c>
      <c r="H476" s="9" t="n"/>
    </row>
    <row r="477" ht="14.25" customHeight="1" s="38">
      <c r="A477" s="9" t="n"/>
      <c r="B477" s="9" t="n"/>
      <c r="C477" s="9" t="n"/>
      <c r="D477" s="9" t="n"/>
      <c r="E477" s="9" t="n"/>
      <c r="F477" s="9" t="n"/>
      <c r="G477" s="9">
        <f>IF(OR(E477="",F477=""),"",DATEDIF(E477,F477,"Y"))</f>
        <v/>
      </c>
      <c r="H477" s="9" t="n"/>
    </row>
    <row r="478" ht="14.25" customHeight="1" s="38">
      <c r="A478" s="9" t="n"/>
      <c r="B478" s="9" t="n"/>
      <c r="C478" s="9" t="n"/>
      <c r="D478" s="9" t="n"/>
      <c r="E478" s="9" t="n"/>
      <c r="F478" s="9" t="n"/>
      <c r="G478" s="9">
        <f>IF(OR(E478="",F478=""),"",DATEDIF(E478,F478,"Y"))</f>
        <v/>
      </c>
      <c r="H478" s="9" t="n"/>
    </row>
    <row r="479" ht="14.25" customHeight="1" s="38">
      <c r="A479" s="9" t="n"/>
      <c r="B479" s="9" t="n"/>
      <c r="C479" s="9" t="n"/>
      <c r="D479" s="9" t="n"/>
      <c r="E479" s="9" t="n"/>
      <c r="F479" s="9" t="n"/>
      <c r="G479" s="9">
        <f>IF(OR(E479="",F479=""),"",DATEDIF(E479,F479,"Y"))</f>
        <v/>
      </c>
      <c r="H479" s="9" t="n"/>
    </row>
    <row r="480" ht="14.25" customHeight="1" s="38">
      <c r="A480" s="9" t="n"/>
      <c r="B480" s="9" t="n"/>
      <c r="C480" s="9" t="n"/>
      <c r="D480" s="9" t="n"/>
      <c r="E480" s="9" t="n"/>
      <c r="F480" s="9" t="n"/>
      <c r="G480" s="9">
        <f>IF(OR(E480="",F480=""),"",DATEDIF(E480,F480,"Y"))</f>
        <v/>
      </c>
      <c r="H480" s="9" t="n"/>
    </row>
    <row r="481" ht="14.25" customHeight="1" s="38">
      <c r="A481" s="9" t="n"/>
      <c r="B481" s="9" t="n"/>
      <c r="C481" s="9" t="n"/>
      <c r="D481" s="9" t="n"/>
      <c r="E481" s="9" t="n"/>
      <c r="F481" s="9" t="n"/>
      <c r="G481" s="9">
        <f>IF(OR(E481="",F481=""),"",DATEDIF(E481,F481,"Y"))</f>
        <v/>
      </c>
      <c r="H481" s="9" t="n"/>
    </row>
    <row r="482" ht="14.25" customHeight="1" s="38">
      <c r="A482" s="9" t="n"/>
      <c r="B482" s="9" t="n"/>
      <c r="C482" s="9" t="n"/>
      <c r="D482" s="9" t="n"/>
      <c r="E482" s="9" t="n"/>
      <c r="F482" s="9" t="n"/>
      <c r="G482" s="9">
        <f>IF(OR(E482="",F482=""),"",DATEDIF(E482,F482,"Y"))</f>
        <v/>
      </c>
      <c r="H482" s="9" t="n"/>
    </row>
    <row r="483" ht="14.25" customHeight="1" s="38">
      <c r="A483" s="9" t="n"/>
      <c r="B483" s="9" t="n"/>
      <c r="C483" s="9" t="n"/>
      <c r="D483" s="9" t="n"/>
      <c r="E483" s="9" t="n"/>
      <c r="F483" s="9" t="n"/>
      <c r="G483" s="9">
        <f>IF(OR(E483="",F483=""),"",DATEDIF(E483,F483,"Y"))</f>
        <v/>
      </c>
      <c r="H483" s="9" t="n"/>
    </row>
    <row r="484" ht="14.25" customHeight="1" s="38">
      <c r="A484" s="9" t="n"/>
      <c r="B484" s="9" t="n"/>
      <c r="C484" s="9" t="n"/>
      <c r="D484" s="9" t="n"/>
      <c r="E484" s="9" t="n"/>
      <c r="F484" s="9" t="n"/>
      <c r="G484" s="9">
        <f>IF(OR(E484="",F484=""),"",DATEDIF(E484,F484,"Y"))</f>
        <v/>
      </c>
      <c r="H484" s="9" t="n"/>
    </row>
    <row r="485" ht="14.25" customHeight="1" s="38">
      <c r="A485" s="9" t="n"/>
      <c r="B485" s="9" t="n"/>
      <c r="C485" s="9" t="n"/>
      <c r="D485" s="9" t="n"/>
      <c r="E485" s="9" t="n"/>
      <c r="F485" s="9" t="n"/>
      <c r="G485" s="9">
        <f>IF(OR(E485="",F485=""),"",DATEDIF(E485,F485,"Y"))</f>
        <v/>
      </c>
      <c r="H485" s="9" t="n"/>
    </row>
    <row r="486" ht="14.25" customHeight="1" s="38">
      <c r="A486" s="9" t="n"/>
      <c r="B486" s="9" t="n"/>
      <c r="C486" s="9" t="n"/>
      <c r="D486" s="9" t="n"/>
      <c r="E486" s="9" t="n"/>
      <c r="F486" s="9" t="n"/>
      <c r="G486" s="9">
        <f>IF(OR(E486="",F486=""),"",DATEDIF(E486,F486,"Y"))</f>
        <v/>
      </c>
      <c r="H486" s="9" t="n"/>
    </row>
    <row r="487" ht="14.25" customHeight="1" s="38">
      <c r="A487" s="9" t="n"/>
      <c r="B487" s="9" t="n"/>
      <c r="C487" s="9" t="n"/>
      <c r="D487" s="9" t="n"/>
      <c r="E487" s="9" t="n"/>
      <c r="F487" s="9" t="n"/>
      <c r="G487" s="9">
        <f>IF(OR(E487="",F487=""),"",DATEDIF(E487,F487,"Y"))</f>
        <v/>
      </c>
      <c r="H487" s="9" t="n"/>
    </row>
    <row r="488" ht="14.25" customHeight="1" s="38">
      <c r="A488" s="9" t="n"/>
      <c r="B488" s="9" t="n"/>
      <c r="C488" s="9" t="n"/>
      <c r="D488" s="9" t="n"/>
      <c r="E488" s="9" t="n"/>
      <c r="F488" s="9" t="n"/>
      <c r="G488" s="9">
        <f>IF(OR(E488="",F488=""),"",DATEDIF(E488,F488,"Y"))</f>
        <v/>
      </c>
      <c r="H488" s="9" t="n"/>
    </row>
    <row r="489" ht="14.25" customHeight="1" s="38">
      <c r="A489" s="9" t="n"/>
      <c r="B489" s="9" t="n"/>
      <c r="C489" s="9" t="n"/>
      <c r="D489" s="9" t="n"/>
      <c r="E489" s="9" t="n"/>
      <c r="F489" s="9" t="n"/>
      <c r="G489" s="9">
        <f>IF(OR(E489="",F489=""),"",DATEDIF(E489,F489,"Y"))</f>
        <v/>
      </c>
      <c r="H489" s="9" t="n"/>
    </row>
    <row r="490" ht="14.25" customHeight="1" s="38">
      <c r="A490" s="9" t="n"/>
      <c r="B490" s="9" t="n"/>
      <c r="C490" s="9" t="n"/>
      <c r="D490" s="9" t="n"/>
      <c r="E490" s="9" t="n"/>
      <c r="F490" s="9" t="n"/>
      <c r="G490" s="9">
        <f>IF(OR(E490="",F490=""),"",DATEDIF(E490,F490,"Y"))</f>
        <v/>
      </c>
      <c r="H490" s="9" t="n"/>
    </row>
    <row r="491" ht="14.25" customHeight="1" s="38">
      <c r="A491" s="9" t="n"/>
      <c r="B491" s="9" t="n"/>
      <c r="C491" s="9" t="n"/>
      <c r="D491" s="9" t="n"/>
      <c r="E491" s="9" t="n"/>
      <c r="F491" s="9" t="n"/>
      <c r="G491" s="9">
        <f>IF(OR(E491="",F491=""),"",DATEDIF(E491,F491,"Y"))</f>
        <v/>
      </c>
      <c r="H491" s="9" t="n"/>
    </row>
    <row r="492" ht="14.25" customHeight="1" s="38">
      <c r="A492" s="9" t="n"/>
      <c r="B492" s="9" t="n"/>
      <c r="C492" s="9" t="n"/>
      <c r="D492" s="9" t="n"/>
      <c r="E492" s="9" t="n"/>
      <c r="F492" s="9" t="n"/>
      <c r="G492" s="9">
        <f>IF(OR(E492="",F492=""),"",DATEDIF(E492,F492,"Y"))</f>
        <v/>
      </c>
      <c r="H492" s="9" t="n"/>
    </row>
    <row r="493" ht="14.25" customHeight="1" s="38">
      <c r="A493" s="9" t="n"/>
      <c r="B493" s="9" t="n"/>
      <c r="C493" s="9" t="n"/>
      <c r="D493" s="9" t="n"/>
      <c r="E493" s="9" t="n"/>
      <c r="F493" s="9" t="n"/>
      <c r="G493" s="9">
        <f>IF(OR(E493="",F493=""),"",DATEDIF(E493,F493,"Y"))</f>
        <v/>
      </c>
      <c r="H493" s="9" t="n"/>
    </row>
    <row r="494" ht="14.25" customHeight="1" s="38">
      <c r="A494" s="9" t="n"/>
      <c r="B494" s="9" t="n"/>
      <c r="C494" s="9" t="n"/>
      <c r="D494" s="9" t="n"/>
      <c r="E494" s="9" t="n"/>
      <c r="F494" s="9" t="n"/>
      <c r="G494" s="9">
        <f>IF(OR(E494="",F494=""),"",DATEDIF(E494,F494,"Y"))</f>
        <v/>
      </c>
      <c r="H494" s="9" t="n"/>
    </row>
    <row r="495" ht="14.25" customHeight="1" s="38">
      <c r="A495" s="9" t="n"/>
      <c r="B495" s="9" t="n"/>
      <c r="C495" s="9" t="n"/>
      <c r="D495" s="9" t="n"/>
      <c r="E495" s="9" t="n"/>
      <c r="F495" s="9" t="n"/>
      <c r="G495" s="9">
        <f>IF(OR(E495="",F495=""),"",DATEDIF(E495,F495,"Y"))</f>
        <v/>
      </c>
      <c r="H495" s="9" t="n"/>
    </row>
    <row r="496" ht="14.25" customHeight="1" s="38">
      <c r="A496" s="9" t="n"/>
      <c r="B496" s="9" t="n"/>
      <c r="C496" s="9" t="n"/>
      <c r="D496" s="9" t="n"/>
      <c r="E496" s="9" t="n"/>
      <c r="F496" s="9" t="n"/>
      <c r="G496" s="9">
        <f>IF(OR(E496="",F496=""),"",DATEDIF(E496,F496,"Y"))</f>
        <v/>
      </c>
      <c r="H496" s="9" t="n"/>
    </row>
    <row r="497" ht="14.25" customHeight="1" s="38">
      <c r="A497" s="9" t="n"/>
      <c r="B497" s="9" t="n"/>
      <c r="C497" s="9" t="n"/>
      <c r="D497" s="9" t="n"/>
      <c r="E497" s="9" t="n"/>
      <c r="F497" s="9" t="n"/>
      <c r="G497" s="9">
        <f>IF(OR(E497="",F497=""),"",DATEDIF(E497,F497,"Y"))</f>
        <v/>
      </c>
      <c r="H497" s="9" t="n"/>
    </row>
    <row r="498" ht="14.25" customHeight="1" s="38">
      <c r="A498" s="9" t="n"/>
      <c r="B498" s="9" t="n"/>
      <c r="C498" s="9" t="n"/>
      <c r="D498" s="9" t="n"/>
      <c r="E498" s="9" t="n"/>
      <c r="F498" s="9" t="n"/>
      <c r="G498" s="9">
        <f>IF(OR(E498="",F498=""),"",DATEDIF(E498,F498,"Y"))</f>
        <v/>
      </c>
      <c r="H498" s="9" t="n"/>
    </row>
    <row r="499" ht="14.25" customHeight="1" s="38">
      <c r="A499" s="9" t="n"/>
      <c r="B499" s="9" t="n"/>
      <c r="C499" s="9" t="n"/>
      <c r="D499" s="9" t="n"/>
      <c r="E499" s="9" t="n"/>
      <c r="F499" s="9" t="n"/>
      <c r="G499" s="9">
        <f>IF(OR(E499="",F499=""),"",DATEDIF(E499,F499,"Y"))</f>
        <v/>
      </c>
      <c r="H499" s="9" t="n"/>
    </row>
    <row r="500" ht="14.25" customHeight="1" s="38">
      <c r="A500" s="9" t="n"/>
      <c r="B500" s="9" t="n"/>
      <c r="C500" s="9" t="n"/>
      <c r="D500" s="9" t="n"/>
      <c r="E500" s="9" t="n"/>
      <c r="F500" s="9" t="n"/>
      <c r="G500" s="9">
        <f>IF(OR(E500="",F500=""),"",DATEDIF(E500,F500,"Y"))</f>
        <v/>
      </c>
      <c r="H500" s="9" t="n"/>
    </row>
    <row r="501" ht="14.25" customHeight="1" s="38">
      <c r="A501" s="9" t="n"/>
      <c r="B501" s="9" t="n"/>
      <c r="C501" s="9" t="n"/>
      <c r="D501" s="9" t="n"/>
      <c r="E501" s="9" t="n"/>
      <c r="F501" s="9" t="n"/>
      <c r="G501" s="9">
        <f>IF(OR(E501="",F501=""),"",DATEDIF(E501,F501,"Y"))</f>
        <v/>
      </c>
      <c r="H501" s="9" t="n"/>
    </row>
    <row r="502" ht="14.25" customHeight="1" s="38">
      <c r="A502" s="9" t="n"/>
      <c r="B502" s="9" t="n"/>
      <c r="C502" s="9" t="n"/>
      <c r="D502" s="9" t="n"/>
      <c r="E502" s="9" t="n"/>
      <c r="F502" s="9" t="n"/>
      <c r="G502" s="9">
        <f>IF(OR(E502="",F502=""),"",DATEDIF(E502,F502,"Y"))</f>
        <v/>
      </c>
      <c r="H502" s="9" t="n"/>
    </row>
    <row r="503" ht="14.25" customHeight="1" s="38">
      <c r="A503" s="9" t="n"/>
      <c r="B503" s="9" t="n"/>
      <c r="C503" s="9" t="n"/>
      <c r="D503" s="9" t="n"/>
      <c r="E503" s="9" t="n"/>
      <c r="F503" s="9" t="n"/>
      <c r="G503" s="9">
        <f>IF(OR(E503="",F503=""),"",DATEDIF(E503,F503,"Y"))</f>
        <v/>
      </c>
      <c r="H503" s="9" t="n"/>
    </row>
    <row r="504" ht="14.25" customHeight="1" s="38">
      <c r="A504" s="9" t="n"/>
      <c r="B504" s="9" t="n"/>
      <c r="C504" s="9" t="n"/>
      <c r="D504" s="9" t="n"/>
      <c r="E504" s="9" t="n"/>
      <c r="F504" s="9" t="n"/>
      <c r="G504" s="9">
        <f>IF(OR(E504="",F504=""),"",DATEDIF(E504,F504,"Y"))</f>
        <v/>
      </c>
      <c r="H504" s="9" t="n"/>
    </row>
    <row r="505" ht="14.25" customHeight="1" s="38">
      <c r="A505" s="9" t="n"/>
      <c r="B505" s="9" t="n"/>
      <c r="C505" s="9" t="n"/>
      <c r="D505" s="9" t="n"/>
      <c r="E505" s="9" t="n"/>
      <c r="F505" s="9" t="n"/>
      <c r="G505" s="9">
        <f>IF(OR(E505="",F505=""),"",DATEDIF(E505,F505,"Y"))</f>
        <v/>
      </c>
      <c r="H505" s="9" t="n"/>
    </row>
    <row r="506" ht="14.25" customHeight="1" s="38">
      <c r="A506" s="9" t="n"/>
      <c r="B506" s="9" t="n"/>
      <c r="C506" s="9" t="n"/>
      <c r="D506" s="9" t="n"/>
      <c r="E506" s="9" t="n"/>
      <c r="F506" s="9" t="n"/>
      <c r="G506" s="9">
        <f>IF(OR(E506="",F506=""),"",DATEDIF(E506,F506,"Y"))</f>
        <v/>
      </c>
      <c r="H506" s="9" t="n"/>
    </row>
    <row r="507" ht="14.25" customHeight="1" s="38">
      <c r="A507" s="9" t="n"/>
      <c r="B507" s="9" t="n"/>
      <c r="C507" s="9" t="n"/>
      <c r="D507" s="9" t="n"/>
      <c r="E507" s="9" t="n"/>
      <c r="F507" s="9" t="n"/>
      <c r="G507" s="9">
        <f>IF(OR(E507="",F507=""),"",DATEDIF(E507,F507,"Y"))</f>
        <v/>
      </c>
      <c r="H507" s="9" t="n"/>
    </row>
    <row r="508" ht="14.25" customHeight="1" s="38">
      <c r="A508" s="9" t="n"/>
      <c r="B508" s="9" t="n"/>
      <c r="C508" s="9" t="n"/>
      <c r="D508" s="9" t="n"/>
      <c r="E508" s="9" t="n"/>
      <c r="F508" s="9" t="n"/>
      <c r="G508" s="9">
        <f>IF(OR(E508="",F508=""),"",DATEDIF(E508,F508,"Y"))</f>
        <v/>
      </c>
      <c r="H508" s="9" t="n"/>
    </row>
    <row r="509" ht="14.25" customHeight="1" s="38">
      <c r="A509" s="9" t="n"/>
      <c r="B509" s="9" t="n"/>
      <c r="C509" s="9" t="n"/>
      <c r="D509" s="9" t="n"/>
      <c r="E509" s="9" t="n"/>
      <c r="F509" s="9" t="n"/>
      <c r="G509" s="9">
        <f>IF(OR(E509="",F509=""),"",DATEDIF(E509,F509,"Y"))</f>
        <v/>
      </c>
      <c r="H509" s="9" t="n"/>
    </row>
    <row r="510" ht="14.25" customHeight="1" s="38">
      <c r="A510" s="9" t="n"/>
      <c r="B510" s="9" t="n"/>
      <c r="C510" s="9" t="n"/>
      <c r="D510" s="9" t="n"/>
      <c r="E510" s="9" t="n"/>
      <c r="F510" s="9" t="n"/>
      <c r="G510" s="9">
        <f>IF(OR(E510="",F510=""),"",DATEDIF(E510,F510,"Y"))</f>
        <v/>
      </c>
      <c r="H510" s="9" t="n"/>
    </row>
    <row r="511" ht="14.25" customHeight="1" s="38">
      <c r="A511" s="9" t="n"/>
      <c r="B511" s="9" t="n"/>
      <c r="C511" s="9" t="n"/>
      <c r="D511" s="9" t="n"/>
      <c r="E511" s="9" t="n"/>
      <c r="F511" s="9" t="n"/>
      <c r="G511" s="9">
        <f>IF(OR(E511="",F511=""),"",DATEDIF(E511,F511,"Y"))</f>
        <v/>
      </c>
      <c r="H511" s="9" t="n"/>
    </row>
    <row r="512" ht="14.25" customHeight="1" s="38">
      <c r="A512" s="9" t="n"/>
      <c r="B512" s="9" t="n"/>
      <c r="C512" s="9" t="n"/>
      <c r="D512" s="9" t="n"/>
      <c r="E512" s="9" t="n"/>
      <c r="F512" s="9" t="n"/>
      <c r="G512" s="9">
        <f>IF(OR(E512="",F512=""),"",DATEDIF(E512,F512,"Y"))</f>
        <v/>
      </c>
      <c r="H512" s="9" t="n"/>
    </row>
    <row r="513" ht="14.25" customHeight="1" s="38">
      <c r="A513" s="9" t="n"/>
      <c r="B513" s="9" t="n"/>
      <c r="C513" s="9" t="n"/>
      <c r="D513" s="9" t="n"/>
      <c r="E513" s="9" t="n"/>
      <c r="F513" s="9" t="n"/>
      <c r="G513" s="9">
        <f>IF(OR(E513="",F513=""),"",DATEDIF(E513,F513,"Y"))</f>
        <v/>
      </c>
      <c r="H513" s="9" t="n"/>
    </row>
    <row r="514" ht="14.25" customHeight="1" s="38">
      <c r="A514" s="9" t="n"/>
      <c r="B514" s="9" t="n"/>
      <c r="C514" s="9" t="n"/>
      <c r="D514" s="9" t="n"/>
      <c r="E514" s="9" t="n"/>
      <c r="F514" s="9" t="n"/>
      <c r="G514" s="9">
        <f>IF(OR(E514="",F514=""),"",DATEDIF(E514,F514,"Y"))</f>
        <v/>
      </c>
      <c r="H514" s="9" t="n"/>
    </row>
    <row r="515" ht="14.25" customHeight="1" s="38">
      <c r="A515" s="9" t="n"/>
      <c r="B515" s="9" t="n"/>
      <c r="C515" s="9" t="n"/>
      <c r="D515" s="9" t="n"/>
      <c r="E515" s="9" t="n"/>
      <c r="F515" s="9" t="n"/>
      <c r="G515" s="9">
        <f>IF(OR(E515="",F515=""),"",DATEDIF(E515,F515,"Y"))</f>
        <v/>
      </c>
      <c r="H515" s="9" t="n"/>
    </row>
    <row r="516" ht="14.25" customHeight="1" s="38">
      <c r="A516" s="9" t="n"/>
      <c r="B516" s="9" t="n"/>
      <c r="C516" s="9" t="n"/>
      <c r="D516" s="9" t="n"/>
      <c r="E516" s="9" t="n"/>
      <c r="F516" s="9" t="n"/>
      <c r="G516" s="9">
        <f>IF(OR(E516="",F516=""),"",DATEDIF(E516,F516,"Y"))</f>
        <v/>
      </c>
      <c r="H516" s="9" t="n"/>
    </row>
    <row r="517" ht="14.25" customHeight="1" s="38">
      <c r="A517" s="9" t="n"/>
      <c r="B517" s="9" t="n"/>
      <c r="C517" s="9" t="n"/>
      <c r="D517" s="9" t="n"/>
      <c r="E517" s="9" t="n"/>
      <c r="F517" s="9" t="n"/>
      <c r="G517" s="9">
        <f>IF(OR(E517="",F517=""),"",DATEDIF(E517,F517,"Y"))</f>
        <v/>
      </c>
      <c r="H517" s="9" t="n"/>
    </row>
    <row r="518" ht="14.25" customHeight="1" s="38">
      <c r="A518" s="9" t="n"/>
      <c r="B518" s="9" t="n"/>
      <c r="C518" s="9" t="n"/>
      <c r="D518" s="9" t="n"/>
      <c r="E518" s="9" t="n"/>
      <c r="F518" s="9" t="n"/>
      <c r="G518" s="9">
        <f>IF(OR(E518="",F518=""),"",DATEDIF(E518,F518,"Y"))</f>
        <v/>
      </c>
      <c r="H518" s="9" t="n"/>
    </row>
    <row r="519" ht="14.25" customHeight="1" s="38">
      <c r="A519" s="9" t="n"/>
      <c r="B519" s="9" t="n"/>
      <c r="C519" s="9" t="n"/>
      <c r="D519" s="9" t="n"/>
      <c r="E519" s="9" t="n"/>
      <c r="F519" s="9" t="n"/>
      <c r="G519" s="9">
        <f>IF(OR(E519="",F519=""),"",DATEDIF(E519,F519,"Y"))</f>
        <v/>
      </c>
      <c r="H519" s="9" t="n"/>
    </row>
    <row r="520" ht="14.25" customHeight="1" s="38">
      <c r="A520" s="9" t="n"/>
      <c r="B520" s="9" t="n"/>
      <c r="C520" s="9" t="n"/>
      <c r="D520" s="9" t="n"/>
      <c r="E520" s="9" t="n"/>
      <c r="F520" s="9" t="n"/>
      <c r="G520" s="9">
        <f>IF(OR(E520="",F520=""),"",DATEDIF(E520,F520,"Y"))</f>
        <v/>
      </c>
      <c r="H520" s="9" t="n"/>
    </row>
    <row r="521" ht="14.25" customHeight="1" s="38">
      <c r="A521" s="9" t="n"/>
      <c r="B521" s="9" t="n"/>
      <c r="C521" s="9" t="n"/>
      <c r="D521" s="9" t="n"/>
      <c r="E521" s="9" t="n"/>
      <c r="F521" s="9" t="n"/>
      <c r="G521" s="9">
        <f>IF(OR(E521="",F521=""),"",DATEDIF(E521,F521,"Y"))</f>
        <v/>
      </c>
      <c r="H521" s="9" t="n"/>
    </row>
    <row r="522" ht="14.25" customHeight="1" s="38">
      <c r="A522" s="9" t="n"/>
      <c r="B522" s="9" t="n"/>
      <c r="C522" s="9" t="n"/>
      <c r="D522" s="9" t="n"/>
      <c r="E522" s="9" t="n"/>
      <c r="F522" s="9" t="n"/>
      <c r="G522" s="9">
        <f>IF(OR(E522="",F522=""),"",DATEDIF(E522,F522,"Y"))</f>
        <v/>
      </c>
      <c r="H522" s="9" t="n"/>
    </row>
    <row r="523" ht="14.25" customHeight="1" s="38">
      <c r="A523" s="9" t="n"/>
      <c r="B523" s="9" t="n"/>
      <c r="C523" s="9" t="n"/>
      <c r="D523" s="9" t="n"/>
      <c r="E523" s="9" t="n"/>
      <c r="F523" s="9" t="n"/>
      <c r="G523" s="9">
        <f>IF(OR(E523="",F523=""),"",DATEDIF(E523,F523,"Y"))</f>
        <v/>
      </c>
      <c r="H523" s="9" t="n"/>
    </row>
    <row r="524" ht="14.25" customHeight="1" s="38">
      <c r="A524" s="9" t="n"/>
      <c r="B524" s="9" t="n"/>
      <c r="C524" s="9" t="n"/>
      <c r="D524" s="9" t="n"/>
      <c r="E524" s="9" t="n"/>
      <c r="F524" s="9" t="n"/>
      <c r="G524" s="9">
        <f>IF(OR(E524="",F524=""),"",DATEDIF(E524,F524,"Y"))</f>
        <v/>
      </c>
      <c r="H524" s="9" t="n"/>
    </row>
    <row r="525" ht="14.25" customHeight="1" s="38">
      <c r="A525" s="9" t="n"/>
      <c r="B525" s="9" t="n"/>
      <c r="C525" s="9" t="n"/>
      <c r="D525" s="9" t="n"/>
      <c r="E525" s="9" t="n"/>
      <c r="F525" s="9" t="n"/>
      <c r="G525" s="9">
        <f>IF(OR(E525="",F525=""),"",DATEDIF(E525,F525,"Y"))</f>
        <v/>
      </c>
      <c r="H525" s="9" t="n"/>
    </row>
    <row r="526" ht="14.25" customHeight="1" s="38">
      <c r="A526" s="9" t="n"/>
      <c r="B526" s="9" t="n"/>
      <c r="C526" s="9" t="n"/>
      <c r="D526" s="9" t="n"/>
      <c r="E526" s="9" t="n"/>
      <c r="F526" s="9" t="n"/>
      <c r="G526" s="9">
        <f>IF(OR(E526="",F526=""),"",DATEDIF(E526,F526,"Y"))</f>
        <v/>
      </c>
      <c r="H526" s="9" t="n"/>
    </row>
    <row r="527" ht="14.25" customHeight="1" s="38">
      <c r="A527" s="9" t="n"/>
      <c r="B527" s="9" t="n"/>
      <c r="C527" s="9" t="n"/>
      <c r="D527" s="9" t="n"/>
      <c r="E527" s="9" t="n"/>
      <c r="F527" s="9" t="n"/>
      <c r="G527" s="9">
        <f>IF(OR(E527="",F527=""),"",DATEDIF(E527,F527,"Y"))</f>
        <v/>
      </c>
      <c r="H527" s="9" t="n"/>
    </row>
    <row r="528" ht="14.25" customHeight="1" s="38">
      <c r="A528" s="9" t="n"/>
      <c r="B528" s="9" t="n"/>
      <c r="C528" s="9" t="n"/>
      <c r="D528" s="9" t="n"/>
      <c r="E528" s="9" t="n"/>
      <c r="F528" s="9" t="n"/>
      <c r="G528" s="9">
        <f>IF(OR(E528="",F528=""),"",DATEDIF(E528,F528,"Y"))</f>
        <v/>
      </c>
      <c r="H528" s="9" t="n"/>
    </row>
    <row r="529" ht="14.25" customHeight="1" s="38">
      <c r="A529" s="9" t="n"/>
      <c r="B529" s="9" t="n"/>
      <c r="C529" s="9" t="n"/>
      <c r="D529" s="9" t="n"/>
      <c r="E529" s="9" t="n"/>
      <c r="F529" s="9" t="n"/>
      <c r="G529" s="9">
        <f>IF(OR(E529="",F529=""),"",DATEDIF(E529,F529,"Y"))</f>
        <v/>
      </c>
      <c r="H529" s="9" t="n"/>
    </row>
    <row r="530" ht="14.25" customHeight="1" s="38">
      <c r="A530" s="9" t="n"/>
      <c r="B530" s="9" t="n"/>
      <c r="C530" s="9" t="n"/>
      <c r="D530" s="9" t="n"/>
      <c r="E530" s="9" t="n"/>
      <c r="F530" s="9" t="n"/>
      <c r="G530" s="9">
        <f>IF(OR(E530="",F530=""),"",DATEDIF(E530,F530,"Y"))</f>
        <v/>
      </c>
      <c r="H530" s="9" t="n"/>
    </row>
    <row r="531" ht="14.25" customHeight="1" s="38">
      <c r="A531" s="9" t="n"/>
      <c r="B531" s="9" t="n"/>
      <c r="C531" s="9" t="n"/>
      <c r="D531" s="9" t="n"/>
      <c r="E531" s="9" t="n"/>
      <c r="F531" s="9" t="n"/>
      <c r="G531" s="9">
        <f>IF(OR(E531="",F531=""),"",DATEDIF(E531,F531,"Y"))</f>
        <v/>
      </c>
      <c r="H531" s="9" t="n"/>
    </row>
    <row r="532" ht="14.25" customHeight="1" s="38">
      <c r="A532" s="9" t="n"/>
      <c r="B532" s="9" t="n"/>
      <c r="C532" s="9" t="n"/>
      <c r="D532" s="9" t="n"/>
      <c r="E532" s="9" t="n"/>
      <c r="F532" s="9" t="n"/>
      <c r="G532" s="9">
        <f>IF(OR(E532="",F532=""),"",DATEDIF(E532,F532,"Y"))</f>
        <v/>
      </c>
      <c r="H532" s="9" t="n"/>
    </row>
    <row r="533" ht="14.25" customHeight="1" s="38">
      <c r="A533" s="9" t="n"/>
      <c r="B533" s="9" t="n"/>
      <c r="C533" s="9" t="n"/>
      <c r="D533" s="9" t="n"/>
      <c r="E533" s="9" t="n"/>
      <c r="F533" s="9" t="n"/>
      <c r="G533" s="9">
        <f>IF(OR(E533="",F533=""),"",DATEDIF(E533,F533,"Y"))</f>
        <v/>
      </c>
      <c r="H533" s="9" t="n"/>
    </row>
    <row r="534" ht="14.25" customHeight="1" s="38">
      <c r="A534" s="9" t="n"/>
      <c r="B534" s="9" t="n"/>
      <c r="C534" s="9" t="n"/>
      <c r="D534" s="9" t="n"/>
      <c r="E534" s="9" t="n"/>
      <c r="F534" s="9" t="n"/>
      <c r="G534" s="9">
        <f>IF(OR(E534="",F534=""),"",DATEDIF(E534,F534,"Y"))</f>
        <v/>
      </c>
      <c r="H534" s="9" t="n"/>
    </row>
    <row r="535" ht="14.25" customHeight="1" s="38">
      <c r="A535" s="9" t="n"/>
      <c r="B535" s="9" t="n"/>
      <c r="C535" s="9" t="n"/>
      <c r="D535" s="9" t="n"/>
      <c r="E535" s="9" t="n"/>
      <c r="F535" s="9" t="n"/>
      <c r="G535" s="9">
        <f>IF(OR(E535="",F535=""),"",DATEDIF(E535,F535,"Y"))</f>
        <v/>
      </c>
      <c r="H535" s="9" t="n"/>
    </row>
    <row r="536" ht="14.25" customHeight="1" s="38">
      <c r="A536" s="9" t="n"/>
      <c r="B536" s="9" t="n"/>
      <c r="C536" s="9" t="n"/>
      <c r="D536" s="9" t="n"/>
      <c r="E536" s="9" t="n"/>
      <c r="F536" s="9" t="n"/>
      <c r="G536" s="9">
        <f>IF(OR(E536="",F536=""),"",DATEDIF(E536,F536,"Y"))</f>
        <v/>
      </c>
      <c r="H536" s="9" t="n"/>
    </row>
    <row r="537" ht="14.25" customHeight="1" s="38">
      <c r="A537" s="9" t="n"/>
      <c r="B537" s="9" t="n"/>
      <c r="C537" s="9" t="n"/>
      <c r="D537" s="9" t="n"/>
      <c r="E537" s="9" t="n"/>
      <c r="F537" s="9" t="n"/>
      <c r="G537" s="9">
        <f>IF(OR(E537="",F537=""),"",DATEDIF(E537,F537,"Y"))</f>
        <v/>
      </c>
      <c r="H537" s="9" t="n"/>
    </row>
    <row r="538" ht="14.25" customHeight="1" s="38">
      <c r="A538" s="9" t="n"/>
      <c r="B538" s="9" t="n"/>
      <c r="C538" s="9" t="n"/>
      <c r="D538" s="9" t="n"/>
      <c r="E538" s="9" t="n"/>
      <c r="F538" s="9" t="n"/>
      <c r="G538" s="9">
        <f>IF(OR(E538="",F538=""),"",DATEDIF(E538,F538,"Y"))</f>
        <v/>
      </c>
      <c r="H538" s="9" t="n"/>
    </row>
    <row r="539" ht="14.25" customHeight="1" s="38">
      <c r="A539" s="9" t="n"/>
      <c r="B539" s="9" t="n"/>
      <c r="C539" s="9" t="n"/>
      <c r="D539" s="9" t="n"/>
      <c r="E539" s="9" t="n"/>
      <c r="F539" s="9" t="n"/>
      <c r="G539" s="9">
        <f>IF(OR(E539="",F539=""),"",DATEDIF(E539,F539,"Y"))</f>
        <v/>
      </c>
      <c r="H539" s="9" t="n"/>
    </row>
    <row r="540" ht="14.25" customHeight="1" s="38">
      <c r="A540" s="9" t="n"/>
      <c r="B540" s="9" t="n"/>
      <c r="C540" s="9" t="n"/>
      <c r="D540" s="9" t="n"/>
      <c r="E540" s="9" t="n"/>
      <c r="F540" s="9" t="n"/>
      <c r="G540" s="9">
        <f>IF(OR(E540="",F540=""),"",DATEDIF(E540,F540,"Y"))</f>
        <v/>
      </c>
      <c r="H540" s="9" t="n"/>
    </row>
    <row r="541" ht="14.25" customHeight="1" s="38">
      <c r="A541" s="9" t="n"/>
      <c r="B541" s="9" t="n"/>
      <c r="C541" s="9" t="n"/>
      <c r="D541" s="9" t="n"/>
      <c r="E541" s="9" t="n"/>
      <c r="F541" s="9" t="n"/>
      <c r="G541" s="9">
        <f>IF(OR(E541="",F541=""),"",DATEDIF(E541,F541,"Y"))</f>
        <v/>
      </c>
      <c r="H541" s="9" t="n"/>
    </row>
    <row r="542" ht="14.25" customHeight="1" s="38">
      <c r="A542" s="9" t="n"/>
      <c r="B542" s="9" t="n"/>
      <c r="C542" s="9" t="n"/>
      <c r="D542" s="9" t="n"/>
      <c r="E542" s="9" t="n"/>
      <c r="F542" s="9" t="n"/>
      <c r="G542" s="9">
        <f>IF(OR(E542="",F542=""),"",DATEDIF(E542,F542,"Y"))</f>
        <v/>
      </c>
      <c r="H542" s="9" t="n"/>
    </row>
    <row r="543" ht="14.25" customHeight="1" s="38">
      <c r="A543" s="9" t="n"/>
      <c r="B543" s="9" t="n"/>
      <c r="C543" s="9" t="n"/>
      <c r="D543" s="9" t="n"/>
      <c r="E543" s="9" t="n"/>
      <c r="F543" s="9" t="n"/>
      <c r="G543" s="9">
        <f>IF(OR(E543="",F543=""),"",DATEDIF(E543,F543,"Y"))</f>
        <v/>
      </c>
      <c r="H543" s="9" t="n"/>
    </row>
    <row r="544" ht="14.25" customHeight="1" s="38">
      <c r="A544" s="9" t="n"/>
      <c r="B544" s="9" t="n"/>
      <c r="C544" s="9" t="n"/>
      <c r="D544" s="9" t="n"/>
      <c r="E544" s="9" t="n"/>
      <c r="F544" s="9" t="n"/>
      <c r="G544" s="9">
        <f>IF(OR(E544="",F544=""),"",DATEDIF(E544,F544,"Y"))</f>
        <v/>
      </c>
      <c r="H544" s="9" t="n"/>
    </row>
    <row r="545" ht="14.25" customHeight="1" s="38">
      <c r="A545" s="9" t="n"/>
      <c r="B545" s="9" t="n"/>
      <c r="C545" s="9" t="n"/>
      <c r="D545" s="9" t="n"/>
      <c r="E545" s="9" t="n"/>
      <c r="F545" s="9" t="n"/>
      <c r="G545" s="9">
        <f>IF(OR(E545="",F545=""),"",DATEDIF(E545,F545,"Y"))</f>
        <v/>
      </c>
      <c r="H545" s="9" t="n"/>
    </row>
    <row r="546" ht="14.25" customHeight="1" s="38">
      <c r="A546" s="9" t="n"/>
      <c r="B546" s="9" t="n"/>
      <c r="C546" s="9" t="n"/>
      <c r="D546" s="9" t="n"/>
      <c r="E546" s="9" t="n"/>
      <c r="F546" s="9" t="n"/>
      <c r="G546" s="9">
        <f>IF(OR(E546="",F546=""),"",DATEDIF(E546,F546,"Y"))</f>
        <v/>
      </c>
      <c r="H546" s="9" t="n"/>
    </row>
    <row r="547" ht="14.25" customHeight="1" s="38">
      <c r="A547" s="9" t="n"/>
      <c r="B547" s="9" t="n"/>
      <c r="C547" s="9" t="n"/>
      <c r="D547" s="9" t="n"/>
      <c r="E547" s="9" t="n"/>
      <c r="F547" s="9" t="n"/>
      <c r="G547" s="9">
        <f>IF(OR(E547="",F547=""),"",DATEDIF(E547,F547,"Y"))</f>
        <v/>
      </c>
      <c r="H547" s="9" t="n"/>
    </row>
    <row r="548" ht="14.25" customHeight="1" s="38">
      <c r="A548" s="9" t="n"/>
      <c r="B548" s="9" t="n"/>
      <c r="C548" s="9" t="n"/>
      <c r="D548" s="9" t="n"/>
      <c r="E548" s="9" t="n"/>
      <c r="F548" s="9" t="n"/>
      <c r="G548" s="9">
        <f>IF(OR(E548="",F548=""),"",DATEDIF(E548,F548,"Y"))</f>
        <v/>
      </c>
      <c r="H548" s="9" t="n"/>
    </row>
    <row r="549" ht="14.25" customHeight="1" s="38">
      <c r="A549" s="9" t="n"/>
      <c r="B549" s="9" t="n"/>
      <c r="C549" s="9" t="n"/>
      <c r="D549" s="9" t="n"/>
      <c r="E549" s="9" t="n"/>
      <c r="F549" s="9" t="n"/>
      <c r="G549" s="9">
        <f>IF(OR(E549="",F549=""),"",DATEDIF(E549,F549,"Y"))</f>
        <v/>
      </c>
      <c r="H549" s="9" t="n"/>
    </row>
    <row r="550" ht="14.25" customHeight="1" s="38">
      <c r="A550" s="9" t="n"/>
      <c r="B550" s="9" t="n"/>
      <c r="C550" s="9" t="n"/>
      <c r="D550" s="9" t="n"/>
      <c r="E550" s="9" t="n"/>
      <c r="F550" s="9" t="n"/>
      <c r="G550" s="9">
        <f>IF(OR(E550="",F550=""),"",DATEDIF(E550,F550,"Y"))</f>
        <v/>
      </c>
      <c r="H550" s="9" t="n"/>
    </row>
    <row r="551" ht="14.25" customHeight="1" s="38">
      <c r="A551" s="9" t="n"/>
      <c r="B551" s="9" t="n"/>
      <c r="C551" s="9" t="n"/>
      <c r="D551" s="9" t="n"/>
      <c r="E551" s="9" t="n"/>
      <c r="F551" s="9" t="n"/>
      <c r="G551" s="9">
        <f>IF(OR(E551="",F551=""),"",DATEDIF(E551,F551,"Y"))</f>
        <v/>
      </c>
      <c r="H551" s="9" t="n"/>
    </row>
    <row r="552" ht="14.25" customHeight="1" s="38">
      <c r="A552" s="9" t="n"/>
      <c r="B552" s="9" t="n"/>
      <c r="C552" s="9" t="n"/>
      <c r="D552" s="9" t="n"/>
      <c r="E552" s="9" t="n"/>
      <c r="F552" s="9" t="n"/>
      <c r="G552" s="9">
        <f>IF(OR(E552="",F552=""),"",DATEDIF(E552,F552,"Y"))</f>
        <v/>
      </c>
      <c r="H552" s="9" t="n"/>
    </row>
    <row r="553" ht="14.25" customHeight="1" s="38">
      <c r="A553" s="9" t="n"/>
      <c r="B553" s="9" t="n"/>
      <c r="C553" s="9" t="n"/>
      <c r="D553" s="9" t="n"/>
      <c r="E553" s="9" t="n"/>
      <c r="F553" s="9" t="n"/>
      <c r="G553" s="9">
        <f>IF(OR(E553="",F553=""),"",DATEDIF(E553,F553,"Y"))</f>
        <v/>
      </c>
      <c r="H553" s="9" t="n"/>
    </row>
    <row r="554" ht="14.25" customHeight="1" s="38">
      <c r="A554" s="9" t="n"/>
      <c r="B554" s="9" t="n"/>
      <c r="C554" s="9" t="n"/>
      <c r="D554" s="9" t="n"/>
      <c r="E554" s="9" t="n"/>
      <c r="F554" s="9" t="n"/>
      <c r="G554" s="9">
        <f>IF(OR(E554="",F554=""),"",DATEDIF(E554,F554,"Y"))</f>
        <v/>
      </c>
      <c r="H554" s="9" t="n"/>
    </row>
    <row r="555" ht="14.25" customHeight="1" s="38">
      <c r="A555" s="9" t="n"/>
      <c r="B555" s="9" t="n"/>
      <c r="C555" s="9" t="n"/>
      <c r="D555" s="9" t="n"/>
      <c r="E555" s="9" t="n"/>
      <c r="F555" s="9" t="n"/>
      <c r="G555" s="9">
        <f>IF(OR(E555="",F555=""),"",DATEDIF(E555,F555,"Y"))</f>
        <v/>
      </c>
      <c r="H555" s="9" t="n"/>
    </row>
    <row r="556" ht="14.25" customHeight="1" s="38">
      <c r="A556" s="9" t="n"/>
      <c r="B556" s="9" t="n"/>
      <c r="C556" s="9" t="n"/>
      <c r="D556" s="9" t="n"/>
      <c r="E556" s="9" t="n"/>
      <c r="F556" s="9" t="n"/>
      <c r="G556" s="9">
        <f>IF(OR(E556="",F556=""),"",DATEDIF(E556,F556,"Y"))</f>
        <v/>
      </c>
      <c r="H556" s="9" t="n"/>
    </row>
    <row r="557" ht="14.25" customHeight="1" s="38">
      <c r="A557" s="9" t="n"/>
      <c r="B557" s="9" t="n"/>
      <c r="C557" s="9" t="n"/>
      <c r="D557" s="9" t="n"/>
      <c r="E557" s="9" t="n"/>
      <c r="F557" s="9" t="n"/>
      <c r="G557" s="9">
        <f>IF(OR(E557="",F557=""),"",DATEDIF(E557,F557,"Y"))</f>
        <v/>
      </c>
      <c r="H557" s="9" t="n"/>
    </row>
    <row r="558" ht="14.25" customHeight="1" s="38">
      <c r="A558" s="9" t="n"/>
      <c r="B558" s="9" t="n"/>
      <c r="C558" s="9" t="n"/>
      <c r="D558" s="9" t="n"/>
      <c r="E558" s="9" t="n"/>
      <c r="F558" s="9" t="n"/>
      <c r="G558" s="9">
        <f>IF(OR(E558="",F558=""),"",DATEDIF(E558,F558,"Y"))</f>
        <v/>
      </c>
      <c r="H558" s="9" t="n"/>
    </row>
    <row r="559" ht="14.25" customHeight="1" s="38">
      <c r="A559" s="9" t="n"/>
      <c r="B559" s="9" t="n"/>
      <c r="C559" s="9" t="n"/>
      <c r="D559" s="9" t="n"/>
      <c r="E559" s="9" t="n"/>
      <c r="F559" s="9" t="n"/>
      <c r="G559" s="9">
        <f>IF(OR(E559="",F559=""),"",DATEDIF(E559,F559,"Y"))</f>
        <v/>
      </c>
      <c r="H559" s="9" t="n"/>
    </row>
    <row r="560" ht="14.25" customHeight="1" s="38">
      <c r="A560" s="9" t="n"/>
      <c r="B560" s="9" t="n"/>
      <c r="C560" s="9" t="n"/>
      <c r="D560" s="9" t="n"/>
      <c r="E560" s="9" t="n"/>
      <c r="F560" s="9" t="n"/>
      <c r="G560" s="9">
        <f>IF(OR(E560="",F560=""),"",DATEDIF(E560,F560,"Y"))</f>
        <v/>
      </c>
      <c r="H560" s="9" t="n"/>
    </row>
    <row r="561" ht="14.25" customHeight="1" s="38">
      <c r="A561" s="9" t="n"/>
      <c r="B561" s="9" t="n"/>
      <c r="C561" s="9" t="n"/>
      <c r="D561" s="9" t="n"/>
      <c r="E561" s="9" t="n"/>
      <c r="F561" s="9" t="n"/>
      <c r="G561" s="9">
        <f>IF(OR(E561="",F561=""),"",DATEDIF(E561,F561,"Y"))</f>
        <v/>
      </c>
      <c r="H561" s="9" t="n"/>
    </row>
    <row r="562" ht="14.25" customHeight="1" s="38">
      <c r="A562" s="9" t="n"/>
      <c r="B562" s="9" t="n"/>
      <c r="C562" s="9" t="n"/>
      <c r="D562" s="9" t="n"/>
      <c r="E562" s="9" t="n"/>
      <c r="F562" s="9" t="n"/>
      <c r="G562" s="9">
        <f>IF(OR(E562="",F562=""),"",DATEDIF(E562,F562,"Y"))</f>
        <v/>
      </c>
      <c r="H562" s="9" t="n"/>
    </row>
    <row r="563" ht="14.25" customHeight="1" s="38">
      <c r="A563" s="9" t="n"/>
      <c r="B563" s="9" t="n"/>
      <c r="C563" s="9" t="n"/>
      <c r="D563" s="9" t="n"/>
      <c r="E563" s="9" t="n"/>
      <c r="F563" s="9" t="n"/>
      <c r="G563" s="9">
        <f>IF(OR(E563="",F563=""),"",DATEDIF(E563,F563,"Y"))</f>
        <v/>
      </c>
      <c r="H563" s="9" t="n"/>
    </row>
    <row r="564" ht="14.25" customHeight="1" s="38">
      <c r="A564" s="9" t="n"/>
      <c r="B564" s="9" t="n"/>
      <c r="C564" s="9" t="n"/>
      <c r="D564" s="9" t="n"/>
      <c r="E564" s="9" t="n"/>
      <c r="F564" s="9" t="n"/>
      <c r="G564" s="9">
        <f>IF(OR(E564="",F564=""),"",DATEDIF(E564,F564,"Y"))</f>
        <v/>
      </c>
      <c r="H564" s="9" t="n"/>
    </row>
    <row r="565" ht="14.25" customHeight="1" s="38">
      <c r="A565" s="9" t="n"/>
      <c r="B565" s="9" t="n"/>
      <c r="C565" s="9" t="n"/>
      <c r="D565" s="9" t="n"/>
      <c r="E565" s="9" t="n"/>
      <c r="F565" s="9" t="n"/>
      <c r="G565" s="9">
        <f>IF(OR(E565="",F565=""),"",DATEDIF(E565,F565,"Y"))</f>
        <v/>
      </c>
      <c r="H565" s="9" t="n"/>
    </row>
    <row r="566" ht="14.25" customHeight="1" s="38">
      <c r="A566" s="9" t="n"/>
      <c r="B566" s="9" t="n"/>
      <c r="C566" s="9" t="n"/>
      <c r="D566" s="9" t="n"/>
      <c r="E566" s="9" t="n"/>
      <c r="F566" s="9" t="n"/>
      <c r="G566" s="9">
        <f>IF(OR(E566="",F566=""),"",DATEDIF(E566,F566,"Y"))</f>
        <v/>
      </c>
      <c r="H566" s="9" t="n"/>
    </row>
    <row r="567" ht="14.25" customHeight="1" s="38">
      <c r="A567" s="9" t="n"/>
      <c r="B567" s="9" t="n"/>
      <c r="C567" s="9" t="n"/>
      <c r="D567" s="9" t="n"/>
      <c r="E567" s="9" t="n"/>
      <c r="F567" s="9" t="n"/>
      <c r="G567" s="9">
        <f>IF(OR(E567="",F567=""),"",DATEDIF(E567,F567,"Y"))</f>
        <v/>
      </c>
      <c r="H567" s="9" t="n"/>
    </row>
    <row r="568" ht="14.25" customHeight="1" s="38">
      <c r="A568" s="9" t="n"/>
      <c r="B568" s="9" t="n"/>
      <c r="C568" s="9" t="n"/>
      <c r="D568" s="9" t="n"/>
      <c r="E568" s="9" t="n"/>
      <c r="F568" s="9" t="n"/>
      <c r="G568" s="9">
        <f>IF(OR(E568="",F568=""),"",DATEDIF(E568,F568,"Y"))</f>
        <v/>
      </c>
      <c r="H568" s="9" t="n"/>
    </row>
    <row r="569" ht="14.25" customHeight="1" s="38">
      <c r="A569" s="9" t="n"/>
      <c r="B569" s="9" t="n"/>
      <c r="C569" s="9" t="n"/>
      <c r="D569" s="9" t="n"/>
      <c r="E569" s="9" t="n"/>
      <c r="F569" s="9" t="n"/>
      <c r="G569" s="9">
        <f>IF(OR(E569="",F569=""),"",DATEDIF(E569,F569,"Y"))</f>
        <v/>
      </c>
      <c r="H569" s="9" t="n"/>
    </row>
    <row r="570" ht="14.25" customHeight="1" s="38">
      <c r="A570" s="9" t="n"/>
      <c r="B570" s="9" t="n"/>
      <c r="C570" s="9" t="n"/>
      <c r="D570" s="9" t="n"/>
      <c r="E570" s="9" t="n"/>
      <c r="F570" s="9" t="n"/>
      <c r="G570" s="9">
        <f>IF(OR(E570="",F570=""),"",DATEDIF(E570,F570,"Y"))</f>
        <v/>
      </c>
      <c r="H570" s="9" t="n"/>
    </row>
    <row r="571" ht="14.25" customHeight="1" s="38">
      <c r="A571" s="9" t="n"/>
      <c r="B571" s="9" t="n"/>
      <c r="C571" s="9" t="n"/>
      <c r="D571" s="9" t="n"/>
      <c r="E571" s="9" t="n"/>
      <c r="F571" s="9" t="n"/>
      <c r="G571" s="9">
        <f>IF(OR(E571="",F571=""),"",DATEDIF(E571,F571,"Y"))</f>
        <v/>
      </c>
      <c r="H571" s="9" t="n"/>
    </row>
    <row r="572" ht="14.25" customHeight="1" s="38">
      <c r="A572" s="9" t="n"/>
      <c r="B572" s="9" t="n"/>
      <c r="C572" s="9" t="n"/>
      <c r="D572" s="9" t="n"/>
      <c r="E572" s="9" t="n"/>
      <c r="F572" s="9" t="n"/>
      <c r="G572" s="9">
        <f>IF(OR(E572="",F572=""),"",DATEDIF(E572,F572,"Y"))</f>
        <v/>
      </c>
      <c r="H572" s="9" t="n"/>
    </row>
    <row r="573" ht="14.25" customHeight="1" s="38">
      <c r="A573" s="9" t="n"/>
      <c r="B573" s="9" t="n"/>
      <c r="C573" s="9" t="n"/>
      <c r="D573" s="9" t="n"/>
      <c r="E573" s="9" t="n"/>
      <c r="F573" s="9" t="n"/>
      <c r="G573" s="9">
        <f>IF(OR(E573="",F573=""),"",DATEDIF(E573,F573,"Y"))</f>
        <v/>
      </c>
      <c r="H573" s="9" t="n"/>
    </row>
    <row r="574" ht="14.25" customHeight="1" s="38">
      <c r="A574" s="9" t="n"/>
      <c r="B574" s="9" t="n"/>
      <c r="C574" s="9" t="n"/>
      <c r="D574" s="9" t="n"/>
      <c r="E574" s="9" t="n"/>
      <c r="F574" s="9" t="n"/>
      <c r="G574" s="9">
        <f>IF(OR(E574="",F574=""),"",DATEDIF(E574,F574,"Y"))</f>
        <v/>
      </c>
      <c r="H574" s="9" t="n"/>
    </row>
    <row r="575" ht="14.25" customHeight="1" s="38">
      <c r="A575" s="9" t="n"/>
      <c r="B575" s="9" t="n"/>
      <c r="C575" s="9" t="n"/>
      <c r="D575" s="9" t="n"/>
      <c r="E575" s="9" t="n"/>
      <c r="F575" s="9" t="n"/>
      <c r="G575" s="9">
        <f>IF(OR(E575="",F575=""),"",DATEDIF(E575,F575,"Y"))</f>
        <v/>
      </c>
      <c r="H575" s="9" t="n"/>
    </row>
    <row r="576" ht="14.25" customHeight="1" s="38">
      <c r="A576" s="9" t="n"/>
      <c r="B576" s="9" t="n"/>
      <c r="C576" s="9" t="n"/>
      <c r="D576" s="9" t="n"/>
      <c r="E576" s="9" t="n"/>
      <c r="F576" s="9" t="n"/>
      <c r="G576" s="9">
        <f>IF(OR(E576="",F576=""),"",DATEDIF(E576,F576,"Y"))</f>
        <v/>
      </c>
      <c r="H576" s="9" t="n"/>
    </row>
    <row r="577" ht="14.25" customHeight="1" s="38">
      <c r="A577" s="9" t="n"/>
      <c r="B577" s="9" t="n"/>
      <c r="C577" s="9" t="n"/>
      <c r="D577" s="9" t="n"/>
      <c r="E577" s="9" t="n"/>
      <c r="F577" s="9" t="n"/>
      <c r="G577" s="9">
        <f>IF(OR(E577="",F577=""),"",DATEDIF(E577,F577,"Y"))</f>
        <v/>
      </c>
      <c r="H577" s="9" t="n"/>
    </row>
    <row r="578" ht="14.25" customHeight="1" s="38">
      <c r="A578" s="9" t="n"/>
      <c r="B578" s="9" t="n"/>
      <c r="C578" s="9" t="n"/>
      <c r="D578" s="9" t="n"/>
      <c r="E578" s="9" t="n"/>
      <c r="F578" s="9" t="n"/>
      <c r="G578" s="9">
        <f>IF(OR(E578="",F578=""),"",DATEDIF(E578,F578,"Y"))</f>
        <v/>
      </c>
      <c r="H578" s="9" t="n"/>
    </row>
    <row r="579" ht="14.25" customHeight="1" s="38">
      <c r="A579" s="9" t="n"/>
      <c r="B579" s="9" t="n"/>
      <c r="C579" s="9" t="n"/>
      <c r="D579" s="9" t="n"/>
      <c r="E579" s="9" t="n"/>
      <c r="F579" s="9" t="n"/>
      <c r="G579" s="9">
        <f>IF(OR(E579="",F579=""),"",DATEDIF(E579,F579,"Y"))</f>
        <v/>
      </c>
      <c r="H579" s="9" t="n"/>
    </row>
    <row r="580" ht="14.25" customHeight="1" s="38">
      <c r="A580" s="9" t="n"/>
      <c r="B580" s="9" t="n"/>
      <c r="C580" s="9" t="n"/>
      <c r="D580" s="9" t="n"/>
      <c r="E580" s="9" t="n"/>
      <c r="F580" s="9" t="n"/>
      <c r="G580" s="9">
        <f>IF(OR(E580="",F580=""),"",DATEDIF(E580,F580,"Y"))</f>
        <v/>
      </c>
      <c r="H580" s="9" t="n"/>
    </row>
    <row r="581" ht="14.25" customHeight="1" s="38">
      <c r="A581" s="9" t="n"/>
      <c r="B581" s="9" t="n"/>
      <c r="C581" s="9" t="n"/>
      <c r="D581" s="9" t="n"/>
      <c r="E581" s="9" t="n"/>
      <c r="F581" s="9" t="n"/>
      <c r="G581" s="9">
        <f>IF(OR(E581="",F581=""),"",DATEDIF(E581,F581,"Y"))</f>
        <v/>
      </c>
      <c r="H581" s="9" t="n"/>
    </row>
    <row r="582" ht="14.25" customHeight="1" s="38">
      <c r="A582" s="9" t="n"/>
      <c r="B582" s="9" t="n"/>
      <c r="C582" s="9" t="n"/>
      <c r="D582" s="9" t="n"/>
      <c r="E582" s="9" t="n"/>
      <c r="F582" s="9" t="n"/>
      <c r="G582" s="9">
        <f>IF(OR(E582="",F582=""),"",DATEDIF(E582,F582,"Y"))</f>
        <v/>
      </c>
      <c r="H582" s="9" t="n"/>
    </row>
    <row r="583" ht="14.25" customHeight="1" s="38">
      <c r="A583" s="9" t="n"/>
      <c r="B583" s="9" t="n"/>
      <c r="C583" s="9" t="n"/>
      <c r="D583" s="9" t="n"/>
      <c r="E583" s="9" t="n"/>
      <c r="F583" s="9" t="n"/>
      <c r="G583" s="9">
        <f>IF(OR(E583="",F583=""),"",DATEDIF(E583,F583,"Y"))</f>
        <v/>
      </c>
      <c r="H583" s="9" t="n"/>
    </row>
    <row r="584" ht="14.25" customHeight="1" s="38">
      <c r="A584" s="9" t="n"/>
      <c r="B584" s="9" t="n"/>
      <c r="C584" s="9" t="n"/>
      <c r="D584" s="9" t="n"/>
      <c r="E584" s="9" t="n"/>
      <c r="F584" s="9" t="n"/>
      <c r="G584" s="9">
        <f>IF(OR(E584="",F584=""),"",DATEDIF(E584,F584,"Y"))</f>
        <v/>
      </c>
      <c r="H584" s="9" t="n"/>
    </row>
    <row r="585" ht="14.25" customHeight="1" s="38">
      <c r="A585" s="9" t="n"/>
      <c r="B585" s="9" t="n"/>
      <c r="C585" s="9" t="n"/>
      <c r="D585" s="9" t="n"/>
      <c r="E585" s="9" t="n"/>
      <c r="F585" s="9" t="n"/>
      <c r="G585" s="9">
        <f>IF(OR(E585="",F585=""),"",DATEDIF(E585,F585,"Y"))</f>
        <v/>
      </c>
      <c r="H585" s="9" t="n"/>
    </row>
    <row r="586" ht="14.25" customHeight="1" s="38">
      <c r="A586" s="9" t="n"/>
      <c r="B586" s="9" t="n"/>
      <c r="C586" s="9" t="n"/>
      <c r="D586" s="9" t="n"/>
      <c r="E586" s="9" t="n"/>
      <c r="F586" s="9" t="n"/>
      <c r="G586" s="9">
        <f>IF(OR(E586="",F586=""),"",DATEDIF(E586,F586,"Y"))</f>
        <v/>
      </c>
      <c r="H586" s="9" t="n"/>
    </row>
    <row r="587" ht="14.25" customHeight="1" s="38">
      <c r="A587" s="9" t="n"/>
      <c r="B587" s="9" t="n"/>
      <c r="C587" s="9" t="n"/>
      <c r="D587" s="9" t="n"/>
      <c r="E587" s="9" t="n"/>
      <c r="F587" s="9" t="n"/>
      <c r="G587" s="9">
        <f>IF(OR(E587="",F587=""),"",DATEDIF(E587,F587,"Y"))</f>
        <v/>
      </c>
      <c r="H587" s="9" t="n"/>
    </row>
    <row r="588" ht="14.25" customHeight="1" s="38">
      <c r="A588" s="9" t="n"/>
      <c r="B588" s="9" t="n"/>
      <c r="C588" s="9" t="n"/>
      <c r="D588" s="9" t="n"/>
      <c r="E588" s="9" t="n"/>
      <c r="F588" s="9" t="n"/>
      <c r="G588" s="9">
        <f>IF(OR(E588="",F588=""),"",DATEDIF(E588,F588,"Y"))</f>
        <v/>
      </c>
      <c r="H588" s="9" t="n"/>
    </row>
    <row r="589" ht="14.25" customHeight="1" s="38">
      <c r="A589" s="9" t="n"/>
      <c r="B589" s="9" t="n"/>
      <c r="C589" s="9" t="n"/>
      <c r="D589" s="9" t="n"/>
      <c r="E589" s="9" t="n"/>
      <c r="F589" s="9" t="n"/>
      <c r="G589" s="9">
        <f>IF(OR(E589="",F589=""),"",DATEDIF(E589,F589,"Y"))</f>
        <v/>
      </c>
      <c r="H589" s="9" t="n"/>
    </row>
    <row r="590" ht="14.25" customHeight="1" s="38">
      <c r="A590" s="9" t="n"/>
      <c r="B590" s="9" t="n"/>
      <c r="C590" s="9" t="n"/>
      <c r="D590" s="9" t="n"/>
      <c r="E590" s="9" t="n"/>
      <c r="F590" s="9" t="n"/>
      <c r="G590" s="9">
        <f>IF(OR(E590="",F590=""),"",DATEDIF(E590,F590,"Y"))</f>
        <v/>
      </c>
      <c r="H590" s="9" t="n"/>
    </row>
    <row r="591" ht="14.25" customHeight="1" s="38">
      <c r="A591" s="9" t="n"/>
      <c r="B591" s="9" t="n"/>
      <c r="C591" s="9" t="n"/>
      <c r="D591" s="9" t="n"/>
      <c r="E591" s="9" t="n"/>
      <c r="F591" s="9" t="n"/>
      <c r="G591" s="9">
        <f>IF(OR(E591="",F591=""),"",DATEDIF(E591,F591,"Y"))</f>
        <v/>
      </c>
      <c r="H591" s="9" t="n"/>
    </row>
    <row r="592" ht="14.25" customHeight="1" s="38">
      <c r="A592" s="9" t="n"/>
      <c r="B592" s="9" t="n"/>
      <c r="C592" s="9" t="n"/>
      <c r="D592" s="9" t="n"/>
      <c r="E592" s="9" t="n"/>
      <c r="F592" s="9" t="n"/>
      <c r="G592" s="9">
        <f>IF(OR(E592="",F592=""),"",DATEDIF(E592,F592,"Y"))</f>
        <v/>
      </c>
      <c r="H592" s="9" t="n"/>
    </row>
    <row r="593" ht="14.25" customHeight="1" s="38">
      <c r="A593" s="9" t="n"/>
      <c r="B593" s="9" t="n"/>
      <c r="C593" s="9" t="n"/>
      <c r="D593" s="9" t="n"/>
      <c r="E593" s="9" t="n"/>
      <c r="F593" s="9" t="n"/>
      <c r="G593" s="9">
        <f>IF(OR(E593="",F593=""),"",DATEDIF(E593,F593,"Y"))</f>
        <v/>
      </c>
      <c r="H593" s="9" t="n"/>
    </row>
    <row r="594" ht="14.25" customHeight="1" s="38">
      <c r="A594" s="9" t="n"/>
      <c r="B594" s="9" t="n"/>
      <c r="C594" s="9" t="n"/>
      <c r="D594" s="9" t="n"/>
      <c r="E594" s="9" t="n"/>
      <c r="F594" s="9" t="n"/>
      <c r="G594" s="9">
        <f>IF(OR(E594="",F594=""),"",DATEDIF(E594,F594,"Y"))</f>
        <v/>
      </c>
      <c r="H594" s="9" t="n"/>
    </row>
    <row r="595" ht="14.25" customHeight="1" s="38">
      <c r="A595" s="9" t="n"/>
      <c r="B595" s="9" t="n"/>
      <c r="C595" s="9" t="n"/>
      <c r="D595" s="9" t="n"/>
      <c r="E595" s="9" t="n"/>
      <c r="F595" s="9" t="n"/>
      <c r="G595" s="9">
        <f>IF(OR(E595="",F595=""),"",DATEDIF(E595,F595,"Y"))</f>
        <v/>
      </c>
      <c r="H595" s="9" t="n"/>
    </row>
    <row r="596" ht="14.25" customHeight="1" s="38">
      <c r="A596" s="9" t="n"/>
      <c r="B596" s="9" t="n"/>
      <c r="C596" s="9" t="n"/>
      <c r="D596" s="9" t="n"/>
      <c r="E596" s="9" t="n"/>
      <c r="F596" s="9" t="n"/>
      <c r="G596" s="9">
        <f>IF(OR(E596="",F596=""),"",DATEDIF(E596,F596,"Y"))</f>
        <v/>
      </c>
      <c r="H596" s="9" t="n"/>
    </row>
    <row r="597" ht="14.25" customHeight="1" s="38">
      <c r="A597" s="9" t="n"/>
      <c r="B597" s="9" t="n"/>
      <c r="C597" s="9" t="n"/>
      <c r="D597" s="9" t="n"/>
      <c r="E597" s="9" t="n"/>
      <c r="F597" s="9" t="n"/>
      <c r="G597" s="9">
        <f>IF(OR(E597="",F597=""),"",DATEDIF(E597,F597,"Y"))</f>
        <v/>
      </c>
      <c r="H597" s="9" t="n"/>
    </row>
    <row r="598" ht="14.25" customHeight="1" s="38">
      <c r="A598" s="9" t="n"/>
      <c r="B598" s="9" t="n"/>
      <c r="C598" s="9" t="n"/>
      <c r="D598" s="9" t="n"/>
      <c r="E598" s="9" t="n"/>
      <c r="F598" s="9" t="n"/>
      <c r="G598" s="9">
        <f>IF(OR(E598="",F598=""),"",DATEDIF(E598,F598,"Y"))</f>
        <v/>
      </c>
      <c r="H598" s="9" t="n"/>
    </row>
    <row r="599" ht="14.25" customHeight="1" s="38">
      <c r="A599" s="9" t="n"/>
      <c r="B599" s="9" t="n"/>
      <c r="C599" s="9" t="n"/>
      <c r="D599" s="9" t="n"/>
      <c r="E599" s="9" t="n"/>
      <c r="F599" s="9" t="n"/>
      <c r="G599" s="9">
        <f>IF(OR(E599="",F599=""),"",DATEDIF(E599,F599,"Y"))</f>
        <v/>
      </c>
      <c r="H599" s="9" t="n"/>
    </row>
    <row r="600" ht="14.25" customHeight="1" s="38">
      <c r="A600" s="9" t="n"/>
      <c r="B600" s="9" t="n"/>
      <c r="C600" s="9" t="n"/>
      <c r="D600" s="9" t="n"/>
      <c r="E600" s="9" t="n"/>
      <c r="F600" s="9" t="n"/>
      <c r="G600" s="9">
        <f>IF(OR(E600="",F600=""),"",DATEDIF(E600,F600,"Y"))</f>
        <v/>
      </c>
      <c r="H600" s="9" t="n"/>
    </row>
    <row r="601" ht="14.25" customHeight="1" s="38">
      <c r="A601" s="9" t="n"/>
      <c r="B601" s="9" t="n"/>
      <c r="C601" s="9" t="n"/>
      <c r="D601" s="9" t="n"/>
      <c r="E601" s="9" t="n"/>
      <c r="F601" s="9" t="n"/>
      <c r="G601" s="9">
        <f>IF(OR(E601="",F601=""),"",DATEDIF(E601,F601,"Y"))</f>
        <v/>
      </c>
      <c r="H601" s="9" t="n"/>
    </row>
    <row r="602" ht="14.25" customHeight="1" s="38">
      <c r="A602" s="9" t="n"/>
      <c r="B602" s="9" t="n"/>
      <c r="C602" s="9" t="n"/>
      <c r="D602" s="9" t="n"/>
      <c r="E602" s="9" t="n"/>
      <c r="F602" s="9" t="n"/>
      <c r="G602" s="9">
        <f>IF(OR(E602="",F602=""),"",DATEDIF(E602,F602,"Y"))</f>
        <v/>
      </c>
      <c r="H602" s="9" t="n"/>
    </row>
    <row r="603" ht="14.25" customHeight="1" s="38">
      <c r="A603" s="9" t="n"/>
      <c r="B603" s="9" t="n"/>
      <c r="C603" s="9" t="n"/>
      <c r="D603" s="9" t="n"/>
      <c r="E603" s="9" t="n"/>
      <c r="F603" s="9" t="n"/>
      <c r="G603" s="9">
        <f>IF(OR(E603="",F603=""),"",DATEDIF(E603,F603,"Y"))</f>
        <v/>
      </c>
      <c r="H603" s="9" t="n"/>
    </row>
    <row r="604" ht="14.25" customHeight="1" s="38">
      <c r="A604" s="9" t="n"/>
      <c r="B604" s="9" t="n"/>
      <c r="C604" s="9" t="n"/>
      <c r="D604" s="9" t="n"/>
      <c r="E604" s="9" t="n"/>
      <c r="F604" s="9" t="n"/>
      <c r="G604" s="9">
        <f>IF(OR(E604="",F604=""),"",DATEDIF(E604,F604,"Y"))</f>
        <v/>
      </c>
      <c r="H604" s="9" t="n"/>
    </row>
    <row r="605" ht="14.25" customHeight="1" s="38">
      <c r="A605" s="9" t="n"/>
      <c r="B605" s="9" t="n"/>
      <c r="C605" s="9" t="n"/>
      <c r="D605" s="9" t="n"/>
      <c r="E605" s="9" t="n"/>
      <c r="F605" s="9" t="n"/>
      <c r="G605" s="9">
        <f>IF(OR(E605="",F605=""),"",DATEDIF(E605,F605,"Y"))</f>
        <v/>
      </c>
      <c r="H605" s="9" t="n"/>
    </row>
    <row r="606" ht="14.25" customHeight="1" s="38">
      <c r="A606" s="9" t="n"/>
      <c r="B606" s="9" t="n"/>
      <c r="C606" s="9" t="n"/>
      <c r="D606" s="9" t="n"/>
      <c r="E606" s="9" t="n"/>
      <c r="F606" s="9" t="n"/>
      <c r="G606" s="9">
        <f>IF(OR(E606="",F606=""),"",DATEDIF(E606,F606,"Y"))</f>
        <v/>
      </c>
      <c r="H606" s="9" t="n"/>
    </row>
    <row r="607" ht="14.25" customHeight="1" s="38">
      <c r="A607" s="9" t="n"/>
      <c r="B607" s="9" t="n"/>
      <c r="C607" s="9" t="n"/>
      <c r="D607" s="9" t="n"/>
      <c r="E607" s="9" t="n"/>
      <c r="F607" s="9" t="n"/>
      <c r="G607" s="9">
        <f>IF(OR(E607="",F607=""),"",DATEDIF(E607,F607,"Y"))</f>
        <v/>
      </c>
      <c r="H607" s="9" t="n"/>
    </row>
    <row r="608" ht="14.25" customHeight="1" s="38">
      <c r="A608" s="9" t="n"/>
      <c r="B608" s="9" t="n"/>
      <c r="C608" s="9" t="n"/>
      <c r="D608" s="9" t="n"/>
      <c r="E608" s="9" t="n"/>
      <c r="F608" s="9" t="n"/>
      <c r="G608" s="9">
        <f>IF(OR(E608="",F608=""),"",DATEDIF(E608,F608,"Y"))</f>
        <v/>
      </c>
      <c r="H608" s="9" t="n"/>
    </row>
    <row r="609" ht="14.25" customHeight="1" s="38">
      <c r="A609" s="9" t="n"/>
      <c r="B609" s="9" t="n"/>
      <c r="C609" s="9" t="n"/>
      <c r="D609" s="9" t="n"/>
      <c r="E609" s="9" t="n"/>
      <c r="F609" s="9" t="n"/>
      <c r="G609" s="9">
        <f>IF(OR(E609="",F609=""),"",DATEDIF(E609,F609,"Y"))</f>
        <v/>
      </c>
      <c r="H609" s="9" t="n"/>
    </row>
    <row r="610" ht="14.25" customHeight="1" s="38">
      <c r="A610" s="9" t="n"/>
      <c r="B610" s="9" t="n"/>
      <c r="C610" s="9" t="n"/>
      <c r="D610" s="9" t="n"/>
      <c r="E610" s="9" t="n"/>
      <c r="F610" s="9" t="n"/>
      <c r="G610" s="9">
        <f>IF(OR(E610="",F610=""),"",DATEDIF(E610,F610,"Y"))</f>
        <v/>
      </c>
      <c r="H610" s="9" t="n"/>
    </row>
    <row r="611" ht="14.25" customHeight="1" s="38">
      <c r="A611" s="9" t="n"/>
      <c r="B611" s="9" t="n"/>
      <c r="C611" s="9" t="n"/>
      <c r="D611" s="9" t="n"/>
      <c r="E611" s="9" t="n"/>
      <c r="F611" s="9" t="n"/>
      <c r="G611" s="9">
        <f>IF(OR(E611="",F611=""),"",DATEDIF(E611,F611,"Y"))</f>
        <v/>
      </c>
      <c r="H611" s="9" t="n"/>
    </row>
    <row r="612" ht="14.25" customHeight="1" s="38">
      <c r="A612" s="9" t="n"/>
      <c r="B612" s="9" t="n"/>
      <c r="C612" s="9" t="n"/>
      <c r="D612" s="9" t="n"/>
      <c r="E612" s="9" t="n"/>
      <c r="F612" s="9" t="n"/>
      <c r="G612" s="9">
        <f>IF(OR(E612="",F612=""),"",DATEDIF(E612,F612,"Y"))</f>
        <v/>
      </c>
      <c r="H612" s="9" t="n"/>
    </row>
    <row r="613" ht="14.25" customHeight="1" s="38">
      <c r="A613" s="9" t="n"/>
      <c r="B613" s="9" t="n"/>
      <c r="C613" s="9" t="n"/>
      <c r="D613" s="9" t="n"/>
      <c r="E613" s="9" t="n"/>
      <c r="F613" s="9" t="n"/>
      <c r="G613" s="9">
        <f>IF(OR(E613="",F613=""),"",DATEDIF(E613,F613,"Y"))</f>
        <v/>
      </c>
      <c r="H613" s="9" t="n"/>
    </row>
    <row r="614" ht="14.25" customHeight="1" s="38">
      <c r="A614" s="9" t="n"/>
      <c r="B614" s="9" t="n"/>
      <c r="C614" s="9" t="n"/>
      <c r="D614" s="9" t="n"/>
      <c r="E614" s="9" t="n"/>
      <c r="F614" s="9" t="n"/>
      <c r="G614" s="9">
        <f>IF(OR(E614="",F614=""),"",DATEDIF(E614,F614,"Y"))</f>
        <v/>
      </c>
      <c r="H614" s="9" t="n"/>
    </row>
    <row r="615" ht="14.25" customHeight="1" s="38">
      <c r="A615" s="9" t="n"/>
      <c r="B615" s="9" t="n"/>
      <c r="C615" s="9" t="n"/>
      <c r="D615" s="9" t="n"/>
      <c r="E615" s="9" t="n"/>
      <c r="F615" s="9" t="n"/>
      <c r="G615" s="9">
        <f>IF(OR(E615="",F615=""),"",DATEDIF(E615,F615,"Y"))</f>
        <v/>
      </c>
      <c r="H615" s="9" t="n"/>
    </row>
    <row r="616" ht="14.25" customHeight="1" s="38">
      <c r="A616" s="9" t="n"/>
      <c r="B616" s="9" t="n"/>
      <c r="C616" s="9" t="n"/>
      <c r="D616" s="9" t="n"/>
      <c r="E616" s="9" t="n"/>
      <c r="F616" s="9" t="n"/>
      <c r="G616" s="9">
        <f>IF(OR(E616="",F616=""),"",DATEDIF(E616,F616,"Y"))</f>
        <v/>
      </c>
      <c r="H616" s="9" t="n"/>
    </row>
    <row r="617" ht="14.25" customHeight="1" s="38">
      <c r="A617" s="9" t="n"/>
      <c r="B617" s="9" t="n"/>
      <c r="C617" s="9" t="n"/>
      <c r="D617" s="9" t="n"/>
      <c r="E617" s="9" t="n"/>
      <c r="F617" s="9" t="n"/>
      <c r="G617" s="9">
        <f>IF(OR(E617="",F617=""),"",DATEDIF(E617,F617,"Y"))</f>
        <v/>
      </c>
      <c r="H617" s="9" t="n"/>
    </row>
    <row r="618" ht="14.25" customHeight="1" s="38">
      <c r="A618" s="9" t="n"/>
      <c r="B618" s="9" t="n"/>
      <c r="C618" s="9" t="n"/>
      <c r="D618" s="9" t="n"/>
      <c r="E618" s="9" t="n"/>
      <c r="F618" s="9" t="n"/>
      <c r="G618" s="9">
        <f>IF(OR(E618="",F618=""),"",DATEDIF(E618,F618,"Y"))</f>
        <v/>
      </c>
      <c r="H618" s="9" t="n"/>
    </row>
    <row r="619" ht="14.25" customHeight="1" s="38">
      <c r="A619" s="9" t="n"/>
      <c r="B619" s="9" t="n"/>
      <c r="C619" s="9" t="n"/>
      <c r="D619" s="9" t="n"/>
      <c r="E619" s="9" t="n"/>
      <c r="F619" s="9" t="n"/>
      <c r="G619" s="9">
        <f>IF(OR(E619="",F619=""),"",DATEDIF(E619,F619,"Y"))</f>
        <v/>
      </c>
      <c r="H619" s="9" t="n"/>
    </row>
    <row r="620" ht="14.25" customHeight="1" s="38">
      <c r="A620" s="9" t="n"/>
      <c r="B620" s="9" t="n"/>
      <c r="C620" s="9" t="n"/>
      <c r="D620" s="9" t="n"/>
      <c r="E620" s="9" t="n"/>
      <c r="F620" s="9" t="n"/>
      <c r="G620" s="9">
        <f>IF(OR(E620="",F620=""),"",DATEDIF(E620,F620,"Y"))</f>
        <v/>
      </c>
      <c r="H620" s="9" t="n"/>
    </row>
    <row r="621" ht="14.25" customHeight="1" s="38">
      <c r="A621" s="9" t="n"/>
      <c r="B621" s="9" t="n"/>
      <c r="C621" s="9" t="n"/>
      <c r="D621" s="9" t="n"/>
      <c r="E621" s="9" t="n"/>
      <c r="F621" s="9" t="n"/>
      <c r="G621" s="9">
        <f>IF(OR(E621="",F621=""),"",DATEDIF(E621,F621,"Y"))</f>
        <v/>
      </c>
      <c r="H621" s="9" t="n"/>
    </row>
    <row r="622" ht="14.25" customHeight="1" s="38">
      <c r="A622" s="9" t="n"/>
      <c r="B622" s="9" t="n"/>
      <c r="C622" s="9" t="n"/>
      <c r="D622" s="9" t="n"/>
      <c r="E622" s="9" t="n"/>
      <c r="F622" s="9" t="n"/>
      <c r="G622" s="9">
        <f>IF(OR(E622="",F622=""),"",DATEDIF(E622,F622,"Y"))</f>
        <v/>
      </c>
      <c r="H622" s="9" t="n"/>
    </row>
    <row r="623" ht="14.25" customHeight="1" s="38">
      <c r="A623" s="9" t="n"/>
      <c r="B623" s="9" t="n"/>
      <c r="C623" s="9" t="n"/>
      <c r="D623" s="9" t="n"/>
      <c r="E623" s="9" t="n"/>
      <c r="F623" s="9" t="n"/>
      <c r="G623" s="9">
        <f>IF(OR(E623="",F623=""),"",DATEDIF(E623,F623,"Y"))</f>
        <v/>
      </c>
      <c r="H623" s="9" t="n"/>
    </row>
    <row r="624" ht="14.25" customHeight="1" s="38">
      <c r="A624" s="9" t="n"/>
      <c r="B624" s="9" t="n"/>
      <c r="C624" s="9" t="n"/>
      <c r="D624" s="9" t="n"/>
      <c r="E624" s="9" t="n"/>
      <c r="F624" s="9" t="n"/>
      <c r="G624" s="9">
        <f>IF(OR(E624="",F624=""),"",DATEDIF(E624,F624,"Y"))</f>
        <v/>
      </c>
      <c r="H624" s="9" t="n"/>
    </row>
    <row r="625" ht="14.25" customHeight="1" s="38">
      <c r="A625" s="9" t="n"/>
      <c r="B625" s="9" t="n"/>
      <c r="C625" s="9" t="n"/>
      <c r="D625" s="9" t="n"/>
      <c r="E625" s="9" t="n"/>
      <c r="F625" s="9" t="n"/>
      <c r="G625" s="9">
        <f>IF(OR(E625="",F625=""),"",DATEDIF(E625,F625,"Y"))</f>
        <v/>
      </c>
      <c r="H625" s="9" t="n"/>
    </row>
    <row r="626" ht="14.25" customHeight="1" s="38">
      <c r="A626" s="9" t="n"/>
      <c r="B626" s="9" t="n"/>
      <c r="C626" s="9" t="n"/>
      <c r="D626" s="9" t="n"/>
      <c r="E626" s="9" t="n"/>
      <c r="F626" s="9" t="n"/>
      <c r="G626" s="9">
        <f>IF(OR(E626="",F626=""),"",DATEDIF(E626,F626,"Y"))</f>
        <v/>
      </c>
      <c r="H626" s="9" t="n"/>
    </row>
    <row r="627" ht="14.25" customHeight="1" s="38">
      <c r="A627" s="9" t="n"/>
      <c r="B627" s="9" t="n"/>
      <c r="C627" s="9" t="n"/>
      <c r="D627" s="9" t="n"/>
      <c r="E627" s="9" t="n"/>
      <c r="F627" s="9" t="n"/>
      <c r="G627" s="9">
        <f>IF(OR(E627="",F627=""),"",DATEDIF(E627,F627,"Y"))</f>
        <v/>
      </c>
      <c r="H627" s="9" t="n"/>
    </row>
    <row r="628" ht="14.25" customHeight="1" s="38">
      <c r="A628" s="9" t="n"/>
      <c r="B628" s="9" t="n"/>
      <c r="C628" s="9" t="n"/>
      <c r="D628" s="9" t="n"/>
      <c r="E628" s="9" t="n"/>
      <c r="F628" s="9" t="n"/>
      <c r="G628" s="9">
        <f>IF(OR(E628="",F628=""),"",DATEDIF(E628,F628,"Y"))</f>
        <v/>
      </c>
      <c r="H628" s="9" t="n"/>
    </row>
    <row r="629" ht="14.25" customHeight="1" s="38">
      <c r="A629" s="9" t="n"/>
      <c r="B629" s="9" t="n"/>
      <c r="C629" s="9" t="n"/>
      <c r="D629" s="9" t="n"/>
      <c r="E629" s="9" t="n"/>
      <c r="F629" s="9" t="n"/>
      <c r="G629" s="9">
        <f>IF(OR(E629="",F629=""),"",DATEDIF(E629,F629,"Y"))</f>
        <v/>
      </c>
      <c r="H629" s="9" t="n"/>
    </row>
    <row r="630" ht="14.25" customHeight="1" s="38">
      <c r="A630" s="9" t="n"/>
      <c r="B630" s="9" t="n"/>
      <c r="C630" s="9" t="n"/>
      <c r="D630" s="9" t="n"/>
      <c r="E630" s="9" t="n"/>
      <c r="F630" s="9" t="n"/>
      <c r="G630" s="9">
        <f>IF(OR(E630="",F630=""),"",DATEDIF(E630,F630,"Y"))</f>
        <v/>
      </c>
      <c r="H630" s="9" t="n"/>
    </row>
    <row r="631" ht="14.25" customHeight="1" s="38">
      <c r="A631" s="9" t="n"/>
      <c r="B631" s="9" t="n"/>
      <c r="C631" s="9" t="n"/>
      <c r="D631" s="9" t="n"/>
      <c r="E631" s="9" t="n"/>
      <c r="F631" s="9" t="n"/>
      <c r="G631" s="9">
        <f>IF(OR(E631="",F631=""),"",DATEDIF(E631,F631,"Y"))</f>
        <v/>
      </c>
      <c r="H631" s="9" t="n"/>
    </row>
    <row r="632" ht="14.25" customHeight="1" s="38">
      <c r="A632" s="9" t="n"/>
      <c r="B632" s="9" t="n"/>
      <c r="C632" s="9" t="n"/>
      <c r="D632" s="9" t="n"/>
      <c r="E632" s="9" t="n"/>
      <c r="F632" s="9" t="n"/>
      <c r="G632" s="9">
        <f>IF(OR(E632="",F632=""),"",DATEDIF(E632,F632,"Y"))</f>
        <v/>
      </c>
      <c r="H632" s="9" t="n"/>
    </row>
    <row r="633" ht="14.25" customHeight="1" s="38">
      <c r="A633" s="9" t="n"/>
      <c r="B633" s="9" t="n"/>
      <c r="C633" s="9" t="n"/>
      <c r="D633" s="9" t="n"/>
      <c r="E633" s="9" t="n"/>
      <c r="F633" s="9" t="n"/>
      <c r="G633" s="9">
        <f>IF(OR(E633="",F633=""),"",DATEDIF(E633,F633,"Y"))</f>
        <v/>
      </c>
      <c r="H633" s="9" t="n"/>
    </row>
    <row r="634" ht="14.25" customHeight="1" s="38">
      <c r="A634" s="9" t="n"/>
      <c r="B634" s="9" t="n"/>
      <c r="C634" s="9" t="n"/>
      <c r="D634" s="9" t="n"/>
      <c r="E634" s="9" t="n"/>
      <c r="F634" s="9" t="n"/>
      <c r="G634" s="9">
        <f>IF(OR(E634="",F634=""),"",DATEDIF(E634,F634,"Y"))</f>
        <v/>
      </c>
      <c r="H634" s="9" t="n"/>
    </row>
    <row r="635" ht="14.25" customHeight="1" s="38">
      <c r="A635" s="9" t="n"/>
      <c r="B635" s="9" t="n"/>
      <c r="C635" s="9" t="n"/>
      <c r="D635" s="9" t="n"/>
      <c r="E635" s="9" t="n"/>
      <c r="F635" s="9" t="n"/>
      <c r="G635" s="9">
        <f>IF(OR(E635="",F635=""),"",DATEDIF(E635,F635,"Y"))</f>
        <v/>
      </c>
      <c r="H635" s="9" t="n"/>
    </row>
    <row r="636" ht="14.25" customHeight="1" s="38">
      <c r="A636" s="9" t="n"/>
      <c r="B636" s="9" t="n"/>
      <c r="C636" s="9" t="n"/>
      <c r="D636" s="9" t="n"/>
      <c r="E636" s="9" t="n"/>
      <c r="F636" s="9" t="n"/>
      <c r="G636" s="9">
        <f>IF(OR(E636="",F636=""),"",DATEDIF(E636,F636,"Y"))</f>
        <v/>
      </c>
      <c r="H636" s="9" t="n"/>
    </row>
    <row r="637" ht="14.25" customHeight="1" s="38">
      <c r="A637" s="9" t="n"/>
      <c r="B637" s="9" t="n"/>
      <c r="C637" s="9" t="n"/>
      <c r="D637" s="9" t="n"/>
      <c r="E637" s="9" t="n"/>
      <c r="F637" s="9" t="n"/>
      <c r="G637" s="9">
        <f>IF(OR(E637="",F637=""),"",DATEDIF(E637,F637,"Y"))</f>
        <v/>
      </c>
      <c r="H637" s="9" t="n"/>
    </row>
    <row r="638" ht="14.25" customHeight="1" s="38">
      <c r="A638" s="9" t="n"/>
      <c r="B638" s="9" t="n"/>
      <c r="C638" s="9" t="n"/>
      <c r="D638" s="9" t="n"/>
      <c r="E638" s="9" t="n"/>
      <c r="F638" s="9" t="n"/>
      <c r="G638" s="9">
        <f>IF(OR(E638="",F638=""),"",DATEDIF(E638,F638,"Y"))</f>
        <v/>
      </c>
      <c r="H638" s="9" t="n"/>
    </row>
    <row r="639" ht="14.25" customHeight="1" s="38">
      <c r="A639" s="9" t="n"/>
      <c r="B639" s="9" t="n"/>
      <c r="C639" s="9" t="n"/>
      <c r="D639" s="9" t="n"/>
      <c r="E639" s="9" t="n"/>
      <c r="F639" s="9" t="n"/>
      <c r="G639" s="9">
        <f>IF(OR(E639="",F639=""),"",DATEDIF(E639,F639,"Y"))</f>
        <v/>
      </c>
      <c r="H639" s="9" t="n"/>
    </row>
    <row r="640" ht="14.25" customHeight="1" s="38">
      <c r="A640" s="9" t="n"/>
      <c r="B640" s="9" t="n"/>
      <c r="C640" s="9" t="n"/>
      <c r="D640" s="9" t="n"/>
      <c r="E640" s="9" t="n"/>
      <c r="F640" s="9" t="n"/>
      <c r="G640" s="9">
        <f>IF(OR(E640="",F640=""),"",DATEDIF(E640,F640,"Y"))</f>
        <v/>
      </c>
      <c r="H640" s="9" t="n"/>
    </row>
    <row r="641" ht="14.25" customHeight="1" s="38">
      <c r="A641" s="9" t="n"/>
      <c r="B641" s="9" t="n"/>
      <c r="C641" s="9" t="n"/>
      <c r="D641" s="9" t="n"/>
      <c r="E641" s="9" t="n"/>
      <c r="F641" s="9" t="n"/>
      <c r="G641" s="9">
        <f>IF(OR(E641="",F641=""),"",DATEDIF(E641,F641,"Y"))</f>
        <v/>
      </c>
      <c r="H641" s="9" t="n"/>
    </row>
    <row r="642" ht="14.25" customHeight="1" s="38">
      <c r="A642" s="9" t="n"/>
      <c r="B642" s="9" t="n"/>
      <c r="C642" s="9" t="n"/>
      <c r="D642" s="9" t="n"/>
      <c r="E642" s="9" t="n"/>
      <c r="F642" s="9" t="n"/>
      <c r="G642" s="9">
        <f>IF(OR(E642="",F642=""),"",DATEDIF(E642,F642,"Y"))</f>
        <v/>
      </c>
      <c r="H642" s="9" t="n"/>
    </row>
    <row r="643" ht="14.25" customHeight="1" s="38">
      <c r="A643" s="9" t="n"/>
      <c r="B643" s="9" t="n"/>
      <c r="C643" s="9" t="n"/>
      <c r="D643" s="9" t="n"/>
      <c r="E643" s="9" t="n"/>
      <c r="F643" s="9" t="n"/>
      <c r="G643" s="9">
        <f>IF(OR(E643="",F643=""),"",DATEDIF(E643,F643,"Y"))</f>
        <v/>
      </c>
      <c r="H643" s="9" t="n"/>
    </row>
    <row r="644" ht="14.25" customHeight="1" s="38">
      <c r="A644" s="9" t="n"/>
      <c r="B644" s="9" t="n"/>
      <c r="C644" s="9" t="n"/>
      <c r="D644" s="9" t="n"/>
      <c r="E644" s="9" t="n"/>
      <c r="F644" s="9" t="n"/>
      <c r="G644" s="9">
        <f>IF(OR(E644="",F644=""),"",DATEDIF(E644,F644,"Y"))</f>
        <v/>
      </c>
      <c r="H644" s="9" t="n"/>
    </row>
    <row r="645" ht="14.25" customHeight="1" s="38">
      <c r="A645" s="9" t="n"/>
      <c r="B645" s="9" t="n"/>
      <c r="C645" s="9" t="n"/>
      <c r="D645" s="9" t="n"/>
      <c r="E645" s="9" t="n"/>
      <c r="F645" s="9" t="n"/>
      <c r="G645" s="9">
        <f>IF(OR(E645="",F645=""),"",DATEDIF(E645,F645,"Y"))</f>
        <v/>
      </c>
      <c r="H645" s="9" t="n"/>
    </row>
    <row r="646" ht="14.25" customHeight="1" s="38">
      <c r="A646" s="9" t="n"/>
      <c r="B646" s="9" t="n"/>
      <c r="C646" s="9" t="n"/>
      <c r="D646" s="9" t="n"/>
      <c r="E646" s="9" t="n"/>
      <c r="F646" s="9" t="n"/>
      <c r="G646" s="9">
        <f>IF(OR(E646="",F646=""),"",DATEDIF(E646,F646,"Y"))</f>
        <v/>
      </c>
      <c r="H646" s="9" t="n"/>
    </row>
    <row r="647" ht="14.25" customHeight="1" s="38">
      <c r="A647" s="9" t="n"/>
      <c r="B647" s="9" t="n"/>
      <c r="C647" s="9" t="n"/>
      <c r="D647" s="9" t="n"/>
      <c r="E647" s="9" t="n"/>
      <c r="F647" s="9" t="n"/>
      <c r="G647" s="9">
        <f>IF(OR(E647="",F647=""),"",DATEDIF(E647,F647,"Y"))</f>
        <v/>
      </c>
      <c r="H647" s="9" t="n"/>
    </row>
    <row r="648" ht="14.25" customHeight="1" s="38">
      <c r="A648" s="9" t="n"/>
      <c r="B648" s="9" t="n"/>
      <c r="C648" s="9" t="n"/>
      <c r="D648" s="9" t="n"/>
      <c r="E648" s="9" t="n"/>
      <c r="F648" s="9" t="n"/>
      <c r="G648" s="9">
        <f>IF(OR(E648="",F648=""),"",DATEDIF(E648,F648,"Y"))</f>
        <v/>
      </c>
      <c r="H648" s="9" t="n"/>
    </row>
    <row r="649" ht="14.25" customHeight="1" s="38">
      <c r="A649" s="9" t="n"/>
      <c r="B649" s="9" t="n"/>
      <c r="C649" s="9" t="n"/>
      <c r="D649" s="9" t="n"/>
      <c r="E649" s="9" t="n"/>
      <c r="F649" s="9" t="n"/>
      <c r="G649" s="9">
        <f>IF(OR(E649="",F649=""),"",DATEDIF(E649,F649,"Y"))</f>
        <v/>
      </c>
      <c r="H649" s="9" t="n"/>
    </row>
    <row r="650" ht="14.25" customHeight="1" s="38">
      <c r="A650" s="9" t="n"/>
      <c r="B650" s="9" t="n"/>
      <c r="C650" s="9" t="n"/>
      <c r="D650" s="9" t="n"/>
      <c r="E650" s="9" t="n"/>
      <c r="F650" s="9" t="n"/>
      <c r="G650" s="9">
        <f>IF(OR(E650="",F650=""),"",DATEDIF(E650,F650,"Y"))</f>
        <v/>
      </c>
      <c r="H650" s="9" t="n"/>
    </row>
    <row r="651" ht="14.25" customHeight="1" s="38">
      <c r="A651" s="9" t="n"/>
      <c r="B651" s="9" t="n"/>
      <c r="C651" s="9" t="n"/>
      <c r="D651" s="9" t="n"/>
      <c r="E651" s="9" t="n"/>
      <c r="F651" s="9" t="n"/>
      <c r="G651" s="9">
        <f>IF(OR(E651="",F651=""),"",DATEDIF(E651,F651,"Y"))</f>
        <v/>
      </c>
      <c r="H651" s="9" t="n"/>
    </row>
    <row r="652" ht="14.25" customHeight="1" s="38">
      <c r="A652" s="9" t="n"/>
      <c r="B652" s="9" t="n"/>
      <c r="C652" s="9" t="n"/>
      <c r="D652" s="9" t="n"/>
      <c r="E652" s="9" t="n"/>
      <c r="F652" s="9" t="n"/>
      <c r="G652" s="9">
        <f>IF(OR(E652="",F652=""),"",DATEDIF(E652,F652,"Y"))</f>
        <v/>
      </c>
      <c r="H652" s="9" t="n"/>
    </row>
    <row r="653" ht="14.25" customHeight="1" s="38">
      <c r="A653" s="9" t="n"/>
      <c r="B653" s="9" t="n"/>
      <c r="C653" s="9" t="n"/>
      <c r="D653" s="9" t="n"/>
      <c r="E653" s="9" t="n"/>
      <c r="F653" s="9" t="n"/>
      <c r="G653" s="9">
        <f>IF(OR(E653="",F653=""),"",DATEDIF(E653,F653,"Y"))</f>
        <v/>
      </c>
      <c r="H653" s="9" t="n"/>
    </row>
    <row r="654" ht="14.25" customHeight="1" s="38">
      <c r="A654" s="9" t="n"/>
      <c r="B654" s="9" t="n"/>
      <c r="C654" s="9" t="n"/>
      <c r="D654" s="9" t="n"/>
      <c r="E654" s="9" t="n"/>
      <c r="F654" s="9" t="n"/>
      <c r="G654" s="9">
        <f>IF(OR(E654="",F654=""),"",DATEDIF(E654,F654,"Y"))</f>
        <v/>
      </c>
      <c r="H654" s="9" t="n"/>
    </row>
    <row r="655" ht="14.25" customHeight="1" s="38">
      <c r="A655" s="9" t="n"/>
      <c r="B655" s="9" t="n"/>
      <c r="C655" s="9" t="n"/>
      <c r="D655" s="9" t="n"/>
      <c r="E655" s="9" t="n"/>
      <c r="F655" s="9" t="n"/>
      <c r="G655" s="9">
        <f>IF(OR(E655="",F655=""),"",DATEDIF(E655,F655,"Y"))</f>
        <v/>
      </c>
      <c r="H655" s="9" t="n"/>
    </row>
    <row r="656" ht="14.25" customHeight="1" s="38">
      <c r="A656" s="9" t="n"/>
      <c r="B656" s="9" t="n"/>
      <c r="C656" s="9" t="n"/>
      <c r="D656" s="9" t="n"/>
      <c r="E656" s="9" t="n"/>
      <c r="F656" s="9" t="n"/>
      <c r="G656" s="9">
        <f>IF(OR(E656="",F656=""),"",DATEDIF(E656,F656,"Y"))</f>
        <v/>
      </c>
      <c r="H656" s="9" t="n"/>
    </row>
    <row r="657" ht="14.25" customHeight="1" s="38">
      <c r="A657" s="9" t="n"/>
      <c r="B657" s="9" t="n"/>
      <c r="C657" s="9" t="n"/>
      <c r="D657" s="9" t="n"/>
      <c r="E657" s="9" t="n"/>
      <c r="F657" s="9" t="n"/>
      <c r="G657" s="9">
        <f>IF(OR(E657="",F657=""),"",DATEDIF(E657,F657,"Y"))</f>
        <v/>
      </c>
      <c r="H657" s="9" t="n"/>
    </row>
    <row r="658" ht="14.25" customHeight="1" s="38">
      <c r="A658" s="9" t="n"/>
      <c r="B658" s="9" t="n"/>
      <c r="C658" s="9" t="n"/>
      <c r="D658" s="9" t="n"/>
      <c r="E658" s="9" t="n"/>
      <c r="F658" s="9" t="n"/>
      <c r="G658" s="9">
        <f>IF(OR(E658="",F658=""),"",DATEDIF(E658,F658,"Y"))</f>
        <v/>
      </c>
      <c r="H658" s="9" t="n"/>
    </row>
    <row r="659" ht="14.25" customHeight="1" s="38">
      <c r="A659" s="9" t="n"/>
      <c r="B659" s="9" t="n"/>
      <c r="C659" s="9" t="n"/>
      <c r="D659" s="9" t="n"/>
      <c r="E659" s="9" t="n"/>
      <c r="F659" s="9" t="n"/>
      <c r="G659" s="9">
        <f>IF(OR(E659="",F659=""),"",DATEDIF(E659,F659,"Y"))</f>
        <v/>
      </c>
      <c r="H659" s="9" t="n"/>
    </row>
    <row r="660" ht="14.25" customHeight="1" s="38">
      <c r="A660" s="9" t="n"/>
      <c r="B660" s="9" t="n"/>
      <c r="C660" s="9" t="n"/>
      <c r="D660" s="9" t="n"/>
      <c r="E660" s="9" t="n"/>
      <c r="F660" s="9" t="n"/>
      <c r="G660" s="9">
        <f>IF(OR(E660="",F660=""),"",DATEDIF(E660,F660,"Y"))</f>
        <v/>
      </c>
      <c r="H660" s="9" t="n"/>
    </row>
    <row r="661" ht="14.25" customHeight="1" s="38">
      <c r="A661" s="9" t="n"/>
      <c r="B661" s="9" t="n"/>
      <c r="C661" s="9" t="n"/>
      <c r="D661" s="9" t="n"/>
      <c r="E661" s="9" t="n"/>
      <c r="F661" s="9" t="n"/>
      <c r="G661" s="9">
        <f>IF(OR(E661="",F661=""),"",DATEDIF(E661,F661,"Y"))</f>
        <v/>
      </c>
      <c r="H661" s="9" t="n"/>
    </row>
    <row r="662" ht="14.25" customHeight="1" s="38">
      <c r="A662" s="9" t="n"/>
      <c r="B662" s="9" t="n"/>
      <c r="C662" s="9" t="n"/>
      <c r="D662" s="9" t="n"/>
      <c r="E662" s="9" t="n"/>
      <c r="F662" s="9" t="n"/>
      <c r="G662" s="9">
        <f>IF(OR(E662="",F662=""),"",DATEDIF(E662,F662,"Y"))</f>
        <v/>
      </c>
      <c r="H662" s="9" t="n"/>
    </row>
    <row r="663" ht="14.25" customHeight="1" s="38">
      <c r="A663" s="9" t="n"/>
      <c r="B663" s="9" t="n"/>
      <c r="C663" s="9" t="n"/>
      <c r="D663" s="9" t="n"/>
      <c r="E663" s="9" t="n"/>
      <c r="F663" s="9" t="n"/>
      <c r="G663" s="9">
        <f>IF(OR(E663="",F663=""),"",DATEDIF(E663,F663,"Y"))</f>
        <v/>
      </c>
      <c r="H663" s="9" t="n"/>
    </row>
    <row r="664" ht="14.25" customHeight="1" s="38">
      <c r="A664" s="9" t="n"/>
      <c r="B664" s="9" t="n"/>
      <c r="C664" s="9" t="n"/>
      <c r="D664" s="9" t="n"/>
      <c r="E664" s="9" t="n"/>
      <c r="F664" s="9" t="n"/>
      <c r="G664" s="9">
        <f>IF(OR(E664="",F664=""),"",DATEDIF(E664,F664,"Y"))</f>
        <v/>
      </c>
      <c r="H664" s="9" t="n"/>
    </row>
    <row r="665" ht="14.25" customHeight="1" s="38">
      <c r="A665" s="9" t="n"/>
      <c r="B665" s="9" t="n"/>
      <c r="C665" s="9" t="n"/>
      <c r="D665" s="9" t="n"/>
      <c r="E665" s="9" t="n"/>
      <c r="F665" s="9" t="n"/>
      <c r="G665" s="9">
        <f>IF(OR(E665="",F665=""),"",DATEDIF(E665,F665,"Y"))</f>
        <v/>
      </c>
      <c r="H665" s="9" t="n"/>
    </row>
    <row r="666" ht="14.25" customHeight="1" s="38">
      <c r="A666" s="9" t="n"/>
      <c r="B666" s="9" t="n"/>
      <c r="C666" s="9" t="n"/>
      <c r="D666" s="9" t="n"/>
      <c r="E666" s="9" t="n"/>
      <c r="F666" s="9" t="n"/>
      <c r="G666" s="9">
        <f>IF(OR(E666="",F666=""),"",DATEDIF(E666,F666,"Y"))</f>
        <v/>
      </c>
      <c r="H666" s="9" t="n"/>
    </row>
    <row r="667" ht="14.25" customHeight="1" s="38">
      <c r="A667" s="9" t="n"/>
      <c r="B667" s="9" t="n"/>
      <c r="C667" s="9" t="n"/>
      <c r="D667" s="9" t="n"/>
      <c r="E667" s="9" t="n"/>
      <c r="F667" s="9" t="n"/>
      <c r="G667" s="9">
        <f>IF(OR(E667="",F667=""),"",DATEDIF(E667,F667,"Y"))</f>
        <v/>
      </c>
      <c r="H667" s="9" t="n"/>
    </row>
    <row r="668" ht="14.25" customHeight="1" s="38">
      <c r="A668" s="9" t="n"/>
      <c r="B668" s="9" t="n"/>
      <c r="C668" s="9" t="n"/>
      <c r="D668" s="9" t="n"/>
      <c r="E668" s="9" t="n"/>
      <c r="F668" s="9" t="n"/>
      <c r="G668" s="9">
        <f>IF(OR(E668="",F668=""),"",DATEDIF(E668,F668,"Y"))</f>
        <v/>
      </c>
      <c r="H668" s="9" t="n"/>
    </row>
    <row r="669" ht="14.25" customHeight="1" s="38">
      <c r="A669" s="9" t="n"/>
      <c r="B669" s="9" t="n"/>
      <c r="C669" s="9" t="n"/>
      <c r="D669" s="9" t="n"/>
      <c r="E669" s="9" t="n"/>
      <c r="F669" s="9" t="n"/>
      <c r="G669" s="9">
        <f>IF(OR(E669="",F669=""),"",DATEDIF(E669,F669,"Y"))</f>
        <v/>
      </c>
      <c r="H669" s="9" t="n"/>
    </row>
    <row r="670" ht="14.25" customHeight="1" s="38">
      <c r="A670" s="9" t="n"/>
      <c r="B670" s="9" t="n"/>
      <c r="C670" s="9" t="n"/>
      <c r="D670" s="9" t="n"/>
      <c r="E670" s="9" t="n"/>
      <c r="F670" s="9" t="n"/>
      <c r="G670" s="9">
        <f>IF(OR(E670="",F670=""),"",DATEDIF(E670,F670,"Y"))</f>
        <v/>
      </c>
      <c r="H670" s="9" t="n"/>
    </row>
    <row r="671" ht="14.25" customHeight="1" s="38">
      <c r="A671" s="9" t="n"/>
      <c r="B671" s="9" t="n"/>
      <c r="C671" s="9" t="n"/>
      <c r="D671" s="9" t="n"/>
      <c r="E671" s="9" t="n"/>
      <c r="F671" s="9" t="n"/>
      <c r="G671" s="9">
        <f>IF(OR(E671="",F671=""),"",DATEDIF(E671,F671,"Y"))</f>
        <v/>
      </c>
      <c r="H671" s="9" t="n"/>
    </row>
    <row r="672" ht="14.25" customHeight="1" s="38">
      <c r="A672" s="9" t="n"/>
      <c r="B672" s="9" t="n"/>
      <c r="C672" s="9" t="n"/>
      <c r="D672" s="9" t="n"/>
      <c r="E672" s="9" t="n"/>
      <c r="F672" s="9" t="n"/>
      <c r="G672" s="9">
        <f>IF(OR(E672="",F672=""),"",DATEDIF(E672,F672,"Y"))</f>
        <v/>
      </c>
      <c r="H672" s="9" t="n"/>
    </row>
    <row r="673" ht="14.25" customHeight="1" s="38">
      <c r="A673" s="9" t="n"/>
      <c r="B673" s="9" t="n"/>
      <c r="C673" s="9" t="n"/>
      <c r="D673" s="9" t="n"/>
      <c r="E673" s="9" t="n"/>
      <c r="F673" s="9" t="n"/>
      <c r="G673" s="9">
        <f>IF(OR(E673="",F673=""),"",DATEDIF(E673,F673,"Y"))</f>
        <v/>
      </c>
      <c r="H673" s="9" t="n"/>
    </row>
    <row r="674" ht="14.25" customHeight="1" s="38">
      <c r="A674" s="9" t="n"/>
      <c r="B674" s="9" t="n"/>
      <c r="C674" s="9" t="n"/>
      <c r="D674" s="9" t="n"/>
      <c r="E674" s="9" t="n"/>
      <c r="F674" s="9" t="n"/>
      <c r="G674" s="9">
        <f>IF(OR(E674="",F674=""),"",DATEDIF(E674,F674,"Y"))</f>
        <v/>
      </c>
      <c r="H674" s="9" t="n"/>
    </row>
    <row r="675" ht="14.25" customHeight="1" s="38">
      <c r="A675" s="9" t="n"/>
      <c r="B675" s="9" t="n"/>
      <c r="C675" s="9" t="n"/>
      <c r="D675" s="9" t="n"/>
      <c r="E675" s="9" t="n"/>
      <c r="F675" s="9" t="n"/>
      <c r="G675" s="9">
        <f>IF(OR(E675="",F675=""),"",DATEDIF(E675,F675,"Y"))</f>
        <v/>
      </c>
      <c r="H675" s="9" t="n"/>
    </row>
    <row r="676" ht="14.25" customHeight="1" s="38">
      <c r="A676" s="9" t="n"/>
      <c r="B676" s="9" t="n"/>
      <c r="C676" s="9" t="n"/>
      <c r="D676" s="9" t="n"/>
      <c r="E676" s="9" t="n"/>
      <c r="F676" s="9" t="n"/>
      <c r="G676" s="9">
        <f>IF(OR(E676="",F676=""),"",DATEDIF(E676,F676,"Y"))</f>
        <v/>
      </c>
      <c r="H676" s="9" t="n"/>
    </row>
    <row r="677" ht="14.25" customHeight="1" s="38">
      <c r="A677" s="9" t="n"/>
      <c r="B677" s="9" t="n"/>
      <c r="C677" s="9" t="n"/>
      <c r="D677" s="9" t="n"/>
      <c r="E677" s="9" t="n"/>
      <c r="F677" s="9" t="n"/>
      <c r="G677" s="9">
        <f>IF(OR(E677="",F677=""),"",DATEDIF(E677,F677,"Y"))</f>
        <v/>
      </c>
      <c r="H677" s="9" t="n"/>
    </row>
    <row r="678" ht="14.25" customHeight="1" s="38">
      <c r="A678" s="9" t="n"/>
      <c r="B678" s="9" t="n"/>
      <c r="C678" s="9" t="n"/>
      <c r="D678" s="9" t="n"/>
      <c r="E678" s="9" t="n"/>
      <c r="F678" s="9" t="n"/>
      <c r="G678" s="9">
        <f>IF(OR(E678="",F678=""),"",DATEDIF(E678,F678,"Y"))</f>
        <v/>
      </c>
      <c r="H678" s="9" t="n"/>
    </row>
    <row r="679" ht="14.25" customHeight="1" s="38">
      <c r="A679" s="9" t="n"/>
      <c r="B679" s="9" t="n"/>
      <c r="C679" s="9" t="n"/>
      <c r="D679" s="9" t="n"/>
      <c r="E679" s="9" t="n"/>
      <c r="F679" s="9" t="n"/>
      <c r="G679" s="9">
        <f>IF(OR(E679="",F679=""),"",DATEDIF(E679,F679,"Y"))</f>
        <v/>
      </c>
      <c r="H679" s="9" t="n"/>
    </row>
    <row r="680" ht="14.25" customHeight="1" s="38">
      <c r="A680" s="9" t="n"/>
      <c r="B680" s="9" t="n"/>
      <c r="C680" s="9" t="n"/>
      <c r="D680" s="9" t="n"/>
      <c r="E680" s="9" t="n"/>
      <c r="F680" s="9" t="n"/>
      <c r="G680" s="9">
        <f>IF(OR(E680="",F680=""),"",DATEDIF(E680,F680,"Y"))</f>
        <v/>
      </c>
      <c r="H680" s="9" t="n"/>
    </row>
    <row r="681" ht="14.25" customHeight="1" s="38">
      <c r="A681" s="9" t="n"/>
      <c r="B681" s="9" t="n"/>
      <c r="C681" s="9" t="n"/>
      <c r="D681" s="9" t="n"/>
      <c r="E681" s="9" t="n"/>
      <c r="F681" s="9" t="n"/>
      <c r="G681" s="9">
        <f>IF(OR(E681="",F681=""),"",DATEDIF(E681,F681,"Y"))</f>
        <v/>
      </c>
      <c r="H681" s="9" t="n"/>
    </row>
    <row r="682" ht="14.25" customHeight="1" s="38">
      <c r="A682" s="9" t="n"/>
      <c r="B682" s="9" t="n"/>
      <c r="C682" s="9" t="n"/>
      <c r="D682" s="9" t="n"/>
      <c r="E682" s="9" t="n"/>
      <c r="F682" s="9" t="n"/>
      <c r="G682" s="9">
        <f>IF(OR(E682="",F682=""),"",DATEDIF(E682,F682,"Y"))</f>
        <v/>
      </c>
      <c r="H682" s="9" t="n"/>
    </row>
    <row r="683" ht="14.25" customHeight="1" s="38">
      <c r="A683" s="9" t="n"/>
      <c r="B683" s="9" t="n"/>
      <c r="C683" s="9" t="n"/>
      <c r="D683" s="9" t="n"/>
      <c r="E683" s="9" t="n"/>
      <c r="F683" s="9" t="n"/>
      <c r="G683" s="9">
        <f>IF(OR(E683="",F683=""),"",DATEDIF(E683,F683,"Y"))</f>
        <v/>
      </c>
      <c r="H683" s="9" t="n"/>
    </row>
    <row r="684" ht="14.25" customHeight="1" s="38">
      <c r="A684" s="9" t="n"/>
      <c r="B684" s="9" t="n"/>
      <c r="C684" s="9" t="n"/>
      <c r="D684" s="9" t="n"/>
      <c r="E684" s="9" t="n"/>
      <c r="F684" s="9" t="n"/>
      <c r="G684" s="9">
        <f>IF(OR(E684="",F684=""),"",DATEDIF(E684,F684,"Y"))</f>
        <v/>
      </c>
      <c r="H684" s="9" t="n"/>
    </row>
    <row r="685" ht="14.25" customHeight="1" s="38">
      <c r="A685" s="9" t="n"/>
      <c r="B685" s="9" t="n"/>
      <c r="C685" s="9" t="n"/>
      <c r="D685" s="9" t="n"/>
      <c r="E685" s="9" t="n"/>
      <c r="F685" s="9" t="n"/>
      <c r="G685" s="9">
        <f>IF(OR(E685="",F685=""),"",DATEDIF(E685,F685,"Y"))</f>
        <v/>
      </c>
      <c r="H685" s="9" t="n"/>
    </row>
    <row r="686" ht="14.25" customHeight="1" s="38">
      <c r="A686" s="9" t="n"/>
      <c r="B686" s="9" t="n"/>
      <c r="C686" s="9" t="n"/>
      <c r="D686" s="9" t="n"/>
      <c r="E686" s="9" t="n"/>
      <c r="F686" s="9" t="n"/>
      <c r="G686" s="9">
        <f>IF(OR(E686="",F686=""),"",DATEDIF(E686,F686,"Y"))</f>
        <v/>
      </c>
      <c r="H686" s="9" t="n"/>
    </row>
    <row r="687" ht="14.25" customHeight="1" s="38">
      <c r="A687" s="9" t="n"/>
      <c r="B687" s="9" t="n"/>
      <c r="C687" s="9" t="n"/>
      <c r="D687" s="9" t="n"/>
      <c r="E687" s="9" t="n"/>
      <c r="F687" s="9" t="n"/>
      <c r="G687" s="9">
        <f>IF(OR(E687="",F687=""),"",DATEDIF(E687,F687,"Y"))</f>
        <v/>
      </c>
      <c r="H687" s="9" t="n"/>
    </row>
    <row r="688" ht="14.25" customHeight="1" s="38">
      <c r="A688" s="9" t="n"/>
      <c r="B688" s="9" t="n"/>
      <c r="C688" s="9" t="n"/>
      <c r="D688" s="9" t="n"/>
      <c r="E688" s="9" t="n"/>
      <c r="F688" s="9" t="n"/>
      <c r="G688" s="9">
        <f>IF(OR(E688="",F688=""),"",DATEDIF(E688,F688,"Y"))</f>
        <v/>
      </c>
      <c r="H688" s="9" t="n"/>
    </row>
    <row r="689" ht="14.25" customHeight="1" s="38">
      <c r="A689" s="9" t="n"/>
      <c r="B689" s="9" t="n"/>
      <c r="C689" s="9" t="n"/>
      <c r="D689" s="9" t="n"/>
      <c r="E689" s="9" t="n"/>
      <c r="F689" s="9" t="n"/>
      <c r="G689" s="9">
        <f>IF(OR(E689="",F689=""),"",DATEDIF(E689,F689,"Y"))</f>
        <v/>
      </c>
      <c r="H689" s="9" t="n"/>
    </row>
    <row r="690" ht="14.25" customHeight="1" s="38">
      <c r="A690" s="9" t="n"/>
      <c r="B690" s="9" t="n"/>
      <c r="C690" s="9" t="n"/>
      <c r="D690" s="9" t="n"/>
      <c r="E690" s="9" t="n"/>
      <c r="F690" s="9" t="n"/>
      <c r="G690" s="9">
        <f>IF(OR(E690="",F690=""),"",DATEDIF(E690,F690,"Y"))</f>
        <v/>
      </c>
      <c r="H690" s="9" t="n"/>
    </row>
    <row r="691" ht="14.25" customHeight="1" s="38">
      <c r="A691" s="9" t="n"/>
      <c r="B691" s="9" t="n"/>
      <c r="C691" s="9" t="n"/>
      <c r="D691" s="9" t="n"/>
      <c r="E691" s="9" t="n"/>
      <c r="F691" s="9" t="n"/>
      <c r="G691" s="9">
        <f>IF(OR(E691="",F691=""),"",DATEDIF(E691,F691,"Y"))</f>
        <v/>
      </c>
      <c r="H691" s="9" t="n"/>
    </row>
    <row r="692" ht="14.25" customHeight="1" s="38">
      <c r="A692" s="9" t="n"/>
      <c r="B692" s="9" t="n"/>
      <c r="C692" s="9" t="n"/>
      <c r="D692" s="9" t="n"/>
      <c r="E692" s="9" t="n"/>
      <c r="F692" s="9" t="n"/>
      <c r="G692" s="9">
        <f>IF(OR(E692="",F692=""),"",DATEDIF(E692,F692,"Y"))</f>
        <v/>
      </c>
      <c r="H692" s="9" t="n"/>
    </row>
    <row r="693" ht="14.25" customHeight="1" s="38">
      <c r="A693" s="9" t="n"/>
      <c r="B693" s="9" t="n"/>
      <c r="C693" s="9" t="n"/>
      <c r="D693" s="9" t="n"/>
      <c r="E693" s="9" t="n"/>
      <c r="F693" s="9" t="n"/>
      <c r="G693" s="9">
        <f>IF(OR(E693="",F693=""),"",DATEDIF(E693,F693,"Y"))</f>
        <v/>
      </c>
      <c r="H693" s="9" t="n"/>
    </row>
    <row r="694" ht="14.25" customHeight="1" s="38">
      <c r="A694" s="9" t="n"/>
      <c r="B694" s="9" t="n"/>
      <c r="C694" s="9" t="n"/>
      <c r="D694" s="9" t="n"/>
      <c r="E694" s="9" t="n"/>
      <c r="F694" s="9" t="n"/>
      <c r="G694" s="9">
        <f>IF(OR(E694="",F694=""),"",DATEDIF(E694,F694,"Y"))</f>
        <v/>
      </c>
      <c r="H694" s="9" t="n"/>
    </row>
    <row r="695" ht="14.25" customHeight="1" s="38">
      <c r="A695" s="9" t="n"/>
      <c r="B695" s="9" t="n"/>
      <c r="C695" s="9" t="n"/>
      <c r="D695" s="9" t="n"/>
      <c r="E695" s="9" t="n"/>
      <c r="F695" s="9" t="n"/>
      <c r="G695" s="9">
        <f>IF(OR(E695="",F695=""),"",DATEDIF(E695,F695,"Y"))</f>
        <v/>
      </c>
      <c r="H695" s="9" t="n"/>
    </row>
    <row r="696" ht="14.25" customHeight="1" s="38">
      <c r="A696" s="9" t="n"/>
      <c r="B696" s="9" t="n"/>
      <c r="C696" s="9" t="n"/>
      <c r="D696" s="9" t="n"/>
      <c r="E696" s="9" t="n"/>
      <c r="F696" s="9" t="n"/>
      <c r="G696" s="9">
        <f>IF(OR(E696="",F696=""),"",DATEDIF(E696,F696,"Y"))</f>
        <v/>
      </c>
      <c r="H696" s="9" t="n"/>
    </row>
    <row r="697" ht="14.25" customHeight="1" s="38">
      <c r="A697" s="9" t="n"/>
      <c r="B697" s="9" t="n"/>
      <c r="C697" s="9" t="n"/>
      <c r="D697" s="9" t="n"/>
      <c r="E697" s="9" t="n"/>
      <c r="F697" s="9" t="n"/>
      <c r="G697" s="9">
        <f>IF(OR(E697="",F697=""),"",DATEDIF(E697,F697,"Y"))</f>
        <v/>
      </c>
      <c r="H697" s="9" t="n"/>
    </row>
    <row r="698" ht="14.25" customHeight="1" s="38">
      <c r="A698" s="9" t="n"/>
      <c r="B698" s="9" t="n"/>
      <c r="C698" s="9" t="n"/>
      <c r="D698" s="9" t="n"/>
      <c r="E698" s="9" t="n"/>
      <c r="F698" s="9" t="n"/>
      <c r="G698" s="9">
        <f>IF(OR(E698="",F698=""),"",DATEDIF(E698,F698,"Y"))</f>
        <v/>
      </c>
      <c r="H698" s="9" t="n"/>
    </row>
    <row r="699" ht="14.25" customHeight="1" s="38">
      <c r="A699" s="9" t="n"/>
      <c r="B699" s="9" t="n"/>
      <c r="C699" s="9" t="n"/>
      <c r="D699" s="9" t="n"/>
      <c r="E699" s="9" t="n"/>
      <c r="F699" s="9" t="n"/>
      <c r="G699" s="9">
        <f>IF(OR(E699="",F699=""),"",DATEDIF(E699,F699,"Y"))</f>
        <v/>
      </c>
      <c r="H699" s="9" t="n"/>
    </row>
    <row r="700" ht="14.25" customHeight="1" s="38">
      <c r="A700" s="9" t="n"/>
      <c r="B700" s="9" t="n"/>
      <c r="C700" s="9" t="n"/>
      <c r="D700" s="9" t="n"/>
      <c r="E700" s="9" t="n"/>
      <c r="F700" s="9" t="n"/>
      <c r="G700" s="9">
        <f>IF(OR(E700="",F700=""),"",DATEDIF(E700,F700,"Y"))</f>
        <v/>
      </c>
      <c r="H700" s="9" t="n"/>
    </row>
    <row r="701" ht="14.25" customHeight="1" s="38">
      <c r="A701" s="9" t="n"/>
      <c r="B701" s="9" t="n"/>
      <c r="C701" s="9" t="n"/>
      <c r="D701" s="9" t="n"/>
      <c r="E701" s="9" t="n"/>
      <c r="F701" s="9" t="n"/>
      <c r="G701" s="9">
        <f>IF(OR(E701="",F701=""),"",DATEDIF(E701,F701,"Y"))</f>
        <v/>
      </c>
      <c r="H701" s="9" t="n"/>
    </row>
    <row r="702" ht="14.25" customHeight="1" s="38">
      <c r="A702" s="9" t="n"/>
      <c r="B702" s="9" t="n"/>
      <c r="C702" s="9" t="n"/>
      <c r="D702" s="9" t="n"/>
      <c r="E702" s="9" t="n"/>
      <c r="F702" s="9" t="n"/>
      <c r="G702" s="9">
        <f>IF(OR(E702="",F702=""),"",DATEDIF(E702,F702,"Y"))</f>
        <v/>
      </c>
      <c r="H702" s="9" t="n"/>
    </row>
    <row r="703" ht="14.25" customHeight="1" s="38">
      <c r="A703" s="9" t="n"/>
      <c r="B703" s="9" t="n"/>
      <c r="C703" s="9" t="n"/>
      <c r="D703" s="9" t="n"/>
      <c r="E703" s="9" t="n"/>
      <c r="F703" s="9" t="n"/>
      <c r="G703" s="9">
        <f>IF(OR(E703="",F703=""),"",DATEDIF(E703,F703,"Y"))</f>
        <v/>
      </c>
      <c r="H703" s="9" t="n"/>
    </row>
    <row r="704" ht="14.25" customHeight="1" s="38">
      <c r="A704" s="9" t="n"/>
      <c r="B704" s="9" t="n"/>
      <c r="C704" s="9" t="n"/>
      <c r="D704" s="9" t="n"/>
      <c r="E704" s="9" t="n"/>
      <c r="F704" s="9" t="n"/>
      <c r="G704" s="9">
        <f>IF(OR(E704="",F704=""),"",DATEDIF(E704,F704,"Y"))</f>
        <v/>
      </c>
      <c r="H704" s="9" t="n"/>
    </row>
    <row r="705" ht="14.25" customHeight="1" s="38">
      <c r="A705" s="9" t="n"/>
      <c r="B705" s="9" t="n"/>
      <c r="C705" s="9" t="n"/>
      <c r="D705" s="9" t="n"/>
      <c r="E705" s="9" t="n"/>
      <c r="F705" s="9" t="n"/>
      <c r="G705" s="9">
        <f>IF(OR(E705="",F705=""),"",DATEDIF(E705,F705,"Y"))</f>
        <v/>
      </c>
      <c r="H705" s="9" t="n"/>
    </row>
    <row r="706" ht="14.25" customHeight="1" s="38">
      <c r="A706" s="9" t="n"/>
      <c r="B706" s="9" t="n"/>
      <c r="C706" s="9" t="n"/>
      <c r="D706" s="9" t="n"/>
      <c r="E706" s="9" t="n"/>
      <c r="F706" s="9" t="n"/>
      <c r="G706" s="9">
        <f>IF(OR(E706="",F706=""),"",DATEDIF(E706,F706,"Y"))</f>
        <v/>
      </c>
      <c r="H706" s="9" t="n"/>
    </row>
    <row r="707" ht="14.25" customHeight="1" s="38">
      <c r="A707" s="9" t="n"/>
      <c r="B707" s="9" t="n"/>
      <c r="C707" s="9" t="n"/>
      <c r="D707" s="9" t="n"/>
      <c r="E707" s="9" t="n"/>
      <c r="F707" s="9" t="n"/>
      <c r="G707" s="9">
        <f>IF(OR(E707="",F707=""),"",DATEDIF(E707,F707,"Y"))</f>
        <v/>
      </c>
      <c r="H707" s="9" t="n"/>
    </row>
    <row r="708" ht="14.25" customHeight="1" s="38">
      <c r="A708" s="9" t="n"/>
      <c r="B708" s="9" t="n"/>
      <c r="C708" s="9" t="n"/>
      <c r="D708" s="9" t="n"/>
      <c r="E708" s="9" t="n"/>
      <c r="F708" s="9" t="n"/>
      <c r="G708" s="9">
        <f>IF(OR(E708="",F708=""),"",DATEDIF(E708,F708,"Y"))</f>
        <v/>
      </c>
      <c r="H708" s="9" t="n"/>
    </row>
    <row r="709" ht="14.25" customHeight="1" s="38">
      <c r="A709" s="9" t="n"/>
      <c r="B709" s="9" t="n"/>
      <c r="C709" s="9" t="n"/>
      <c r="D709" s="9" t="n"/>
      <c r="E709" s="9" t="n"/>
      <c r="F709" s="9" t="n"/>
      <c r="G709" s="9">
        <f>IF(OR(E709="",F709=""),"",DATEDIF(E709,F709,"Y"))</f>
        <v/>
      </c>
      <c r="H709" s="9" t="n"/>
    </row>
    <row r="710" ht="14.25" customHeight="1" s="38">
      <c r="A710" s="9" t="n"/>
      <c r="B710" s="9" t="n"/>
      <c r="C710" s="9" t="n"/>
      <c r="D710" s="9" t="n"/>
      <c r="E710" s="9" t="n"/>
      <c r="F710" s="9" t="n"/>
      <c r="G710" s="9">
        <f>IF(OR(E710="",F710=""),"",DATEDIF(E710,F710,"Y"))</f>
        <v/>
      </c>
      <c r="H710" s="9" t="n"/>
    </row>
    <row r="711" ht="14.25" customHeight="1" s="38">
      <c r="A711" s="9" t="n"/>
      <c r="B711" s="9" t="n"/>
      <c r="C711" s="9" t="n"/>
      <c r="D711" s="9" t="n"/>
      <c r="E711" s="9" t="n"/>
      <c r="F711" s="9" t="n"/>
      <c r="G711" s="9">
        <f>IF(OR(E711="",F711=""),"",DATEDIF(E711,F711,"Y"))</f>
        <v/>
      </c>
      <c r="H711" s="9" t="n"/>
    </row>
    <row r="712" ht="14.25" customHeight="1" s="38">
      <c r="A712" s="9" t="n"/>
      <c r="B712" s="9" t="n"/>
      <c r="C712" s="9" t="n"/>
      <c r="D712" s="9" t="n"/>
      <c r="E712" s="9" t="n"/>
      <c r="F712" s="9" t="n"/>
      <c r="G712" s="9">
        <f>IF(OR(E712="",F712=""),"",DATEDIF(E712,F712,"Y"))</f>
        <v/>
      </c>
      <c r="H712" s="9" t="n"/>
    </row>
    <row r="713" ht="14.25" customHeight="1" s="38">
      <c r="A713" s="9" t="n"/>
      <c r="B713" s="9" t="n"/>
      <c r="C713" s="9" t="n"/>
      <c r="D713" s="9" t="n"/>
      <c r="E713" s="9" t="n"/>
      <c r="F713" s="9" t="n"/>
      <c r="G713" s="9">
        <f>IF(OR(E713="",F713=""),"",DATEDIF(E713,F713,"Y"))</f>
        <v/>
      </c>
      <c r="H713" s="9" t="n"/>
    </row>
    <row r="714" ht="14.25" customHeight="1" s="38">
      <c r="A714" s="9" t="n"/>
      <c r="B714" s="9" t="n"/>
      <c r="C714" s="9" t="n"/>
      <c r="D714" s="9" t="n"/>
      <c r="E714" s="9" t="n"/>
      <c r="F714" s="9" t="n"/>
      <c r="G714" s="9">
        <f>IF(OR(E714="",F714=""),"",DATEDIF(E714,F714,"Y"))</f>
        <v/>
      </c>
      <c r="H714" s="9" t="n"/>
    </row>
    <row r="715" ht="14.25" customHeight="1" s="38">
      <c r="A715" s="9" t="n"/>
      <c r="B715" s="9" t="n"/>
      <c r="C715" s="9" t="n"/>
      <c r="D715" s="9" t="n"/>
      <c r="E715" s="9" t="n"/>
      <c r="F715" s="9" t="n"/>
      <c r="G715" s="9">
        <f>IF(OR(E715="",F715=""),"",DATEDIF(E715,F715,"Y"))</f>
        <v/>
      </c>
      <c r="H715" s="9" t="n"/>
    </row>
    <row r="716" ht="14.25" customHeight="1" s="38">
      <c r="A716" s="9" t="n"/>
      <c r="B716" s="9" t="n"/>
      <c r="C716" s="9" t="n"/>
      <c r="D716" s="9" t="n"/>
      <c r="E716" s="9" t="n"/>
      <c r="F716" s="9" t="n"/>
      <c r="G716" s="9">
        <f>IF(OR(E716="",F716=""),"",DATEDIF(E716,F716,"Y"))</f>
        <v/>
      </c>
      <c r="H716" s="9" t="n"/>
    </row>
    <row r="717" ht="14.25" customHeight="1" s="38">
      <c r="A717" s="9" t="n"/>
      <c r="B717" s="9" t="n"/>
      <c r="C717" s="9" t="n"/>
      <c r="D717" s="9" t="n"/>
      <c r="E717" s="9" t="n"/>
      <c r="F717" s="9" t="n"/>
      <c r="G717" s="9">
        <f>IF(OR(E717="",F717=""),"",DATEDIF(E717,F717,"Y"))</f>
        <v/>
      </c>
      <c r="H717" s="9" t="n"/>
    </row>
    <row r="718" ht="14.25" customHeight="1" s="38">
      <c r="A718" s="9" t="n"/>
      <c r="B718" s="9" t="n"/>
      <c r="C718" s="9" t="n"/>
      <c r="D718" s="9" t="n"/>
      <c r="E718" s="9" t="n"/>
      <c r="F718" s="9" t="n"/>
      <c r="G718" s="9">
        <f>IF(OR(E718="",F718=""),"",DATEDIF(E718,F718,"Y"))</f>
        <v/>
      </c>
      <c r="H718" s="9" t="n"/>
    </row>
    <row r="719" ht="14.25" customHeight="1" s="38">
      <c r="A719" s="9" t="n"/>
      <c r="B719" s="9" t="n"/>
      <c r="C719" s="9" t="n"/>
      <c r="D719" s="9" t="n"/>
      <c r="E719" s="9" t="n"/>
      <c r="F719" s="9" t="n"/>
      <c r="G719" s="9">
        <f>IF(OR(E719="",F719=""),"",DATEDIF(E719,F719,"Y"))</f>
        <v/>
      </c>
      <c r="H719" s="9" t="n"/>
    </row>
    <row r="720" ht="14.25" customHeight="1" s="38">
      <c r="A720" s="9" t="n"/>
      <c r="B720" s="9" t="n"/>
      <c r="C720" s="9" t="n"/>
      <c r="D720" s="9" t="n"/>
      <c r="E720" s="9" t="n"/>
      <c r="F720" s="9" t="n"/>
      <c r="G720" s="9">
        <f>IF(OR(E720="",F720=""),"",DATEDIF(E720,F720,"Y"))</f>
        <v/>
      </c>
      <c r="H720" s="9" t="n"/>
    </row>
    <row r="721" ht="14.25" customHeight="1" s="38">
      <c r="A721" s="9" t="n"/>
      <c r="B721" s="9" t="n"/>
      <c r="C721" s="9" t="n"/>
      <c r="D721" s="9" t="n"/>
      <c r="E721" s="9" t="n"/>
      <c r="F721" s="9" t="n"/>
      <c r="G721" s="9">
        <f>IF(OR(E721="",F721=""),"",DATEDIF(E721,F721,"Y"))</f>
        <v/>
      </c>
      <c r="H721" s="9" t="n"/>
    </row>
    <row r="722" ht="14.25" customHeight="1" s="38">
      <c r="A722" s="9" t="n"/>
      <c r="B722" s="9" t="n"/>
      <c r="C722" s="9" t="n"/>
      <c r="D722" s="9" t="n"/>
      <c r="E722" s="9" t="n"/>
      <c r="F722" s="9" t="n"/>
      <c r="G722" s="9">
        <f>IF(OR(E722="",F722=""),"",DATEDIF(E722,F722,"Y"))</f>
        <v/>
      </c>
      <c r="H722" s="9" t="n"/>
    </row>
    <row r="723" ht="14.25" customHeight="1" s="38">
      <c r="A723" s="9" t="n"/>
      <c r="B723" s="9" t="n"/>
      <c r="C723" s="9" t="n"/>
      <c r="D723" s="9" t="n"/>
      <c r="E723" s="9" t="n"/>
      <c r="F723" s="9" t="n"/>
      <c r="G723" s="9">
        <f>IF(OR(E723="",F723=""),"",DATEDIF(E723,F723,"Y"))</f>
        <v/>
      </c>
      <c r="H723" s="9" t="n"/>
    </row>
    <row r="724" ht="14.25" customHeight="1" s="38">
      <c r="A724" s="9" t="n"/>
      <c r="B724" s="9" t="n"/>
      <c r="C724" s="9" t="n"/>
      <c r="D724" s="9" t="n"/>
      <c r="E724" s="9" t="n"/>
      <c r="F724" s="9" t="n"/>
      <c r="G724" s="9">
        <f>IF(OR(E724="",F724=""),"",DATEDIF(E724,F724,"Y"))</f>
        <v/>
      </c>
      <c r="H724" s="9" t="n"/>
    </row>
    <row r="725" ht="14.25" customHeight="1" s="38">
      <c r="A725" s="9" t="n"/>
      <c r="B725" s="9" t="n"/>
      <c r="C725" s="9" t="n"/>
      <c r="D725" s="9" t="n"/>
      <c r="E725" s="9" t="n"/>
      <c r="F725" s="9" t="n"/>
      <c r="G725" s="9">
        <f>IF(OR(E725="",F725=""),"",DATEDIF(E725,F725,"Y"))</f>
        <v/>
      </c>
      <c r="H725" s="9" t="n"/>
    </row>
    <row r="726" ht="14.25" customHeight="1" s="38">
      <c r="A726" s="9" t="n"/>
      <c r="B726" s="9" t="n"/>
      <c r="C726" s="9" t="n"/>
      <c r="D726" s="9" t="n"/>
      <c r="E726" s="9" t="n"/>
      <c r="F726" s="9" t="n"/>
      <c r="G726" s="9">
        <f>IF(OR(E726="",F726=""),"",DATEDIF(E726,F726,"Y"))</f>
        <v/>
      </c>
      <c r="H726" s="9" t="n"/>
    </row>
    <row r="727" ht="14.25" customHeight="1" s="38">
      <c r="A727" s="9" t="n"/>
      <c r="B727" s="9" t="n"/>
      <c r="C727" s="9" t="n"/>
      <c r="D727" s="9" t="n"/>
      <c r="E727" s="9" t="n"/>
      <c r="F727" s="9" t="n"/>
      <c r="G727" s="9">
        <f>IF(OR(E727="",F727=""),"",DATEDIF(E727,F727,"Y"))</f>
        <v/>
      </c>
      <c r="H727" s="9" t="n"/>
    </row>
    <row r="728" ht="14.25" customHeight="1" s="38">
      <c r="A728" s="9" t="n"/>
      <c r="B728" s="9" t="n"/>
      <c r="C728" s="9" t="n"/>
      <c r="D728" s="9" t="n"/>
      <c r="E728" s="9" t="n"/>
      <c r="F728" s="9" t="n"/>
      <c r="G728" s="9">
        <f>IF(OR(E728="",F728=""),"",DATEDIF(E728,F728,"Y"))</f>
        <v/>
      </c>
      <c r="H728" s="9" t="n"/>
    </row>
    <row r="729" ht="14.25" customHeight="1" s="38">
      <c r="A729" s="9" t="n"/>
      <c r="B729" s="9" t="n"/>
      <c r="C729" s="9" t="n"/>
      <c r="D729" s="9" t="n"/>
      <c r="E729" s="9" t="n"/>
      <c r="F729" s="9" t="n"/>
      <c r="G729" s="9">
        <f>IF(OR(E729="",F729=""),"",DATEDIF(E729,F729,"Y"))</f>
        <v/>
      </c>
      <c r="H729" s="9" t="n"/>
    </row>
    <row r="730" ht="14.25" customHeight="1" s="38">
      <c r="A730" s="9" t="n"/>
      <c r="B730" s="9" t="n"/>
      <c r="C730" s="9" t="n"/>
      <c r="D730" s="9" t="n"/>
      <c r="E730" s="9" t="n"/>
      <c r="F730" s="9" t="n"/>
      <c r="G730" s="9">
        <f>IF(OR(E730="",F730=""),"",DATEDIF(E730,F730,"Y"))</f>
        <v/>
      </c>
      <c r="H730" s="9" t="n"/>
    </row>
    <row r="731" ht="14.25" customHeight="1" s="38">
      <c r="A731" s="9" t="n"/>
      <c r="B731" s="9" t="n"/>
      <c r="C731" s="9" t="n"/>
      <c r="D731" s="9" t="n"/>
      <c r="E731" s="9" t="n"/>
      <c r="F731" s="9" t="n"/>
      <c r="G731" s="9">
        <f>IF(OR(E731="",F731=""),"",DATEDIF(E731,F731,"Y"))</f>
        <v/>
      </c>
      <c r="H731" s="9" t="n"/>
    </row>
    <row r="732" ht="14.25" customHeight="1" s="38">
      <c r="A732" s="9" t="n"/>
      <c r="B732" s="9" t="n"/>
      <c r="C732" s="9" t="n"/>
      <c r="D732" s="9" t="n"/>
      <c r="E732" s="9" t="n"/>
      <c r="F732" s="9" t="n"/>
      <c r="G732" s="9">
        <f>IF(OR(E732="",F732=""),"",DATEDIF(E732,F732,"Y"))</f>
        <v/>
      </c>
      <c r="H732" s="9" t="n"/>
    </row>
    <row r="733" ht="14.25" customHeight="1" s="38">
      <c r="A733" s="9" t="n"/>
      <c r="B733" s="9" t="n"/>
      <c r="C733" s="9" t="n"/>
      <c r="D733" s="9" t="n"/>
      <c r="E733" s="9" t="n"/>
      <c r="F733" s="9" t="n"/>
      <c r="G733" s="9">
        <f>IF(OR(E733="",F733=""),"",DATEDIF(E733,F733,"Y"))</f>
        <v/>
      </c>
      <c r="H733" s="9" t="n"/>
    </row>
    <row r="734" ht="14.25" customHeight="1" s="38">
      <c r="A734" s="9" t="n"/>
      <c r="B734" s="9" t="n"/>
      <c r="C734" s="9" t="n"/>
      <c r="D734" s="9" t="n"/>
      <c r="E734" s="9" t="n"/>
      <c r="F734" s="9" t="n"/>
      <c r="G734" s="9">
        <f>IF(OR(E734="",F734=""),"",DATEDIF(E734,F734,"Y"))</f>
        <v/>
      </c>
      <c r="H734" s="9" t="n"/>
    </row>
    <row r="735" ht="14.25" customHeight="1" s="38">
      <c r="A735" s="9" t="n"/>
      <c r="B735" s="9" t="n"/>
      <c r="C735" s="9" t="n"/>
      <c r="D735" s="9" t="n"/>
      <c r="E735" s="9" t="n"/>
      <c r="F735" s="9" t="n"/>
      <c r="G735" s="9">
        <f>IF(OR(E735="",F735=""),"",DATEDIF(E735,F735,"Y"))</f>
        <v/>
      </c>
      <c r="H735" s="9" t="n"/>
    </row>
    <row r="736" ht="14.25" customHeight="1" s="38">
      <c r="A736" s="9" t="n"/>
      <c r="B736" s="9" t="n"/>
      <c r="C736" s="9" t="n"/>
      <c r="D736" s="9" t="n"/>
      <c r="E736" s="9" t="n"/>
      <c r="F736" s="9" t="n"/>
      <c r="G736" s="9">
        <f>IF(OR(E736="",F736=""),"",DATEDIF(E736,F736,"Y"))</f>
        <v/>
      </c>
      <c r="H736" s="9" t="n"/>
    </row>
    <row r="737" ht="14.25" customHeight="1" s="38">
      <c r="A737" s="9" t="n"/>
      <c r="B737" s="9" t="n"/>
      <c r="C737" s="9" t="n"/>
      <c r="D737" s="9" t="n"/>
      <c r="E737" s="9" t="n"/>
      <c r="F737" s="9" t="n"/>
      <c r="G737" s="9">
        <f>IF(OR(E737="",F737=""),"",DATEDIF(E737,F737,"Y"))</f>
        <v/>
      </c>
      <c r="H737" s="9" t="n"/>
    </row>
    <row r="738" ht="14.25" customHeight="1" s="38">
      <c r="A738" s="9" t="n"/>
      <c r="B738" s="9" t="n"/>
      <c r="C738" s="9" t="n"/>
      <c r="D738" s="9" t="n"/>
      <c r="E738" s="9" t="n"/>
      <c r="F738" s="9" t="n"/>
      <c r="G738" s="9">
        <f>IF(OR(E738="",F738=""),"",DATEDIF(E738,F738,"Y"))</f>
        <v/>
      </c>
      <c r="H738" s="9" t="n"/>
    </row>
    <row r="739" ht="14.25" customHeight="1" s="38">
      <c r="A739" s="9" t="n"/>
      <c r="B739" s="9" t="n"/>
      <c r="C739" s="9" t="n"/>
      <c r="D739" s="9" t="n"/>
      <c r="E739" s="9" t="n"/>
      <c r="F739" s="9" t="n"/>
      <c r="G739" s="9">
        <f>IF(OR(E739="",F739=""),"",DATEDIF(E739,F739,"Y"))</f>
        <v/>
      </c>
      <c r="H739" s="9" t="n"/>
    </row>
    <row r="740" ht="14.25" customHeight="1" s="38">
      <c r="A740" s="9" t="n"/>
      <c r="B740" s="9" t="n"/>
      <c r="C740" s="9" t="n"/>
      <c r="D740" s="9" t="n"/>
      <c r="E740" s="9" t="n"/>
      <c r="F740" s="9" t="n"/>
      <c r="G740" s="9">
        <f>IF(OR(E740="",F740=""),"",DATEDIF(E740,F740,"Y"))</f>
        <v/>
      </c>
      <c r="H740" s="9" t="n"/>
    </row>
    <row r="741" ht="14.25" customHeight="1" s="38">
      <c r="A741" s="9" t="n"/>
      <c r="B741" s="9" t="n"/>
      <c r="C741" s="9" t="n"/>
      <c r="D741" s="9" t="n"/>
      <c r="E741" s="9" t="n"/>
      <c r="F741" s="9" t="n"/>
      <c r="G741" s="9">
        <f>IF(OR(E741="",F741=""),"",DATEDIF(E741,F741,"Y"))</f>
        <v/>
      </c>
      <c r="H741" s="9" t="n"/>
    </row>
    <row r="742" ht="14.25" customHeight="1" s="38">
      <c r="A742" s="9" t="n"/>
      <c r="B742" s="9" t="n"/>
      <c r="C742" s="9" t="n"/>
      <c r="D742" s="9" t="n"/>
      <c r="E742" s="9" t="n"/>
      <c r="F742" s="9" t="n"/>
      <c r="G742" s="9">
        <f>IF(OR(E742="",F742=""),"",DATEDIF(E742,F742,"Y"))</f>
        <v/>
      </c>
      <c r="H742" s="9" t="n"/>
    </row>
    <row r="743" ht="14.25" customHeight="1" s="38">
      <c r="A743" s="9" t="n"/>
      <c r="B743" s="9" t="n"/>
      <c r="C743" s="9" t="n"/>
      <c r="D743" s="9" t="n"/>
      <c r="E743" s="9" t="n"/>
      <c r="F743" s="9" t="n"/>
      <c r="G743" s="9">
        <f>IF(OR(E743="",F743=""),"",DATEDIF(E743,F743,"Y"))</f>
        <v/>
      </c>
      <c r="H743" s="9" t="n"/>
    </row>
    <row r="744" ht="14.25" customHeight="1" s="38">
      <c r="A744" s="9" t="n"/>
      <c r="B744" s="9" t="n"/>
      <c r="C744" s="9" t="n"/>
      <c r="D744" s="9" t="n"/>
      <c r="E744" s="9" t="n"/>
      <c r="F744" s="9" t="n"/>
      <c r="G744" s="9">
        <f>IF(OR(E744="",F744=""),"",DATEDIF(E744,F744,"Y"))</f>
        <v/>
      </c>
      <c r="H744" s="9" t="n"/>
    </row>
    <row r="745" ht="14.25" customHeight="1" s="38">
      <c r="A745" s="9" t="n"/>
      <c r="B745" s="9" t="n"/>
      <c r="C745" s="9" t="n"/>
      <c r="D745" s="9" t="n"/>
      <c r="E745" s="9" t="n"/>
      <c r="F745" s="9" t="n"/>
      <c r="G745" s="9">
        <f>IF(OR(E745="",F745=""),"",DATEDIF(E745,F745,"Y"))</f>
        <v/>
      </c>
      <c r="H745" s="9" t="n"/>
    </row>
    <row r="746" ht="14.25" customHeight="1" s="38">
      <c r="A746" s="9" t="n"/>
      <c r="B746" s="9" t="n"/>
      <c r="C746" s="9" t="n"/>
      <c r="D746" s="9" t="n"/>
      <c r="E746" s="9" t="n"/>
      <c r="F746" s="9" t="n"/>
      <c r="G746" s="9">
        <f>IF(OR(E746="",F746=""),"",DATEDIF(E746,F746,"Y"))</f>
        <v/>
      </c>
      <c r="H746" s="9" t="n"/>
    </row>
    <row r="747" ht="14.25" customHeight="1" s="38">
      <c r="A747" s="9" t="n"/>
      <c r="B747" s="9" t="n"/>
      <c r="C747" s="9" t="n"/>
      <c r="D747" s="9" t="n"/>
      <c r="E747" s="9" t="n"/>
      <c r="F747" s="9" t="n"/>
      <c r="G747" s="9">
        <f>IF(OR(E747="",F747=""),"",DATEDIF(E747,F747,"Y"))</f>
        <v/>
      </c>
      <c r="H747" s="9" t="n"/>
    </row>
    <row r="748" ht="14.25" customHeight="1" s="38">
      <c r="A748" s="9" t="n"/>
      <c r="B748" s="9" t="n"/>
      <c r="C748" s="9" t="n"/>
      <c r="D748" s="9" t="n"/>
      <c r="E748" s="9" t="n"/>
      <c r="F748" s="9" t="n"/>
      <c r="G748" s="9">
        <f>IF(OR(E748="",F748=""),"",DATEDIF(E748,F748,"Y"))</f>
        <v/>
      </c>
      <c r="H748" s="9" t="n"/>
    </row>
    <row r="749" ht="14.25" customHeight="1" s="38">
      <c r="A749" s="9" t="n"/>
      <c r="B749" s="9" t="n"/>
      <c r="C749" s="9" t="n"/>
      <c r="D749" s="9" t="n"/>
      <c r="E749" s="9" t="n"/>
      <c r="F749" s="9" t="n"/>
      <c r="G749" s="9">
        <f>IF(OR(E749="",F749=""),"",DATEDIF(E749,F749,"Y"))</f>
        <v/>
      </c>
      <c r="H749" s="9" t="n"/>
    </row>
    <row r="750" ht="14.25" customHeight="1" s="38">
      <c r="A750" s="9" t="n"/>
      <c r="B750" s="9" t="n"/>
      <c r="C750" s="9" t="n"/>
      <c r="D750" s="9" t="n"/>
      <c r="E750" s="9" t="n"/>
      <c r="F750" s="9" t="n"/>
      <c r="G750" s="9">
        <f>IF(OR(E750="",F750=""),"",DATEDIF(E750,F750,"Y"))</f>
        <v/>
      </c>
      <c r="H750" s="9" t="n"/>
    </row>
    <row r="751" ht="14.25" customHeight="1" s="38">
      <c r="A751" s="9" t="n"/>
      <c r="B751" s="9" t="n"/>
      <c r="C751" s="9" t="n"/>
      <c r="D751" s="9" t="n"/>
      <c r="E751" s="9" t="n"/>
      <c r="F751" s="9" t="n"/>
      <c r="G751" s="9">
        <f>IF(OR(E751="",F751=""),"",DATEDIF(E751,F751,"Y"))</f>
        <v/>
      </c>
      <c r="H751" s="9" t="n"/>
    </row>
    <row r="752" ht="14.25" customHeight="1" s="38">
      <c r="A752" s="9" t="n"/>
      <c r="B752" s="9" t="n"/>
      <c r="C752" s="9" t="n"/>
      <c r="D752" s="9" t="n"/>
      <c r="E752" s="9" t="n"/>
      <c r="F752" s="9" t="n"/>
      <c r="G752" s="9">
        <f>IF(OR(E752="",F752=""),"",DATEDIF(E752,F752,"Y"))</f>
        <v/>
      </c>
      <c r="H752" s="9" t="n"/>
    </row>
    <row r="753" ht="14.25" customHeight="1" s="38">
      <c r="A753" s="9" t="n"/>
      <c r="B753" s="9" t="n"/>
      <c r="C753" s="9" t="n"/>
      <c r="D753" s="9" t="n"/>
      <c r="E753" s="9" t="n"/>
      <c r="F753" s="9" t="n"/>
      <c r="G753" s="9">
        <f>IF(OR(E753="",F753=""),"",DATEDIF(E753,F753,"Y"))</f>
        <v/>
      </c>
      <c r="H753" s="9" t="n"/>
    </row>
    <row r="754" ht="14.25" customHeight="1" s="38">
      <c r="A754" s="9" t="n"/>
      <c r="B754" s="9" t="n"/>
      <c r="C754" s="9" t="n"/>
      <c r="D754" s="9" t="n"/>
      <c r="E754" s="9" t="n"/>
      <c r="F754" s="9" t="n"/>
      <c r="G754" s="9">
        <f>IF(OR(E754="",F754=""),"",DATEDIF(E754,F754,"Y"))</f>
        <v/>
      </c>
      <c r="H754" s="9" t="n"/>
    </row>
    <row r="755" ht="14.25" customHeight="1" s="38">
      <c r="A755" s="9" t="n"/>
      <c r="B755" s="9" t="n"/>
      <c r="C755" s="9" t="n"/>
      <c r="D755" s="9" t="n"/>
      <c r="E755" s="9" t="n"/>
      <c r="F755" s="9" t="n"/>
      <c r="G755" s="9">
        <f>IF(OR(E755="",F755=""),"",DATEDIF(E755,F755,"Y"))</f>
        <v/>
      </c>
      <c r="H755" s="9" t="n"/>
    </row>
    <row r="756" ht="14.25" customHeight="1" s="38">
      <c r="A756" s="9" t="n"/>
      <c r="B756" s="9" t="n"/>
      <c r="C756" s="9" t="n"/>
      <c r="D756" s="9" t="n"/>
      <c r="E756" s="9" t="n"/>
      <c r="F756" s="9" t="n"/>
      <c r="G756" s="9">
        <f>IF(OR(E756="",F756=""),"",DATEDIF(E756,F756,"Y"))</f>
        <v/>
      </c>
      <c r="H756" s="9" t="n"/>
    </row>
    <row r="757" ht="14.25" customHeight="1" s="38">
      <c r="A757" s="9" t="n"/>
      <c r="B757" s="9" t="n"/>
      <c r="C757" s="9" t="n"/>
      <c r="D757" s="9" t="n"/>
      <c r="E757" s="9" t="n"/>
      <c r="F757" s="9" t="n"/>
      <c r="G757" s="9">
        <f>IF(OR(E757="",F757=""),"",DATEDIF(E757,F757,"Y"))</f>
        <v/>
      </c>
      <c r="H757" s="9" t="n"/>
    </row>
    <row r="758" ht="14.25" customHeight="1" s="38">
      <c r="A758" s="9" t="n"/>
      <c r="B758" s="9" t="n"/>
      <c r="C758" s="9" t="n"/>
      <c r="D758" s="9" t="n"/>
      <c r="E758" s="9" t="n"/>
      <c r="F758" s="9" t="n"/>
      <c r="G758" s="9">
        <f>IF(OR(E758="",F758=""),"",DATEDIF(E758,F758,"Y"))</f>
        <v/>
      </c>
      <c r="H758" s="9" t="n"/>
    </row>
    <row r="759" ht="14.25" customHeight="1" s="38">
      <c r="A759" s="9" t="n"/>
      <c r="B759" s="9" t="n"/>
      <c r="C759" s="9" t="n"/>
      <c r="D759" s="9" t="n"/>
      <c r="E759" s="9" t="n"/>
      <c r="F759" s="9" t="n"/>
      <c r="G759" s="9">
        <f>IF(OR(E759="",F759=""),"",DATEDIF(E759,F759,"Y"))</f>
        <v/>
      </c>
      <c r="H759" s="9" t="n"/>
    </row>
    <row r="760" ht="14.25" customHeight="1" s="38">
      <c r="A760" s="9" t="n"/>
      <c r="B760" s="9" t="n"/>
      <c r="C760" s="9" t="n"/>
      <c r="D760" s="9" t="n"/>
      <c r="E760" s="9" t="n"/>
      <c r="F760" s="9" t="n"/>
      <c r="G760" s="9">
        <f>IF(OR(E760="",F760=""),"",DATEDIF(E760,F760,"Y"))</f>
        <v/>
      </c>
      <c r="H760" s="9" t="n"/>
    </row>
    <row r="761" ht="14.25" customHeight="1" s="38">
      <c r="A761" s="9" t="n"/>
      <c r="B761" s="9" t="n"/>
      <c r="C761" s="9" t="n"/>
      <c r="D761" s="9" t="n"/>
      <c r="E761" s="9" t="n"/>
      <c r="F761" s="9" t="n"/>
      <c r="G761" s="9">
        <f>IF(OR(E761="",F761=""),"",DATEDIF(E761,F761,"Y"))</f>
        <v/>
      </c>
      <c r="H761" s="9" t="n"/>
    </row>
    <row r="762" ht="14.25" customHeight="1" s="38">
      <c r="A762" s="9" t="n"/>
      <c r="B762" s="9" t="n"/>
      <c r="C762" s="9" t="n"/>
      <c r="D762" s="9" t="n"/>
      <c r="E762" s="9" t="n"/>
      <c r="F762" s="9" t="n"/>
      <c r="G762" s="9">
        <f>IF(OR(E762="",F762=""),"",DATEDIF(E762,F762,"Y"))</f>
        <v/>
      </c>
      <c r="H762" s="9" t="n"/>
    </row>
    <row r="763" ht="14.25" customHeight="1" s="38">
      <c r="A763" s="9" t="n"/>
      <c r="B763" s="9" t="n"/>
      <c r="C763" s="9" t="n"/>
      <c r="D763" s="9" t="n"/>
      <c r="E763" s="9" t="n"/>
      <c r="F763" s="9" t="n"/>
      <c r="G763" s="9">
        <f>IF(OR(E763="",F763=""),"",DATEDIF(E763,F763,"Y"))</f>
        <v/>
      </c>
      <c r="H763" s="9" t="n"/>
    </row>
    <row r="764" ht="14.25" customHeight="1" s="38">
      <c r="A764" s="9" t="n"/>
      <c r="B764" s="9" t="n"/>
      <c r="C764" s="9" t="n"/>
      <c r="D764" s="9" t="n"/>
      <c r="E764" s="9" t="n"/>
      <c r="F764" s="9" t="n"/>
      <c r="G764" s="9">
        <f>IF(OR(E764="",F764=""),"",DATEDIF(E764,F764,"Y"))</f>
        <v/>
      </c>
      <c r="H764" s="9" t="n"/>
    </row>
    <row r="765" ht="14.25" customHeight="1" s="38">
      <c r="A765" s="9" t="n"/>
      <c r="B765" s="9" t="n"/>
      <c r="C765" s="9" t="n"/>
      <c r="D765" s="9" t="n"/>
      <c r="E765" s="9" t="n"/>
      <c r="F765" s="9" t="n"/>
      <c r="G765" s="9">
        <f>IF(OR(E765="",F765=""),"",DATEDIF(E765,F765,"Y"))</f>
        <v/>
      </c>
      <c r="H765" s="9" t="n"/>
    </row>
    <row r="766" ht="14.25" customHeight="1" s="38">
      <c r="A766" s="9" t="n"/>
      <c r="B766" s="9" t="n"/>
      <c r="C766" s="9" t="n"/>
      <c r="D766" s="9" t="n"/>
      <c r="E766" s="9" t="n"/>
      <c r="F766" s="9" t="n"/>
      <c r="G766" s="9">
        <f>IF(OR(E766="",F766=""),"",DATEDIF(E766,F766,"Y"))</f>
        <v/>
      </c>
      <c r="H766" s="9" t="n"/>
    </row>
    <row r="767" ht="14.25" customHeight="1" s="38">
      <c r="A767" s="9" t="n"/>
      <c r="B767" s="9" t="n"/>
      <c r="C767" s="9" t="n"/>
      <c r="D767" s="9" t="n"/>
      <c r="E767" s="9" t="n"/>
      <c r="F767" s="9" t="n"/>
      <c r="G767" s="9">
        <f>IF(OR(E767="",F767=""),"",DATEDIF(E767,F767,"Y"))</f>
        <v/>
      </c>
      <c r="H767" s="9" t="n"/>
    </row>
    <row r="768" ht="14.25" customHeight="1" s="38">
      <c r="A768" s="9" t="n"/>
      <c r="B768" s="9" t="n"/>
      <c r="C768" s="9" t="n"/>
      <c r="D768" s="9" t="n"/>
      <c r="E768" s="9" t="n"/>
      <c r="F768" s="9" t="n"/>
      <c r="G768" s="9">
        <f>IF(OR(E768="",F768=""),"",DATEDIF(E768,F768,"Y"))</f>
        <v/>
      </c>
      <c r="H768" s="9" t="n"/>
    </row>
    <row r="769" ht="14.25" customHeight="1" s="38">
      <c r="A769" s="9" t="n"/>
      <c r="B769" s="9" t="n"/>
      <c r="C769" s="9" t="n"/>
      <c r="D769" s="9" t="n"/>
      <c r="E769" s="9" t="n"/>
      <c r="F769" s="9" t="n"/>
      <c r="G769" s="9">
        <f>IF(OR(E769="",F769=""),"",DATEDIF(E769,F769,"Y"))</f>
        <v/>
      </c>
      <c r="H769" s="9" t="n"/>
    </row>
    <row r="770" ht="14.25" customHeight="1" s="38">
      <c r="A770" s="9" t="n"/>
      <c r="B770" s="9" t="n"/>
      <c r="C770" s="9" t="n"/>
      <c r="D770" s="9" t="n"/>
      <c r="E770" s="9" t="n"/>
      <c r="F770" s="9" t="n"/>
      <c r="G770" s="9">
        <f>IF(OR(E770="",F770=""),"",DATEDIF(E770,F770,"Y"))</f>
        <v/>
      </c>
      <c r="H770" s="9" t="n"/>
    </row>
    <row r="771" ht="14.25" customHeight="1" s="38">
      <c r="A771" s="9" t="n"/>
      <c r="B771" s="9" t="n"/>
      <c r="C771" s="9" t="n"/>
      <c r="D771" s="9" t="n"/>
      <c r="E771" s="9" t="n"/>
      <c r="F771" s="9" t="n"/>
      <c r="G771" s="9">
        <f>IF(OR(E771="",F771=""),"",DATEDIF(E771,F771,"Y"))</f>
        <v/>
      </c>
      <c r="H771" s="9" t="n"/>
    </row>
    <row r="772" ht="14.25" customHeight="1" s="38">
      <c r="A772" s="9" t="n"/>
      <c r="B772" s="9" t="n"/>
      <c r="C772" s="9" t="n"/>
      <c r="D772" s="9" t="n"/>
      <c r="E772" s="9" t="n"/>
      <c r="F772" s="9" t="n"/>
      <c r="G772" s="9">
        <f>IF(OR(E772="",F772=""),"",DATEDIF(E772,F772,"Y"))</f>
        <v/>
      </c>
      <c r="H772" s="9" t="n"/>
    </row>
    <row r="773" ht="14.25" customHeight="1" s="38">
      <c r="A773" s="9" t="n"/>
      <c r="B773" s="9" t="n"/>
      <c r="C773" s="9" t="n"/>
      <c r="D773" s="9" t="n"/>
      <c r="E773" s="9" t="n"/>
      <c r="F773" s="9" t="n"/>
      <c r="G773" s="9">
        <f>IF(OR(E773="",F773=""),"",DATEDIF(E773,F773,"Y"))</f>
        <v/>
      </c>
      <c r="H773" s="9" t="n"/>
    </row>
    <row r="774" ht="14.25" customHeight="1" s="38">
      <c r="A774" s="9" t="n"/>
      <c r="B774" s="9" t="n"/>
      <c r="C774" s="9" t="n"/>
      <c r="D774" s="9" t="n"/>
      <c r="E774" s="9" t="n"/>
      <c r="F774" s="9" t="n"/>
      <c r="G774" s="9">
        <f>IF(OR(E774="",F774=""),"",DATEDIF(E774,F774,"Y"))</f>
        <v/>
      </c>
      <c r="H774" s="9" t="n"/>
    </row>
    <row r="775" ht="14.25" customHeight="1" s="38">
      <c r="A775" s="9" t="n"/>
      <c r="B775" s="9" t="n"/>
      <c r="C775" s="9" t="n"/>
      <c r="D775" s="9" t="n"/>
      <c r="E775" s="9" t="n"/>
      <c r="F775" s="9" t="n"/>
      <c r="G775" s="9">
        <f>IF(OR(E775="",F775=""),"",DATEDIF(E775,F775,"Y"))</f>
        <v/>
      </c>
      <c r="H775" s="9" t="n"/>
    </row>
    <row r="776" ht="14.25" customHeight="1" s="38">
      <c r="A776" s="9" t="n"/>
      <c r="B776" s="9" t="n"/>
      <c r="C776" s="9" t="n"/>
      <c r="D776" s="9" t="n"/>
      <c r="E776" s="9" t="n"/>
      <c r="F776" s="9" t="n"/>
      <c r="G776" s="9">
        <f>IF(OR(E776="",F776=""),"",DATEDIF(E776,F776,"Y"))</f>
        <v/>
      </c>
      <c r="H776" s="9" t="n"/>
    </row>
    <row r="777" ht="14.25" customHeight="1" s="38">
      <c r="A777" s="9" t="n"/>
      <c r="B777" s="9" t="n"/>
      <c r="C777" s="9" t="n"/>
      <c r="D777" s="9" t="n"/>
      <c r="E777" s="9" t="n"/>
      <c r="F777" s="9" t="n"/>
      <c r="G777" s="9">
        <f>IF(OR(E777="",F777=""),"",DATEDIF(E777,F777,"Y"))</f>
        <v/>
      </c>
      <c r="H777" s="9" t="n"/>
    </row>
    <row r="778" ht="14.25" customHeight="1" s="38">
      <c r="A778" s="9" t="n"/>
      <c r="B778" s="9" t="n"/>
      <c r="C778" s="9" t="n"/>
      <c r="D778" s="9" t="n"/>
      <c r="E778" s="9" t="n"/>
      <c r="F778" s="9" t="n"/>
      <c r="G778" s="9">
        <f>IF(OR(E778="",F778=""),"",DATEDIF(E778,F778,"Y"))</f>
        <v/>
      </c>
      <c r="H778" s="9" t="n"/>
    </row>
    <row r="779" ht="14.25" customHeight="1" s="38">
      <c r="A779" s="9" t="n"/>
      <c r="B779" s="9" t="n"/>
      <c r="C779" s="9" t="n"/>
      <c r="D779" s="9" t="n"/>
      <c r="E779" s="9" t="n"/>
      <c r="F779" s="9" t="n"/>
      <c r="G779" s="9">
        <f>IF(OR(E779="",F779=""),"",DATEDIF(E779,F779,"Y"))</f>
        <v/>
      </c>
      <c r="H779" s="9" t="n"/>
    </row>
    <row r="780" ht="14.25" customHeight="1" s="38">
      <c r="A780" s="9" t="n"/>
      <c r="B780" s="9" t="n"/>
      <c r="C780" s="9" t="n"/>
      <c r="D780" s="9" t="n"/>
      <c r="E780" s="9" t="n"/>
      <c r="F780" s="9" t="n"/>
      <c r="G780" s="9">
        <f>IF(OR(E780="",F780=""),"",DATEDIF(E780,F780,"Y"))</f>
        <v/>
      </c>
      <c r="H780" s="9" t="n"/>
    </row>
    <row r="781" ht="14.25" customHeight="1" s="38">
      <c r="A781" s="9" t="n"/>
      <c r="B781" s="9" t="n"/>
      <c r="C781" s="9" t="n"/>
      <c r="D781" s="9" t="n"/>
      <c r="E781" s="9" t="n"/>
      <c r="F781" s="9" t="n"/>
      <c r="G781" s="9">
        <f>IF(OR(E781="",F781=""),"",DATEDIF(E781,F781,"Y"))</f>
        <v/>
      </c>
      <c r="H781" s="9" t="n"/>
    </row>
    <row r="782" ht="14.25" customHeight="1" s="38">
      <c r="A782" s="9" t="n"/>
      <c r="B782" s="9" t="n"/>
      <c r="C782" s="9" t="n"/>
      <c r="D782" s="9" t="n"/>
      <c r="E782" s="9" t="n"/>
      <c r="F782" s="9" t="n"/>
      <c r="G782" s="9">
        <f>IF(OR(E782="",F782=""),"",DATEDIF(E782,F782,"Y"))</f>
        <v/>
      </c>
      <c r="H782" s="9" t="n"/>
    </row>
    <row r="783" ht="14.25" customHeight="1" s="38">
      <c r="A783" s="9" t="n"/>
      <c r="B783" s="9" t="n"/>
      <c r="C783" s="9" t="n"/>
      <c r="D783" s="9" t="n"/>
      <c r="E783" s="9" t="n"/>
      <c r="F783" s="9" t="n"/>
      <c r="G783" s="9">
        <f>IF(OR(E783="",F783=""),"",DATEDIF(E783,F783,"Y"))</f>
        <v/>
      </c>
      <c r="H783" s="9" t="n"/>
    </row>
    <row r="784" ht="14.25" customHeight="1" s="38">
      <c r="A784" s="9" t="n"/>
      <c r="B784" s="9" t="n"/>
      <c r="C784" s="9" t="n"/>
      <c r="D784" s="9" t="n"/>
      <c r="E784" s="9" t="n"/>
      <c r="F784" s="9" t="n"/>
      <c r="G784" s="9">
        <f>IF(OR(E784="",F784=""),"",DATEDIF(E784,F784,"Y"))</f>
        <v/>
      </c>
      <c r="H784" s="9" t="n"/>
    </row>
    <row r="785" ht="14.25" customHeight="1" s="38">
      <c r="A785" s="9" t="n"/>
      <c r="B785" s="9" t="n"/>
      <c r="C785" s="9" t="n"/>
      <c r="D785" s="9" t="n"/>
      <c r="E785" s="9" t="n"/>
      <c r="F785" s="9" t="n"/>
      <c r="G785" s="9">
        <f>IF(OR(E785="",F785=""),"",DATEDIF(E785,F785,"Y"))</f>
        <v/>
      </c>
      <c r="H785" s="9" t="n"/>
    </row>
    <row r="786" ht="14.25" customHeight="1" s="38">
      <c r="A786" s="9" t="n"/>
      <c r="B786" s="9" t="n"/>
      <c r="C786" s="9" t="n"/>
      <c r="D786" s="9" t="n"/>
      <c r="E786" s="9" t="n"/>
      <c r="F786" s="9" t="n"/>
      <c r="G786" s="9">
        <f>IF(OR(E786="",F786=""),"",DATEDIF(E786,F786,"Y"))</f>
        <v/>
      </c>
      <c r="H786" s="9" t="n"/>
    </row>
    <row r="787" ht="14.25" customHeight="1" s="38">
      <c r="A787" s="9" t="n"/>
      <c r="B787" s="9" t="n"/>
      <c r="C787" s="9" t="n"/>
      <c r="D787" s="9" t="n"/>
      <c r="E787" s="9" t="n"/>
      <c r="F787" s="9" t="n"/>
      <c r="G787" s="9">
        <f>IF(OR(E787="",F787=""),"",DATEDIF(E787,F787,"Y"))</f>
        <v/>
      </c>
      <c r="H787" s="9" t="n"/>
    </row>
    <row r="788" ht="14.25" customHeight="1" s="38">
      <c r="A788" s="9" t="n"/>
      <c r="B788" s="9" t="n"/>
      <c r="C788" s="9" t="n"/>
      <c r="D788" s="9" t="n"/>
      <c r="E788" s="9" t="n"/>
      <c r="F788" s="9" t="n"/>
      <c r="G788" s="9">
        <f>IF(OR(E788="",F788=""),"",DATEDIF(E788,F788,"Y"))</f>
        <v/>
      </c>
      <c r="H788" s="9" t="n"/>
    </row>
    <row r="789" ht="14.25" customHeight="1" s="38">
      <c r="A789" s="9" t="n"/>
      <c r="B789" s="9" t="n"/>
      <c r="C789" s="9" t="n"/>
      <c r="D789" s="9" t="n"/>
      <c r="E789" s="9" t="n"/>
      <c r="F789" s="9" t="n"/>
      <c r="G789" s="9">
        <f>IF(OR(E789="",F789=""),"",DATEDIF(E789,F789,"Y"))</f>
        <v/>
      </c>
      <c r="H789" s="9" t="n"/>
    </row>
    <row r="790" ht="14.25" customHeight="1" s="38">
      <c r="A790" s="9" t="n"/>
      <c r="B790" s="9" t="n"/>
      <c r="C790" s="9" t="n"/>
      <c r="D790" s="9" t="n"/>
      <c r="E790" s="9" t="n"/>
      <c r="F790" s="9" t="n"/>
      <c r="G790" s="9">
        <f>IF(OR(E790="",F790=""),"",DATEDIF(E790,F790,"Y"))</f>
        <v/>
      </c>
      <c r="H790" s="9" t="n"/>
    </row>
    <row r="791" ht="14.25" customHeight="1" s="38">
      <c r="A791" s="9" t="n"/>
      <c r="B791" s="9" t="n"/>
      <c r="C791" s="9" t="n"/>
      <c r="D791" s="9" t="n"/>
      <c r="E791" s="9" t="n"/>
      <c r="F791" s="9" t="n"/>
      <c r="G791" s="9">
        <f>IF(OR(E791="",F791=""),"",DATEDIF(E791,F791,"Y"))</f>
        <v/>
      </c>
      <c r="H791" s="9" t="n"/>
    </row>
    <row r="792" ht="14.25" customHeight="1" s="38">
      <c r="A792" s="9" t="n"/>
      <c r="B792" s="9" t="n"/>
      <c r="C792" s="9" t="n"/>
      <c r="D792" s="9" t="n"/>
      <c r="E792" s="9" t="n"/>
      <c r="F792" s="9" t="n"/>
      <c r="G792" s="9">
        <f>IF(OR(E792="",F792=""),"",DATEDIF(E792,F792,"Y"))</f>
        <v/>
      </c>
      <c r="H792" s="9" t="n"/>
    </row>
    <row r="793" ht="14.25" customHeight="1" s="38">
      <c r="A793" s="9" t="n"/>
      <c r="B793" s="9" t="n"/>
      <c r="C793" s="9" t="n"/>
      <c r="D793" s="9" t="n"/>
      <c r="E793" s="9" t="n"/>
      <c r="F793" s="9" t="n"/>
      <c r="G793" s="9">
        <f>IF(OR(E793="",F793=""),"",DATEDIF(E793,F793,"Y"))</f>
        <v/>
      </c>
      <c r="H793" s="9" t="n"/>
    </row>
    <row r="794" ht="14.25" customHeight="1" s="38">
      <c r="A794" s="9" t="n"/>
      <c r="B794" s="9" t="n"/>
      <c r="C794" s="9" t="n"/>
      <c r="D794" s="9" t="n"/>
      <c r="E794" s="9" t="n"/>
      <c r="F794" s="9" t="n"/>
      <c r="G794" s="9">
        <f>IF(OR(E794="",F794=""),"",DATEDIF(E794,F794,"Y"))</f>
        <v/>
      </c>
      <c r="H794" s="9" t="n"/>
    </row>
    <row r="795" ht="14.25" customHeight="1" s="38">
      <c r="A795" s="9" t="n"/>
      <c r="B795" s="9" t="n"/>
      <c r="C795" s="9" t="n"/>
      <c r="D795" s="9" t="n"/>
      <c r="E795" s="9" t="n"/>
      <c r="F795" s="9" t="n"/>
      <c r="G795" s="9">
        <f>IF(OR(E795="",F795=""),"",DATEDIF(E795,F795,"Y"))</f>
        <v/>
      </c>
      <c r="H795" s="9" t="n"/>
    </row>
    <row r="796" ht="14.25" customHeight="1" s="38">
      <c r="A796" s="9" t="n"/>
      <c r="B796" s="9" t="n"/>
      <c r="C796" s="9" t="n"/>
      <c r="D796" s="9" t="n"/>
      <c r="E796" s="9" t="n"/>
      <c r="F796" s="9" t="n"/>
      <c r="G796" s="9">
        <f>IF(OR(E796="",F796=""),"",DATEDIF(E796,F796,"Y"))</f>
        <v/>
      </c>
      <c r="H796" s="9" t="n"/>
    </row>
    <row r="797" ht="14.25" customHeight="1" s="38">
      <c r="A797" s="9" t="n"/>
      <c r="B797" s="9" t="n"/>
      <c r="C797" s="9" t="n"/>
      <c r="D797" s="9" t="n"/>
      <c r="E797" s="9" t="n"/>
      <c r="F797" s="9" t="n"/>
      <c r="G797" s="9">
        <f>IF(OR(E797="",F797=""),"",DATEDIF(E797,F797,"Y"))</f>
        <v/>
      </c>
      <c r="H797" s="9" t="n"/>
    </row>
    <row r="798" ht="14.25" customHeight="1" s="38">
      <c r="A798" s="9" t="n"/>
      <c r="B798" s="9" t="n"/>
      <c r="C798" s="9" t="n"/>
      <c r="D798" s="9" t="n"/>
      <c r="E798" s="9" t="n"/>
      <c r="F798" s="9" t="n"/>
      <c r="G798" s="9">
        <f>IF(OR(E798="",F798=""),"",DATEDIF(E798,F798,"Y"))</f>
        <v/>
      </c>
      <c r="H798" s="9" t="n"/>
    </row>
    <row r="799" ht="14.25" customHeight="1" s="38">
      <c r="A799" s="9" t="n"/>
      <c r="B799" s="9" t="n"/>
      <c r="C799" s="9" t="n"/>
      <c r="D799" s="9" t="n"/>
      <c r="E799" s="9" t="n"/>
      <c r="F799" s="9" t="n"/>
      <c r="G799" s="9">
        <f>IF(OR(E799="",F799=""),"",DATEDIF(E799,F799,"Y"))</f>
        <v/>
      </c>
      <c r="H799" s="9" t="n"/>
    </row>
    <row r="800" ht="14.25" customHeight="1" s="38">
      <c r="A800" s="9" t="n"/>
      <c r="B800" s="9" t="n"/>
      <c r="C800" s="9" t="n"/>
      <c r="D800" s="9" t="n"/>
      <c r="E800" s="9" t="n"/>
      <c r="F800" s="9" t="n"/>
      <c r="G800" s="9">
        <f>IF(OR(E800="",F800=""),"",DATEDIF(E800,F800,"Y"))</f>
        <v/>
      </c>
      <c r="H800" s="9" t="n"/>
    </row>
    <row r="801" ht="14.25" customHeight="1" s="38">
      <c r="A801" s="9" t="n"/>
      <c r="B801" s="9" t="n"/>
      <c r="C801" s="9" t="n"/>
      <c r="D801" s="9" t="n"/>
      <c r="E801" s="9" t="n"/>
      <c r="F801" s="9" t="n"/>
      <c r="G801" s="9">
        <f>IF(OR(E801="",F801=""),"",DATEDIF(E801,F801,"Y"))</f>
        <v/>
      </c>
      <c r="H801" s="9" t="n"/>
    </row>
    <row r="802" ht="14.25" customHeight="1" s="38">
      <c r="A802" s="9" t="n"/>
      <c r="B802" s="9" t="n"/>
      <c r="C802" s="9" t="n"/>
      <c r="D802" s="9" t="n"/>
      <c r="E802" s="9" t="n"/>
      <c r="F802" s="9" t="n"/>
      <c r="G802" s="9">
        <f>IF(OR(E802="",F802=""),"",DATEDIF(E802,F802,"Y"))</f>
        <v/>
      </c>
      <c r="H802" s="9" t="n"/>
    </row>
    <row r="803" ht="14.25" customHeight="1" s="38">
      <c r="A803" s="9" t="n"/>
      <c r="B803" s="9" t="n"/>
      <c r="C803" s="9" t="n"/>
      <c r="D803" s="9" t="n"/>
      <c r="E803" s="9" t="n"/>
      <c r="F803" s="9" t="n"/>
      <c r="G803" s="9">
        <f>IF(OR(E803="",F803=""),"",DATEDIF(E803,F803,"Y"))</f>
        <v/>
      </c>
      <c r="H803" s="9" t="n"/>
    </row>
    <row r="804" ht="14.25" customHeight="1" s="38">
      <c r="A804" s="9" t="n"/>
      <c r="B804" s="9" t="n"/>
      <c r="C804" s="9" t="n"/>
      <c r="D804" s="9" t="n"/>
      <c r="E804" s="9" t="n"/>
      <c r="F804" s="9" t="n"/>
      <c r="G804" s="9">
        <f>IF(OR(E804="",F804=""),"",DATEDIF(E804,F804,"Y"))</f>
        <v/>
      </c>
      <c r="H804" s="9" t="n"/>
    </row>
    <row r="805" ht="14.25" customHeight="1" s="38">
      <c r="A805" s="9" t="n"/>
      <c r="B805" s="9" t="n"/>
      <c r="C805" s="9" t="n"/>
      <c r="D805" s="9" t="n"/>
      <c r="E805" s="9" t="n"/>
      <c r="F805" s="9" t="n"/>
      <c r="G805" s="9">
        <f>IF(OR(E805="",F805=""),"",DATEDIF(E805,F805,"Y"))</f>
        <v/>
      </c>
      <c r="H805" s="9" t="n"/>
    </row>
    <row r="806" ht="14.25" customHeight="1" s="38">
      <c r="A806" s="9" t="n"/>
      <c r="B806" s="9" t="n"/>
      <c r="C806" s="9" t="n"/>
      <c r="D806" s="9" t="n"/>
      <c r="E806" s="9" t="n"/>
      <c r="F806" s="9" t="n"/>
      <c r="G806" s="9">
        <f>IF(OR(E806="",F806=""),"",DATEDIF(E806,F806,"Y"))</f>
        <v/>
      </c>
      <c r="H806" s="9" t="n"/>
    </row>
    <row r="807" ht="14.25" customHeight="1" s="38">
      <c r="A807" s="9" t="n"/>
      <c r="B807" s="9" t="n"/>
      <c r="C807" s="9" t="n"/>
      <c r="D807" s="9" t="n"/>
      <c r="E807" s="9" t="n"/>
      <c r="F807" s="9" t="n"/>
      <c r="G807" s="9">
        <f>IF(OR(E807="",F807=""),"",DATEDIF(E807,F807,"Y"))</f>
        <v/>
      </c>
      <c r="H807" s="9" t="n"/>
    </row>
    <row r="808" ht="14.25" customHeight="1" s="38">
      <c r="A808" s="9" t="n"/>
      <c r="B808" s="9" t="n"/>
      <c r="C808" s="9" t="n"/>
      <c r="D808" s="9" t="n"/>
      <c r="E808" s="9" t="n"/>
      <c r="F808" s="9" t="n"/>
      <c r="G808" s="9">
        <f>IF(OR(E808="",F808=""),"",DATEDIF(E808,F808,"Y"))</f>
        <v/>
      </c>
      <c r="H808" s="9" t="n"/>
    </row>
    <row r="809" ht="14.25" customHeight="1" s="38">
      <c r="A809" s="9" t="n"/>
      <c r="B809" s="9" t="n"/>
      <c r="C809" s="9" t="n"/>
      <c r="D809" s="9" t="n"/>
      <c r="E809" s="9" t="n"/>
      <c r="F809" s="9" t="n"/>
      <c r="G809" s="9">
        <f>IF(OR(E809="",F809=""),"",DATEDIF(E809,F809,"Y"))</f>
        <v/>
      </c>
      <c r="H809" s="9" t="n"/>
    </row>
    <row r="810" ht="14.25" customHeight="1" s="38">
      <c r="A810" s="9" t="n"/>
      <c r="B810" s="9" t="n"/>
      <c r="C810" s="9" t="n"/>
      <c r="D810" s="9" t="n"/>
      <c r="E810" s="9" t="n"/>
      <c r="F810" s="9" t="n"/>
      <c r="G810" s="9">
        <f>IF(OR(E810="",F810=""),"",DATEDIF(E810,F810,"Y"))</f>
        <v/>
      </c>
      <c r="H810" s="9" t="n"/>
    </row>
    <row r="811" ht="14.25" customHeight="1" s="38">
      <c r="A811" s="9" t="n"/>
      <c r="B811" s="9" t="n"/>
      <c r="C811" s="9" t="n"/>
      <c r="D811" s="9" t="n"/>
      <c r="E811" s="9" t="n"/>
      <c r="F811" s="9" t="n"/>
      <c r="G811" s="9">
        <f>IF(OR(E811="",F811=""),"",DATEDIF(E811,F811,"Y"))</f>
        <v/>
      </c>
      <c r="H811" s="9" t="n"/>
    </row>
    <row r="812" ht="14.25" customHeight="1" s="38">
      <c r="A812" s="9" t="n"/>
      <c r="B812" s="9" t="n"/>
      <c r="C812" s="9" t="n"/>
      <c r="D812" s="9" t="n"/>
      <c r="E812" s="9" t="n"/>
      <c r="F812" s="9" t="n"/>
      <c r="G812" s="9">
        <f>IF(OR(E812="",F812=""),"",DATEDIF(E812,F812,"Y"))</f>
        <v/>
      </c>
      <c r="H812" s="9" t="n"/>
    </row>
    <row r="813" ht="14.25" customHeight="1" s="38">
      <c r="A813" s="9" t="n"/>
      <c r="B813" s="9" t="n"/>
      <c r="C813" s="9" t="n"/>
      <c r="D813" s="9" t="n"/>
      <c r="E813" s="9" t="n"/>
      <c r="F813" s="9" t="n"/>
      <c r="G813" s="9">
        <f>IF(OR(E813="",F813=""),"",DATEDIF(E813,F813,"Y"))</f>
        <v/>
      </c>
      <c r="H813" s="9" t="n"/>
    </row>
    <row r="814" ht="14.25" customHeight="1" s="38">
      <c r="A814" s="9" t="n"/>
      <c r="B814" s="9" t="n"/>
      <c r="C814" s="9" t="n"/>
      <c r="D814" s="9" t="n"/>
      <c r="E814" s="9" t="n"/>
      <c r="F814" s="9" t="n"/>
      <c r="G814" s="9">
        <f>IF(OR(E814="",F814=""),"",DATEDIF(E814,F814,"Y"))</f>
        <v/>
      </c>
      <c r="H814" s="9" t="n"/>
    </row>
    <row r="815" ht="14.25" customHeight="1" s="38">
      <c r="A815" s="9" t="n"/>
      <c r="B815" s="9" t="n"/>
      <c r="C815" s="9" t="n"/>
      <c r="D815" s="9" t="n"/>
      <c r="E815" s="9" t="n"/>
      <c r="F815" s="9" t="n"/>
      <c r="G815" s="9">
        <f>IF(OR(E815="",F815=""),"",DATEDIF(E815,F815,"Y"))</f>
        <v/>
      </c>
      <c r="H815" s="9" t="n"/>
    </row>
    <row r="816" ht="14.25" customHeight="1" s="38">
      <c r="A816" s="9" t="n"/>
      <c r="B816" s="9" t="n"/>
      <c r="C816" s="9" t="n"/>
      <c r="D816" s="9" t="n"/>
      <c r="E816" s="9" t="n"/>
      <c r="F816" s="9" t="n"/>
      <c r="G816" s="9">
        <f>IF(OR(E816="",F816=""),"",DATEDIF(E816,F816,"Y"))</f>
        <v/>
      </c>
      <c r="H816" s="9" t="n"/>
    </row>
    <row r="817" ht="14.25" customHeight="1" s="38">
      <c r="A817" s="9" t="n"/>
      <c r="B817" s="9" t="n"/>
      <c r="C817" s="9" t="n"/>
      <c r="D817" s="9" t="n"/>
      <c r="E817" s="9" t="n"/>
      <c r="F817" s="9" t="n"/>
      <c r="G817" s="9">
        <f>IF(OR(E817="",F817=""),"",DATEDIF(E817,F817,"Y"))</f>
        <v/>
      </c>
      <c r="H817" s="9" t="n"/>
    </row>
    <row r="818" ht="14.25" customHeight="1" s="38">
      <c r="A818" s="9" t="n"/>
      <c r="B818" s="9" t="n"/>
      <c r="C818" s="9" t="n"/>
      <c r="D818" s="9" t="n"/>
      <c r="E818" s="9" t="n"/>
      <c r="F818" s="9" t="n"/>
      <c r="G818" s="9">
        <f>IF(OR(E818="",F818=""),"",DATEDIF(E818,F818,"Y"))</f>
        <v/>
      </c>
      <c r="H818" s="9" t="n"/>
    </row>
    <row r="819" ht="14.25" customHeight="1" s="38">
      <c r="A819" s="9" t="n"/>
      <c r="B819" s="9" t="n"/>
      <c r="C819" s="9" t="n"/>
      <c r="D819" s="9" t="n"/>
      <c r="E819" s="9" t="n"/>
      <c r="F819" s="9" t="n"/>
      <c r="G819" s="9">
        <f>IF(OR(E819="",F819=""),"",DATEDIF(E819,F819,"Y"))</f>
        <v/>
      </c>
      <c r="H819" s="9" t="n"/>
    </row>
    <row r="820" ht="14.25" customHeight="1" s="38">
      <c r="A820" s="9" t="n"/>
      <c r="B820" s="9" t="n"/>
      <c r="C820" s="9" t="n"/>
      <c r="D820" s="9" t="n"/>
      <c r="E820" s="9" t="n"/>
      <c r="F820" s="9" t="n"/>
      <c r="G820" s="9">
        <f>IF(OR(E820="",F820=""),"",DATEDIF(E820,F820,"Y"))</f>
        <v/>
      </c>
      <c r="H820" s="9" t="n"/>
    </row>
    <row r="821" ht="14.25" customHeight="1" s="38">
      <c r="A821" s="9" t="n"/>
      <c r="B821" s="9" t="n"/>
      <c r="C821" s="9" t="n"/>
      <c r="D821" s="9" t="n"/>
      <c r="E821" s="9" t="n"/>
      <c r="F821" s="9" t="n"/>
      <c r="G821" s="9">
        <f>IF(OR(E821="",F821=""),"",DATEDIF(E821,F821,"Y"))</f>
        <v/>
      </c>
      <c r="H821" s="9" t="n"/>
    </row>
    <row r="822" ht="14.25" customHeight="1" s="38">
      <c r="A822" s="9" t="n"/>
      <c r="B822" s="9" t="n"/>
      <c r="C822" s="9" t="n"/>
      <c r="D822" s="9" t="n"/>
      <c r="E822" s="9" t="n"/>
      <c r="F822" s="9" t="n"/>
      <c r="G822" s="9">
        <f>IF(OR(E822="",F822=""),"",DATEDIF(E822,F822,"Y"))</f>
        <v/>
      </c>
      <c r="H822" s="9" t="n"/>
    </row>
    <row r="823" ht="14.25" customHeight="1" s="38">
      <c r="A823" s="9" t="n"/>
      <c r="B823" s="9" t="n"/>
      <c r="C823" s="9" t="n"/>
      <c r="D823" s="9" t="n"/>
      <c r="E823" s="9" t="n"/>
      <c r="F823" s="9" t="n"/>
      <c r="G823" s="9">
        <f>IF(OR(E823="",F823=""),"",DATEDIF(E823,F823,"Y"))</f>
        <v/>
      </c>
      <c r="H823" s="9" t="n"/>
    </row>
    <row r="824" ht="14.25" customHeight="1" s="38">
      <c r="A824" s="9" t="n"/>
      <c r="B824" s="9" t="n"/>
      <c r="C824" s="9" t="n"/>
      <c r="D824" s="9" t="n"/>
      <c r="E824" s="9" t="n"/>
      <c r="F824" s="9" t="n"/>
      <c r="G824" s="9">
        <f>IF(OR(E824="",F824=""),"",DATEDIF(E824,F824,"Y"))</f>
        <v/>
      </c>
      <c r="H824" s="9" t="n"/>
    </row>
    <row r="825" ht="14.25" customHeight="1" s="38">
      <c r="A825" s="9" t="n"/>
      <c r="B825" s="9" t="n"/>
      <c r="C825" s="9" t="n"/>
      <c r="D825" s="9" t="n"/>
      <c r="E825" s="9" t="n"/>
      <c r="F825" s="9" t="n"/>
      <c r="G825" s="9">
        <f>IF(OR(E825="",F825=""),"",DATEDIF(E825,F825,"Y"))</f>
        <v/>
      </c>
      <c r="H825" s="9" t="n"/>
    </row>
    <row r="826" ht="14.25" customHeight="1" s="38">
      <c r="A826" s="9" t="n"/>
      <c r="B826" s="9" t="n"/>
      <c r="C826" s="9" t="n"/>
      <c r="D826" s="9" t="n"/>
      <c r="E826" s="9" t="n"/>
      <c r="F826" s="9" t="n"/>
      <c r="G826" s="9">
        <f>IF(OR(E826="",F826=""),"",DATEDIF(E826,F826,"Y"))</f>
        <v/>
      </c>
      <c r="H826" s="9" t="n"/>
    </row>
    <row r="827" ht="14.25" customHeight="1" s="38">
      <c r="A827" s="9" t="n"/>
      <c r="B827" s="9" t="n"/>
      <c r="C827" s="9" t="n"/>
      <c r="D827" s="9" t="n"/>
      <c r="E827" s="9" t="n"/>
      <c r="F827" s="9" t="n"/>
      <c r="G827" s="9">
        <f>IF(OR(E827="",F827=""),"",DATEDIF(E827,F827,"Y"))</f>
        <v/>
      </c>
      <c r="H827" s="9" t="n"/>
    </row>
    <row r="828" ht="14.25" customHeight="1" s="38">
      <c r="A828" s="9" t="n"/>
      <c r="B828" s="9" t="n"/>
      <c r="C828" s="9" t="n"/>
      <c r="D828" s="9" t="n"/>
      <c r="E828" s="9" t="n"/>
      <c r="F828" s="9" t="n"/>
      <c r="G828" s="9">
        <f>IF(OR(E828="",F828=""),"",DATEDIF(E828,F828,"Y"))</f>
        <v/>
      </c>
      <c r="H828" s="9" t="n"/>
    </row>
    <row r="829" ht="14.25" customHeight="1" s="38">
      <c r="A829" s="9" t="n"/>
      <c r="B829" s="9" t="n"/>
      <c r="C829" s="9" t="n"/>
      <c r="D829" s="9" t="n"/>
      <c r="E829" s="9" t="n"/>
      <c r="F829" s="9" t="n"/>
      <c r="G829" s="9">
        <f>IF(OR(E829="",F829=""),"",DATEDIF(E829,F829,"Y"))</f>
        <v/>
      </c>
      <c r="H829" s="9" t="n"/>
    </row>
    <row r="830" ht="14.25" customHeight="1" s="38">
      <c r="A830" s="9" t="n"/>
      <c r="B830" s="9" t="n"/>
      <c r="C830" s="9" t="n"/>
      <c r="D830" s="9" t="n"/>
      <c r="E830" s="9" t="n"/>
      <c r="F830" s="9" t="n"/>
      <c r="G830" s="9">
        <f>IF(OR(E830="",F830=""),"",DATEDIF(E830,F830,"Y"))</f>
        <v/>
      </c>
      <c r="H830" s="9" t="n"/>
    </row>
    <row r="831" ht="14.25" customHeight="1" s="38">
      <c r="A831" s="9" t="n"/>
      <c r="B831" s="9" t="n"/>
      <c r="C831" s="9" t="n"/>
      <c r="D831" s="9" t="n"/>
      <c r="E831" s="9" t="n"/>
      <c r="F831" s="9" t="n"/>
      <c r="G831" s="9">
        <f>IF(OR(E831="",F831=""),"",DATEDIF(E831,F831,"Y"))</f>
        <v/>
      </c>
      <c r="H831" s="9" t="n"/>
    </row>
    <row r="832" ht="14.25" customHeight="1" s="38">
      <c r="A832" s="9" t="n"/>
      <c r="B832" s="9" t="n"/>
      <c r="C832" s="9" t="n"/>
      <c r="D832" s="9" t="n"/>
      <c r="E832" s="9" t="n"/>
      <c r="F832" s="9" t="n"/>
      <c r="G832" s="9">
        <f>IF(OR(E832="",F832=""),"",DATEDIF(E832,F832,"Y"))</f>
        <v/>
      </c>
      <c r="H832" s="9" t="n"/>
    </row>
    <row r="833" ht="14.25" customHeight="1" s="38">
      <c r="A833" s="9" t="n"/>
      <c r="B833" s="9" t="n"/>
      <c r="C833" s="9" t="n"/>
      <c r="D833" s="9" t="n"/>
      <c r="E833" s="9" t="n"/>
      <c r="F833" s="9" t="n"/>
      <c r="G833" s="9">
        <f>IF(OR(E833="",F833=""),"",DATEDIF(E833,F833,"Y"))</f>
        <v/>
      </c>
      <c r="H833" s="9" t="n"/>
    </row>
    <row r="834" ht="14.25" customHeight="1" s="38">
      <c r="A834" s="9" t="n"/>
      <c r="B834" s="9" t="n"/>
      <c r="C834" s="9" t="n"/>
      <c r="D834" s="9" t="n"/>
      <c r="E834" s="9" t="n"/>
      <c r="F834" s="9" t="n"/>
      <c r="G834" s="9">
        <f>IF(OR(E834="",F834=""),"",DATEDIF(E834,F834,"Y"))</f>
        <v/>
      </c>
      <c r="H834" s="9" t="n"/>
    </row>
    <row r="835" ht="14.25" customHeight="1" s="38">
      <c r="A835" s="9" t="n"/>
      <c r="B835" s="9" t="n"/>
      <c r="C835" s="9" t="n"/>
      <c r="D835" s="9" t="n"/>
      <c r="E835" s="9" t="n"/>
      <c r="F835" s="9" t="n"/>
      <c r="G835" s="9">
        <f>IF(OR(E835="",F835=""),"",DATEDIF(E835,F835,"Y"))</f>
        <v/>
      </c>
      <c r="H835" s="9" t="n"/>
    </row>
    <row r="836" ht="14.25" customHeight="1" s="38">
      <c r="A836" s="9" t="n"/>
      <c r="B836" s="9" t="n"/>
      <c r="C836" s="9" t="n"/>
      <c r="D836" s="9" t="n"/>
      <c r="E836" s="9" t="n"/>
      <c r="F836" s="9" t="n"/>
      <c r="G836" s="9">
        <f>IF(OR(E836="",F836=""),"",DATEDIF(E836,F836,"Y"))</f>
        <v/>
      </c>
      <c r="H836" s="9" t="n"/>
    </row>
    <row r="837" ht="14.25" customHeight="1" s="38">
      <c r="A837" s="9" t="n"/>
      <c r="B837" s="9" t="n"/>
      <c r="C837" s="9" t="n"/>
      <c r="D837" s="9" t="n"/>
      <c r="E837" s="9" t="n"/>
      <c r="F837" s="9" t="n"/>
      <c r="G837" s="9">
        <f>IF(OR(E837="",F837=""),"",DATEDIF(E837,F837,"Y"))</f>
        <v/>
      </c>
      <c r="H837" s="9" t="n"/>
    </row>
    <row r="838" ht="14.25" customHeight="1" s="38">
      <c r="A838" s="9" t="n"/>
      <c r="B838" s="9" t="n"/>
      <c r="C838" s="9" t="n"/>
      <c r="D838" s="9" t="n"/>
      <c r="E838" s="9" t="n"/>
      <c r="F838" s="9" t="n"/>
      <c r="G838" s="9">
        <f>IF(OR(E838="",F838=""),"",DATEDIF(E838,F838,"Y"))</f>
        <v/>
      </c>
      <c r="H838" s="9" t="n"/>
    </row>
    <row r="839" ht="14.25" customHeight="1" s="38">
      <c r="A839" s="9" t="n"/>
      <c r="B839" s="9" t="n"/>
      <c r="C839" s="9" t="n"/>
      <c r="D839" s="9" t="n"/>
      <c r="E839" s="9" t="n"/>
      <c r="F839" s="9" t="n"/>
      <c r="G839" s="9">
        <f>IF(OR(E839="",F839=""),"",DATEDIF(E839,F839,"Y"))</f>
        <v/>
      </c>
      <c r="H839" s="9" t="n"/>
    </row>
    <row r="840" ht="14.25" customHeight="1" s="38">
      <c r="A840" s="9" t="n"/>
      <c r="B840" s="9" t="n"/>
      <c r="C840" s="9" t="n"/>
      <c r="D840" s="9" t="n"/>
      <c r="E840" s="9" t="n"/>
      <c r="F840" s="9" t="n"/>
      <c r="G840" s="9">
        <f>IF(OR(E840="",F840=""),"",DATEDIF(E840,F840,"Y"))</f>
        <v/>
      </c>
      <c r="H840" s="9" t="n"/>
    </row>
    <row r="841" ht="14.25" customHeight="1" s="38">
      <c r="A841" s="9" t="n"/>
      <c r="B841" s="9" t="n"/>
      <c r="C841" s="9" t="n"/>
      <c r="D841" s="9" t="n"/>
      <c r="E841" s="9" t="n"/>
      <c r="F841" s="9" t="n"/>
      <c r="G841" s="9">
        <f>IF(OR(E841="",F841=""),"",DATEDIF(E841,F841,"Y"))</f>
        <v/>
      </c>
      <c r="H841" s="9" t="n"/>
    </row>
    <row r="842" ht="14.25" customHeight="1" s="38">
      <c r="A842" s="9" t="n"/>
      <c r="B842" s="9" t="n"/>
      <c r="C842" s="9" t="n"/>
      <c r="D842" s="9" t="n"/>
      <c r="E842" s="9" t="n"/>
      <c r="F842" s="9" t="n"/>
      <c r="G842" s="9">
        <f>IF(OR(E842="",F842=""),"",DATEDIF(E842,F842,"Y"))</f>
        <v/>
      </c>
      <c r="H842" s="9" t="n"/>
    </row>
    <row r="843" ht="14.25" customHeight="1" s="38">
      <c r="A843" s="9" t="n"/>
      <c r="B843" s="9" t="n"/>
      <c r="C843" s="9" t="n"/>
      <c r="D843" s="9" t="n"/>
      <c r="E843" s="9" t="n"/>
      <c r="F843" s="9" t="n"/>
      <c r="G843" s="9">
        <f>IF(OR(E843="",F843=""),"",DATEDIF(E843,F843,"Y"))</f>
        <v/>
      </c>
      <c r="H843" s="9" t="n"/>
    </row>
    <row r="844" ht="14.25" customHeight="1" s="38">
      <c r="A844" s="9" t="n"/>
      <c r="B844" s="9" t="n"/>
      <c r="C844" s="9" t="n"/>
      <c r="D844" s="9" t="n"/>
      <c r="E844" s="9" t="n"/>
      <c r="F844" s="9" t="n"/>
      <c r="G844" s="9">
        <f>IF(OR(E844="",F844=""),"",DATEDIF(E844,F844,"Y"))</f>
        <v/>
      </c>
      <c r="H844" s="9" t="n"/>
    </row>
    <row r="845" ht="14.25" customHeight="1" s="38">
      <c r="A845" s="9" t="n"/>
      <c r="B845" s="9" t="n"/>
      <c r="C845" s="9" t="n"/>
      <c r="D845" s="9" t="n"/>
      <c r="E845" s="9" t="n"/>
      <c r="F845" s="9" t="n"/>
      <c r="G845" s="9">
        <f>IF(OR(E845="",F845=""),"",DATEDIF(E845,F845,"Y"))</f>
        <v/>
      </c>
      <c r="H845" s="9" t="n"/>
    </row>
    <row r="846" ht="14.25" customHeight="1" s="38">
      <c r="A846" s="9" t="n"/>
      <c r="B846" s="9" t="n"/>
      <c r="C846" s="9" t="n"/>
      <c r="D846" s="9" t="n"/>
      <c r="E846" s="9" t="n"/>
      <c r="F846" s="9" t="n"/>
      <c r="G846" s="9">
        <f>IF(OR(E846="",F846=""),"",DATEDIF(E846,F846,"Y"))</f>
        <v/>
      </c>
      <c r="H846" s="9" t="n"/>
    </row>
    <row r="847" ht="14.25" customHeight="1" s="38">
      <c r="A847" s="9" t="n"/>
      <c r="B847" s="9" t="n"/>
      <c r="C847" s="9" t="n"/>
      <c r="D847" s="9" t="n"/>
      <c r="E847" s="9" t="n"/>
      <c r="F847" s="9" t="n"/>
      <c r="G847" s="9">
        <f>IF(OR(E847="",F847=""),"",DATEDIF(E847,F847,"Y"))</f>
        <v/>
      </c>
      <c r="H847" s="9" t="n"/>
    </row>
    <row r="848" ht="14.25" customHeight="1" s="38">
      <c r="A848" s="9" t="n"/>
      <c r="B848" s="9" t="n"/>
      <c r="C848" s="9" t="n"/>
      <c r="D848" s="9" t="n"/>
      <c r="E848" s="9" t="n"/>
      <c r="F848" s="9" t="n"/>
      <c r="G848" s="9">
        <f>IF(OR(E848="",F848=""),"",DATEDIF(E848,F848,"Y"))</f>
        <v/>
      </c>
      <c r="H848" s="9" t="n"/>
    </row>
    <row r="849" ht="14.25" customHeight="1" s="38">
      <c r="A849" s="9" t="n"/>
      <c r="B849" s="9" t="n"/>
      <c r="C849" s="9" t="n"/>
      <c r="D849" s="9" t="n"/>
      <c r="E849" s="9" t="n"/>
      <c r="F849" s="9" t="n"/>
      <c r="G849" s="9">
        <f>IF(OR(E849="",F849=""),"",DATEDIF(E849,F849,"Y"))</f>
        <v/>
      </c>
      <c r="H849" s="9" t="n"/>
    </row>
    <row r="850" ht="14.25" customHeight="1" s="38">
      <c r="A850" s="9" t="n"/>
      <c r="B850" s="9" t="n"/>
      <c r="C850" s="9" t="n"/>
      <c r="D850" s="9" t="n"/>
      <c r="E850" s="9" t="n"/>
      <c r="F850" s="9" t="n"/>
      <c r="G850" s="9">
        <f>IF(OR(E850="",F850=""),"",DATEDIF(E850,F850,"Y"))</f>
        <v/>
      </c>
      <c r="H850" s="9" t="n"/>
    </row>
    <row r="851" ht="14.25" customHeight="1" s="38">
      <c r="A851" s="9" t="n"/>
      <c r="B851" s="9" t="n"/>
      <c r="C851" s="9" t="n"/>
      <c r="D851" s="9" t="n"/>
      <c r="E851" s="9" t="n"/>
      <c r="F851" s="9" t="n"/>
      <c r="G851" s="9">
        <f>IF(OR(E851="",F851=""),"",DATEDIF(E851,F851,"Y"))</f>
        <v/>
      </c>
      <c r="H851" s="9" t="n"/>
    </row>
    <row r="852" ht="14.25" customHeight="1" s="38">
      <c r="A852" s="9" t="n"/>
      <c r="B852" s="9" t="n"/>
      <c r="C852" s="9" t="n"/>
      <c r="D852" s="9" t="n"/>
      <c r="E852" s="9" t="n"/>
      <c r="F852" s="9" t="n"/>
      <c r="G852" s="9">
        <f>IF(OR(E852="",F852=""),"",DATEDIF(E852,F852,"Y"))</f>
        <v/>
      </c>
      <c r="H852" s="9" t="n"/>
    </row>
    <row r="853" ht="14.25" customHeight="1" s="38">
      <c r="A853" s="9" t="n"/>
      <c r="B853" s="9" t="n"/>
      <c r="C853" s="9" t="n"/>
      <c r="D853" s="9" t="n"/>
      <c r="E853" s="9" t="n"/>
      <c r="F853" s="9" t="n"/>
      <c r="G853" s="9">
        <f>IF(OR(E853="",F853=""),"",DATEDIF(E853,F853,"Y"))</f>
        <v/>
      </c>
      <c r="H853" s="9" t="n"/>
    </row>
    <row r="854" ht="14.25" customHeight="1" s="38">
      <c r="A854" s="9" t="n"/>
      <c r="B854" s="9" t="n"/>
      <c r="C854" s="9" t="n"/>
      <c r="D854" s="9" t="n"/>
      <c r="E854" s="9" t="n"/>
      <c r="F854" s="9" t="n"/>
      <c r="G854" s="9">
        <f>IF(OR(E854="",F854=""),"",DATEDIF(E854,F854,"Y"))</f>
        <v/>
      </c>
      <c r="H854" s="9" t="n"/>
    </row>
    <row r="855" ht="14.25" customHeight="1" s="38">
      <c r="A855" s="9" t="n"/>
      <c r="B855" s="9" t="n"/>
      <c r="C855" s="9" t="n"/>
      <c r="D855" s="9" t="n"/>
      <c r="E855" s="9" t="n"/>
      <c r="F855" s="9" t="n"/>
      <c r="G855" s="9">
        <f>IF(OR(E855="",F855=""),"",DATEDIF(E855,F855,"Y"))</f>
        <v/>
      </c>
      <c r="H855" s="9" t="n"/>
    </row>
    <row r="856" ht="14.25" customHeight="1" s="38">
      <c r="A856" s="9" t="n"/>
      <c r="B856" s="9" t="n"/>
      <c r="C856" s="9" t="n"/>
      <c r="D856" s="9" t="n"/>
      <c r="E856" s="9" t="n"/>
      <c r="F856" s="9" t="n"/>
      <c r="G856" s="9">
        <f>IF(OR(E856="",F856=""),"",DATEDIF(E856,F856,"Y"))</f>
        <v/>
      </c>
      <c r="H856" s="9" t="n"/>
    </row>
    <row r="857" ht="14.25" customHeight="1" s="38">
      <c r="A857" s="9" t="n"/>
      <c r="B857" s="9" t="n"/>
      <c r="C857" s="9" t="n"/>
      <c r="D857" s="9" t="n"/>
      <c r="E857" s="9" t="n"/>
      <c r="F857" s="9" t="n"/>
      <c r="G857" s="9">
        <f>IF(OR(E857="",F857=""),"",DATEDIF(E857,F857,"Y"))</f>
        <v/>
      </c>
      <c r="H857" s="9" t="n"/>
    </row>
    <row r="858" ht="14.25" customHeight="1" s="38">
      <c r="A858" s="9" t="n"/>
      <c r="B858" s="9" t="n"/>
      <c r="C858" s="9" t="n"/>
      <c r="D858" s="9" t="n"/>
      <c r="E858" s="9" t="n"/>
      <c r="F858" s="9" t="n"/>
      <c r="G858" s="9">
        <f>IF(OR(E858="",F858=""),"",DATEDIF(E858,F858,"Y"))</f>
        <v/>
      </c>
      <c r="H858" s="9" t="n"/>
    </row>
    <row r="859" ht="14.25" customHeight="1" s="38">
      <c r="A859" s="9" t="n"/>
      <c r="B859" s="9" t="n"/>
      <c r="C859" s="9" t="n"/>
      <c r="D859" s="9" t="n"/>
      <c r="E859" s="9" t="n"/>
      <c r="F859" s="9" t="n"/>
      <c r="G859" s="9">
        <f>IF(OR(E859="",F859=""),"",DATEDIF(E859,F859,"Y"))</f>
        <v/>
      </c>
      <c r="H859" s="9" t="n"/>
    </row>
    <row r="860" ht="14.25" customHeight="1" s="38">
      <c r="A860" s="9" t="n"/>
      <c r="B860" s="9" t="n"/>
      <c r="C860" s="9" t="n"/>
      <c r="D860" s="9" t="n"/>
      <c r="E860" s="9" t="n"/>
      <c r="F860" s="9" t="n"/>
      <c r="G860" s="9">
        <f>IF(OR(E860="",F860=""),"",DATEDIF(E860,F860,"Y"))</f>
        <v/>
      </c>
      <c r="H860" s="9" t="n"/>
    </row>
    <row r="861" ht="14.25" customHeight="1" s="38">
      <c r="A861" s="9" t="n"/>
      <c r="B861" s="9" t="n"/>
      <c r="C861" s="9" t="n"/>
      <c r="D861" s="9" t="n"/>
      <c r="E861" s="9" t="n"/>
      <c r="F861" s="9" t="n"/>
      <c r="G861" s="9">
        <f>IF(OR(E861="",F861=""),"",DATEDIF(E861,F861,"Y"))</f>
        <v/>
      </c>
      <c r="H861" s="9" t="n"/>
    </row>
    <row r="862" ht="14.25" customHeight="1" s="38">
      <c r="A862" s="9" t="n"/>
      <c r="B862" s="9" t="n"/>
      <c r="C862" s="9" t="n"/>
      <c r="D862" s="9" t="n"/>
      <c r="E862" s="9" t="n"/>
      <c r="F862" s="9" t="n"/>
      <c r="G862" s="9">
        <f>IF(OR(E862="",F862=""),"",DATEDIF(E862,F862,"Y"))</f>
        <v/>
      </c>
      <c r="H862" s="9" t="n"/>
    </row>
    <row r="863" ht="14.25" customHeight="1" s="38">
      <c r="A863" s="9" t="n"/>
      <c r="B863" s="9" t="n"/>
      <c r="C863" s="9" t="n"/>
      <c r="D863" s="9" t="n"/>
      <c r="E863" s="9" t="n"/>
      <c r="F863" s="9" t="n"/>
      <c r="G863" s="9">
        <f>IF(OR(E863="",F863=""),"",DATEDIF(E863,F863,"Y"))</f>
        <v/>
      </c>
      <c r="H863" s="9" t="n"/>
    </row>
    <row r="864" ht="14.25" customHeight="1" s="38">
      <c r="A864" s="9" t="n"/>
      <c r="B864" s="9" t="n"/>
      <c r="C864" s="9" t="n"/>
      <c r="D864" s="9" t="n"/>
      <c r="E864" s="9" t="n"/>
      <c r="F864" s="9" t="n"/>
      <c r="G864" s="9">
        <f>IF(OR(E864="",F864=""),"",DATEDIF(E864,F864,"Y"))</f>
        <v/>
      </c>
      <c r="H864" s="9" t="n"/>
    </row>
    <row r="865" ht="14.25" customHeight="1" s="38">
      <c r="A865" s="9" t="n"/>
      <c r="B865" s="9" t="n"/>
      <c r="C865" s="9" t="n"/>
      <c r="D865" s="9" t="n"/>
      <c r="E865" s="9" t="n"/>
      <c r="F865" s="9" t="n"/>
      <c r="G865" s="9">
        <f>IF(OR(E865="",F865=""),"",DATEDIF(E865,F865,"Y"))</f>
        <v/>
      </c>
      <c r="H865" s="9" t="n"/>
    </row>
    <row r="866" ht="14.25" customHeight="1" s="38">
      <c r="A866" s="9" t="n"/>
      <c r="B866" s="9" t="n"/>
      <c r="C866" s="9" t="n"/>
      <c r="D866" s="9" t="n"/>
      <c r="E866" s="9" t="n"/>
      <c r="F866" s="9" t="n"/>
      <c r="G866" s="9">
        <f>IF(OR(E866="",F866=""),"",DATEDIF(E866,F866,"Y"))</f>
        <v/>
      </c>
      <c r="H866" s="9" t="n"/>
    </row>
    <row r="867" ht="14.25" customHeight="1" s="38">
      <c r="A867" s="9" t="n"/>
      <c r="B867" s="9" t="n"/>
      <c r="C867" s="9" t="n"/>
      <c r="D867" s="9" t="n"/>
      <c r="E867" s="9" t="n"/>
      <c r="F867" s="9" t="n"/>
      <c r="G867" s="9">
        <f>IF(OR(E867="",F867=""),"",DATEDIF(E867,F867,"Y"))</f>
        <v/>
      </c>
      <c r="H867" s="9" t="n"/>
    </row>
    <row r="868" ht="14.25" customHeight="1" s="38">
      <c r="A868" s="9" t="n"/>
      <c r="B868" s="9" t="n"/>
      <c r="C868" s="9" t="n"/>
      <c r="D868" s="9" t="n"/>
      <c r="E868" s="9" t="n"/>
      <c r="F868" s="9" t="n"/>
      <c r="G868" s="9">
        <f>IF(OR(E868="",F868=""),"",DATEDIF(E868,F868,"Y"))</f>
        <v/>
      </c>
      <c r="H868" s="9" t="n"/>
    </row>
    <row r="869" ht="14.25" customHeight="1" s="38">
      <c r="A869" s="9" t="n"/>
      <c r="B869" s="9" t="n"/>
      <c r="C869" s="9" t="n"/>
      <c r="D869" s="9" t="n"/>
      <c r="E869" s="9" t="n"/>
      <c r="F869" s="9" t="n"/>
      <c r="G869" s="9">
        <f>IF(OR(E869="",F869=""),"",DATEDIF(E869,F869,"Y"))</f>
        <v/>
      </c>
      <c r="H869" s="9" t="n"/>
    </row>
    <row r="870" ht="14.25" customHeight="1" s="38">
      <c r="A870" s="9" t="n"/>
      <c r="B870" s="9" t="n"/>
      <c r="C870" s="9" t="n"/>
      <c r="D870" s="9" t="n"/>
      <c r="E870" s="9" t="n"/>
      <c r="F870" s="9" t="n"/>
      <c r="G870" s="9">
        <f>IF(OR(E870="",F870=""),"",DATEDIF(E870,F870,"Y"))</f>
        <v/>
      </c>
      <c r="H870" s="9" t="n"/>
    </row>
    <row r="871" ht="14.25" customHeight="1" s="38">
      <c r="A871" s="9" t="n"/>
      <c r="B871" s="9" t="n"/>
      <c r="C871" s="9" t="n"/>
      <c r="D871" s="9" t="n"/>
      <c r="E871" s="9" t="n"/>
      <c r="F871" s="9" t="n"/>
      <c r="G871" s="9">
        <f>IF(OR(E871="",F871=""),"",DATEDIF(E871,F871,"Y"))</f>
        <v/>
      </c>
      <c r="H871" s="9" t="n"/>
    </row>
    <row r="872" ht="14.25" customHeight="1" s="38">
      <c r="A872" s="9" t="n"/>
      <c r="B872" s="9" t="n"/>
      <c r="C872" s="9" t="n"/>
      <c r="D872" s="9" t="n"/>
      <c r="E872" s="9" t="n"/>
      <c r="F872" s="9" t="n"/>
      <c r="G872" s="9">
        <f>IF(OR(E872="",F872=""),"",DATEDIF(E872,F872,"Y"))</f>
        <v/>
      </c>
      <c r="H872" s="9" t="n"/>
    </row>
    <row r="873" ht="14.25" customHeight="1" s="38">
      <c r="A873" s="9" t="n"/>
      <c r="B873" s="9" t="n"/>
      <c r="C873" s="9" t="n"/>
      <c r="D873" s="9" t="n"/>
      <c r="E873" s="9" t="n"/>
      <c r="F873" s="9" t="n"/>
      <c r="G873" s="9">
        <f>IF(OR(E873="",F873=""),"",DATEDIF(E873,F873,"Y"))</f>
        <v/>
      </c>
      <c r="H873" s="9" t="n"/>
    </row>
    <row r="874" ht="14.25" customHeight="1" s="38">
      <c r="A874" s="9" t="n"/>
      <c r="B874" s="9" t="n"/>
      <c r="C874" s="9" t="n"/>
      <c r="D874" s="9" t="n"/>
      <c r="E874" s="9" t="n"/>
      <c r="F874" s="9" t="n"/>
      <c r="G874" s="9">
        <f>IF(OR(E874="",F874=""),"",DATEDIF(E874,F874,"Y"))</f>
        <v/>
      </c>
      <c r="H874" s="9" t="n"/>
    </row>
    <row r="875" ht="14.25" customHeight="1" s="38">
      <c r="A875" s="9" t="n"/>
      <c r="B875" s="9" t="n"/>
      <c r="C875" s="9" t="n"/>
      <c r="D875" s="9" t="n"/>
      <c r="E875" s="9" t="n"/>
      <c r="F875" s="9" t="n"/>
      <c r="G875" s="9">
        <f>IF(OR(E875="",F875=""),"",DATEDIF(E875,F875,"Y"))</f>
        <v/>
      </c>
      <c r="H875" s="9" t="n"/>
    </row>
    <row r="876" ht="14.25" customHeight="1" s="38">
      <c r="A876" s="9" t="n"/>
      <c r="B876" s="9" t="n"/>
      <c r="C876" s="9" t="n"/>
      <c r="D876" s="9" t="n"/>
      <c r="E876" s="9" t="n"/>
      <c r="F876" s="9" t="n"/>
      <c r="G876" s="9">
        <f>IF(OR(E876="",F876=""),"",DATEDIF(E876,F876,"Y"))</f>
        <v/>
      </c>
      <c r="H876" s="9" t="n"/>
    </row>
    <row r="877" ht="14.25" customHeight="1" s="38">
      <c r="A877" s="9" t="n"/>
      <c r="B877" s="9" t="n"/>
      <c r="C877" s="9" t="n"/>
      <c r="D877" s="9" t="n"/>
      <c r="E877" s="9" t="n"/>
      <c r="F877" s="9" t="n"/>
      <c r="G877" s="9">
        <f>IF(OR(E877="",F877=""),"",DATEDIF(E877,F877,"Y"))</f>
        <v/>
      </c>
      <c r="H877" s="9" t="n"/>
    </row>
    <row r="878" ht="14.25" customHeight="1" s="38">
      <c r="A878" s="9" t="n"/>
      <c r="B878" s="9" t="n"/>
      <c r="C878" s="9" t="n"/>
      <c r="D878" s="9" t="n"/>
      <c r="E878" s="9" t="n"/>
      <c r="F878" s="9" t="n"/>
      <c r="G878" s="9">
        <f>IF(OR(E878="",F878=""),"",DATEDIF(E878,F878,"Y"))</f>
        <v/>
      </c>
      <c r="H878" s="9" t="n"/>
    </row>
    <row r="879" ht="14.25" customHeight="1" s="38">
      <c r="A879" s="9" t="n"/>
      <c r="B879" s="9" t="n"/>
      <c r="C879" s="9" t="n"/>
      <c r="D879" s="9" t="n"/>
      <c r="E879" s="9" t="n"/>
      <c r="F879" s="9" t="n"/>
      <c r="G879" s="9">
        <f>IF(OR(E879="",F879=""),"",DATEDIF(E879,F879,"Y"))</f>
        <v/>
      </c>
      <c r="H879" s="9" t="n"/>
    </row>
    <row r="880" ht="14.25" customHeight="1" s="38">
      <c r="A880" s="9" t="n"/>
      <c r="B880" s="9" t="n"/>
      <c r="C880" s="9" t="n"/>
      <c r="D880" s="9" t="n"/>
      <c r="E880" s="9" t="n"/>
      <c r="F880" s="9" t="n"/>
      <c r="G880" s="9">
        <f>IF(OR(E880="",F880=""),"",DATEDIF(E880,F880,"Y"))</f>
        <v/>
      </c>
      <c r="H880" s="9" t="n"/>
    </row>
    <row r="881" ht="14.25" customHeight="1" s="38">
      <c r="A881" s="9" t="n"/>
      <c r="B881" s="9" t="n"/>
      <c r="C881" s="9" t="n"/>
      <c r="D881" s="9" t="n"/>
      <c r="E881" s="9" t="n"/>
      <c r="F881" s="9" t="n"/>
      <c r="G881" s="9">
        <f>IF(OR(E881="",F881=""),"",DATEDIF(E881,F881,"Y"))</f>
        <v/>
      </c>
      <c r="H881" s="9" t="n"/>
    </row>
    <row r="882" ht="14.25" customHeight="1" s="38">
      <c r="A882" s="9" t="n"/>
      <c r="B882" s="9" t="n"/>
      <c r="C882" s="9" t="n"/>
      <c r="D882" s="9" t="n"/>
      <c r="E882" s="9" t="n"/>
      <c r="F882" s="9" t="n"/>
      <c r="G882" s="9">
        <f>IF(OR(E882="",F882=""),"",DATEDIF(E882,F882,"Y"))</f>
        <v/>
      </c>
      <c r="H882" s="9" t="n"/>
    </row>
    <row r="883" ht="14.25" customHeight="1" s="38">
      <c r="A883" s="9" t="n"/>
      <c r="B883" s="9" t="n"/>
      <c r="C883" s="9" t="n"/>
      <c r="D883" s="9" t="n"/>
      <c r="E883" s="9" t="n"/>
      <c r="F883" s="9" t="n"/>
      <c r="G883" s="9">
        <f>IF(OR(E883="",F883=""),"",DATEDIF(E883,F883,"Y"))</f>
        <v/>
      </c>
      <c r="H883" s="9" t="n"/>
    </row>
    <row r="884" ht="14.25" customHeight="1" s="38">
      <c r="A884" s="9" t="n"/>
      <c r="B884" s="9" t="n"/>
      <c r="C884" s="9" t="n"/>
      <c r="D884" s="9" t="n"/>
      <c r="E884" s="9" t="n"/>
      <c r="F884" s="9" t="n"/>
      <c r="G884" s="9">
        <f>IF(OR(E884="",F884=""),"",DATEDIF(E884,F884,"Y"))</f>
        <v/>
      </c>
      <c r="H884" s="9" t="n"/>
    </row>
    <row r="885" ht="14.25" customHeight="1" s="38">
      <c r="A885" s="9" t="n"/>
      <c r="B885" s="9" t="n"/>
      <c r="C885" s="9" t="n"/>
      <c r="D885" s="9" t="n"/>
      <c r="E885" s="9" t="n"/>
      <c r="F885" s="9" t="n"/>
      <c r="G885" s="9">
        <f>IF(OR(E885="",F885=""),"",DATEDIF(E885,F885,"Y"))</f>
        <v/>
      </c>
      <c r="H885" s="9" t="n"/>
    </row>
    <row r="886" ht="14.25" customHeight="1" s="38">
      <c r="A886" s="9" t="n"/>
      <c r="B886" s="9" t="n"/>
      <c r="C886" s="9" t="n"/>
      <c r="D886" s="9" t="n"/>
      <c r="E886" s="9" t="n"/>
      <c r="F886" s="9" t="n"/>
      <c r="G886" s="9">
        <f>IF(OR(E886="",F886=""),"",DATEDIF(E886,F886,"Y"))</f>
        <v/>
      </c>
      <c r="H886" s="9" t="n"/>
    </row>
    <row r="887" ht="14.25" customHeight="1" s="38">
      <c r="A887" s="9" t="n"/>
      <c r="B887" s="9" t="n"/>
      <c r="C887" s="9" t="n"/>
      <c r="D887" s="9" t="n"/>
      <c r="E887" s="9" t="n"/>
      <c r="F887" s="9" t="n"/>
      <c r="G887" s="9">
        <f>IF(OR(E887="",F887=""),"",DATEDIF(E887,F887,"Y"))</f>
        <v/>
      </c>
      <c r="H887" s="9" t="n"/>
    </row>
    <row r="888" ht="14.25" customHeight="1" s="38">
      <c r="A888" s="9" t="n"/>
      <c r="B888" s="9" t="n"/>
      <c r="C888" s="9" t="n"/>
      <c r="D888" s="9" t="n"/>
      <c r="E888" s="9" t="n"/>
      <c r="F888" s="9" t="n"/>
      <c r="G888" s="9">
        <f>IF(OR(E888="",F888=""),"",DATEDIF(E888,F888,"Y"))</f>
        <v/>
      </c>
      <c r="H888" s="9" t="n"/>
    </row>
    <row r="889" ht="14.25" customHeight="1" s="38">
      <c r="A889" s="9" t="n"/>
      <c r="B889" s="9" t="n"/>
      <c r="C889" s="9" t="n"/>
      <c r="D889" s="9" t="n"/>
      <c r="E889" s="9" t="n"/>
      <c r="F889" s="9" t="n"/>
      <c r="G889" s="9">
        <f>IF(OR(E889="",F889=""),"",DATEDIF(E889,F889,"Y"))</f>
        <v/>
      </c>
      <c r="H889" s="9" t="n"/>
    </row>
    <row r="890" ht="14.25" customHeight="1" s="38">
      <c r="A890" s="9" t="n"/>
      <c r="B890" s="9" t="n"/>
      <c r="C890" s="9" t="n"/>
      <c r="D890" s="9" t="n"/>
      <c r="E890" s="9" t="n"/>
      <c r="F890" s="9" t="n"/>
      <c r="G890" s="9">
        <f>IF(OR(E890="",F890=""),"",DATEDIF(E890,F890,"Y"))</f>
        <v/>
      </c>
      <c r="H890" s="9" t="n"/>
    </row>
    <row r="891" ht="14.25" customHeight="1" s="38">
      <c r="A891" s="9" t="n"/>
      <c r="B891" s="9" t="n"/>
      <c r="C891" s="9" t="n"/>
      <c r="D891" s="9" t="n"/>
      <c r="E891" s="9" t="n"/>
      <c r="F891" s="9" t="n"/>
      <c r="G891" s="9">
        <f>IF(OR(E891="",F891=""),"",DATEDIF(E891,F891,"Y"))</f>
        <v/>
      </c>
      <c r="H891" s="9" t="n"/>
    </row>
    <row r="892" ht="14.25" customHeight="1" s="38">
      <c r="A892" s="9" t="n"/>
      <c r="B892" s="9" t="n"/>
      <c r="C892" s="9" t="n"/>
      <c r="D892" s="9" t="n"/>
      <c r="E892" s="9" t="n"/>
      <c r="F892" s="9" t="n"/>
      <c r="G892" s="9">
        <f>IF(OR(E892="",F892=""),"",DATEDIF(E892,F892,"Y"))</f>
        <v/>
      </c>
      <c r="H892" s="9" t="n"/>
    </row>
    <row r="893" ht="14.25" customHeight="1" s="38">
      <c r="A893" s="9" t="n"/>
      <c r="B893" s="9" t="n"/>
      <c r="C893" s="9" t="n"/>
      <c r="D893" s="9" t="n"/>
      <c r="E893" s="9" t="n"/>
      <c r="F893" s="9" t="n"/>
      <c r="G893" s="9">
        <f>IF(OR(E893="",F893=""),"",DATEDIF(E893,F893,"Y"))</f>
        <v/>
      </c>
      <c r="H893" s="9" t="n"/>
    </row>
    <row r="894" ht="14.25" customHeight="1" s="38">
      <c r="A894" s="9" t="n"/>
      <c r="B894" s="9" t="n"/>
      <c r="C894" s="9" t="n"/>
      <c r="D894" s="9" t="n"/>
      <c r="E894" s="9" t="n"/>
      <c r="F894" s="9" t="n"/>
      <c r="G894" s="9">
        <f>IF(OR(E894="",F894=""),"",DATEDIF(E894,F894,"Y"))</f>
        <v/>
      </c>
      <c r="H894" s="9" t="n"/>
    </row>
    <row r="895" ht="14.25" customHeight="1" s="38">
      <c r="A895" s="9" t="n"/>
      <c r="B895" s="9" t="n"/>
      <c r="C895" s="9" t="n"/>
      <c r="D895" s="9" t="n"/>
      <c r="E895" s="9" t="n"/>
      <c r="F895" s="9" t="n"/>
      <c r="G895" s="9">
        <f>IF(OR(E895="",F895=""),"",DATEDIF(E895,F895,"Y"))</f>
        <v/>
      </c>
      <c r="H895" s="9" t="n"/>
    </row>
    <row r="896" ht="14.25" customHeight="1" s="38">
      <c r="A896" s="9" t="n"/>
      <c r="B896" s="9" t="n"/>
      <c r="C896" s="9" t="n"/>
      <c r="D896" s="9" t="n"/>
      <c r="E896" s="9" t="n"/>
      <c r="F896" s="9" t="n"/>
      <c r="G896" s="9">
        <f>IF(OR(E896="",F896=""),"",DATEDIF(E896,F896,"Y"))</f>
        <v/>
      </c>
      <c r="H896" s="9" t="n"/>
    </row>
    <row r="897" ht="14.25" customHeight="1" s="38">
      <c r="A897" s="9" t="n"/>
      <c r="B897" s="9" t="n"/>
      <c r="C897" s="9" t="n"/>
      <c r="D897" s="9" t="n"/>
      <c r="E897" s="9" t="n"/>
      <c r="F897" s="9" t="n"/>
      <c r="G897" s="9">
        <f>IF(OR(E897="",F897=""),"",DATEDIF(E897,F897,"Y"))</f>
        <v/>
      </c>
      <c r="H897" s="9" t="n"/>
    </row>
    <row r="898" ht="14.25" customHeight="1" s="38">
      <c r="A898" s="9" t="n"/>
      <c r="B898" s="9" t="n"/>
      <c r="C898" s="9" t="n"/>
      <c r="D898" s="9" t="n"/>
      <c r="E898" s="9" t="n"/>
      <c r="F898" s="9" t="n"/>
      <c r="G898" s="9">
        <f>IF(OR(E898="",F898=""),"",DATEDIF(E898,F898,"Y"))</f>
        <v/>
      </c>
      <c r="H898" s="9" t="n"/>
    </row>
    <row r="899" ht="14.25" customHeight="1" s="38">
      <c r="A899" s="9" t="n"/>
      <c r="B899" s="9" t="n"/>
      <c r="C899" s="9" t="n"/>
      <c r="D899" s="9" t="n"/>
      <c r="E899" s="9" t="n"/>
      <c r="F899" s="9" t="n"/>
      <c r="G899" s="9">
        <f>IF(OR(E899="",F899=""),"",DATEDIF(E899,F899,"Y"))</f>
        <v/>
      </c>
      <c r="H899" s="9" t="n"/>
    </row>
    <row r="900" ht="14.25" customHeight="1" s="38">
      <c r="A900" s="9" t="n"/>
      <c r="B900" s="9" t="n"/>
      <c r="C900" s="9" t="n"/>
      <c r="D900" s="9" t="n"/>
      <c r="E900" s="9" t="n"/>
      <c r="F900" s="9" t="n"/>
      <c r="G900" s="9">
        <f>IF(OR(E900="",F900=""),"",DATEDIF(E900,F900,"Y"))</f>
        <v/>
      </c>
      <c r="H900" s="9" t="n"/>
    </row>
    <row r="901" ht="14.25" customHeight="1" s="38">
      <c r="A901" s="9" t="n"/>
      <c r="B901" s="9" t="n"/>
      <c r="C901" s="9" t="n"/>
      <c r="D901" s="9" t="n"/>
      <c r="E901" s="9" t="n"/>
      <c r="F901" s="9" t="n"/>
      <c r="G901" s="9">
        <f>IF(OR(E901="",F901=""),"",DATEDIF(E901,F901,"Y"))</f>
        <v/>
      </c>
      <c r="H901" s="9" t="n"/>
    </row>
    <row r="902" ht="14.25" customHeight="1" s="38">
      <c r="A902" s="9" t="n"/>
      <c r="B902" s="9" t="n"/>
      <c r="C902" s="9" t="n"/>
      <c r="D902" s="9" t="n"/>
      <c r="E902" s="9" t="n"/>
      <c r="F902" s="9" t="n"/>
      <c r="G902" s="9">
        <f>IF(OR(E902="",F902=""),"",DATEDIF(E902,F902,"Y"))</f>
        <v/>
      </c>
      <c r="H902" s="9" t="n"/>
    </row>
    <row r="903" ht="14.25" customHeight="1" s="38">
      <c r="A903" s="9" t="n"/>
      <c r="B903" s="9" t="n"/>
      <c r="C903" s="9" t="n"/>
      <c r="D903" s="9" t="n"/>
      <c r="E903" s="9" t="n"/>
      <c r="F903" s="9" t="n"/>
      <c r="G903" s="9">
        <f>IF(OR(E903="",F903=""),"",DATEDIF(E903,F903,"Y"))</f>
        <v/>
      </c>
      <c r="H903" s="9" t="n"/>
    </row>
    <row r="904" ht="14.25" customHeight="1" s="38">
      <c r="A904" s="9" t="n"/>
      <c r="B904" s="9" t="n"/>
      <c r="C904" s="9" t="n"/>
      <c r="D904" s="9" t="n"/>
      <c r="E904" s="9" t="n"/>
      <c r="F904" s="9" t="n"/>
      <c r="G904" s="9">
        <f>IF(OR(E904="",F904=""),"",DATEDIF(E904,F904,"Y"))</f>
        <v/>
      </c>
      <c r="H904" s="9" t="n"/>
    </row>
    <row r="905" ht="14.25" customHeight="1" s="38">
      <c r="A905" s="9" t="n"/>
      <c r="B905" s="9" t="n"/>
      <c r="C905" s="9" t="n"/>
      <c r="D905" s="9" t="n"/>
      <c r="E905" s="9" t="n"/>
      <c r="F905" s="9" t="n"/>
      <c r="G905" s="9">
        <f>IF(OR(E905="",F905=""),"",DATEDIF(E905,F905,"Y"))</f>
        <v/>
      </c>
      <c r="H905" s="9" t="n"/>
    </row>
    <row r="906" ht="14.25" customHeight="1" s="38">
      <c r="A906" s="9" t="n"/>
      <c r="B906" s="9" t="n"/>
      <c r="C906" s="9" t="n"/>
      <c r="D906" s="9" t="n"/>
      <c r="E906" s="9" t="n"/>
      <c r="F906" s="9" t="n"/>
      <c r="G906" s="9">
        <f>IF(OR(E906="",F906=""),"",DATEDIF(E906,F906,"Y"))</f>
        <v/>
      </c>
      <c r="H906" s="9" t="n"/>
    </row>
    <row r="907" ht="14.25" customHeight="1" s="38">
      <c r="A907" s="9" t="n"/>
      <c r="B907" s="9" t="n"/>
      <c r="C907" s="9" t="n"/>
      <c r="D907" s="9" t="n"/>
      <c r="E907" s="9" t="n"/>
      <c r="F907" s="9" t="n"/>
      <c r="G907" s="9">
        <f>IF(OR(E907="",F907=""),"",DATEDIF(E907,F907,"Y"))</f>
        <v/>
      </c>
      <c r="H907" s="9" t="n"/>
    </row>
    <row r="908" ht="14.25" customHeight="1" s="38">
      <c r="A908" s="9" t="n"/>
      <c r="B908" s="9" t="n"/>
      <c r="C908" s="9" t="n"/>
      <c r="D908" s="9" t="n"/>
      <c r="E908" s="9" t="n"/>
      <c r="F908" s="9" t="n"/>
      <c r="G908" s="9">
        <f>IF(OR(E908="",F908=""),"",DATEDIF(E908,F908,"Y"))</f>
        <v/>
      </c>
      <c r="H908" s="9" t="n"/>
    </row>
    <row r="909" ht="14.25" customHeight="1" s="38">
      <c r="A909" s="9" t="n"/>
      <c r="B909" s="9" t="n"/>
      <c r="C909" s="9" t="n"/>
      <c r="D909" s="9" t="n"/>
      <c r="E909" s="9" t="n"/>
      <c r="F909" s="9" t="n"/>
      <c r="G909" s="9">
        <f>IF(OR(E909="",F909=""),"",DATEDIF(E909,F909,"Y"))</f>
        <v/>
      </c>
      <c r="H909" s="9" t="n"/>
    </row>
    <row r="910" ht="14.25" customHeight="1" s="38">
      <c r="A910" s="9" t="n"/>
      <c r="B910" s="9" t="n"/>
      <c r="C910" s="9" t="n"/>
      <c r="D910" s="9" t="n"/>
      <c r="E910" s="9" t="n"/>
      <c r="F910" s="9" t="n"/>
      <c r="G910" s="9">
        <f>IF(OR(E910="",F910=""),"",DATEDIF(E910,F910,"Y"))</f>
        <v/>
      </c>
      <c r="H910" s="9" t="n"/>
    </row>
    <row r="911" ht="14.25" customHeight="1" s="38">
      <c r="A911" s="9" t="n"/>
      <c r="B911" s="9" t="n"/>
      <c r="C911" s="9" t="n"/>
      <c r="D911" s="9" t="n"/>
      <c r="E911" s="9" t="n"/>
      <c r="F911" s="9" t="n"/>
      <c r="G911" s="9">
        <f>IF(OR(E911="",F911=""),"",DATEDIF(E911,F911,"Y"))</f>
        <v/>
      </c>
      <c r="H911" s="9" t="n"/>
    </row>
    <row r="912" ht="14.25" customHeight="1" s="38">
      <c r="A912" s="9" t="n"/>
      <c r="B912" s="9" t="n"/>
      <c r="C912" s="9" t="n"/>
      <c r="D912" s="9" t="n"/>
      <c r="E912" s="9" t="n"/>
      <c r="F912" s="9" t="n"/>
      <c r="G912" s="9">
        <f>IF(OR(E912="",F912=""),"",DATEDIF(E912,F912,"Y"))</f>
        <v/>
      </c>
      <c r="H912" s="9" t="n"/>
    </row>
    <row r="913" ht="14.25" customHeight="1" s="38">
      <c r="A913" s="9" t="n"/>
      <c r="B913" s="9" t="n"/>
      <c r="C913" s="9" t="n"/>
      <c r="D913" s="9" t="n"/>
      <c r="E913" s="9" t="n"/>
      <c r="F913" s="9" t="n"/>
      <c r="G913" s="9">
        <f>IF(OR(E913="",F913=""),"",DATEDIF(E913,F913,"Y"))</f>
        <v/>
      </c>
      <c r="H913" s="9" t="n"/>
    </row>
    <row r="914" ht="14.25" customHeight="1" s="38">
      <c r="A914" s="9" t="n"/>
      <c r="B914" s="9" t="n"/>
      <c r="C914" s="9" t="n"/>
      <c r="D914" s="9" t="n"/>
      <c r="E914" s="9" t="n"/>
      <c r="F914" s="9" t="n"/>
      <c r="G914" s="9">
        <f>IF(OR(E914="",F914=""),"",DATEDIF(E914,F914,"Y"))</f>
        <v/>
      </c>
      <c r="H914" s="9" t="n"/>
    </row>
    <row r="915" ht="14.25" customHeight="1" s="38">
      <c r="A915" s="9" t="n"/>
      <c r="B915" s="9" t="n"/>
      <c r="C915" s="9" t="n"/>
      <c r="D915" s="9" t="n"/>
      <c r="E915" s="9" t="n"/>
      <c r="F915" s="9" t="n"/>
      <c r="G915" s="9">
        <f>IF(OR(E915="",F915=""),"",DATEDIF(E915,F915,"Y"))</f>
        <v/>
      </c>
      <c r="H915" s="9" t="n"/>
    </row>
    <row r="916" ht="14.25" customHeight="1" s="38">
      <c r="A916" s="9" t="n"/>
      <c r="B916" s="9" t="n"/>
      <c r="C916" s="9" t="n"/>
      <c r="D916" s="9" t="n"/>
      <c r="E916" s="9" t="n"/>
      <c r="F916" s="9" t="n"/>
      <c r="G916" s="9">
        <f>IF(OR(E916="",F916=""),"",DATEDIF(E916,F916,"Y"))</f>
        <v/>
      </c>
      <c r="H916" s="9" t="n"/>
    </row>
    <row r="917" ht="14.25" customHeight="1" s="38">
      <c r="A917" s="9" t="n"/>
      <c r="B917" s="9" t="n"/>
      <c r="C917" s="9" t="n"/>
      <c r="D917" s="9" t="n"/>
      <c r="E917" s="9" t="n"/>
      <c r="F917" s="9" t="n"/>
      <c r="G917" s="9">
        <f>IF(OR(E917="",F917=""),"",DATEDIF(E917,F917,"Y"))</f>
        <v/>
      </c>
      <c r="H917" s="9" t="n"/>
    </row>
    <row r="918" ht="14.25" customHeight="1" s="38">
      <c r="A918" s="9" t="n"/>
      <c r="B918" s="9" t="n"/>
      <c r="C918" s="9" t="n"/>
      <c r="D918" s="9" t="n"/>
      <c r="E918" s="9" t="n"/>
      <c r="F918" s="9" t="n"/>
      <c r="G918" s="9">
        <f>IF(OR(E918="",F918=""),"",DATEDIF(E918,F918,"Y"))</f>
        <v/>
      </c>
      <c r="H918" s="9" t="n"/>
    </row>
    <row r="919" ht="14.25" customHeight="1" s="38">
      <c r="A919" s="9" t="n"/>
      <c r="B919" s="9" t="n"/>
      <c r="C919" s="9" t="n"/>
      <c r="D919" s="9" t="n"/>
      <c r="E919" s="9" t="n"/>
      <c r="F919" s="9" t="n"/>
      <c r="G919" s="9">
        <f>IF(OR(E919="",F919=""),"",DATEDIF(E919,F919,"Y"))</f>
        <v/>
      </c>
      <c r="H919" s="9" t="n"/>
    </row>
    <row r="920" ht="14.25" customHeight="1" s="38">
      <c r="A920" s="9" t="n"/>
      <c r="B920" s="9" t="n"/>
      <c r="C920" s="9" t="n"/>
      <c r="D920" s="9" t="n"/>
      <c r="E920" s="9" t="n"/>
      <c r="F920" s="9" t="n"/>
      <c r="G920" s="9">
        <f>IF(OR(E920="",F920=""),"",DATEDIF(E920,F920,"Y"))</f>
        <v/>
      </c>
      <c r="H920" s="9" t="n"/>
    </row>
    <row r="921" ht="14.25" customHeight="1" s="38">
      <c r="A921" s="9" t="n"/>
      <c r="B921" s="9" t="n"/>
      <c r="C921" s="9" t="n"/>
      <c r="D921" s="9" t="n"/>
      <c r="E921" s="9" t="n"/>
      <c r="F921" s="9" t="n"/>
      <c r="G921" s="9">
        <f>IF(OR(E921="",F921=""),"",DATEDIF(E921,F921,"Y"))</f>
        <v/>
      </c>
      <c r="H921" s="9" t="n"/>
    </row>
    <row r="922" ht="14.25" customHeight="1" s="38">
      <c r="A922" s="9" t="n"/>
      <c r="B922" s="9" t="n"/>
      <c r="C922" s="9" t="n"/>
      <c r="D922" s="9" t="n"/>
      <c r="E922" s="9" t="n"/>
      <c r="F922" s="9" t="n"/>
      <c r="G922" s="9">
        <f>IF(OR(E922="",F922=""),"",DATEDIF(E922,F922,"Y"))</f>
        <v/>
      </c>
      <c r="H922" s="9" t="n"/>
    </row>
    <row r="923" ht="14.25" customHeight="1" s="38">
      <c r="A923" s="9" t="n"/>
      <c r="B923" s="9" t="n"/>
      <c r="C923" s="9" t="n"/>
      <c r="D923" s="9" t="n"/>
      <c r="E923" s="9" t="n"/>
      <c r="F923" s="9" t="n"/>
      <c r="G923" s="9">
        <f>IF(OR(E923="",F923=""),"",DATEDIF(E923,F923,"Y"))</f>
        <v/>
      </c>
      <c r="H923" s="9" t="n"/>
    </row>
    <row r="924" ht="14.25" customHeight="1" s="38">
      <c r="A924" s="9" t="n"/>
      <c r="B924" s="9" t="n"/>
      <c r="C924" s="9" t="n"/>
      <c r="D924" s="9" t="n"/>
      <c r="E924" s="9" t="n"/>
      <c r="F924" s="9" t="n"/>
      <c r="G924" s="9">
        <f>IF(OR(E924="",F924=""),"",DATEDIF(E924,F924,"Y"))</f>
        <v/>
      </c>
      <c r="H924" s="9" t="n"/>
    </row>
    <row r="925" ht="14.25" customHeight="1" s="38">
      <c r="A925" s="9" t="n"/>
      <c r="B925" s="9" t="n"/>
      <c r="C925" s="9" t="n"/>
      <c r="D925" s="9" t="n"/>
      <c r="E925" s="9" t="n"/>
      <c r="F925" s="9" t="n"/>
      <c r="G925" s="9">
        <f>IF(OR(E925="",F925=""),"",DATEDIF(E925,F925,"Y"))</f>
        <v/>
      </c>
      <c r="H925" s="9" t="n"/>
    </row>
    <row r="926" ht="14.25" customHeight="1" s="38">
      <c r="A926" s="9" t="n"/>
      <c r="B926" s="9" t="n"/>
      <c r="C926" s="9" t="n"/>
      <c r="D926" s="9" t="n"/>
      <c r="E926" s="9" t="n"/>
      <c r="F926" s="9" t="n"/>
      <c r="G926" s="9">
        <f>IF(OR(E926="",F926=""),"",DATEDIF(E926,F926,"Y"))</f>
        <v/>
      </c>
      <c r="H926" s="9" t="n"/>
    </row>
    <row r="927" ht="14.25" customHeight="1" s="38">
      <c r="A927" s="9" t="n"/>
      <c r="B927" s="9" t="n"/>
      <c r="C927" s="9" t="n"/>
      <c r="D927" s="9" t="n"/>
      <c r="E927" s="9" t="n"/>
      <c r="F927" s="9" t="n"/>
      <c r="G927" s="9">
        <f>IF(OR(E927="",F927=""),"",DATEDIF(E927,F927,"Y"))</f>
        <v/>
      </c>
      <c r="H927" s="9" t="n"/>
    </row>
    <row r="928" ht="14.25" customHeight="1" s="38">
      <c r="A928" s="9" t="n"/>
      <c r="B928" s="9" t="n"/>
      <c r="C928" s="9" t="n"/>
      <c r="D928" s="9" t="n"/>
      <c r="E928" s="9" t="n"/>
      <c r="F928" s="9" t="n"/>
      <c r="G928" s="9">
        <f>IF(OR(E928="",F928=""),"",DATEDIF(E928,F928,"Y"))</f>
        <v/>
      </c>
      <c r="H928" s="9" t="n"/>
    </row>
    <row r="929" ht="14.25" customHeight="1" s="38">
      <c r="A929" s="9" t="n"/>
      <c r="B929" s="9" t="n"/>
      <c r="C929" s="9" t="n"/>
      <c r="D929" s="9" t="n"/>
      <c r="E929" s="9" t="n"/>
      <c r="F929" s="9" t="n"/>
      <c r="G929" s="9">
        <f>IF(OR(E929="",F929=""),"",DATEDIF(E929,F929,"Y"))</f>
        <v/>
      </c>
      <c r="H929" s="9" t="n"/>
    </row>
    <row r="930" ht="14.25" customHeight="1" s="38">
      <c r="A930" s="9" t="n"/>
      <c r="B930" s="9" t="n"/>
      <c r="C930" s="9" t="n"/>
      <c r="D930" s="9" t="n"/>
      <c r="E930" s="9" t="n"/>
      <c r="F930" s="9" t="n"/>
      <c r="G930" s="9">
        <f>IF(OR(E930="",F930=""),"",DATEDIF(E930,F930,"Y"))</f>
        <v/>
      </c>
      <c r="H930" s="9" t="n"/>
    </row>
    <row r="931" ht="14.25" customHeight="1" s="38">
      <c r="A931" s="9" t="n"/>
      <c r="B931" s="9" t="n"/>
      <c r="C931" s="9" t="n"/>
      <c r="D931" s="9" t="n"/>
      <c r="E931" s="9" t="n"/>
      <c r="F931" s="9" t="n"/>
      <c r="G931" s="9">
        <f>IF(OR(E931="",F931=""),"",DATEDIF(E931,F931,"Y"))</f>
        <v/>
      </c>
      <c r="H931" s="9" t="n"/>
    </row>
    <row r="932" ht="14.25" customHeight="1" s="38">
      <c r="A932" s="9" t="n"/>
      <c r="B932" s="9" t="n"/>
      <c r="C932" s="9" t="n"/>
      <c r="D932" s="9" t="n"/>
      <c r="E932" s="9" t="n"/>
      <c r="F932" s="9" t="n"/>
      <c r="G932" s="9">
        <f>IF(OR(E932="",F932=""),"",DATEDIF(E932,F932,"Y"))</f>
        <v/>
      </c>
      <c r="H932" s="9" t="n"/>
    </row>
    <row r="933" ht="14.25" customHeight="1" s="38">
      <c r="A933" s="9" t="n"/>
      <c r="B933" s="9" t="n"/>
      <c r="C933" s="9" t="n"/>
      <c r="D933" s="9" t="n"/>
      <c r="E933" s="9" t="n"/>
      <c r="F933" s="9" t="n"/>
      <c r="G933" s="9">
        <f>IF(OR(E933="",F933=""),"",DATEDIF(E933,F933,"Y"))</f>
        <v/>
      </c>
      <c r="H933" s="9" t="n"/>
    </row>
    <row r="934" ht="14.25" customHeight="1" s="38">
      <c r="A934" s="9" t="n"/>
      <c r="B934" s="9" t="n"/>
      <c r="C934" s="9" t="n"/>
      <c r="D934" s="9" t="n"/>
      <c r="E934" s="9" t="n"/>
      <c r="F934" s="9" t="n"/>
      <c r="G934" s="9">
        <f>IF(OR(E934="",F934=""),"",DATEDIF(E934,F934,"Y"))</f>
        <v/>
      </c>
      <c r="H934" s="9" t="n"/>
    </row>
    <row r="935" ht="14.25" customHeight="1" s="38">
      <c r="A935" s="9" t="n"/>
      <c r="B935" s="9" t="n"/>
      <c r="C935" s="9" t="n"/>
      <c r="D935" s="9" t="n"/>
      <c r="E935" s="9" t="n"/>
      <c r="F935" s="9" t="n"/>
      <c r="G935" s="9">
        <f>IF(OR(E935="",F935=""),"",DATEDIF(E935,F935,"Y"))</f>
        <v/>
      </c>
      <c r="H935" s="9" t="n"/>
    </row>
    <row r="936" ht="14.25" customHeight="1" s="38">
      <c r="A936" s="9" t="n"/>
      <c r="B936" s="9" t="n"/>
      <c r="C936" s="9" t="n"/>
      <c r="D936" s="9" t="n"/>
      <c r="E936" s="9" t="n"/>
      <c r="F936" s="9" t="n"/>
      <c r="G936" s="9">
        <f>IF(OR(E936="",F936=""),"",DATEDIF(E936,F936,"Y"))</f>
        <v/>
      </c>
      <c r="H936" s="9" t="n"/>
    </row>
    <row r="937" ht="14.25" customHeight="1" s="38">
      <c r="A937" s="9" t="n"/>
      <c r="B937" s="9" t="n"/>
      <c r="C937" s="9" t="n"/>
      <c r="D937" s="9" t="n"/>
      <c r="E937" s="9" t="n"/>
      <c r="F937" s="9" t="n"/>
      <c r="G937" s="9">
        <f>IF(OR(E937="",F937=""),"",DATEDIF(E937,F937,"Y"))</f>
        <v/>
      </c>
      <c r="H937" s="9" t="n"/>
    </row>
    <row r="938" ht="14.25" customHeight="1" s="38">
      <c r="A938" s="9" t="n"/>
      <c r="B938" s="9" t="n"/>
      <c r="C938" s="9" t="n"/>
      <c r="D938" s="9" t="n"/>
      <c r="E938" s="9" t="n"/>
      <c r="F938" s="9" t="n"/>
      <c r="G938" s="9">
        <f>IF(OR(E938="",F938=""),"",DATEDIF(E938,F938,"Y"))</f>
        <v/>
      </c>
      <c r="H938" s="9" t="n"/>
    </row>
    <row r="939" ht="14.25" customHeight="1" s="38">
      <c r="A939" s="9" t="n"/>
      <c r="B939" s="9" t="n"/>
      <c r="C939" s="9" t="n"/>
      <c r="D939" s="9" t="n"/>
      <c r="E939" s="9" t="n"/>
      <c r="F939" s="9" t="n"/>
      <c r="G939" s="9">
        <f>IF(OR(E939="",F939=""),"",DATEDIF(E939,F939,"Y"))</f>
        <v/>
      </c>
      <c r="H939" s="9" t="n"/>
    </row>
    <row r="940" ht="14.25" customHeight="1" s="38">
      <c r="A940" s="9" t="n"/>
      <c r="B940" s="9" t="n"/>
      <c r="C940" s="9" t="n"/>
      <c r="D940" s="9" t="n"/>
      <c r="E940" s="9" t="n"/>
      <c r="F940" s="9" t="n"/>
      <c r="G940" s="9">
        <f>IF(OR(E940="",F940=""),"",DATEDIF(E940,F940,"Y"))</f>
        <v/>
      </c>
      <c r="H940" s="9" t="n"/>
    </row>
    <row r="941" ht="14.25" customHeight="1" s="38">
      <c r="A941" s="9" t="n"/>
      <c r="B941" s="9" t="n"/>
      <c r="C941" s="9" t="n"/>
      <c r="D941" s="9" t="n"/>
      <c r="E941" s="9" t="n"/>
      <c r="F941" s="9" t="n"/>
      <c r="G941" s="9">
        <f>IF(OR(E941="",F941=""),"",DATEDIF(E941,F941,"Y"))</f>
        <v/>
      </c>
      <c r="H941" s="9" t="n"/>
    </row>
    <row r="942" ht="14.25" customHeight="1" s="38">
      <c r="A942" s="9" t="n"/>
      <c r="B942" s="9" t="n"/>
      <c r="C942" s="9" t="n"/>
      <c r="D942" s="9" t="n"/>
      <c r="E942" s="9" t="n"/>
      <c r="F942" s="9" t="n"/>
      <c r="G942" s="9">
        <f>IF(OR(E942="",F942=""),"",DATEDIF(E942,F942,"Y"))</f>
        <v/>
      </c>
      <c r="H942" s="9" t="n"/>
    </row>
    <row r="943" ht="14.25" customHeight="1" s="38">
      <c r="A943" s="9" t="n"/>
      <c r="B943" s="9" t="n"/>
      <c r="C943" s="9" t="n"/>
      <c r="D943" s="9" t="n"/>
      <c r="E943" s="9" t="n"/>
      <c r="F943" s="9" t="n"/>
      <c r="G943" s="9">
        <f>IF(OR(E943="",F943=""),"",DATEDIF(E943,F943,"Y"))</f>
        <v/>
      </c>
      <c r="H943" s="9" t="n"/>
    </row>
    <row r="944" ht="14.25" customHeight="1" s="38">
      <c r="A944" s="9" t="n"/>
      <c r="B944" s="9" t="n"/>
      <c r="C944" s="9" t="n"/>
      <c r="D944" s="9" t="n"/>
      <c r="E944" s="9" t="n"/>
      <c r="F944" s="9" t="n"/>
      <c r="G944" s="9">
        <f>IF(OR(E944="",F944=""),"",DATEDIF(E944,F944,"Y"))</f>
        <v/>
      </c>
      <c r="H944" s="9" t="n"/>
    </row>
    <row r="945" ht="14.25" customHeight="1" s="38">
      <c r="A945" s="9" t="n"/>
      <c r="B945" s="9" t="n"/>
      <c r="C945" s="9" t="n"/>
      <c r="D945" s="9" t="n"/>
      <c r="E945" s="9" t="n"/>
      <c r="F945" s="9" t="n"/>
      <c r="G945" s="9">
        <f>IF(OR(E945="",F945=""),"",DATEDIF(E945,F945,"Y"))</f>
        <v/>
      </c>
      <c r="H945" s="9" t="n"/>
    </row>
    <row r="946" ht="14.25" customHeight="1" s="38">
      <c r="A946" s="9" t="n"/>
      <c r="B946" s="9" t="n"/>
      <c r="C946" s="9" t="n"/>
      <c r="D946" s="9" t="n"/>
      <c r="E946" s="9" t="n"/>
      <c r="F946" s="9" t="n"/>
      <c r="G946" s="9">
        <f>IF(OR(E946="",F946=""),"",DATEDIF(E946,F946,"Y"))</f>
        <v/>
      </c>
      <c r="H946" s="9" t="n"/>
    </row>
    <row r="947" ht="14.25" customHeight="1" s="38">
      <c r="A947" s="9" t="n"/>
      <c r="B947" s="9" t="n"/>
      <c r="C947" s="9" t="n"/>
      <c r="D947" s="9" t="n"/>
      <c r="E947" s="9" t="n"/>
      <c r="F947" s="9" t="n"/>
      <c r="G947" s="9">
        <f>IF(OR(E947="",F947=""),"",DATEDIF(E947,F947,"Y"))</f>
        <v/>
      </c>
      <c r="H947" s="9" t="n"/>
    </row>
    <row r="948" ht="14.25" customHeight="1" s="38">
      <c r="A948" s="9" t="n"/>
      <c r="B948" s="9" t="n"/>
      <c r="C948" s="9" t="n"/>
      <c r="D948" s="9" t="n"/>
      <c r="E948" s="9" t="n"/>
      <c r="F948" s="9" t="n"/>
      <c r="G948" s="9">
        <f>IF(OR(E948="",F948=""),"",DATEDIF(E948,F948,"Y"))</f>
        <v/>
      </c>
      <c r="H948" s="9" t="n"/>
    </row>
    <row r="949" ht="14.25" customHeight="1" s="38">
      <c r="A949" s="9" t="n"/>
      <c r="B949" s="9" t="n"/>
      <c r="C949" s="9" t="n"/>
      <c r="D949" s="9" t="n"/>
      <c r="E949" s="9" t="n"/>
      <c r="F949" s="9" t="n"/>
      <c r="G949" s="9">
        <f>IF(OR(E949="",F949=""),"",DATEDIF(E949,F949,"Y"))</f>
        <v/>
      </c>
      <c r="H949" s="9" t="n"/>
    </row>
    <row r="950" ht="14.25" customHeight="1" s="38">
      <c r="A950" s="9" t="n"/>
      <c r="B950" s="9" t="n"/>
      <c r="C950" s="9" t="n"/>
      <c r="D950" s="9" t="n"/>
      <c r="E950" s="9" t="n"/>
      <c r="F950" s="9" t="n"/>
      <c r="G950" s="9">
        <f>IF(OR(E950="",F950=""),"",DATEDIF(E950,F950,"Y"))</f>
        <v/>
      </c>
      <c r="H950" s="9" t="n"/>
    </row>
    <row r="951" ht="14.25" customHeight="1" s="38">
      <c r="A951" s="9" t="n"/>
      <c r="B951" s="9" t="n"/>
      <c r="C951" s="9" t="n"/>
      <c r="D951" s="9" t="n"/>
      <c r="E951" s="9" t="n"/>
      <c r="F951" s="9" t="n"/>
      <c r="G951" s="9">
        <f>IF(OR(E951="",F951=""),"",DATEDIF(E951,F951,"Y"))</f>
        <v/>
      </c>
      <c r="H951" s="9" t="n"/>
    </row>
    <row r="952" ht="14.25" customHeight="1" s="38">
      <c r="A952" s="9" t="n"/>
      <c r="B952" s="9" t="n"/>
      <c r="C952" s="9" t="n"/>
      <c r="D952" s="9" t="n"/>
      <c r="E952" s="9" t="n"/>
      <c r="F952" s="9" t="n"/>
      <c r="G952" s="9">
        <f>IF(OR(E952="",F952=""),"",DATEDIF(E952,F952,"Y"))</f>
        <v/>
      </c>
      <c r="H952" s="9" t="n"/>
    </row>
    <row r="953" ht="14.25" customHeight="1" s="38">
      <c r="A953" s="9" t="n"/>
      <c r="B953" s="9" t="n"/>
      <c r="C953" s="9" t="n"/>
      <c r="D953" s="9" t="n"/>
      <c r="E953" s="9" t="n"/>
      <c r="F953" s="9" t="n"/>
      <c r="G953" s="9">
        <f>IF(OR(E953="",F953=""),"",DATEDIF(E953,F953,"Y"))</f>
        <v/>
      </c>
      <c r="H953" s="9" t="n"/>
    </row>
    <row r="954" ht="14.25" customHeight="1" s="38">
      <c r="A954" s="9" t="n"/>
      <c r="B954" s="9" t="n"/>
      <c r="C954" s="9" t="n"/>
      <c r="D954" s="9" t="n"/>
      <c r="E954" s="9" t="n"/>
      <c r="F954" s="9" t="n"/>
      <c r="G954" s="9">
        <f>IF(OR(E954="",F954=""),"",DATEDIF(E954,F954,"Y"))</f>
        <v/>
      </c>
      <c r="H954" s="9" t="n"/>
    </row>
    <row r="955" ht="14.25" customHeight="1" s="38">
      <c r="A955" s="9" t="n"/>
      <c r="B955" s="9" t="n"/>
      <c r="C955" s="9" t="n"/>
      <c r="D955" s="9" t="n"/>
      <c r="E955" s="9" t="n"/>
      <c r="F955" s="9" t="n"/>
      <c r="G955" s="9">
        <f>IF(OR(E955="",F955=""),"",DATEDIF(E955,F955,"Y"))</f>
        <v/>
      </c>
      <c r="H955" s="9" t="n"/>
    </row>
    <row r="956" ht="14.25" customHeight="1" s="38">
      <c r="A956" s="9" t="n"/>
      <c r="B956" s="9" t="n"/>
      <c r="C956" s="9" t="n"/>
      <c r="D956" s="9" t="n"/>
      <c r="E956" s="9" t="n"/>
      <c r="F956" s="9" t="n"/>
      <c r="G956" s="9">
        <f>IF(OR(E956="",F956=""),"",DATEDIF(E956,F956,"Y"))</f>
        <v/>
      </c>
      <c r="H956" s="9" t="n"/>
    </row>
    <row r="957" ht="14.25" customHeight="1" s="38">
      <c r="A957" s="9" t="n"/>
      <c r="B957" s="9" t="n"/>
      <c r="C957" s="9" t="n"/>
      <c r="D957" s="9" t="n"/>
      <c r="E957" s="9" t="n"/>
      <c r="F957" s="9" t="n"/>
      <c r="G957" s="9">
        <f>IF(OR(E957="",F957=""),"",DATEDIF(E957,F957,"Y"))</f>
        <v/>
      </c>
      <c r="H957" s="9" t="n"/>
    </row>
    <row r="958" ht="14.25" customHeight="1" s="38">
      <c r="A958" s="9" t="n"/>
      <c r="B958" s="9" t="n"/>
      <c r="C958" s="9" t="n"/>
      <c r="D958" s="9" t="n"/>
      <c r="E958" s="9" t="n"/>
      <c r="F958" s="9" t="n"/>
      <c r="G958" s="9">
        <f>IF(OR(E958="",F958=""),"",DATEDIF(E958,F958,"Y"))</f>
        <v/>
      </c>
      <c r="H958" s="9" t="n"/>
    </row>
    <row r="959" ht="14.25" customHeight="1" s="38">
      <c r="A959" s="9" t="n"/>
      <c r="B959" s="9" t="n"/>
      <c r="C959" s="9" t="n"/>
      <c r="D959" s="9" t="n"/>
      <c r="E959" s="9" t="n"/>
      <c r="F959" s="9" t="n"/>
      <c r="G959" s="9">
        <f>IF(OR(E959="",F959=""),"",DATEDIF(E959,F959,"Y"))</f>
        <v/>
      </c>
      <c r="H959" s="9" t="n"/>
    </row>
    <row r="960" ht="14.25" customHeight="1" s="38">
      <c r="A960" s="9" t="n"/>
      <c r="B960" s="9" t="n"/>
      <c r="C960" s="9" t="n"/>
      <c r="D960" s="9" t="n"/>
      <c r="E960" s="9" t="n"/>
      <c r="F960" s="9" t="n"/>
      <c r="G960" s="9">
        <f>IF(OR(E960="",F960=""),"",DATEDIF(E960,F960,"Y"))</f>
        <v/>
      </c>
      <c r="H960" s="9" t="n"/>
    </row>
    <row r="961" ht="14.25" customHeight="1" s="38">
      <c r="A961" s="9" t="n"/>
      <c r="B961" s="9" t="n"/>
      <c r="C961" s="9" t="n"/>
      <c r="D961" s="9" t="n"/>
      <c r="E961" s="9" t="n"/>
      <c r="F961" s="9" t="n"/>
      <c r="G961" s="9">
        <f>IF(OR(E961="",F961=""),"",DATEDIF(E961,F961,"Y"))</f>
        <v/>
      </c>
      <c r="H961" s="9" t="n"/>
    </row>
    <row r="962" ht="14.25" customHeight="1" s="38">
      <c r="A962" s="9" t="n"/>
      <c r="B962" s="9" t="n"/>
      <c r="C962" s="9" t="n"/>
      <c r="D962" s="9" t="n"/>
      <c r="E962" s="9" t="n"/>
      <c r="F962" s="9" t="n"/>
      <c r="G962" s="9">
        <f>IF(OR(E962="",F962=""),"",DATEDIF(E962,F962,"Y"))</f>
        <v/>
      </c>
      <c r="H962" s="9" t="n"/>
    </row>
    <row r="963" ht="14.25" customHeight="1" s="38">
      <c r="A963" s="9" t="n"/>
      <c r="B963" s="9" t="n"/>
      <c r="C963" s="9" t="n"/>
      <c r="D963" s="9" t="n"/>
      <c r="E963" s="9" t="n"/>
      <c r="F963" s="9" t="n"/>
      <c r="G963" s="9">
        <f>IF(OR(E963="",F963=""),"",DATEDIF(E963,F963,"Y"))</f>
        <v/>
      </c>
      <c r="H963" s="9" t="n"/>
    </row>
    <row r="964" ht="14.25" customHeight="1" s="38">
      <c r="A964" s="9" t="n"/>
      <c r="B964" s="9" t="n"/>
      <c r="C964" s="9" t="n"/>
      <c r="D964" s="9" t="n"/>
      <c r="E964" s="9" t="n"/>
      <c r="F964" s="9" t="n"/>
      <c r="G964" s="9">
        <f>IF(OR(E964="",F964=""),"",DATEDIF(E964,F964,"Y"))</f>
        <v/>
      </c>
      <c r="H964" s="9" t="n"/>
    </row>
    <row r="965" ht="14.25" customHeight="1" s="38">
      <c r="A965" s="9" t="n"/>
      <c r="B965" s="9" t="n"/>
      <c r="C965" s="9" t="n"/>
      <c r="D965" s="9" t="n"/>
      <c r="E965" s="9" t="n"/>
      <c r="F965" s="9" t="n"/>
      <c r="G965" s="9">
        <f>IF(OR(E965="",F965=""),"",DATEDIF(E965,F965,"Y"))</f>
        <v/>
      </c>
      <c r="H965" s="9" t="n"/>
    </row>
    <row r="966" ht="14.25" customHeight="1" s="38">
      <c r="A966" s="9" t="n"/>
      <c r="B966" s="9" t="n"/>
      <c r="C966" s="9" t="n"/>
      <c r="D966" s="9" t="n"/>
      <c r="E966" s="9" t="n"/>
      <c r="F966" s="9" t="n"/>
      <c r="G966" s="9">
        <f>IF(OR(E966="",F966=""),"",DATEDIF(E966,F966,"Y"))</f>
        <v/>
      </c>
      <c r="H966" s="9" t="n"/>
    </row>
    <row r="967" ht="14.25" customHeight="1" s="38">
      <c r="A967" s="9" t="n"/>
      <c r="B967" s="9" t="n"/>
      <c r="C967" s="9" t="n"/>
      <c r="D967" s="9" t="n"/>
      <c r="E967" s="9" t="n"/>
      <c r="F967" s="9" t="n"/>
      <c r="G967" s="9">
        <f>IF(OR(E967="",F967=""),"",DATEDIF(E967,F967,"Y"))</f>
        <v/>
      </c>
      <c r="H967" s="9" t="n"/>
    </row>
    <row r="968" ht="14.25" customHeight="1" s="38">
      <c r="A968" s="9" t="n"/>
      <c r="B968" s="9" t="n"/>
      <c r="C968" s="9" t="n"/>
      <c r="D968" s="9" t="n"/>
      <c r="E968" s="9" t="n"/>
      <c r="F968" s="9" t="n"/>
      <c r="G968" s="9">
        <f>IF(OR(E968="",F968=""),"",DATEDIF(E968,F968,"Y"))</f>
        <v/>
      </c>
      <c r="H968" s="9" t="n"/>
    </row>
    <row r="969" ht="14.25" customHeight="1" s="38">
      <c r="A969" s="9" t="n"/>
      <c r="B969" s="9" t="n"/>
      <c r="C969" s="9" t="n"/>
      <c r="D969" s="9" t="n"/>
      <c r="E969" s="9" t="n"/>
      <c r="F969" s="9" t="n"/>
      <c r="G969" s="9">
        <f>IF(OR(E969="",F969=""),"",DATEDIF(E969,F969,"Y"))</f>
        <v/>
      </c>
      <c r="H969" s="9" t="n"/>
    </row>
    <row r="970" ht="14.25" customHeight="1" s="38">
      <c r="A970" s="9" t="n"/>
      <c r="B970" s="9" t="n"/>
      <c r="C970" s="9" t="n"/>
      <c r="D970" s="9" t="n"/>
      <c r="E970" s="9" t="n"/>
      <c r="F970" s="9" t="n"/>
      <c r="G970" s="9">
        <f>IF(OR(E970="",F970=""),"",DATEDIF(E970,F970,"Y"))</f>
        <v/>
      </c>
      <c r="H970" s="9" t="n"/>
    </row>
    <row r="971" ht="14.25" customHeight="1" s="38">
      <c r="A971" s="9" t="n"/>
      <c r="B971" s="9" t="n"/>
      <c r="C971" s="9" t="n"/>
      <c r="D971" s="9" t="n"/>
      <c r="E971" s="9" t="n"/>
      <c r="F971" s="9" t="n"/>
      <c r="G971" s="9">
        <f>IF(OR(E971="",F971=""),"",DATEDIF(E971,F971,"Y"))</f>
        <v/>
      </c>
      <c r="H971" s="9" t="n"/>
    </row>
    <row r="972" ht="14.25" customHeight="1" s="38">
      <c r="A972" s="9" t="n"/>
      <c r="B972" s="9" t="n"/>
      <c r="C972" s="9" t="n"/>
      <c r="D972" s="9" t="n"/>
      <c r="E972" s="9" t="n"/>
      <c r="F972" s="9" t="n"/>
      <c r="G972" s="9">
        <f>IF(OR(E972="",F972=""),"",DATEDIF(E972,F972,"Y"))</f>
        <v/>
      </c>
      <c r="H972" s="9" t="n"/>
    </row>
    <row r="973" ht="14.25" customHeight="1" s="38">
      <c r="A973" s="9" t="n"/>
      <c r="B973" s="9" t="n"/>
      <c r="C973" s="9" t="n"/>
      <c r="D973" s="9" t="n"/>
      <c r="E973" s="9" t="n"/>
      <c r="F973" s="9" t="n"/>
      <c r="G973" s="9">
        <f>IF(OR(E973="",F973=""),"",DATEDIF(E973,F973,"Y"))</f>
        <v/>
      </c>
      <c r="H973" s="9" t="n"/>
    </row>
    <row r="974" ht="14.25" customHeight="1" s="38">
      <c r="A974" s="9" t="n"/>
      <c r="B974" s="9" t="n"/>
      <c r="C974" s="9" t="n"/>
      <c r="D974" s="9" t="n"/>
      <c r="E974" s="9" t="n"/>
      <c r="F974" s="9" t="n"/>
      <c r="G974" s="9">
        <f>IF(OR(E974="",F974=""),"",DATEDIF(E974,F974,"Y"))</f>
        <v/>
      </c>
      <c r="H974" s="9" t="n"/>
    </row>
    <row r="975" ht="14.25" customHeight="1" s="38">
      <c r="A975" s="9" t="n"/>
      <c r="B975" s="9" t="n"/>
      <c r="C975" s="9" t="n"/>
      <c r="D975" s="9" t="n"/>
      <c r="E975" s="9" t="n"/>
      <c r="F975" s="9" t="n"/>
      <c r="G975" s="9">
        <f>IF(OR(E975="",F975=""),"",DATEDIF(E975,F975,"Y"))</f>
        <v/>
      </c>
      <c r="H975" s="9" t="n"/>
    </row>
    <row r="976" ht="14.25" customHeight="1" s="38">
      <c r="A976" s="9" t="n"/>
      <c r="B976" s="9" t="n"/>
      <c r="C976" s="9" t="n"/>
      <c r="D976" s="9" t="n"/>
      <c r="E976" s="9" t="n"/>
      <c r="F976" s="9" t="n"/>
      <c r="G976" s="9">
        <f>IF(OR(E976="",F976=""),"",DATEDIF(E976,F976,"Y"))</f>
        <v/>
      </c>
      <c r="H976" s="9" t="n"/>
    </row>
    <row r="977" ht="14.25" customHeight="1" s="38">
      <c r="A977" s="9" t="n"/>
      <c r="B977" s="9" t="n"/>
      <c r="C977" s="9" t="n"/>
      <c r="D977" s="9" t="n"/>
      <c r="E977" s="9" t="n"/>
      <c r="F977" s="9" t="n"/>
      <c r="G977" s="9">
        <f>IF(OR(E977="",F977=""),"",DATEDIF(E977,F977,"Y"))</f>
        <v/>
      </c>
      <c r="H977" s="9" t="n"/>
    </row>
    <row r="978" ht="14.25" customHeight="1" s="38">
      <c r="A978" s="9" t="n"/>
      <c r="B978" s="9" t="n"/>
      <c r="C978" s="9" t="n"/>
      <c r="D978" s="9" t="n"/>
      <c r="E978" s="9" t="n"/>
      <c r="F978" s="9" t="n"/>
      <c r="G978" s="9">
        <f>IF(OR(E978="",F978=""),"",DATEDIF(E978,F978,"Y"))</f>
        <v/>
      </c>
      <c r="H978" s="9" t="n"/>
    </row>
    <row r="979" ht="14.25" customHeight="1" s="38">
      <c r="A979" s="9" t="n"/>
      <c r="B979" s="9" t="n"/>
      <c r="C979" s="9" t="n"/>
      <c r="D979" s="9" t="n"/>
      <c r="E979" s="9" t="n"/>
      <c r="F979" s="9" t="n"/>
      <c r="G979" s="9">
        <f>IF(OR(E979="",F979=""),"",DATEDIF(E979,F979,"Y"))</f>
        <v/>
      </c>
      <c r="H979" s="9" t="n"/>
    </row>
    <row r="980" ht="14.25" customHeight="1" s="38">
      <c r="A980" s="9" t="n"/>
      <c r="B980" s="9" t="n"/>
      <c r="C980" s="9" t="n"/>
      <c r="D980" s="9" t="n"/>
      <c r="E980" s="9" t="n"/>
      <c r="F980" s="9" t="n"/>
      <c r="G980" s="9">
        <f>IF(OR(E980="",F980=""),"",DATEDIF(E980,F980,"Y"))</f>
        <v/>
      </c>
      <c r="H980" s="9" t="n"/>
    </row>
    <row r="981" ht="14.25" customHeight="1" s="38">
      <c r="A981" s="9" t="n"/>
      <c r="B981" s="9" t="n"/>
      <c r="C981" s="9" t="n"/>
      <c r="D981" s="9" t="n"/>
      <c r="E981" s="9" t="n"/>
      <c r="F981" s="9" t="n"/>
      <c r="G981" s="9">
        <f>IF(OR(E981="",F981=""),"",DATEDIF(E981,F981,"Y"))</f>
        <v/>
      </c>
      <c r="H981" s="9" t="n"/>
    </row>
    <row r="982" ht="14.25" customHeight="1" s="38">
      <c r="A982" s="9" t="n"/>
      <c r="B982" s="9" t="n"/>
      <c r="C982" s="9" t="n"/>
      <c r="D982" s="9" t="n"/>
      <c r="E982" s="9" t="n"/>
      <c r="F982" s="9" t="n"/>
      <c r="G982" s="9">
        <f>IF(OR(E982="",F982=""),"",DATEDIF(E982,F982,"Y"))</f>
        <v/>
      </c>
      <c r="H982" s="9" t="n"/>
    </row>
    <row r="983" ht="14.25" customHeight="1" s="38">
      <c r="A983" s="9" t="n"/>
      <c r="B983" s="9" t="n"/>
      <c r="C983" s="9" t="n"/>
      <c r="D983" s="9" t="n"/>
      <c r="E983" s="9" t="n"/>
      <c r="F983" s="9" t="n"/>
      <c r="G983" s="9">
        <f>IF(OR(E983="",F983=""),"",DATEDIF(E983,F983,"Y"))</f>
        <v/>
      </c>
      <c r="H983" s="9" t="n"/>
    </row>
    <row r="984" ht="14.25" customHeight="1" s="38">
      <c r="A984" s="9" t="n"/>
      <c r="B984" s="9" t="n"/>
      <c r="C984" s="9" t="n"/>
      <c r="D984" s="9" t="n"/>
      <c r="E984" s="9" t="n"/>
      <c r="F984" s="9" t="n"/>
      <c r="G984" s="9">
        <f>IF(OR(E984="",F984=""),"",DATEDIF(E984,F984,"Y"))</f>
        <v/>
      </c>
      <c r="H984" s="9" t="n"/>
    </row>
    <row r="985" ht="14.25" customHeight="1" s="38">
      <c r="A985" s="9" t="n"/>
      <c r="B985" s="9" t="n"/>
      <c r="C985" s="9" t="n"/>
      <c r="D985" s="9" t="n"/>
      <c r="E985" s="9" t="n"/>
      <c r="F985" s="9" t="n"/>
      <c r="G985" s="9">
        <f>IF(OR(E985="",F985=""),"",DATEDIF(E985,F985,"Y"))</f>
        <v/>
      </c>
      <c r="H985" s="9" t="n"/>
    </row>
    <row r="986" ht="14.25" customHeight="1" s="38">
      <c r="A986" s="9" t="n"/>
      <c r="B986" s="9" t="n"/>
      <c r="C986" s="9" t="n"/>
      <c r="D986" s="9" t="n"/>
      <c r="E986" s="9" t="n"/>
      <c r="F986" s="9" t="n"/>
      <c r="G986" s="9">
        <f>IF(OR(E986="",F986=""),"",DATEDIF(E986,F986,"Y"))</f>
        <v/>
      </c>
      <c r="H986" s="9" t="n"/>
    </row>
    <row r="987" ht="14.25" customHeight="1" s="38">
      <c r="A987" s="9" t="n"/>
      <c r="B987" s="9" t="n"/>
      <c r="C987" s="9" t="n"/>
      <c r="D987" s="9" t="n"/>
      <c r="E987" s="9" t="n"/>
      <c r="F987" s="9" t="n"/>
      <c r="G987" s="9">
        <f>IF(OR(E987="",F987=""),"",DATEDIF(E987,F987,"Y"))</f>
        <v/>
      </c>
      <c r="H987" s="9" t="n"/>
    </row>
    <row r="988" ht="14.25" customHeight="1" s="38">
      <c r="A988" s="9" t="n"/>
      <c r="B988" s="9" t="n"/>
      <c r="C988" s="9" t="n"/>
      <c r="D988" s="9" t="n"/>
      <c r="E988" s="9" t="n"/>
      <c r="F988" s="9" t="n"/>
      <c r="G988" s="9">
        <f>IF(OR(E988="",F988=""),"",DATEDIF(E988,F988,"Y"))</f>
        <v/>
      </c>
      <c r="H988" s="9" t="n"/>
    </row>
    <row r="989" ht="14.25" customHeight="1" s="38">
      <c r="A989" s="9" t="n"/>
      <c r="B989" s="9" t="n"/>
      <c r="C989" s="9" t="n"/>
      <c r="D989" s="9" t="n"/>
      <c r="E989" s="9" t="n"/>
      <c r="F989" s="9" t="n"/>
      <c r="G989" s="9">
        <f>IF(OR(E989="",F989=""),"",DATEDIF(E989,F989,"Y"))</f>
        <v/>
      </c>
      <c r="H989" s="9" t="n"/>
    </row>
    <row r="990" ht="14.25" customHeight="1" s="38">
      <c r="A990" s="9" t="n"/>
      <c r="B990" s="9" t="n"/>
      <c r="C990" s="9" t="n"/>
      <c r="D990" s="9" t="n"/>
      <c r="E990" s="9" t="n"/>
      <c r="F990" s="9" t="n"/>
      <c r="G990" s="9">
        <f>IF(OR(E990="",F990=""),"",DATEDIF(E990,F990,"Y"))</f>
        <v/>
      </c>
      <c r="H990" s="9" t="n"/>
    </row>
    <row r="991" ht="14.25" customHeight="1" s="38">
      <c r="A991" s="9" t="n"/>
      <c r="B991" s="9" t="n"/>
      <c r="C991" s="9" t="n"/>
      <c r="D991" s="9" t="n"/>
      <c r="E991" s="9" t="n"/>
      <c r="F991" s="9" t="n"/>
      <c r="G991" s="9">
        <f>IF(OR(E991="",F991=""),"",DATEDIF(E991,F991,"Y"))</f>
        <v/>
      </c>
      <c r="H991" s="9" t="n"/>
    </row>
    <row r="992" ht="14.25" customHeight="1" s="38">
      <c r="A992" s="9" t="n"/>
      <c r="B992" s="9" t="n"/>
      <c r="C992" s="9" t="n"/>
      <c r="D992" s="9" t="n"/>
      <c r="E992" s="9" t="n"/>
      <c r="F992" s="9" t="n"/>
      <c r="G992" s="9">
        <f>IF(OR(E992="",F992=""),"",DATEDIF(E992,F992,"Y"))</f>
        <v/>
      </c>
      <c r="H992" s="9" t="n"/>
    </row>
    <row r="993" ht="14.25" customHeight="1" s="38">
      <c r="A993" s="9" t="n"/>
      <c r="B993" s="9" t="n"/>
      <c r="C993" s="9" t="n"/>
      <c r="D993" s="9" t="n"/>
      <c r="E993" s="9" t="n"/>
      <c r="F993" s="9" t="n"/>
      <c r="G993" s="9">
        <f>IF(OR(E993="",F993=""),"",DATEDIF(E993,F993,"Y"))</f>
        <v/>
      </c>
      <c r="H993" s="9" t="n"/>
    </row>
    <row r="994" ht="14.25" customHeight="1" s="38">
      <c r="A994" s="9" t="n"/>
      <c r="B994" s="9" t="n"/>
      <c r="C994" s="9" t="n"/>
      <c r="D994" s="9" t="n"/>
      <c r="E994" s="9" t="n"/>
      <c r="F994" s="9" t="n"/>
      <c r="G994" s="9">
        <f>IF(OR(E994="",F994=""),"",DATEDIF(E994,F994,"Y"))</f>
        <v/>
      </c>
      <c r="H994" s="9" t="n"/>
    </row>
    <row r="995" ht="14.25" customHeight="1" s="38">
      <c r="A995" s="9" t="n"/>
      <c r="B995" s="9" t="n"/>
      <c r="C995" s="9" t="n"/>
      <c r="D995" s="9" t="n"/>
      <c r="E995" s="9" t="n"/>
      <c r="F995" s="9" t="n"/>
      <c r="G995" s="9">
        <f>IF(OR(E995="",F995=""),"",DATEDIF(E995,F995,"Y"))</f>
        <v/>
      </c>
      <c r="H995" s="9" t="n"/>
    </row>
    <row r="996" ht="14.25" customHeight="1" s="38">
      <c r="A996" s="9" t="n"/>
      <c r="B996" s="9" t="n"/>
      <c r="C996" s="9" t="n"/>
      <c r="D996" s="9" t="n"/>
      <c r="E996" s="9" t="n"/>
      <c r="F996" s="9" t="n"/>
      <c r="G996" s="9">
        <f>IF(OR(E996="",F996=""),"",DATEDIF(E996,F996,"Y"))</f>
        <v/>
      </c>
      <c r="H996" s="9" t="n"/>
    </row>
    <row r="997" ht="14.25" customHeight="1" s="38">
      <c r="A997" s="9" t="n"/>
      <c r="B997" s="9" t="n"/>
      <c r="C997" s="9" t="n"/>
      <c r="D997" s="9" t="n"/>
      <c r="E997" s="9" t="n"/>
      <c r="F997" s="9" t="n"/>
      <c r="G997" s="9">
        <f>IF(OR(E997="",F997=""),"",DATEDIF(E997,F997,"Y"))</f>
        <v/>
      </c>
      <c r="H997" s="9" t="n"/>
    </row>
    <row r="998" ht="14.25" customHeight="1" s="38">
      <c r="A998" s="9" t="n"/>
      <c r="B998" s="9" t="n"/>
      <c r="C998" s="9" t="n"/>
      <c r="D998" s="9" t="n"/>
      <c r="E998" s="9" t="n"/>
      <c r="F998" s="9" t="n"/>
      <c r="G998" s="9">
        <f>IF(OR(E998="",F998=""),"",DATEDIF(E998,F998,"Y"))</f>
        <v/>
      </c>
      <c r="H998" s="9" t="n"/>
    </row>
    <row r="999" ht="14.25" customHeight="1" s="38">
      <c r="A999" s="9" t="n"/>
      <c r="B999" s="9" t="n"/>
      <c r="C999" s="9" t="n"/>
      <c r="D999" s="9" t="n"/>
      <c r="E999" s="9" t="n"/>
      <c r="F999" s="9" t="n"/>
      <c r="G999" s="9">
        <f>IF(OR(E999="",F999=""),"",DATEDIF(E999,F999,"Y"))</f>
        <v/>
      </c>
      <c r="H999" s="9" t="n"/>
    </row>
    <row r="1000" ht="14.25" customHeight="1" s="38">
      <c r="A1000" s="9" t="n"/>
      <c r="B1000" s="9" t="n"/>
      <c r="C1000" s="9" t="n"/>
      <c r="D1000" s="9" t="n"/>
      <c r="E1000" s="9" t="n"/>
      <c r="F1000" s="9" t="n"/>
      <c r="G1000" s="9">
        <f>IF(OR(E1000="",F1000=""),"",DATEDIF(E1000,F1000,"Y"))</f>
        <v/>
      </c>
      <c r="H1000" s="9" t="n"/>
    </row>
    <row r="1001" ht="14.25" customHeight="1" s="38">
      <c r="A1001" s="9" t="n"/>
      <c r="B1001" s="9" t="n"/>
      <c r="C1001" s="9" t="n"/>
      <c r="D1001" s="9" t="n"/>
      <c r="E1001" s="9" t="n"/>
      <c r="F1001" s="9" t="n"/>
      <c r="G1001" s="9">
        <f>IF(OR(E1001="",F1001=""),"",DATEDIF(E1001,F1001,"Y"))</f>
        <v/>
      </c>
      <c r="H1001" s="9" t="n"/>
    </row>
  </sheetData>
  <autoFilter ref="$A$1:$H$1001"/>
  <pageMargins left="0.25" right="0.25" top="0.35" bottom="0.35" header="0" footer="0"/>
  <pageSetup orientation="landscape" paperSize="9" fitToHeight="0"/>
  <headerFooter>
    <oddHeader/>
    <oddFooter>&amp;CParoki St. Klement I Sepinggan Balikpapan • Statistik 2026&amp;RHalaman &amp;P dari 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1001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38" min="1" max="1"/>
    <col width="28" customWidth="1" style="38" min="2" max="2"/>
    <col width="22" customWidth="1" style="38" min="3" max="3"/>
    <col width="18" customWidth="1" style="38" min="4" max="4"/>
    <col width="28" customWidth="1" style="38" min="5" max="5"/>
    <col width="22" customWidth="1" style="38" min="6" max="6"/>
    <col width="20" customWidth="1" style="38" min="7" max="7"/>
    <col width="30" customWidth="1" style="38" min="8" max="8"/>
    <col width="9" customWidth="1" style="38" min="9" max="26"/>
  </cols>
  <sheetData>
    <row r="1" ht="14.25" customHeight="1" s="38">
      <c r="A1" s="7" t="inlineStr">
        <is>
          <t>ID Umat</t>
        </is>
      </c>
      <c r="B1" s="7" t="inlineStr">
        <is>
          <t>Nama</t>
        </is>
      </c>
      <c r="C1" s="7" t="inlineStr">
        <is>
          <t>Lingkungan</t>
        </is>
      </c>
      <c r="D1" s="7" t="inlineStr">
        <is>
          <t>Jenis Kelamin</t>
        </is>
      </c>
      <c r="E1" s="7" t="inlineStr">
        <is>
          <t>Jalur Seminari/Biara</t>
        </is>
      </c>
      <c r="F1" s="7" t="inlineStr">
        <is>
          <t>Status</t>
        </is>
      </c>
      <c r="G1" s="7" t="inlineStr">
        <is>
          <t>Tanggal Mulai/Status</t>
        </is>
      </c>
      <c r="H1" s="7" t="inlineStr">
        <is>
          <t>Keterangan</t>
        </is>
      </c>
    </row>
    <row r="2" ht="14.25" customHeight="1" s="38">
      <c r="A2" s="9" t="n"/>
      <c r="B2" s="9" t="n"/>
      <c r="C2" s="9" t="n"/>
      <c r="D2" s="9" t="n"/>
      <c r="E2" s="9" t="n"/>
      <c r="F2" s="9" t="n"/>
      <c r="G2" s="9" t="n"/>
      <c r="H2" s="9" t="n"/>
    </row>
    <row r="3" ht="14.25" customHeight="1" s="38">
      <c r="A3" s="9" t="n"/>
      <c r="B3" s="9" t="n"/>
      <c r="C3" s="9" t="n"/>
      <c r="D3" s="9" t="n"/>
      <c r="E3" s="9" t="n"/>
      <c r="F3" s="9" t="n"/>
      <c r="G3" s="9" t="n"/>
      <c r="H3" s="9" t="n"/>
    </row>
    <row r="4" ht="14.25" customHeight="1" s="38">
      <c r="A4" s="9" t="n"/>
      <c r="B4" s="9" t="n"/>
      <c r="C4" s="9" t="n"/>
      <c r="D4" s="9" t="n"/>
      <c r="E4" s="9" t="n"/>
      <c r="F4" s="9" t="n"/>
      <c r="G4" s="9" t="n"/>
      <c r="H4" s="9" t="n"/>
    </row>
    <row r="5" ht="14.25" customHeight="1" s="38">
      <c r="A5" s="9" t="n"/>
      <c r="B5" s="9" t="n"/>
      <c r="C5" s="9" t="n"/>
      <c r="D5" s="9" t="n"/>
      <c r="E5" s="9" t="n"/>
      <c r="F5" s="9" t="n"/>
      <c r="G5" s="9" t="n"/>
      <c r="H5" s="9" t="n"/>
    </row>
    <row r="6" ht="14.25" customHeight="1" s="38">
      <c r="A6" s="9" t="n"/>
      <c r="B6" s="9" t="n"/>
      <c r="C6" s="9" t="n"/>
      <c r="D6" s="9" t="n"/>
      <c r="E6" s="9" t="n"/>
      <c r="F6" s="9" t="n"/>
      <c r="G6" s="9" t="n"/>
      <c r="H6" s="9" t="n"/>
    </row>
    <row r="7" ht="14.25" customHeight="1" s="38">
      <c r="A7" s="9" t="n"/>
      <c r="B7" s="9" t="n"/>
      <c r="C7" s="9" t="n"/>
      <c r="D7" s="9" t="n"/>
      <c r="E7" s="9" t="n"/>
      <c r="F7" s="9" t="n"/>
      <c r="G7" s="9" t="n"/>
      <c r="H7" s="9" t="n"/>
    </row>
    <row r="8" ht="14.25" customHeight="1" s="38">
      <c r="A8" s="9" t="n"/>
      <c r="B8" s="9" t="n"/>
      <c r="C8" s="9" t="n"/>
      <c r="D8" s="9" t="n"/>
      <c r="E8" s="9" t="n"/>
      <c r="F8" s="9" t="n"/>
      <c r="G8" s="9" t="n"/>
      <c r="H8" s="9" t="n"/>
    </row>
    <row r="9" ht="14.25" customHeight="1" s="38">
      <c r="A9" s="9" t="n"/>
      <c r="B9" s="9" t="n"/>
      <c r="C9" s="9" t="n"/>
      <c r="D9" s="9" t="n"/>
      <c r="E9" s="9" t="n"/>
      <c r="F9" s="9" t="n"/>
      <c r="G9" s="9" t="n"/>
      <c r="H9" s="9" t="n"/>
    </row>
    <row r="10" ht="14.25" customHeight="1" s="38">
      <c r="A10" s="9" t="n"/>
      <c r="B10" s="9" t="n"/>
      <c r="C10" s="9" t="n"/>
      <c r="D10" s="9" t="n"/>
      <c r="E10" s="9" t="n"/>
      <c r="F10" s="9" t="n"/>
      <c r="G10" s="9" t="n"/>
      <c r="H10" s="9" t="n"/>
    </row>
    <row r="11" ht="14.25" customHeight="1" s="38">
      <c r="A11" s="9" t="n"/>
      <c r="B11" s="9" t="n"/>
      <c r="C11" s="9" t="n"/>
      <c r="D11" s="9" t="n"/>
      <c r="E11" s="9" t="n"/>
      <c r="F11" s="9" t="n"/>
      <c r="G11" s="9" t="n"/>
      <c r="H11" s="9" t="n"/>
    </row>
    <row r="12" ht="14.25" customHeight="1" s="38">
      <c r="A12" s="9" t="n"/>
      <c r="B12" s="9" t="n"/>
      <c r="C12" s="9" t="n"/>
      <c r="D12" s="9" t="n"/>
      <c r="E12" s="9" t="n"/>
      <c r="F12" s="9" t="n"/>
      <c r="G12" s="9" t="n"/>
      <c r="H12" s="9" t="n"/>
    </row>
    <row r="13" ht="14.25" customHeight="1" s="38">
      <c r="A13" s="9" t="n"/>
      <c r="B13" s="9" t="n"/>
      <c r="C13" s="9" t="n"/>
      <c r="D13" s="9" t="n"/>
      <c r="E13" s="9" t="n"/>
      <c r="F13" s="9" t="n"/>
      <c r="G13" s="9" t="n"/>
      <c r="H13" s="9" t="n"/>
    </row>
    <row r="14" ht="14.25" customHeight="1" s="38">
      <c r="A14" s="9" t="n"/>
      <c r="B14" s="9" t="n"/>
      <c r="C14" s="9" t="n"/>
      <c r="D14" s="9" t="n"/>
      <c r="E14" s="9" t="n"/>
      <c r="F14" s="9" t="n"/>
      <c r="G14" s="9" t="n"/>
      <c r="H14" s="9" t="n"/>
    </row>
    <row r="15" ht="14.25" customHeight="1" s="38">
      <c r="A15" s="9" t="n"/>
      <c r="B15" s="9" t="n"/>
      <c r="C15" s="9" t="n"/>
      <c r="D15" s="9" t="n"/>
      <c r="E15" s="9" t="n"/>
      <c r="F15" s="9" t="n"/>
      <c r="G15" s="9" t="n"/>
      <c r="H15" s="9" t="n"/>
    </row>
    <row r="16" ht="14.25" customHeight="1" s="38">
      <c r="A16" s="9" t="n"/>
      <c r="B16" s="9" t="n"/>
      <c r="C16" s="9" t="n"/>
      <c r="D16" s="9" t="n"/>
      <c r="E16" s="9" t="n"/>
      <c r="F16" s="9" t="n"/>
      <c r="G16" s="9" t="n"/>
      <c r="H16" s="9" t="n"/>
    </row>
    <row r="17" ht="14.25" customHeight="1" s="38">
      <c r="A17" s="9" t="n"/>
      <c r="B17" s="9" t="n"/>
      <c r="C17" s="9" t="n"/>
      <c r="D17" s="9" t="n"/>
      <c r="E17" s="9" t="n"/>
      <c r="F17" s="9" t="n"/>
      <c r="G17" s="9" t="n"/>
      <c r="H17" s="9" t="n"/>
    </row>
    <row r="18" ht="14.25" customHeight="1" s="38">
      <c r="A18" s="9" t="n"/>
      <c r="B18" s="9" t="n"/>
      <c r="C18" s="9" t="n"/>
      <c r="D18" s="9" t="n"/>
      <c r="E18" s="9" t="n"/>
      <c r="F18" s="9" t="n"/>
      <c r="G18" s="9" t="n"/>
      <c r="H18" s="9" t="n"/>
    </row>
    <row r="19" ht="14.25" customHeight="1" s="38">
      <c r="A19" s="9" t="n"/>
      <c r="B19" s="9" t="n"/>
      <c r="C19" s="9" t="n"/>
      <c r="D19" s="9" t="n"/>
      <c r="E19" s="9" t="n"/>
      <c r="F19" s="9" t="n"/>
      <c r="G19" s="9" t="n"/>
      <c r="H19" s="9" t="n"/>
    </row>
    <row r="20" ht="14.25" customHeight="1" s="38">
      <c r="A20" s="9" t="n"/>
      <c r="B20" s="9" t="n"/>
      <c r="C20" s="9" t="n"/>
      <c r="D20" s="9" t="n"/>
      <c r="E20" s="9" t="n"/>
      <c r="F20" s="9" t="n"/>
      <c r="G20" s="9" t="n"/>
      <c r="H20" s="9" t="n"/>
    </row>
    <row r="21" ht="14.25" customHeight="1" s="38">
      <c r="A21" s="9" t="n"/>
      <c r="B21" s="9" t="n"/>
      <c r="C21" s="9" t="n"/>
      <c r="D21" s="9" t="n"/>
      <c r="E21" s="9" t="n"/>
      <c r="F21" s="9" t="n"/>
      <c r="G21" s="9" t="n"/>
      <c r="H21" s="9" t="n"/>
    </row>
    <row r="22" ht="14.25" customHeight="1" s="38">
      <c r="A22" s="9" t="n"/>
      <c r="B22" s="9" t="n"/>
      <c r="C22" s="9" t="n"/>
      <c r="D22" s="9" t="n"/>
      <c r="E22" s="9" t="n"/>
      <c r="F22" s="9" t="n"/>
      <c r="G22" s="9" t="n"/>
      <c r="H22" s="9" t="n"/>
    </row>
    <row r="23" ht="14.25" customHeight="1" s="38">
      <c r="A23" s="9" t="n"/>
      <c r="B23" s="9" t="n"/>
      <c r="C23" s="9" t="n"/>
      <c r="D23" s="9" t="n"/>
      <c r="E23" s="9" t="n"/>
      <c r="F23" s="9" t="n"/>
      <c r="G23" s="9" t="n"/>
      <c r="H23" s="9" t="n"/>
    </row>
    <row r="24" ht="14.25" customHeight="1" s="38">
      <c r="A24" s="9" t="n"/>
      <c r="B24" s="9" t="n"/>
      <c r="C24" s="9" t="n"/>
      <c r="D24" s="9" t="n"/>
      <c r="E24" s="9" t="n"/>
      <c r="F24" s="9" t="n"/>
      <c r="G24" s="9" t="n"/>
      <c r="H24" s="9" t="n"/>
    </row>
    <row r="25" ht="14.25" customHeight="1" s="38">
      <c r="A25" s="9" t="n"/>
      <c r="B25" s="9" t="n"/>
      <c r="C25" s="9" t="n"/>
      <c r="D25" s="9" t="n"/>
      <c r="E25" s="9" t="n"/>
      <c r="F25" s="9" t="n"/>
      <c r="G25" s="9" t="n"/>
      <c r="H25" s="9" t="n"/>
    </row>
    <row r="26" ht="14.25" customHeight="1" s="38">
      <c r="A26" s="9" t="n"/>
      <c r="B26" s="9" t="n"/>
      <c r="C26" s="9" t="n"/>
      <c r="D26" s="9" t="n"/>
      <c r="E26" s="9" t="n"/>
      <c r="F26" s="9" t="n"/>
      <c r="G26" s="9" t="n"/>
      <c r="H26" s="9" t="n"/>
    </row>
    <row r="27" ht="14.25" customHeight="1" s="38">
      <c r="A27" s="9" t="n"/>
      <c r="B27" s="9" t="n"/>
      <c r="C27" s="9" t="n"/>
      <c r="D27" s="9" t="n"/>
      <c r="E27" s="9" t="n"/>
      <c r="F27" s="9" t="n"/>
      <c r="G27" s="9" t="n"/>
      <c r="H27" s="9" t="n"/>
    </row>
    <row r="28" ht="14.25" customHeight="1" s="38">
      <c r="A28" s="9" t="n"/>
      <c r="B28" s="9" t="n"/>
      <c r="C28" s="9" t="n"/>
      <c r="D28" s="9" t="n"/>
      <c r="E28" s="9" t="n"/>
      <c r="F28" s="9" t="n"/>
      <c r="G28" s="9" t="n"/>
      <c r="H28" s="9" t="n"/>
    </row>
    <row r="29" ht="14.25" customHeight="1" s="38">
      <c r="A29" s="9" t="n"/>
      <c r="B29" s="9" t="n"/>
      <c r="C29" s="9" t="n"/>
      <c r="D29" s="9" t="n"/>
      <c r="E29" s="9" t="n"/>
      <c r="F29" s="9" t="n"/>
      <c r="G29" s="9" t="n"/>
      <c r="H29" s="9" t="n"/>
    </row>
    <row r="30" ht="14.25" customHeight="1" s="38">
      <c r="A30" s="9" t="n"/>
      <c r="B30" s="9" t="n"/>
      <c r="C30" s="9" t="n"/>
      <c r="D30" s="9" t="n"/>
      <c r="E30" s="9" t="n"/>
      <c r="F30" s="9" t="n"/>
      <c r="G30" s="9" t="n"/>
      <c r="H30" s="9" t="n"/>
    </row>
    <row r="31" ht="14.25" customHeight="1" s="38">
      <c r="A31" s="9" t="n"/>
      <c r="B31" s="9" t="n"/>
      <c r="C31" s="9" t="n"/>
      <c r="D31" s="9" t="n"/>
      <c r="E31" s="9" t="n"/>
      <c r="F31" s="9" t="n"/>
      <c r="G31" s="9" t="n"/>
      <c r="H31" s="9" t="n"/>
    </row>
    <row r="32" ht="14.25" customHeight="1" s="38">
      <c r="A32" s="9" t="n"/>
      <c r="B32" s="9" t="n"/>
      <c r="C32" s="9" t="n"/>
      <c r="D32" s="9" t="n"/>
      <c r="E32" s="9" t="n"/>
      <c r="F32" s="9" t="n"/>
      <c r="G32" s="9" t="n"/>
      <c r="H32" s="9" t="n"/>
    </row>
    <row r="33" ht="14.25" customHeight="1" s="38">
      <c r="A33" s="9" t="n"/>
      <c r="B33" s="9" t="n"/>
      <c r="C33" s="9" t="n"/>
      <c r="D33" s="9" t="n"/>
      <c r="E33" s="9" t="n"/>
      <c r="F33" s="9" t="n"/>
      <c r="G33" s="9" t="n"/>
      <c r="H33" s="9" t="n"/>
    </row>
    <row r="34" ht="14.25" customHeight="1" s="38">
      <c r="A34" s="9" t="n"/>
      <c r="B34" s="9" t="n"/>
      <c r="C34" s="9" t="n"/>
      <c r="D34" s="9" t="n"/>
      <c r="E34" s="9" t="n"/>
      <c r="F34" s="9" t="n"/>
      <c r="G34" s="9" t="n"/>
      <c r="H34" s="9" t="n"/>
    </row>
    <row r="35" ht="14.25" customHeight="1" s="38">
      <c r="A35" s="9" t="n"/>
      <c r="B35" s="9" t="n"/>
      <c r="C35" s="9" t="n"/>
      <c r="D35" s="9" t="n"/>
      <c r="E35" s="9" t="n"/>
      <c r="F35" s="9" t="n"/>
      <c r="G35" s="9" t="n"/>
      <c r="H35" s="9" t="n"/>
    </row>
    <row r="36" ht="14.25" customHeight="1" s="38">
      <c r="A36" s="9" t="n"/>
      <c r="B36" s="9" t="n"/>
      <c r="C36" s="9" t="n"/>
      <c r="D36" s="9" t="n"/>
      <c r="E36" s="9" t="n"/>
      <c r="F36" s="9" t="n"/>
      <c r="G36" s="9" t="n"/>
      <c r="H36" s="9" t="n"/>
    </row>
    <row r="37" ht="14.25" customHeight="1" s="38">
      <c r="A37" s="9" t="n"/>
      <c r="B37" s="9" t="n"/>
      <c r="C37" s="9" t="n"/>
      <c r="D37" s="9" t="n"/>
      <c r="E37" s="9" t="n"/>
      <c r="F37" s="9" t="n"/>
      <c r="G37" s="9" t="n"/>
      <c r="H37" s="9" t="n"/>
    </row>
    <row r="38" ht="14.25" customHeight="1" s="38">
      <c r="A38" s="9" t="n"/>
      <c r="B38" s="9" t="n"/>
      <c r="C38" s="9" t="n"/>
      <c r="D38" s="9" t="n"/>
      <c r="E38" s="9" t="n"/>
      <c r="F38" s="9" t="n"/>
      <c r="G38" s="9" t="n"/>
      <c r="H38" s="9" t="n"/>
    </row>
    <row r="39" ht="14.25" customHeight="1" s="38">
      <c r="A39" s="9" t="n"/>
      <c r="B39" s="9" t="n"/>
      <c r="C39" s="9" t="n"/>
      <c r="D39" s="9" t="n"/>
      <c r="E39" s="9" t="n"/>
      <c r="F39" s="9" t="n"/>
      <c r="G39" s="9" t="n"/>
      <c r="H39" s="9" t="n"/>
    </row>
    <row r="40" ht="14.25" customHeight="1" s="38">
      <c r="A40" s="9" t="n"/>
      <c r="B40" s="9" t="n"/>
      <c r="C40" s="9" t="n"/>
      <c r="D40" s="9" t="n"/>
      <c r="E40" s="9" t="n"/>
      <c r="F40" s="9" t="n"/>
      <c r="G40" s="9" t="n"/>
      <c r="H40" s="9" t="n"/>
    </row>
    <row r="41" ht="14.25" customHeight="1" s="38">
      <c r="A41" s="9" t="n"/>
      <c r="B41" s="9" t="n"/>
      <c r="C41" s="9" t="n"/>
      <c r="D41" s="9" t="n"/>
      <c r="E41" s="9" t="n"/>
      <c r="F41" s="9" t="n"/>
      <c r="G41" s="9" t="n"/>
      <c r="H41" s="9" t="n"/>
    </row>
    <row r="42" ht="14.25" customHeight="1" s="38">
      <c r="A42" s="9" t="n"/>
      <c r="B42" s="9" t="n"/>
      <c r="C42" s="9" t="n"/>
      <c r="D42" s="9" t="n"/>
      <c r="E42" s="9" t="n"/>
      <c r="F42" s="9" t="n"/>
      <c r="G42" s="9" t="n"/>
      <c r="H42" s="9" t="n"/>
    </row>
    <row r="43" ht="14.25" customHeight="1" s="38">
      <c r="A43" s="9" t="n"/>
      <c r="B43" s="9" t="n"/>
      <c r="C43" s="9" t="n"/>
      <c r="D43" s="9" t="n"/>
      <c r="E43" s="9" t="n"/>
      <c r="F43" s="9" t="n"/>
      <c r="G43" s="9" t="n"/>
      <c r="H43" s="9" t="n"/>
    </row>
    <row r="44" ht="14.25" customHeight="1" s="38">
      <c r="A44" s="9" t="n"/>
      <c r="B44" s="9" t="n"/>
      <c r="C44" s="9" t="n"/>
      <c r="D44" s="9" t="n"/>
      <c r="E44" s="9" t="n"/>
      <c r="F44" s="9" t="n"/>
      <c r="G44" s="9" t="n"/>
      <c r="H44" s="9" t="n"/>
    </row>
    <row r="45" ht="14.25" customHeight="1" s="38">
      <c r="A45" s="9" t="n"/>
      <c r="B45" s="9" t="n"/>
      <c r="C45" s="9" t="n"/>
      <c r="D45" s="9" t="n"/>
      <c r="E45" s="9" t="n"/>
      <c r="F45" s="9" t="n"/>
      <c r="G45" s="9" t="n"/>
      <c r="H45" s="9" t="n"/>
    </row>
    <row r="46" ht="14.25" customHeight="1" s="38">
      <c r="A46" s="9" t="n"/>
      <c r="B46" s="9" t="n"/>
      <c r="C46" s="9" t="n"/>
      <c r="D46" s="9" t="n"/>
      <c r="E46" s="9" t="n"/>
      <c r="F46" s="9" t="n"/>
      <c r="G46" s="9" t="n"/>
      <c r="H46" s="9" t="n"/>
    </row>
    <row r="47" ht="14.25" customHeight="1" s="38">
      <c r="A47" s="9" t="n"/>
      <c r="B47" s="9" t="n"/>
      <c r="C47" s="9" t="n"/>
      <c r="D47" s="9" t="n"/>
      <c r="E47" s="9" t="n"/>
      <c r="F47" s="9" t="n"/>
      <c r="G47" s="9" t="n"/>
      <c r="H47" s="9" t="n"/>
    </row>
    <row r="48" ht="14.25" customHeight="1" s="38">
      <c r="A48" s="9" t="n"/>
      <c r="B48" s="9" t="n"/>
      <c r="C48" s="9" t="n"/>
      <c r="D48" s="9" t="n"/>
      <c r="E48" s="9" t="n"/>
      <c r="F48" s="9" t="n"/>
      <c r="G48" s="9" t="n"/>
      <c r="H48" s="9" t="n"/>
    </row>
    <row r="49" ht="14.25" customHeight="1" s="38">
      <c r="A49" s="9" t="n"/>
      <c r="B49" s="9" t="n"/>
      <c r="C49" s="9" t="n"/>
      <c r="D49" s="9" t="n"/>
      <c r="E49" s="9" t="n"/>
      <c r="F49" s="9" t="n"/>
      <c r="G49" s="9" t="n"/>
      <c r="H49" s="9" t="n"/>
    </row>
    <row r="50" ht="14.25" customHeight="1" s="38">
      <c r="A50" s="9" t="n"/>
      <c r="B50" s="9" t="n"/>
      <c r="C50" s="9" t="n"/>
      <c r="D50" s="9" t="n"/>
      <c r="E50" s="9" t="n"/>
      <c r="F50" s="9" t="n"/>
      <c r="G50" s="9" t="n"/>
      <c r="H50" s="9" t="n"/>
    </row>
    <row r="51" ht="14.25" customHeight="1" s="38">
      <c r="A51" s="9" t="n"/>
      <c r="B51" s="9" t="n"/>
      <c r="C51" s="9" t="n"/>
      <c r="D51" s="9" t="n"/>
      <c r="E51" s="9" t="n"/>
      <c r="F51" s="9" t="n"/>
      <c r="G51" s="9" t="n"/>
      <c r="H51" s="9" t="n"/>
    </row>
    <row r="52" ht="14.25" customHeight="1" s="38">
      <c r="A52" s="9" t="n"/>
      <c r="B52" s="9" t="n"/>
      <c r="C52" s="9" t="n"/>
      <c r="D52" s="9" t="n"/>
      <c r="E52" s="9" t="n"/>
      <c r="F52" s="9" t="n"/>
      <c r="G52" s="9" t="n"/>
      <c r="H52" s="9" t="n"/>
    </row>
    <row r="53" ht="14.25" customHeight="1" s="38">
      <c r="A53" s="9" t="n"/>
      <c r="B53" s="9" t="n"/>
      <c r="C53" s="9" t="n"/>
      <c r="D53" s="9" t="n"/>
      <c r="E53" s="9" t="n"/>
      <c r="F53" s="9" t="n"/>
      <c r="G53" s="9" t="n"/>
      <c r="H53" s="9" t="n"/>
    </row>
    <row r="54" ht="14.25" customHeight="1" s="38">
      <c r="A54" s="9" t="n"/>
      <c r="B54" s="9" t="n"/>
      <c r="C54" s="9" t="n"/>
      <c r="D54" s="9" t="n"/>
      <c r="E54" s="9" t="n"/>
      <c r="F54" s="9" t="n"/>
      <c r="G54" s="9" t="n"/>
      <c r="H54" s="9" t="n"/>
    </row>
    <row r="55" ht="14.25" customHeight="1" s="38">
      <c r="A55" s="9" t="n"/>
      <c r="B55" s="9" t="n"/>
      <c r="C55" s="9" t="n"/>
      <c r="D55" s="9" t="n"/>
      <c r="E55" s="9" t="n"/>
      <c r="F55" s="9" t="n"/>
      <c r="G55" s="9" t="n"/>
      <c r="H55" s="9" t="n"/>
    </row>
    <row r="56" ht="14.25" customHeight="1" s="38">
      <c r="A56" s="9" t="n"/>
      <c r="B56" s="9" t="n"/>
      <c r="C56" s="9" t="n"/>
      <c r="D56" s="9" t="n"/>
      <c r="E56" s="9" t="n"/>
      <c r="F56" s="9" t="n"/>
      <c r="G56" s="9" t="n"/>
      <c r="H56" s="9" t="n"/>
    </row>
    <row r="57" ht="14.25" customHeight="1" s="38">
      <c r="A57" s="9" t="n"/>
      <c r="B57" s="9" t="n"/>
      <c r="C57" s="9" t="n"/>
      <c r="D57" s="9" t="n"/>
      <c r="E57" s="9" t="n"/>
      <c r="F57" s="9" t="n"/>
      <c r="G57" s="9" t="n"/>
      <c r="H57" s="9" t="n"/>
    </row>
    <row r="58" ht="14.25" customHeight="1" s="38">
      <c r="A58" s="9" t="n"/>
      <c r="B58" s="9" t="n"/>
      <c r="C58" s="9" t="n"/>
      <c r="D58" s="9" t="n"/>
      <c r="E58" s="9" t="n"/>
      <c r="F58" s="9" t="n"/>
      <c r="G58" s="9" t="n"/>
      <c r="H58" s="9" t="n"/>
    </row>
    <row r="59" ht="14.25" customHeight="1" s="38">
      <c r="A59" s="9" t="n"/>
      <c r="B59" s="9" t="n"/>
      <c r="C59" s="9" t="n"/>
      <c r="D59" s="9" t="n"/>
      <c r="E59" s="9" t="n"/>
      <c r="F59" s="9" t="n"/>
      <c r="G59" s="9" t="n"/>
      <c r="H59" s="9" t="n"/>
    </row>
    <row r="60" ht="14.25" customHeight="1" s="38">
      <c r="A60" s="9" t="n"/>
      <c r="B60" s="9" t="n"/>
      <c r="C60" s="9" t="n"/>
      <c r="D60" s="9" t="n"/>
      <c r="E60" s="9" t="n"/>
      <c r="F60" s="9" t="n"/>
      <c r="G60" s="9" t="n"/>
      <c r="H60" s="9" t="n"/>
    </row>
    <row r="61" ht="14.25" customHeight="1" s="38">
      <c r="A61" s="9" t="n"/>
      <c r="B61" s="9" t="n"/>
      <c r="C61" s="9" t="n"/>
      <c r="D61" s="9" t="n"/>
      <c r="E61" s="9" t="n"/>
      <c r="F61" s="9" t="n"/>
      <c r="G61" s="9" t="n"/>
      <c r="H61" s="9" t="n"/>
    </row>
    <row r="62" ht="14.25" customHeight="1" s="38">
      <c r="A62" s="9" t="n"/>
      <c r="B62" s="9" t="n"/>
      <c r="C62" s="9" t="n"/>
      <c r="D62" s="9" t="n"/>
      <c r="E62" s="9" t="n"/>
      <c r="F62" s="9" t="n"/>
      <c r="G62" s="9" t="n"/>
      <c r="H62" s="9" t="n"/>
    </row>
    <row r="63" ht="14.25" customHeight="1" s="38">
      <c r="A63" s="9" t="n"/>
      <c r="B63" s="9" t="n"/>
      <c r="C63" s="9" t="n"/>
      <c r="D63" s="9" t="n"/>
      <c r="E63" s="9" t="n"/>
      <c r="F63" s="9" t="n"/>
      <c r="G63" s="9" t="n"/>
      <c r="H63" s="9" t="n"/>
    </row>
    <row r="64" ht="14.25" customHeight="1" s="38">
      <c r="A64" s="9" t="n"/>
      <c r="B64" s="9" t="n"/>
      <c r="C64" s="9" t="n"/>
      <c r="D64" s="9" t="n"/>
      <c r="E64" s="9" t="n"/>
      <c r="F64" s="9" t="n"/>
      <c r="G64" s="9" t="n"/>
      <c r="H64" s="9" t="n"/>
    </row>
    <row r="65" ht="14.25" customHeight="1" s="38">
      <c r="A65" s="9" t="n"/>
      <c r="B65" s="9" t="n"/>
      <c r="C65" s="9" t="n"/>
      <c r="D65" s="9" t="n"/>
      <c r="E65" s="9" t="n"/>
      <c r="F65" s="9" t="n"/>
      <c r="G65" s="9" t="n"/>
      <c r="H65" s="9" t="n"/>
    </row>
    <row r="66" ht="14.25" customHeight="1" s="38">
      <c r="A66" s="9" t="n"/>
      <c r="B66" s="9" t="n"/>
      <c r="C66" s="9" t="n"/>
      <c r="D66" s="9" t="n"/>
      <c r="E66" s="9" t="n"/>
      <c r="F66" s="9" t="n"/>
      <c r="G66" s="9" t="n"/>
      <c r="H66" s="9" t="n"/>
    </row>
    <row r="67" ht="14.25" customHeight="1" s="38">
      <c r="A67" s="9" t="n"/>
      <c r="B67" s="9" t="n"/>
      <c r="C67" s="9" t="n"/>
      <c r="D67" s="9" t="n"/>
      <c r="E67" s="9" t="n"/>
      <c r="F67" s="9" t="n"/>
      <c r="G67" s="9" t="n"/>
      <c r="H67" s="9" t="n"/>
    </row>
    <row r="68" ht="14.25" customHeight="1" s="38">
      <c r="A68" s="9" t="n"/>
      <c r="B68" s="9" t="n"/>
      <c r="C68" s="9" t="n"/>
      <c r="D68" s="9" t="n"/>
      <c r="E68" s="9" t="n"/>
      <c r="F68" s="9" t="n"/>
      <c r="G68" s="9" t="n"/>
      <c r="H68" s="9" t="n"/>
    </row>
    <row r="69" ht="14.25" customHeight="1" s="38">
      <c r="A69" s="9" t="n"/>
      <c r="B69" s="9" t="n"/>
      <c r="C69" s="9" t="n"/>
      <c r="D69" s="9" t="n"/>
      <c r="E69" s="9" t="n"/>
      <c r="F69" s="9" t="n"/>
      <c r="G69" s="9" t="n"/>
      <c r="H69" s="9" t="n"/>
    </row>
    <row r="70" ht="14.25" customHeight="1" s="38">
      <c r="A70" s="9" t="n"/>
      <c r="B70" s="9" t="n"/>
      <c r="C70" s="9" t="n"/>
      <c r="D70" s="9" t="n"/>
      <c r="E70" s="9" t="n"/>
      <c r="F70" s="9" t="n"/>
      <c r="G70" s="9" t="n"/>
      <c r="H70" s="9" t="n"/>
    </row>
    <row r="71" ht="14.25" customHeight="1" s="38">
      <c r="A71" s="9" t="n"/>
      <c r="B71" s="9" t="n"/>
      <c r="C71" s="9" t="n"/>
      <c r="D71" s="9" t="n"/>
      <c r="E71" s="9" t="n"/>
      <c r="F71" s="9" t="n"/>
      <c r="G71" s="9" t="n"/>
      <c r="H71" s="9" t="n"/>
    </row>
    <row r="72" ht="14.25" customHeight="1" s="38">
      <c r="A72" s="9" t="n"/>
      <c r="B72" s="9" t="n"/>
      <c r="C72" s="9" t="n"/>
      <c r="D72" s="9" t="n"/>
      <c r="E72" s="9" t="n"/>
      <c r="F72" s="9" t="n"/>
      <c r="G72" s="9" t="n"/>
      <c r="H72" s="9" t="n"/>
    </row>
    <row r="73" ht="14.25" customHeight="1" s="38">
      <c r="A73" s="9" t="n"/>
      <c r="B73" s="9" t="n"/>
      <c r="C73" s="9" t="n"/>
      <c r="D73" s="9" t="n"/>
      <c r="E73" s="9" t="n"/>
      <c r="F73" s="9" t="n"/>
      <c r="G73" s="9" t="n"/>
      <c r="H73" s="9" t="n"/>
    </row>
    <row r="74" ht="14.25" customHeight="1" s="38">
      <c r="A74" s="9" t="n"/>
      <c r="B74" s="9" t="n"/>
      <c r="C74" s="9" t="n"/>
      <c r="D74" s="9" t="n"/>
      <c r="E74" s="9" t="n"/>
      <c r="F74" s="9" t="n"/>
      <c r="G74" s="9" t="n"/>
      <c r="H74" s="9" t="n"/>
    </row>
    <row r="75" ht="14.25" customHeight="1" s="38">
      <c r="A75" s="9" t="n"/>
      <c r="B75" s="9" t="n"/>
      <c r="C75" s="9" t="n"/>
      <c r="D75" s="9" t="n"/>
      <c r="E75" s="9" t="n"/>
      <c r="F75" s="9" t="n"/>
      <c r="G75" s="9" t="n"/>
      <c r="H75" s="9" t="n"/>
    </row>
    <row r="76" ht="14.25" customHeight="1" s="38">
      <c r="A76" s="9" t="n"/>
      <c r="B76" s="9" t="n"/>
      <c r="C76" s="9" t="n"/>
      <c r="D76" s="9" t="n"/>
      <c r="E76" s="9" t="n"/>
      <c r="F76" s="9" t="n"/>
      <c r="G76" s="9" t="n"/>
      <c r="H76" s="9" t="n"/>
    </row>
    <row r="77" ht="14.25" customHeight="1" s="38">
      <c r="A77" s="9" t="n"/>
      <c r="B77" s="9" t="n"/>
      <c r="C77" s="9" t="n"/>
      <c r="D77" s="9" t="n"/>
      <c r="E77" s="9" t="n"/>
      <c r="F77" s="9" t="n"/>
      <c r="G77" s="9" t="n"/>
      <c r="H77" s="9" t="n"/>
    </row>
    <row r="78" ht="14.25" customHeight="1" s="38">
      <c r="A78" s="9" t="n"/>
      <c r="B78" s="9" t="n"/>
      <c r="C78" s="9" t="n"/>
      <c r="D78" s="9" t="n"/>
      <c r="E78" s="9" t="n"/>
      <c r="F78" s="9" t="n"/>
      <c r="G78" s="9" t="n"/>
      <c r="H78" s="9" t="n"/>
    </row>
    <row r="79" ht="14.25" customHeight="1" s="38">
      <c r="A79" s="9" t="n"/>
      <c r="B79" s="9" t="n"/>
      <c r="C79" s="9" t="n"/>
      <c r="D79" s="9" t="n"/>
      <c r="E79" s="9" t="n"/>
      <c r="F79" s="9" t="n"/>
      <c r="G79" s="9" t="n"/>
      <c r="H79" s="9" t="n"/>
    </row>
    <row r="80" ht="14.25" customHeight="1" s="38">
      <c r="A80" s="9" t="n"/>
      <c r="B80" s="9" t="n"/>
      <c r="C80" s="9" t="n"/>
      <c r="D80" s="9" t="n"/>
      <c r="E80" s="9" t="n"/>
      <c r="F80" s="9" t="n"/>
      <c r="G80" s="9" t="n"/>
      <c r="H80" s="9" t="n"/>
    </row>
    <row r="81" ht="14.25" customHeight="1" s="38">
      <c r="A81" s="9" t="n"/>
      <c r="B81" s="9" t="n"/>
      <c r="C81" s="9" t="n"/>
      <c r="D81" s="9" t="n"/>
      <c r="E81" s="9" t="n"/>
      <c r="F81" s="9" t="n"/>
      <c r="G81" s="9" t="n"/>
      <c r="H81" s="9" t="n"/>
    </row>
    <row r="82" ht="14.25" customHeight="1" s="38">
      <c r="A82" s="9" t="n"/>
      <c r="B82" s="9" t="n"/>
      <c r="C82" s="9" t="n"/>
      <c r="D82" s="9" t="n"/>
      <c r="E82" s="9" t="n"/>
      <c r="F82" s="9" t="n"/>
      <c r="G82" s="9" t="n"/>
      <c r="H82" s="9" t="n"/>
    </row>
    <row r="83" ht="14.25" customHeight="1" s="38">
      <c r="A83" s="9" t="n"/>
      <c r="B83" s="9" t="n"/>
      <c r="C83" s="9" t="n"/>
      <c r="D83" s="9" t="n"/>
      <c r="E83" s="9" t="n"/>
      <c r="F83" s="9" t="n"/>
      <c r="G83" s="9" t="n"/>
      <c r="H83" s="9" t="n"/>
    </row>
    <row r="84" ht="14.25" customHeight="1" s="38">
      <c r="A84" s="9" t="n"/>
      <c r="B84" s="9" t="n"/>
      <c r="C84" s="9" t="n"/>
      <c r="D84" s="9" t="n"/>
      <c r="E84" s="9" t="n"/>
      <c r="F84" s="9" t="n"/>
      <c r="G84" s="9" t="n"/>
      <c r="H84" s="9" t="n"/>
    </row>
    <row r="85" ht="14.25" customHeight="1" s="38">
      <c r="A85" s="9" t="n"/>
      <c r="B85" s="9" t="n"/>
      <c r="C85" s="9" t="n"/>
      <c r="D85" s="9" t="n"/>
      <c r="E85" s="9" t="n"/>
      <c r="F85" s="9" t="n"/>
      <c r="G85" s="9" t="n"/>
      <c r="H85" s="9" t="n"/>
    </row>
    <row r="86" ht="14.25" customHeight="1" s="38">
      <c r="A86" s="9" t="n"/>
      <c r="B86" s="9" t="n"/>
      <c r="C86" s="9" t="n"/>
      <c r="D86" s="9" t="n"/>
      <c r="E86" s="9" t="n"/>
      <c r="F86" s="9" t="n"/>
      <c r="G86" s="9" t="n"/>
      <c r="H86" s="9" t="n"/>
    </row>
    <row r="87" ht="14.25" customHeight="1" s="38">
      <c r="A87" s="9" t="n"/>
      <c r="B87" s="9" t="n"/>
      <c r="C87" s="9" t="n"/>
      <c r="D87" s="9" t="n"/>
      <c r="E87" s="9" t="n"/>
      <c r="F87" s="9" t="n"/>
      <c r="G87" s="9" t="n"/>
      <c r="H87" s="9" t="n"/>
    </row>
    <row r="88" ht="14.25" customHeight="1" s="38">
      <c r="A88" s="9" t="n"/>
      <c r="B88" s="9" t="n"/>
      <c r="C88" s="9" t="n"/>
      <c r="D88" s="9" t="n"/>
      <c r="E88" s="9" t="n"/>
      <c r="F88" s="9" t="n"/>
      <c r="G88" s="9" t="n"/>
      <c r="H88" s="9" t="n"/>
    </row>
    <row r="89" ht="14.25" customHeight="1" s="38">
      <c r="A89" s="9" t="n"/>
      <c r="B89" s="9" t="n"/>
      <c r="C89" s="9" t="n"/>
      <c r="D89" s="9" t="n"/>
      <c r="E89" s="9" t="n"/>
      <c r="F89" s="9" t="n"/>
      <c r="G89" s="9" t="n"/>
      <c r="H89" s="9" t="n"/>
    </row>
    <row r="90" ht="14.25" customHeight="1" s="38">
      <c r="A90" s="9" t="n"/>
      <c r="B90" s="9" t="n"/>
      <c r="C90" s="9" t="n"/>
      <c r="D90" s="9" t="n"/>
      <c r="E90" s="9" t="n"/>
      <c r="F90" s="9" t="n"/>
      <c r="G90" s="9" t="n"/>
      <c r="H90" s="9" t="n"/>
    </row>
    <row r="91" ht="14.25" customHeight="1" s="38">
      <c r="A91" s="9" t="n"/>
      <c r="B91" s="9" t="n"/>
      <c r="C91" s="9" t="n"/>
      <c r="D91" s="9" t="n"/>
      <c r="E91" s="9" t="n"/>
      <c r="F91" s="9" t="n"/>
      <c r="G91" s="9" t="n"/>
      <c r="H91" s="9" t="n"/>
    </row>
    <row r="92" ht="14.25" customHeight="1" s="38">
      <c r="A92" s="9" t="n"/>
      <c r="B92" s="9" t="n"/>
      <c r="C92" s="9" t="n"/>
      <c r="D92" s="9" t="n"/>
      <c r="E92" s="9" t="n"/>
      <c r="F92" s="9" t="n"/>
      <c r="G92" s="9" t="n"/>
      <c r="H92" s="9" t="n"/>
    </row>
    <row r="93" ht="14.25" customHeight="1" s="38">
      <c r="A93" s="9" t="n"/>
      <c r="B93" s="9" t="n"/>
      <c r="C93" s="9" t="n"/>
      <c r="D93" s="9" t="n"/>
      <c r="E93" s="9" t="n"/>
      <c r="F93" s="9" t="n"/>
      <c r="G93" s="9" t="n"/>
      <c r="H93" s="9" t="n"/>
    </row>
    <row r="94" ht="14.25" customHeight="1" s="38">
      <c r="A94" s="9" t="n"/>
      <c r="B94" s="9" t="n"/>
      <c r="C94" s="9" t="n"/>
      <c r="D94" s="9" t="n"/>
      <c r="E94" s="9" t="n"/>
      <c r="F94" s="9" t="n"/>
      <c r="G94" s="9" t="n"/>
      <c r="H94" s="9" t="n"/>
    </row>
    <row r="95" ht="14.25" customHeight="1" s="38">
      <c r="A95" s="9" t="n"/>
      <c r="B95" s="9" t="n"/>
      <c r="C95" s="9" t="n"/>
      <c r="D95" s="9" t="n"/>
      <c r="E95" s="9" t="n"/>
      <c r="F95" s="9" t="n"/>
      <c r="G95" s="9" t="n"/>
      <c r="H95" s="9" t="n"/>
    </row>
    <row r="96" ht="14.25" customHeight="1" s="38">
      <c r="A96" s="9" t="n"/>
      <c r="B96" s="9" t="n"/>
      <c r="C96" s="9" t="n"/>
      <c r="D96" s="9" t="n"/>
      <c r="E96" s="9" t="n"/>
      <c r="F96" s="9" t="n"/>
      <c r="G96" s="9" t="n"/>
      <c r="H96" s="9" t="n"/>
    </row>
    <row r="97" ht="14.25" customHeight="1" s="38">
      <c r="A97" s="9" t="n"/>
      <c r="B97" s="9" t="n"/>
      <c r="C97" s="9" t="n"/>
      <c r="D97" s="9" t="n"/>
      <c r="E97" s="9" t="n"/>
      <c r="F97" s="9" t="n"/>
      <c r="G97" s="9" t="n"/>
      <c r="H97" s="9" t="n"/>
    </row>
    <row r="98" ht="14.25" customHeight="1" s="38">
      <c r="A98" s="9" t="n"/>
      <c r="B98" s="9" t="n"/>
      <c r="C98" s="9" t="n"/>
      <c r="D98" s="9" t="n"/>
      <c r="E98" s="9" t="n"/>
      <c r="F98" s="9" t="n"/>
      <c r="G98" s="9" t="n"/>
      <c r="H98" s="9" t="n"/>
    </row>
    <row r="99" ht="14.25" customHeight="1" s="38">
      <c r="A99" s="9" t="n"/>
      <c r="B99" s="9" t="n"/>
      <c r="C99" s="9" t="n"/>
      <c r="D99" s="9" t="n"/>
      <c r="E99" s="9" t="n"/>
      <c r="F99" s="9" t="n"/>
      <c r="G99" s="9" t="n"/>
      <c r="H99" s="9" t="n"/>
    </row>
    <row r="100" ht="14.25" customHeight="1" s="38">
      <c r="A100" s="9" t="n"/>
      <c r="B100" s="9" t="n"/>
      <c r="C100" s="9" t="n"/>
      <c r="D100" s="9" t="n"/>
      <c r="E100" s="9" t="n"/>
      <c r="F100" s="9" t="n"/>
      <c r="G100" s="9" t="n"/>
      <c r="H100" s="9" t="n"/>
    </row>
    <row r="101" ht="14.25" customHeight="1" s="38">
      <c r="A101" s="9" t="n"/>
      <c r="B101" s="9" t="n"/>
      <c r="C101" s="9" t="n"/>
      <c r="D101" s="9" t="n"/>
      <c r="E101" s="9" t="n"/>
      <c r="F101" s="9" t="n"/>
      <c r="G101" s="9" t="n"/>
      <c r="H101" s="9" t="n"/>
    </row>
    <row r="102" ht="14.25" customHeight="1" s="38">
      <c r="A102" s="9" t="n"/>
      <c r="B102" s="9" t="n"/>
      <c r="C102" s="9" t="n"/>
      <c r="D102" s="9" t="n"/>
      <c r="E102" s="9" t="n"/>
      <c r="F102" s="9" t="n"/>
      <c r="G102" s="9" t="n"/>
      <c r="H102" s="9" t="n"/>
    </row>
    <row r="103" ht="14.25" customHeight="1" s="38">
      <c r="A103" s="9" t="n"/>
      <c r="B103" s="9" t="n"/>
      <c r="C103" s="9" t="n"/>
      <c r="D103" s="9" t="n"/>
      <c r="E103" s="9" t="n"/>
      <c r="F103" s="9" t="n"/>
      <c r="G103" s="9" t="n"/>
      <c r="H103" s="9" t="n"/>
    </row>
    <row r="104" ht="14.25" customHeight="1" s="38">
      <c r="A104" s="9" t="n"/>
      <c r="B104" s="9" t="n"/>
      <c r="C104" s="9" t="n"/>
      <c r="D104" s="9" t="n"/>
      <c r="E104" s="9" t="n"/>
      <c r="F104" s="9" t="n"/>
      <c r="G104" s="9" t="n"/>
      <c r="H104" s="9" t="n"/>
    </row>
    <row r="105" ht="14.25" customHeight="1" s="38">
      <c r="A105" s="9" t="n"/>
      <c r="B105" s="9" t="n"/>
      <c r="C105" s="9" t="n"/>
      <c r="D105" s="9" t="n"/>
      <c r="E105" s="9" t="n"/>
      <c r="F105" s="9" t="n"/>
      <c r="G105" s="9" t="n"/>
      <c r="H105" s="9" t="n"/>
    </row>
    <row r="106" ht="14.25" customHeight="1" s="38">
      <c r="A106" s="9" t="n"/>
      <c r="B106" s="9" t="n"/>
      <c r="C106" s="9" t="n"/>
      <c r="D106" s="9" t="n"/>
      <c r="E106" s="9" t="n"/>
      <c r="F106" s="9" t="n"/>
      <c r="G106" s="9" t="n"/>
      <c r="H106" s="9" t="n"/>
    </row>
    <row r="107" ht="14.25" customHeight="1" s="38">
      <c r="A107" s="9" t="n"/>
      <c r="B107" s="9" t="n"/>
      <c r="C107" s="9" t="n"/>
      <c r="D107" s="9" t="n"/>
      <c r="E107" s="9" t="n"/>
      <c r="F107" s="9" t="n"/>
      <c r="G107" s="9" t="n"/>
      <c r="H107" s="9" t="n"/>
    </row>
    <row r="108" ht="14.25" customHeight="1" s="38">
      <c r="A108" s="9" t="n"/>
      <c r="B108" s="9" t="n"/>
      <c r="C108" s="9" t="n"/>
      <c r="D108" s="9" t="n"/>
      <c r="E108" s="9" t="n"/>
      <c r="F108" s="9" t="n"/>
      <c r="G108" s="9" t="n"/>
      <c r="H108" s="9" t="n"/>
    </row>
    <row r="109" ht="14.25" customHeight="1" s="38">
      <c r="A109" s="9" t="n"/>
      <c r="B109" s="9" t="n"/>
      <c r="C109" s="9" t="n"/>
      <c r="D109" s="9" t="n"/>
      <c r="E109" s="9" t="n"/>
      <c r="F109" s="9" t="n"/>
      <c r="G109" s="9" t="n"/>
      <c r="H109" s="9" t="n"/>
    </row>
    <row r="110" ht="14.25" customHeight="1" s="38">
      <c r="A110" s="9" t="n"/>
      <c r="B110" s="9" t="n"/>
      <c r="C110" s="9" t="n"/>
      <c r="D110" s="9" t="n"/>
      <c r="E110" s="9" t="n"/>
      <c r="F110" s="9" t="n"/>
      <c r="G110" s="9" t="n"/>
      <c r="H110" s="9" t="n"/>
    </row>
    <row r="111" ht="14.25" customHeight="1" s="38">
      <c r="A111" s="9" t="n"/>
      <c r="B111" s="9" t="n"/>
      <c r="C111" s="9" t="n"/>
      <c r="D111" s="9" t="n"/>
      <c r="E111" s="9" t="n"/>
      <c r="F111" s="9" t="n"/>
      <c r="G111" s="9" t="n"/>
      <c r="H111" s="9" t="n"/>
    </row>
    <row r="112" ht="14.25" customHeight="1" s="38">
      <c r="A112" s="9" t="n"/>
      <c r="B112" s="9" t="n"/>
      <c r="C112" s="9" t="n"/>
      <c r="D112" s="9" t="n"/>
      <c r="E112" s="9" t="n"/>
      <c r="F112" s="9" t="n"/>
      <c r="G112" s="9" t="n"/>
      <c r="H112" s="9" t="n"/>
    </row>
    <row r="113" ht="14.25" customHeight="1" s="38">
      <c r="A113" s="9" t="n"/>
      <c r="B113" s="9" t="n"/>
      <c r="C113" s="9" t="n"/>
      <c r="D113" s="9" t="n"/>
      <c r="E113" s="9" t="n"/>
      <c r="F113" s="9" t="n"/>
      <c r="G113" s="9" t="n"/>
      <c r="H113" s="9" t="n"/>
    </row>
    <row r="114" ht="14.25" customHeight="1" s="38">
      <c r="A114" s="9" t="n"/>
      <c r="B114" s="9" t="n"/>
      <c r="C114" s="9" t="n"/>
      <c r="D114" s="9" t="n"/>
      <c r="E114" s="9" t="n"/>
      <c r="F114" s="9" t="n"/>
      <c r="G114" s="9" t="n"/>
      <c r="H114" s="9" t="n"/>
    </row>
    <row r="115" ht="14.25" customHeight="1" s="38">
      <c r="A115" s="9" t="n"/>
      <c r="B115" s="9" t="n"/>
      <c r="C115" s="9" t="n"/>
      <c r="D115" s="9" t="n"/>
      <c r="E115" s="9" t="n"/>
      <c r="F115" s="9" t="n"/>
      <c r="G115" s="9" t="n"/>
      <c r="H115" s="9" t="n"/>
    </row>
    <row r="116" ht="14.25" customHeight="1" s="38">
      <c r="A116" s="9" t="n"/>
      <c r="B116" s="9" t="n"/>
      <c r="C116" s="9" t="n"/>
      <c r="D116" s="9" t="n"/>
      <c r="E116" s="9" t="n"/>
      <c r="F116" s="9" t="n"/>
      <c r="G116" s="9" t="n"/>
      <c r="H116" s="9" t="n"/>
    </row>
    <row r="117" ht="14.25" customHeight="1" s="38">
      <c r="A117" s="9" t="n"/>
      <c r="B117" s="9" t="n"/>
      <c r="C117" s="9" t="n"/>
      <c r="D117" s="9" t="n"/>
      <c r="E117" s="9" t="n"/>
      <c r="F117" s="9" t="n"/>
      <c r="G117" s="9" t="n"/>
      <c r="H117" s="9" t="n"/>
    </row>
    <row r="118" ht="14.25" customHeight="1" s="38">
      <c r="A118" s="9" t="n"/>
      <c r="B118" s="9" t="n"/>
      <c r="C118" s="9" t="n"/>
      <c r="D118" s="9" t="n"/>
      <c r="E118" s="9" t="n"/>
      <c r="F118" s="9" t="n"/>
      <c r="G118" s="9" t="n"/>
      <c r="H118" s="9" t="n"/>
    </row>
    <row r="119" ht="14.25" customHeight="1" s="38">
      <c r="A119" s="9" t="n"/>
      <c r="B119" s="9" t="n"/>
      <c r="C119" s="9" t="n"/>
      <c r="D119" s="9" t="n"/>
      <c r="E119" s="9" t="n"/>
      <c r="F119" s="9" t="n"/>
      <c r="G119" s="9" t="n"/>
      <c r="H119" s="9" t="n"/>
    </row>
    <row r="120" ht="14.25" customHeight="1" s="38">
      <c r="A120" s="9" t="n"/>
      <c r="B120" s="9" t="n"/>
      <c r="C120" s="9" t="n"/>
      <c r="D120" s="9" t="n"/>
      <c r="E120" s="9" t="n"/>
      <c r="F120" s="9" t="n"/>
      <c r="G120" s="9" t="n"/>
      <c r="H120" s="9" t="n"/>
    </row>
    <row r="121" ht="14.25" customHeight="1" s="38">
      <c r="A121" s="9" t="n"/>
      <c r="B121" s="9" t="n"/>
      <c r="C121" s="9" t="n"/>
      <c r="D121" s="9" t="n"/>
      <c r="E121" s="9" t="n"/>
      <c r="F121" s="9" t="n"/>
      <c r="G121" s="9" t="n"/>
      <c r="H121" s="9" t="n"/>
    </row>
    <row r="122" ht="14.25" customHeight="1" s="38">
      <c r="A122" s="9" t="n"/>
      <c r="B122" s="9" t="n"/>
      <c r="C122" s="9" t="n"/>
      <c r="D122" s="9" t="n"/>
      <c r="E122" s="9" t="n"/>
      <c r="F122" s="9" t="n"/>
      <c r="G122" s="9" t="n"/>
      <c r="H122" s="9" t="n"/>
    </row>
    <row r="123" ht="14.25" customHeight="1" s="38">
      <c r="A123" s="9" t="n"/>
      <c r="B123" s="9" t="n"/>
      <c r="C123" s="9" t="n"/>
      <c r="D123" s="9" t="n"/>
      <c r="E123" s="9" t="n"/>
      <c r="F123" s="9" t="n"/>
      <c r="G123" s="9" t="n"/>
      <c r="H123" s="9" t="n"/>
    </row>
    <row r="124" ht="14.25" customHeight="1" s="38">
      <c r="A124" s="9" t="n"/>
      <c r="B124" s="9" t="n"/>
      <c r="C124" s="9" t="n"/>
      <c r="D124" s="9" t="n"/>
      <c r="E124" s="9" t="n"/>
      <c r="F124" s="9" t="n"/>
      <c r="G124" s="9" t="n"/>
      <c r="H124" s="9" t="n"/>
    </row>
    <row r="125" ht="14.25" customHeight="1" s="38">
      <c r="A125" s="9" t="n"/>
      <c r="B125" s="9" t="n"/>
      <c r="C125" s="9" t="n"/>
      <c r="D125" s="9" t="n"/>
      <c r="E125" s="9" t="n"/>
      <c r="F125" s="9" t="n"/>
      <c r="G125" s="9" t="n"/>
      <c r="H125" s="9" t="n"/>
    </row>
    <row r="126" ht="14.25" customHeight="1" s="38">
      <c r="A126" s="9" t="n"/>
      <c r="B126" s="9" t="n"/>
      <c r="C126" s="9" t="n"/>
      <c r="D126" s="9" t="n"/>
      <c r="E126" s="9" t="n"/>
      <c r="F126" s="9" t="n"/>
      <c r="G126" s="9" t="n"/>
      <c r="H126" s="9" t="n"/>
    </row>
    <row r="127" ht="14.25" customHeight="1" s="38">
      <c r="A127" s="9" t="n"/>
      <c r="B127" s="9" t="n"/>
      <c r="C127" s="9" t="n"/>
      <c r="D127" s="9" t="n"/>
      <c r="E127" s="9" t="n"/>
      <c r="F127" s="9" t="n"/>
      <c r="G127" s="9" t="n"/>
      <c r="H127" s="9" t="n"/>
    </row>
    <row r="128" ht="14.25" customHeight="1" s="38">
      <c r="A128" s="9" t="n"/>
      <c r="B128" s="9" t="n"/>
      <c r="C128" s="9" t="n"/>
      <c r="D128" s="9" t="n"/>
      <c r="E128" s="9" t="n"/>
      <c r="F128" s="9" t="n"/>
      <c r="G128" s="9" t="n"/>
      <c r="H128" s="9" t="n"/>
    </row>
    <row r="129" ht="14.25" customHeight="1" s="38">
      <c r="A129" s="9" t="n"/>
      <c r="B129" s="9" t="n"/>
      <c r="C129" s="9" t="n"/>
      <c r="D129" s="9" t="n"/>
      <c r="E129" s="9" t="n"/>
      <c r="F129" s="9" t="n"/>
      <c r="G129" s="9" t="n"/>
      <c r="H129" s="9" t="n"/>
    </row>
    <row r="130" ht="14.25" customHeight="1" s="38">
      <c r="A130" s="9" t="n"/>
      <c r="B130" s="9" t="n"/>
      <c r="C130" s="9" t="n"/>
      <c r="D130" s="9" t="n"/>
      <c r="E130" s="9" t="n"/>
      <c r="F130" s="9" t="n"/>
      <c r="G130" s="9" t="n"/>
      <c r="H130" s="9" t="n"/>
    </row>
    <row r="131" ht="14.25" customHeight="1" s="38">
      <c r="A131" s="9" t="n"/>
      <c r="B131" s="9" t="n"/>
      <c r="C131" s="9" t="n"/>
      <c r="D131" s="9" t="n"/>
      <c r="E131" s="9" t="n"/>
      <c r="F131" s="9" t="n"/>
      <c r="G131" s="9" t="n"/>
      <c r="H131" s="9" t="n"/>
    </row>
    <row r="132" ht="14.25" customHeight="1" s="38">
      <c r="A132" s="9" t="n"/>
      <c r="B132" s="9" t="n"/>
      <c r="C132" s="9" t="n"/>
      <c r="D132" s="9" t="n"/>
      <c r="E132" s="9" t="n"/>
      <c r="F132" s="9" t="n"/>
      <c r="G132" s="9" t="n"/>
      <c r="H132" s="9" t="n"/>
    </row>
    <row r="133" ht="14.25" customHeight="1" s="38">
      <c r="A133" s="9" t="n"/>
      <c r="B133" s="9" t="n"/>
      <c r="C133" s="9" t="n"/>
      <c r="D133" s="9" t="n"/>
      <c r="E133" s="9" t="n"/>
      <c r="F133" s="9" t="n"/>
      <c r="G133" s="9" t="n"/>
      <c r="H133" s="9" t="n"/>
    </row>
    <row r="134" ht="14.25" customHeight="1" s="38">
      <c r="A134" s="9" t="n"/>
      <c r="B134" s="9" t="n"/>
      <c r="C134" s="9" t="n"/>
      <c r="D134" s="9" t="n"/>
      <c r="E134" s="9" t="n"/>
      <c r="F134" s="9" t="n"/>
      <c r="G134" s="9" t="n"/>
      <c r="H134" s="9" t="n"/>
    </row>
    <row r="135" ht="14.25" customHeight="1" s="38">
      <c r="A135" s="9" t="n"/>
      <c r="B135" s="9" t="n"/>
      <c r="C135" s="9" t="n"/>
      <c r="D135" s="9" t="n"/>
      <c r="E135" s="9" t="n"/>
      <c r="F135" s="9" t="n"/>
      <c r="G135" s="9" t="n"/>
      <c r="H135" s="9" t="n"/>
    </row>
    <row r="136" ht="14.25" customHeight="1" s="38">
      <c r="A136" s="9" t="n"/>
      <c r="B136" s="9" t="n"/>
      <c r="C136" s="9" t="n"/>
      <c r="D136" s="9" t="n"/>
      <c r="E136" s="9" t="n"/>
      <c r="F136" s="9" t="n"/>
      <c r="G136" s="9" t="n"/>
      <c r="H136" s="9" t="n"/>
    </row>
    <row r="137" ht="14.25" customHeight="1" s="38">
      <c r="A137" s="9" t="n"/>
      <c r="B137" s="9" t="n"/>
      <c r="C137" s="9" t="n"/>
      <c r="D137" s="9" t="n"/>
      <c r="E137" s="9" t="n"/>
      <c r="F137" s="9" t="n"/>
      <c r="G137" s="9" t="n"/>
      <c r="H137" s="9" t="n"/>
    </row>
    <row r="138" ht="14.25" customHeight="1" s="38">
      <c r="A138" s="9" t="n"/>
      <c r="B138" s="9" t="n"/>
      <c r="C138" s="9" t="n"/>
      <c r="D138" s="9" t="n"/>
      <c r="E138" s="9" t="n"/>
      <c r="F138" s="9" t="n"/>
      <c r="G138" s="9" t="n"/>
      <c r="H138" s="9" t="n"/>
    </row>
    <row r="139" ht="14.25" customHeight="1" s="38">
      <c r="A139" s="9" t="n"/>
      <c r="B139" s="9" t="n"/>
      <c r="C139" s="9" t="n"/>
      <c r="D139" s="9" t="n"/>
      <c r="E139" s="9" t="n"/>
      <c r="F139" s="9" t="n"/>
      <c r="G139" s="9" t="n"/>
      <c r="H139" s="9" t="n"/>
    </row>
    <row r="140" ht="14.25" customHeight="1" s="38">
      <c r="A140" s="9" t="n"/>
      <c r="B140" s="9" t="n"/>
      <c r="C140" s="9" t="n"/>
      <c r="D140" s="9" t="n"/>
      <c r="E140" s="9" t="n"/>
      <c r="F140" s="9" t="n"/>
      <c r="G140" s="9" t="n"/>
      <c r="H140" s="9" t="n"/>
    </row>
    <row r="141" ht="14.25" customHeight="1" s="38">
      <c r="A141" s="9" t="n"/>
      <c r="B141" s="9" t="n"/>
      <c r="C141" s="9" t="n"/>
      <c r="D141" s="9" t="n"/>
      <c r="E141" s="9" t="n"/>
      <c r="F141" s="9" t="n"/>
      <c r="G141" s="9" t="n"/>
      <c r="H141" s="9" t="n"/>
    </row>
    <row r="142" ht="14.25" customHeight="1" s="38">
      <c r="A142" s="9" t="n"/>
      <c r="B142" s="9" t="n"/>
      <c r="C142" s="9" t="n"/>
      <c r="D142" s="9" t="n"/>
      <c r="E142" s="9" t="n"/>
      <c r="F142" s="9" t="n"/>
      <c r="G142" s="9" t="n"/>
      <c r="H142" s="9" t="n"/>
    </row>
    <row r="143" ht="14.25" customHeight="1" s="38">
      <c r="A143" s="9" t="n"/>
      <c r="B143" s="9" t="n"/>
      <c r="C143" s="9" t="n"/>
      <c r="D143" s="9" t="n"/>
      <c r="E143" s="9" t="n"/>
      <c r="F143" s="9" t="n"/>
      <c r="G143" s="9" t="n"/>
      <c r="H143" s="9" t="n"/>
    </row>
    <row r="144" ht="14.25" customHeight="1" s="38">
      <c r="A144" s="9" t="n"/>
      <c r="B144" s="9" t="n"/>
      <c r="C144" s="9" t="n"/>
      <c r="D144" s="9" t="n"/>
      <c r="E144" s="9" t="n"/>
      <c r="F144" s="9" t="n"/>
      <c r="G144" s="9" t="n"/>
      <c r="H144" s="9" t="n"/>
    </row>
    <row r="145" ht="14.25" customHeight="1" s="38">
      <c r="A145" s="9" t="n"/>
      <c r="B145" s="9" t="n"/>
      <c r="C145" s="9" t="n"/>
      <c r="D145" s="9" t="n"/>
      <c r="E145" s="9" t="n"/>
      <c r="F145" s="9" t="n"/>
      <c r="G145" s="9" t="n"/>
      <c r="H145" s="9" t="n"/>
    </row>
    <row r="146" ht="14.25" customHeight="1" s="38">
      <c r="A146" s="9" t="n"/>
      <c r="B146" s="9" t="n"/>
      <c r="C146" s="9" t="n"/>
      <c r="D146" s="9" t="n"/>
      <c r="E146" s="9" t="n"/>
      <c r="F146" s="9" t="n"/>
      <c r="G146" s="9" t="n"/>
      <c r="H146" s="9" t="n"/>
    </row>
    <row r="147" ht="14.25" customHeight="1" s="38">
      <c r="A147" s="9" t="n"/>
      <c r="B147" s="9" t="n"/>
      <c r="C147" s="9" t="n"/>
      <c r="D147" s="9" t="n"/>
      <c r="E147" s="9" t="n"/>
      <c r="F147" s="9" t="n"/>
      <c r="G147" s="9" t="n"/>
      <c r="H147" s="9" t="n"/>
    </row>
    <row r="148" ht="14.25" customHeight="1" s="38">
      <c r="A148" s="9" t="n"/>
      <c r="B148" s="9" t="n"/>
      <c r="C148" s="9" t="n"/>
      <c r="D148" s="9" t="n"/>
      <c r="E148" s="9" t="n"/>
      <c r="F148" s="9" t="n"/>
      <c r="G148" s="9" t="n"/>
      <c r="H148" s="9" t="n"/>
    </row>
    <row r="149" ht="14.25" customHeight="1" s="38">
      <c r="A149" s="9" t="n"/>
      <c r="B149" s="9" t="n"/>
      <c r="C149" s="9" t="n"/>
      <c r="D149" s="9" t="n"/>
      <c r="E149" s="9" t="n"/>
      <c r="F149" s="9" t="n"/>
      <c r="G149" s="9" t="n"/>
      <c r="H149" s="9" t="n"/>
    </row>
    <row r="150" ht="14.25" customHeight="1" s="38">
      <c r="A150" s="9" t="n"/>
      <c r="B150" s="9" t="n"/>
      <c r="C150" s="9" t="n"/>
      <c r="D150" s="9" t="n"/>
      <c r="E150" s="9" t="n"/>
      <c r="F150" s="9" t="n"/>
      <c r="G150" s="9" t="n"/>
      <c r="H150" s="9" t="n"/>
    </row>
    <row r="151" ht="14.25" customHeight="1" s="38">
      <c r="A151" s="9" t="n"/>
      <c r="B151" s="9" t="n"/>
      <c r="C151" s="9" t="n"/>
      <c r="D151" s="9" t="n"/>
      <c r="E151" s="9" t="n"/>
      <c r="F151" s="9" t="n"/>
      <c r="G151" s="9" t="n"/>
      <c r="H151" s="9" t="n"/>
    </row>
    <row r="152" ht="14.25" customHeight="1" s="38">
      <c r="A152" s="9" t="n"/>
      <c r="B152" s="9" t="n"/>
      <c r="C152" s="9" t="n"/>
      <c r="D152" s="9" t="n"/>
      <c r="E152" s="9" t="n"/>
      <c r="F152" s="9" t="n"/>
      <c r="G152" s="9" t="n"/>
      <c r="H152" s="9" t="n"/>
    </row>
    <row r="153" ht="14.25" customHeight="1" s="38">
      <c r="A153" s="9" t="n"/>
      <c r="B153" s="9" t="n"/>
      <c r="C153" s="9" t="n"/>
      <c r="D153" s="9" t="n"/>
      <c r="E153" s="9" t="n"/>
      <c r="F153" s="9" t="n"/>
      <c r="G153" s="9" t="n"/>
      <c r="H153" s="9" t="n"/>
    </row>
    <row r="154" ht="14.25" customHeight="1" s="38">
      <c r="A154" s="9" t="n"/>
      <c r="B154" s="9" t="n"/>
      <c r="C154" s="9" t="n"/>
      <c r="D154" s="9" t="n"/>
      <c r="E154" s="9" t="n"/>
      <c r="F154" s="9" t="n"/>
      <c r="G154" s="9" t="n"/>
      <c r="H154" s="9" t="n"/>
    </row>
    <row r="155" ht="14.25" customHeight="1" s="38">
      <c r="A155" s="9" t="n"/>
      <c r="B155" s="9" t="n"/>
      <c r="C155" s="9" t="n"/>
      <c r="D155" s="9" t="n"/>
      <c r="E155" s="9" t="n"/>
      <c r="F155" s="9" t="n"/>
      <c r="G155" s="9" t="n"/>
      <c r="H155" s="9" t="n"/>
    </row>
    <row r="156" ht="14.25" customHeight="1" s="38">
      <c r="A156" s="9" t="n"/>
      <c r="B156" s="9" t="n"/>
      <c r="C156" s="9" t="n"/>
      <c r="D156" s="9" t="n"/>
      <c r="E156" s="9" t="n"/>
      <c r="F156" s="9" t="n"/>
      <c r="G156" s="9" t="n"/>
      <c r="H156" s="9" t="n"/>
    </row>
    <row r="157" ht="14.25" customHeight="1" s="38">
      <c r="A157" s="9" t="n"/>
      <c r="B157" s="9" t="n"/>
      <c r="C157" s="9" t="n"/>
      <c r="D157" s="9" t="n"/>
      <c r="E157" s="9" t="n"/>
      <c r="F157" s="9" t="n"/>
      <c r="G157" s="9" t="n"/>
      <c r="H157" s="9" t="n"/>
    </row>
    <row r="158" ht="14.25" customHeight="1" s="38">
      <c r="A158" s="9" t="n"/>
      <c r="B158" s="9" t="n"/>
      <c r="C158" s="9" t="n"/>
      <c r="D158" s="9" t="n"/>
      <c r="E158" s="9" t="n"/>
      <c r="F158" s="9" t="n"/>
      <c r="G158" s="9" t="n"/>
      <c r="H158" s="9" t="n"/>
    </row>
    <row r="159" ht="14.25" customHeight="1" s="38">
      <c r="A159" s="9" t="n"/>
      <c r="B159" s="9" t="n"/>
      <c r="C159" s="9" t="n"/>
      <c r="D159" s="9" t="n"/>
      <c r="E159" s="9" t="n"/>
      <c r="F159" s="9" t="n"/>
      <c r="G159" s="9" t="n"/>
      <c r="H159" s="9" t="n"/>
    </row>
    <row r="160" ht="14.25" customHeight="1" s="38">
      <c r="A160" s="9" t="n"/>
      <c r="B160" s="9" t="n"/>
      <c r="C160" s="9" t="n"/>
      <c r="D160" s="9" t="n"/>
      <c r="E160" s="9" t="n"/>
      <c r="F160" s="9" t="n"/>
      <c r="G160" s="9" t="n"/>
      <c r="H160" s="9" t="n"/>
    </row>
    <row r="161" ht="14.25" customHeight="1" s="38">
      <c r="A161" s="9" t="n"/>
      <c r="B161" s="9" t="n"/>
      <c r="C161" s="9" t="n"/>
      <c r="D161" s="9" t="n"/>
      <c r="E161" s="9" t="n"/>
      <c r="F161" s="9" t="n"/>
      <c r="G161" s="9" t="n"/>
      <c r="H161" s="9" t="n"/>
    </row>
    <row r="162" ht="14.25" customHeight="1" s="38">
      <c r="A162" s="9" t="n"/>
      <c r="B162" s="9" t="n"/>
      <c r="C162" s="9" t="n"/>
      <c r="D162" s="9" t="n"/>
      <c r="E162" s="9" t="n"/>
      <c r="F162" s="9" t="n"/>
      <c r="G162" s="9" t="n"/>
      <c r="H162" s="9" t="n"/>
    </row>
    <row r="163" ht="14.25" customHeight="1" s="38">
      <c r="A163" s="9" t="n"/>
      <c r="B163" s="9" t="n"/>
      <c r="C163" s="9" t="n"/>
      <c r="D163" s="9" t="n"/>
      <c r="E163" s="9" t="n"/>
      <c r="F163" s="9" t="n"/>
      <c r="G163" s="9" t="n"/>
      <c r="H163" s="9" t="n"/>
    </row>
    <row r="164" ht="14.25" customHeight="1" s="38">
      <c r="A164" s="9" t="n"/>
      <c r="B164" s="9" t="n"/>
      <c r="C164" s="9" t="n"/>
      <c r="D164" s="9" t="n"/>
      <c r="E164" s="9" t="n"/>
      <c r="F164" s="9" t="n"/>
      <c r="G164" s="9" t="n"/>
      <c r="H164" s="9" t="n"/>
    </row>
    <row r="165" ht="14.25" customHeight="1" s="38">
      <c r="A165" s="9" t="n"/>
      <c r="B165" s="9" t="n"/>
      <c r="C165" s="9" t="n"/>
      <c r="D165" s="9" t="n"/>
      <c r="E165" s="9" t="n"/>
      <c r="F165" s="9" t="n"/>
      <c r="G165" s="9" t="n"/>
      <c r="H165" s="9" t="n"/>
    </row>
    <row r="166" ht="14.25" customHeight="1" s="38">
      <c r="A166" s="9" t="n"/>
      <c r="B166" s="9" t="n"/>
      <c r="C166" s="9" t="n"/>
      <c r="D166" s="9" t="n"/>
      <c r="E166" s="9" t="n"/>
      <c r="F166" s="9" t="n"/>
      <c r="G166" s="9" t="n"/>
      <c r="H166" s="9" t="n"/>
    </row>
    <row r="167" ht="14.25" customHeight="1" s="38">
      <c r="A167" s="9" t="n"/>
      <c r="B167" s="9" t="n"/>
      <c r="C167" s="9" t="n"/>
      <c r="D167" s="9" t="n"/>
      <c r="E167" s="9" t="n"/>
      <c r="F167" s="9" t="n"/>
      <c r="G167" s="9" t="n"/>
      <c r="H167" s="9" t="n"/>
    </row>
    <row r="168" ht="14.25" customHeight="1" s="38">
      <c r="A168" s="9" t="n"/>
      <c r="B168" s="9" t="n"/>
      <c r="C168" s="9" t="n"/>
      <c r="D168" s="9" t="n"/>
      <c r="E168" s="9" t="n"/>
      <c r="F168" s="9" t="n"/>
      <c r="G168" s="9" t="n"/>
      <c r="H168" s="9" t="n"/>
    </row>
    <row r="169" ht="14.25" customHeight="1" s="38">
      <c r="A169" s="9" t="n"/>
      <c r="B169" s="9" t="n"/>
      <c r="C169" s="9" t="n"/>
      <c r="D169" s="9" t="n"/>
      <c r="E169" s="9" t="n"/>
      <c r="F169" s="9" t="n"/>
      <c r="G169" s="9" t="n"/>
      <c r="H169" s="9" t="n"/>
    </row>
    <row r="170" ht="14.25" customHeight="1" s="38">
      <c r="A170" s="9" t="n"/>
      <c r="B170" s="9" t="n"/>
      <c r="C170" s="9" t="n"/>
      <c r="D170" s="9" t="n"/>
      <c r="E170" s="9" t="n"/>
      <c r="F170" s="9" t="n"/>
      <c r="G170" s="9" t="n"/>
      <c r="H170" s="9" t="n"/>
    </row>
    <row r="171" ht="14.25" customHeight="1" s="38">
      <c r="A171" s="9" t="n"/>
      <c r="B171" s="9" t="n"/>
      <c r="C171" s="9" t="n"/>
      <c r="D171" s="9" t="n"/>
      <c r="E171" s="9" t="n"/>
      <c r="F171" s="9" t="n"/>
      <c r="G171" s="9" t="n"/>
      <c r="H171" s="9" t="n"/>
    </row>
    <row r="172" ht="14.25" customHeight="1" s="38">
      <c r="A172" s="9" t="n"/>
      <c r="B172" s="9" t="n"/>
      <c r="C172" s="9" t="n"/>
      <c r="D172" s="9" t="n"/>
      <c r="E172" s="9" t="n"/>
      <c r="F172" s="9" t="n"/>
      <c r="G172" s="9" t="n"/>
      <c r="H172" s="9" t="n"/>
    </row>
    <row r="173" ht="14.25" customHeight="1" s="38">
      <c r="A173" s="9" t="n"/>
      <c r="B173" s="9" t="n"/>
      <c r="C173" s="9" t="n"/>
      <c r="D173" s="9" t="n"/>
      <c r="E173" s="9" t="n"/>
      <c r="F173" s="9" t="n"/>
      <c r="G173" s="9" t="n"/>
      <c r="H173" s="9" t="n"/>
    </row>
    <row r="174" ht="14.25" customHeight="1" s="38">
      <c r="A174" s="9" t="n"/>
      <c r="B174" s="9" t="n"/>
      <c r="C174" s="9" t="n"/>
      <c r="D174" s="9" t="n"/>
      <c r="E174" s="9" t="n"/>
      <c r="F174" s="9" t="n"/>
      <c r="G174" s="9" t="n"/>
      <c r="H174" s="9" t="n"/>
    </row>
    <row r="175" ht="14.25" customHeight="1" s="38">
      <c r="A175" s="9" t="n"/>
      <c r="B175" s="9" t="n"/>
      <c r="C175" s="9" t="n"/>
      <c r="D175" s="9" t="n"/>
      <c r="E175" s="9" t="n"/>
      <c r="F175" s="9" t="n"/>
      <c r="G175" s="9" t="n"/>
      <c r="H175" s="9" t="n"/>
    </row>
    <row r="176" ht="14.25" customHeight="1" s="38">
      <c r="A176" s="9" t="n"/>
      <c r="B176" s="9" t="n"/>
      <c r="C176" s="9" t="n"/>
      <c r="D176" s="9" t="n"/>
      <c r="E176" s="9" t="n"/>
      <c r="F176" s="9" t="n"/>
      <c r="G176" s="9" t="n"/>
      <c r="H176" s="9" t="n"/>
    </row>
    <row r="177" ht="14.25" customHeight="1" s="38">
      <c r="A177" s="9" t="n"/>
      <c r="B177" s="9" t="n"/>
      <c r="C177" s="9" t="n"/>
      <c r="D177" s="9" t="n"/>
      <c r="E177" s="9" t="n"/>
      <c r="F177" s="9" t="n"/>
      <c r="G177" s="9" t="n"/>
      <c r="H177" s="9" t="n"/>
    </row>
    <row r="178" ht="14.25" customHeight="1" s="38">
      <c r="A178" s="9" t="n"/>
      <c r="B178" s="9" t="n"/>
      <c r="C178" s="9" t="n"/>
      <c r="D178" s="9" t="n"/>
      <c r="E178" s="9" t="n"/>
      <c r="F178" s="9" t="n"/>
      <c r="G178" s="9" t="n"/>
      <c r="H178" s="9" t="n"/>
    </row>
    <row r="179" ht="14.25" customHeight="1" s="38">
      <c r="A179" s="9" t="n"/>
      <c r="B179" s="9" t="n"/>
      <c r="C179" s="9" t="n"/>
      <c r="D179" s="9" t="n"/>
      <c r="E179" s="9" t="n"/>
      <c r="F179" s="9" t="n"/>
      <c r="G179" s="9" t="n"/>
      <c r="H179" s="9" t="n"/>
    </row>
    <row r="180" ht="14.25" customHeight="1" s="38">
      <c r="A180" s="9" t="n"/>
      <c r="B180" s="9" t="n"/>
      <c r="C180" s="9" t="n"/>
      <c r="D180" s="9" t="n"/>
      <c r="E180" s="9" t="n"/>
      <c r="F180" s="9" t="n"/>
      <c r="G180" s="9" t="n"/>
      <c r="H180" s="9" t="n"/>
    </row>
    <row r="181" ht="14.25" customHeight="1" s="38">
      <c r="A181" s="9" t="n"/>
      <c r="B181" s="9" t="n"/>
      <c r="C181" s="9" t="n"/>
      <c r="D181" s="9" t="n"/>
      <c r="E181" s="9" t="n"/>
      <c r="F181" s="9" t="n"/>
      <c r="G181" s="9" t="n"/>
      <c r="H181" s="9" t="n"/>
    </row>
    <row r="182" ht="14.25" customHeight="1" s="38">
      <c r="A182" s="9" t="n"/>
      <c r="B182" s="9" t="n"/>
      <c r="C182" s="9" t="n"/>
      <c r="D182" s="9" t="n"/>
      <c r="E182" s="9" t="n"/>
      <c r="F182" s="9" t="n"/>
      <c r="G182" s="9" t="n"/>
      <c r="H182" s="9" t="n"/>
    </row>
    <row r="183" ht="14.25" customHeight="1" s="38">
      <c r="A183" s="9" t="n"/>
      <c r="B183" s="9" t="n"/>
      <c r="C183" s="9" t="n"/>
      <c r="D183" s="9" t="n"/>
      <c r="E183" s="9" t="n"/>
      <c r="F183" s="9" t="n"/>
      <c r="G183" s="9" t="n"/>
      <c r="H183" s="9" t="n"/>
    </row>
    <row r="184" ht="14.25" customHeight="1" s="38">
      <c r="A184" s="9" t="n"/>
      <c r="B184" s="9" t="n"/>
      <c r="C184" s="9" t="n"/>
      <c r="D184" s="9" t="n"/>
      <c r="E184" s="9" t="n"/>
      <c r="F184" s="9" t="n"/>
      <c r="G184" s="9" t="n"/>
      <c r="H184" s="9" t="n"/>
    </row>
    <row r="185" ht="14.25" customHeight="1" s="38">
      <c r="A185" s="9" t="n"/>
      <c r="B185" s="9" t="n"/>
      <c r="C185" s="9" t="n"/>
      <c r="D185" s="9" t="n"/>
      <c r="E185" s="9" t="n"/>
      <c r="F185" s="9" t="n"/>
      <c r="G185" s="9" t="n"/>
      <c r="H185" s="9" t="n"/>
    </row>
    <row r="186" ht="14.25" customHeight="1" s="38">
      <c r="A186" s="9" t="n"/>
      <c r="B186" s="9" t="n"/>
      <c r="C186" s="9" t="n"/>
      <c r="D186" s="9" t="n"/>
      <c r="E186" s="9" t="n"/>
      <c r="F186" s="9" t="n"/>
      <c r="G186" s="9" t="n"/>
      <c r="H186" s="9" t="n"/>
    </row>
    <row r="187" ht="14.25" customHeight="1" s="38">
      <c r="A187" s="9" t="n"/>
      <c r="B187" s="9" t="n"/>
      <c r="C187" s="9" t="n"/>
      <c r="D187" s="9" t="n"/>
      <c r="E187" s="9" t="n"/>
      <c r="F187" s="9" t="n"/>
      <c r="G187" s="9" t="n"/>
      <c r="H187" s="9" t="n"/>
    </row>
    <row r="188" ht="14.25" customHeight="1" s="38">
      <c r="A188" s="9" t="n"/>
      <c r="B188" s="9" t="n"/>
      <c r="C188" s="9" t="n"/>
      <c r="D188" s="9" t="n"/>
      <c r="E188" s="9" t="n"/>
      <c r="F188" s="9" t="n"/>
      <c r="G188" s="9" t="n"/>
      <c r="H188" s="9" t="n"/>
    </row>
    <row r="189" ht="14.25" customHeight="1" s="38">
      <c r="A189" s="9" t="n"/>
      <c r="B189" s="9" t="n"/>
      <c r="C189" s="9" t="n"/>
      <c r="D189" s="9" t="n"/>
      <c r="E189" s="9" t="n"/>
      <c r="F189" s="9" t="n"/>
      <c r="G189" s="9" t="n"/>
      <c r="H189" s="9" t="n"/>
    </row>
    <row r="190" ht="14.25" customHeight="1" s="38">
      <c r="A190" s="9" t="n"/>
      <c r="B190" s="9" t="n"/>
      <c r="C190" s="9" t="n"/>
      <c r="D190" s="9" t="n"/>
      <c r="E190" s="9" t="n"/>
      <c r="F190" s="9" t="n"/>
      <c r="G190" s="9" t="n"/>
      <c r="H190" s="9" t="n"/>
    </row>
    <row r="191" ht="14.25" customHeight="1" s="38">
      <c r="A191" s="9" t="n"/>
      <c r="B191" s="9" t="n"/>
      <c r="C191" s="9" t="n"/>
      <c r="D191" s="9" t="n"/>
      <c r="E191" s="9" t="n"/>
      <c r="F191" s="9" t="n"/>
      <c r="G191" s="9" t="n"/>
      <c r="H191" s="9" t="n"/>
    </row>
    <row r="192" ht="14.25" customHeight="1" s="38">
      <c r="A192" s="9" t="n"/>
      <c r="B192" s="9" t="n"/>
      <c r="C192" s="9" t="n"/>
      <c r="D192" s="9" t="n"/>
      <c r="E192" s="9" t="n"/>
      <c r="F192" s="9" t="n"/>
      <c r="G192" s="9" t="n"/>
      <c r="H192" s="9" t="n"/>
    </row>
    <row r="193" ht="14.25" customHeight="1" s="38">
      <c r="A193" s="9" t="n"/>
      <c r="B193" s="9" t="n"/>
      <c r="C193" s="9" t="n"/>
      <c r="D193" s="9" t="n"/>
      <c r="E193" s="9" t="n"/>
      <c r="F193" s="9" t="n"/>
      <c r="G193" s="9" t="n"/>
      <c r="H193" s="9" t="n"/>
    </row>
    <row r="194" ht="14.25" customHeight="1" s="38">
      <c r="A194" s="9" t="n"/>
      <c r="B194" s="9" t="n"/>
      <c r="C194" s="9" t="n"/>
      <c r="D194" s="9" t="n"/>
      <c r="E194" s="9" t="n"/>
      <c r="F194" s="9" t="n"/>
      <c r="G194" s="9" t="n"/>
      <c r="H194" s="9" t="n"/>
    </row>
    <row r="195" ht="14.25" customHeight="1" s="38">
      <c r="A195" s="9" t="n"/>
      <c r="B195" s="9" t="n"/>
      <c r="C195" s="9" t="n"/>
      <c r="D195" s="9" t="n"/>
      <c r="E195" s="9" t="n"/>
      <c r="F195" s="9" t="n"/>
      <c r="G195" s="9" t="n"/>
      <c r="H195" s="9" t="n"/>
    </row>
    <row r="196" ht="14.25" customHeight="1" s="38">
      <c r="A196" s="9" t="n"/>
      <c r="B196" s="9" t="n"/>
      <c r="C196" s="9" t="n"/>
      <c r="D196" s="9" t="n"/>
      <c r="E196" s="9" t="n"/>
      <c r="F196" s="9" t="n"/>
      <c r="G196" s="9" t="n"/>
      <c r="H196" s="9" t="n"/>
    </row>
    <row r="197" ht="14.25" customHeight="1" s="38">
      <c r="A197" s="9" t="n"/>
      <c r="B197" s="9" t="n"/>
      <c r="C197" s="9" t="n"/>
      <c r="D197" s="9" t="n"/>
      <c r="E197" s="9" t="n"/>
      <c r="F197" s="9" t="n"/>
      <c r="G197" s="9" t="n"/>
      <c r="H197" s="9" t="n"/>
    </row>
    <row r="198" ht="14.25" customHeight="1" s="38">
      <c r="A198" s="9" t="n"/>
      <c r="B198" s="9" t="n"/>
      <c r="C198" s="9" t="n"/>
      <c r="D198" s="9" t="n"/>
      <c r="E198" s="9" t="n"/>
      <c r="F198" s="9" t="n"/>
      <c r="G198" s="9" t="n"/>
      <c r="H198" s="9" t="n"/>
    </row>
    <row r="199" ht="14.25" customHeight="1" s="38">
      <c r="A199" s="9" t="n"/>
      <c r="B199" s="9" t="n"/>
      <c r="C199" s="9" t="n"/>
      <c r="D199" s="9" t="n"/>
      <c r="E199" s="9" t="n"/>
      <c r="F199" s="9" t="n"/>
      <c r="G199" s="9" t="n"/>
      <c r="H199" s="9" t="n"/>
    </row>
    <row r="200" ht="14.25" customHeight="1" s="38">
      <c r="A200" s="9" t="n"/>
      <c r="B200" s="9" t="n"/>
      <c r="C200" s="9" t="n"/>
      <c r="D200" s="9" t="n"/>
      <c r="E200" s="9" t="n"/>
      <c r="F200" s="9" t="n"/>
      <c r="G200" s="9" t="n"/>
      <c r="H200" s="9" t="n"/>
    </row>
    <row r="201" ht="14.25" customHeight="1" s="38">
      <c r="A201" s="9" t="n"/>
      <c r="B201" s="9" t="n"/>
      <c r="C201" s="9" t="n"/>
      <c r="D201" s="9" t="n"/>
      <c r="E201" s="9" t="n"/>
      <c r="F201" s="9" t="n"/>
      <c r="G201" s="9" t="n"/>
      <c r="H201" s="9" t="n"/>
    </row>
    <row r="202" ht="14.25" customHeight="1" s="38">
      <c r="A202" s="9" t="n"/>
      <c r="B202" s="9" t="n"/>
      <c r="C202" s="9" t="n"/>
      <c r="D202" s="9" t="n"/>
      <c r="E202" s="9" t="n"/>
      <c r="F202" s="9" t="n"/>
      <c r="G202" s="9" t="n"/>
      <c r="H202" s="9" t="n"/>
    </row>
    <row r="203" ht="14.25" customHeight="1" s="38">
      <c r="A203" s="9" t="n"/>
      <c r="B203" s="9" t="n"/>
      <c r="C203" s="9" t="n"/>
      <c r="D203" s="9" t="n"/>
      <c r="E203" s="9" t="n"/>
      <c r="F203" s="9" t="n"/>
      <c r="G203" s="9" t="n"/>
      <c r="H203" s="9" t="n"/>
    </row>
    <row r="204" ht="14.25" customHeight="1" s="38">
      <c r="A204" s="9" t="n"/>
      <c r="B204" s="9" t="n"/>
      <c r="C204" s="9" t="n"/>
      <c r="D204" s="9" t="n"/>
      <c r="E204" s="9" t="n"/>
      <c r="F204" s="9" t="n"/>
      <c r="G204" s="9" t="n"/>
      <c r="H204" s="9" t="n"/>
    </row>
    <row r="205" ht="14.25" customHeight="1" s="38">
      <c r="A205" s="9" t="n"/>
      <c r="B205" s="9" t="n"/>
      <c r="C205" s="9" t="n"/>
      <c r="D205" s="9" t="n"/>
      <c r="E205" s="9" t="n"/>
      <c r="F205" s="9" t="n"/>
      <c r="G205" s="9" t="n"/>
      <c r="H205" s="9" t="n"/>
    </row>
    <row r="206" ht="14.25" customHeight="1" s="38">
      <c r="A206" s="9" t="n"/>
      <c r="B206" s="9" t="n"/>
      <c r="C206" s="9" t="n"/>
      <c r="D206" s="9" t="n"/>
      <c r="E206" s="9" t="n"/>
      <c r="F206" s="9" t="n"/>
      <c r="G206" s="9" t="n"/>
      <c r="H206" s="9" t="n"/>
    </row>
    <row r="207" ht="14.25" customHeight="1" s="38">
      <c r="A207" s="9" t="n"/>
      <c r="B207" s="9" t="n"/>
      <c r="C207" s="9" t="n"/>
      <c r="D207" s="9" t="n"/>
      <c r="E207" s="9" t="n"/>
      <c r="F207" s="9" t="n"/>
      <c r="G207" s="9" t="n"/>
      <c r="H207" s="9" t="n"/>
    </row>
    <row r="208" ht="14.25" customHeight="1" s="38">
      <c r="A208" s="9" t="n"/>
      <c r="B208" s="9" t="n"/>
      <c r="C208" s="9" t="n"/>
      <c r="D208" s="9" t="n"/>
      <c r="E208" s="9" t="n"/>
      <c r="F208" s="9" t="n"/>
      <c r="G208" s="9" t="n"/>
      <c r="H208" s="9" t="n"/>
    </row>
    <row r="209" ht="14.25" customHeight="1" s="38">
      <c r="A209" s="9" t="n"/>
      <c r="B209" s="9" t="n"/>
      <c r="C209" s="9" t="n"/>
      <c r="D209" s="9" t="n"/>
      <c r="E209" s="9" t="n"/>
      <c r="F209" s="9" t="n"/>
      <c r="G209" s="9" t="n"/>
      <c r="H209" s="9" t="n"/>
    </row>
    <row r="210" ht="14.25" customHeight="1" s="38">
      <c r="A210" s="9" t="n"/>
      <c r="B210" s="9" t="n"/>
      <c r="C210" s="9" t="n"/>
      <c r="D210" s="9" t="n"/>
      <c r="E210" s="9" t="n"/>
      <c r="F210" s="9" t="n"/>
      <c r="G210" s="9" t="n"/>
      <c r="H210" s="9" t="n"/>
    </row>
    <row r="211" ht="14.25" customHeight="1" s="38">
      <c r="A211" s="9" t="n"/>
      <c r="B211" s="9" t="n"/>
      <c r="C211" s="9" t="n"/>
      <c r="D211" s="9" t="n"/>
      <c r="E211" s="9" t="n"/>
      <c r="F211" s="9" t="n"/>
      <c r="G211" s="9" t="n"/>
      <c r="H211" s="9" t="n"/>
    </row>
    <row r="212" ht="14.25" customHeight="1" s="38">
      <c r="A212" s="9" t="n"/>
      <c r="B212" s="9" t="n"/>
      <c r="C212" s="9" t="n"/>
      <c r="D212" s="9" t="n"/>
      <c r="E212" s="9" t="n"/>
      <c r="F212" s="9" t="n"/>
      <c r="G212" s="9" t="n"/>
      <c r="H212" s="9" t="n"/>
    </row>
    <row r="213" ht="14.25" customHeight="1" s="38">
      <c r="A213" s="9" t="n"/>
      <c r="B213" s="9" t="n"/>
      <c r="C213" s="9" t="n"/>
      <c r="D213" s="9" t="n"/>
      <c r="E213" s="9" t="n"/>
      <c r="F213" s="9" t="n"/>
      <c r="G213" s="9" t="n"/>
      <c r="H213" s="9" t="n"/>
    </row>
    <row r="214" ht="14.25" customHeight="1" s="38">
      <c r="A214" s="9" t="n"/>
      <c r="B214" s="9" t="n"/>
      <c r="C214" s="9" t="n"/>
      <c r="D214" s="9" t="n"/>
      <c r="E214" s="9" t="n"/>
      <c r="F214" s="9" t="n"/>
      <c r="G214" s="9" t="n"/>
      <c r="H214" s="9" t="n"/>
    </row>
    <row r="215" ht="14.25" customHeight="1" s="38">
      <c r="A215" s="9" t="n"/>
      <c r="B215" s="9" t="n"/>
      <c r="C215" s="9" t="n"/>
      <c r="D215" s="9" t="n"/>
      <c r="E215" s="9" t="n"/>
      <c r="F215" s="9" t="n"/>
      <c r="G215" s="9" t="n"/>
      <c r="H215" s="9" t="n"/>
    </row>
    <row r="216" ht="14.25" customHeight="1" s="38">
      <c r="A216" s="9" t="n"/>
      <c r="B216" s="9" t="n"/>
      <c r="C216" s="9" t="n"/>
      <c r="D216" s="9" t="n"/>
      <c r="E216" s="9" t="n"/>
      <c r="F216" s="9" t="n"/>
      <c r="G216" s="9" t="n"/>
      <c r="H216" s="9" t="n"/>
    </row>
    <row r="217" ht="14.25" customHeight="1" s="38">
      <c r="A217" s="9" t="n"/>
      <c r="B217" s="9" t="n"/>
      <c r="C217" s="9" t="n"/>
      <c r="D217" s="9" t="n"/>
      <c r="E217" s="9" t="n"/>
      <c r="F217" s="9" t="n"/>
      <c r="G217" s="9" t="n"/>
      <c r="H217" s="9" t="n"/>
    </row>
    <row r="218" ht="14.25" customHeight="1" s="38">
      <c r="A218" s="9" t="n"/>
      <c r="B218" s="9" t="n"/>
      <c r="C218" s="9" t="n"/>
      <c r="D218" s="9" t="n"/>
      <c r="E218" s="9" t="n"/>
      <c r="F218" s="9" t="n"/>
      <c r="G218" s="9" t="n"/>
      <c r="H218" s="9" t="n"/>
    </row>
    <row r="219" ht="14.25" customHeight="1" s="38">
      <c r="A219" s="9" t="n"/>
      <c r="B219" s="9" t="n"/>
      <c r="C219" s="9" t="n"/>
      <c r="D219" s="9" t="n"/>
      <c r="E219" s="9" t="n"/>
      <c r="F219" s="9" t="n"/>
      <c r="G219" s="9" t="n"/>
      <c r="H219" s="9" t="n"/>
    </row>
    <row r="220" ht="14.25" customHeight="1" s="38">
      <c r="A220" s="9" t="n"/>
      <c r="B220" s="9" t="n"/>
      <c r="C220" s="9" t="n"/>
      <c r="D220" s="9" t="n"/>
      <c r="E220" s="9" t="n"/>
      <c r="F220" s="9" t="n"/>
      <c r="G220" s="9" t="n"/>
      <c r="H220" s="9" t="n"/>
    </row>
    <row r="221" ht="14.25" customHeight="1" s="38">
      <c r="E221" s="11" t="n"/>
      <c r="F221" s="11" t="n"/>
    </row>
    <row r="222" ht="14.25" customHeight="1" s="38">
      <c r="E222" s="11" t="n"/>
      <c r="F222" s="11" t="n"/>
    </row>
    <row r="223" ht="14.25" customHeight="1" s="38">
      <c r="E223" s="11" t="n"/>
      <c r="F223" s="11" t="n"/>
    </row>
    <row r="224" ht="14.25" customHeight="1" s="38">
      <c r="E224" s="11" t="n"/>
      <c r="F224" s="11" t="n"/>
    </row>
    <row r="225" ht="14.25" customHeight="1" s="38">
      <c r="E225" s="11" t="n"/>
      <c r="F225" s="11" t="n"/>
    </row>
    <row r="226" ht="14.25" customHeight="1" s="38">
      <c r="E226" s="11" t="n"/>
      <c r="F226" s="11" t="n"/>
    </row>
    <row r="227" ht="14.25" customHeight="1" s="38">
      <c r="E227" s="11" t="n"/>
      <c r="F227" s="11" t="n"/>
    </row>
    <row r="228" ht="14.25" customHeight="1" s="38">
      <c r="E228" s="11" t="n"/>
      <c r="F228" s="11" t="n"/>
    </row>
    <row r="229" ht="14.25" customHeight="1" s="38">
      <c r="E229" s="11" t="n"/>
      <c r="F229" s="11" t="n"/>
    </row>
    <row r="230" ht="14.25" customHeight="1" s="38">
      <c r="E230" s="11" t="n"/>
      <c r="F230" s="11" t="n"/>
    </row>
    <row r="231" ht="14.25" customHeight="1" s="38">
      <c r="E231" s="11" t="n"/>
      <c r="F231" s="11" t="n"/>
    </row>
    <row r="232" ht="14.25" customHeight="1" s="38">
      <c r="E232" s="11" t="n"/>
      <c r="F232" s="11" t="n"/>
    </row>
    <row r="233" ht="14.25" customHeight="1" s="38">
      <c r="E233" s="11" t="n"/>
      <c r="F233" s="11" t="n"/>
    </row>
    <row r="234" ht="14.25" customHeight="1" s="38">
      <c r="E234" s="11" t="n"/>
      <c r="F234" s="11" t="n"/>
    </row>
    <row r="235" ht="14.25" customHeight="1" s="38">
      <c r="E235" s="11" t="n"/>
      <c r="F235" s="11" t="n"/>
    </row>
    <row r="236" ht="14.25" customHeight="1" s="38">
      <c r="E236" s="11" t="n"/>
      <c r="F236" s="11" t="n"/>
    </row>
    <row r="237" ht="14.25" customHeight="1" s="38">
      <c r="E237" s="11" t="n"/>
      <c r="F237" s="11" t="n"/>
    </row>
    <row r="238" ht="14.25" customHeight="1" s="38">
      <c r="E238" s="11" t="n"/>
      <c r="F238" s="11" t="n"/>
    </row>
    <row r="239" ht="14.25" customHeight="1" s="38">
      <c r="E239" s="11" t="n"/>
      <c r="F239" s="11" t="n"/>
    </row>
    <row r="240" ht="14.25" customHeight="1" s="38">
      <c r="E240" s="11" t="n"/>
      <c r="F240" s="11" t="n"/>
    </row>
    <row r="241" ht="14.25" customHeight="1" s="38">
      <c r="E241" s="11" t="n"/>
      <c r="F241" s="11" t="n"/>
    </row>
    <row r="242" ht="14.25" customHeight="1" s="38">
      <c r="E242" s="11" t="n"/>
      <c r="F242" s="11" t="n"/>
    </row>
    <row r="243" ht="14.25" customHeight="1" s="38">
      <c r="E243" s="11" t="n"/>
      <c r="F243" s="11" t="n"/>
    </row>
    <row r="244" ht="14.25" customHeight="1" s="38">
      <c r="E244" s="11" t="n"/>
      <c r="F244" s="11" t="n"/>
    </row>
    <row r="245" ht="14.25" customHeight="1" s="38">
      <c r="E245" s="11" t="n"/>
      <c r="F245" s="11" t="n"/>
    </row>
    <row r="246" ht="14.25" customHeight="1" s="38">
      <c r="E246" s="11" t="n"/>
      <c r="F246" s="11" t="n"/>
    </row>
    <row r="247" ht="14.25" customHeight="1" s="38">
      <c r="E247" s="11" t="n"/>
      <c r="F247" s="11" t="n"/>
    </row>
    <row r="248" ht="14.25" customHeight="1" s="38">
      <c r="E248" s="11" t="n"/>
      <c r="F248" s="11" t="n"/>
    </row>
    <row r="249" ht="14.25" customHeight="1" s="38">
      <c r="E249" s="11" t="n"/>
      <c r="F249" s="11" t="n"/>
    </row>
    <row r="250" ht="14.25" customHeight="1" s="38">
      <c r="E250" s="11" t="n"/>
      <c r="F250" s="11" t="n"/>
    </row>
    <row r="251" ht="14.25" customHeight="1" s="38">
      <c r="E251" s="11" t="n"/>
      <c r="F251" s="11" t="n"/>
    </row>
    <row r="252" ht="14.25" customHeight="1" s="38">
      <c r="E252" s="11" t="n"/>
      <c r="F252" s="11" t="n"/>
    </row>
    <row r="253" ht="14.25" customHeight="1" s="38">
      <c r="E253" s="11" t="n"/>
      <c r="F253" s="11" t="n"/>
    </row>
    <row r="254" ht="14.25" customHeight="1" s="38">
      <c r="E254" s="11" t="n"/>
      <c r="F254" s="11" t="n"/>
    </row>
    <row r="255" ht="14.25" customHeight="1" s="38">
      <c r="E255" s="11" t="n"/>
      <c r="F255" s="11" t="n"/>
    </row>
    <row r="256" ht="14.25" customHeight="1" s="38">
      <c r="E256" s="11" t="n"/>
      <c r="F256" s="11" t="n"/>
    </row>
    <row r="257" ht="14.25" customHeight="1" s="38">
      <c r="E257" s="11" t="n"/>
      <c r="F257" s="11" t="n"/>
    </row>
    <row r="258" ht="14.25" customHeight="1" s="38">
      <c r="E258" s="11" t="n"/>
      <c r="F258" s="11" t="n"/>
    </row>
    <row r="259" ht="14.25" customHeight="1" s="38">
      <c r="E259" s="11" t="n"/>
      <c r="F259" s="11" t="n"/>
    </row>
    <row r="260" ht="14.25" customHeight="1" s="38">
      <c r="E260" s="11" t="n"/>
      <c r="F260" s="11" t="n"/>
    </row>
    <row r="261" ht="14.25" customHeight="1" s="38">
      <c r="E261" s="11" t="n"/>
      <c r="F261" s="11" t="n"/>
    </row>
    <row r="262" ht="14.25" customHeight="1" s="38">
      <c r="E262" s="11" t="n"/>
      <c r="F262" s="11" t="n"/>
    </row>
    <row r="263" ht="14.25" customHeight="1" s="38">
      <c r="E263" s="11" t="n"/>
      <c r="F263" s="11" t="n"/>
    </row>
    <row r="264" ht="14.25" customHeight="1" s="38">
      <c r="E264" s="11" t="n"/>
      <c r="F264" s="11" t="n"/>
    </row>
    <row r="265" ht="14.25" customHeight="1" s="38">
      <c r="E265" s="11" t="n"/>
      <c r="F265" s="11" t="n"/>
    </row>
    <row r="266" ht="14.25" customHeight="1" s="38">
      <c r="E266" s="11" t="n"/>
      <c r="F266" s="11" t="n"/>
    </row>
    <row r="267" ht="14.25" customHeight="1" s="38">
      <c r="E267" s="11" t="n"/>
      <c r="F267" s="11" t="n"/>
    </row>
    <row r="268" ht="14.25" customHeight="1" s="38">
      <c r="E268" s="11" t="n"/>
      <c r="F268" s="11" t="n"/>
    </row>
    <row r="269" ht="14.25" customHeight="1" s="38">
      <c r="E269" s="11" t="n"/>
      <c r="F269" s="11" t="n"/>
    </row>
    <row r="270" ht="14.25" customHeight="1" s="38">
      <c r="E270" s="11" t="n"/>
      <c r="F270" s="11" t="n"/>
    </row>
    <row r="271" ht="14.25" customHeight="1" s="38">
      <c r="E271" s="11" t="n"/>
      <c r="F271" s="11" t="n"/>
    </row>
    <row r="272" ht="14.25" customHeight="1" s="38">
      <c r="E272" s="11" t="n"/>
      <c r="F272" s="11" t="n"/>
    </row>
    <row r="273" ht="14.25" customHeight="1" s="38">
      <c r="E273" s="11" t="n"/>
      <c r="F273" s="11" t="n"/>
    </row>
    <row r="274" ht="14.25" customHeight="1" s="38">
      <c r="E274" s="11" t="n"/>
      <c r="F274" s="11" t="n"/>
    </row>
    <row r="275" ht="14.25" customHeight="1" s="38">
      <c r="E275" s="11" t="n"/>
      <c r="F275" s="11" t="n"/>
    </row>
    <row r="276" ht="14.25" customHeight="1" s="38">
      <c r="E276" s="11" t="n"/>
      <c r="F276" s="11" t="n"/>
    </row>
    <row r="277" ht="14.25" customHeight="1" s="38">
      <c r="E277" s="11" t="n"/>
      <c r="F277" s="11" t="n"/>
    </row>
    <row r="278" ht="14.25" customHeight="1" s="38">
      <c r="E278" s="11" t="n"/>
      <c r="F278" s="11" t="n"/>
    </row>
    <row r="279" ht="14.25" customHeight="1" s="38">
      <c r="E279" s="11" t="n"/>
      <c r="F279" s="11" t="n"/>
    </row>
    <row r="280" ht="14.25" customHeight="1" s="38">
      <c r="E280" s="11" t="n"/>
      <c r="F280" s="11" t="n"/>
    </row>
    <row r="281" ht="14.25" customHeight="1" s="38">
      <c r="E281" s="11" t="n"/>
      <c r="F281" s="11" t="n"/>
    </row>
    <row r="282" ht="14.25" customHeight="1" s="38">
      <c r="E282" s="11" t="n"/>
      <c r="F282" s="11" t="n"/>
    </row>
    <row r="283" ht="14.25" customHeight="1" s="38">
      <c r="E283" s="11" t="n"/>
      <c r="F283" s="11" t="n"/>
    </row>
    <row r="284" ht="14.25" customHeight="1" s="38">
      <c r="E284" s="11" t="n"/>
      <c r="F284" s="11" t="n"/>
    </row>
    <row r="285" ht="14.25" customHeight="1" s="38">
      <c r="E285" s="11" t="n"/>
      <c r="F285" s="11" t="n"/>
    </row>
    <row r="286" ht="14.25" customHeight="1" s="38">
      <c r="E286" s="11" t="n"/>
      <c r="F286" s="11" t="n"/>
    </row>
    <row r="287" ht="14.25" customHeight="1" s="38">
      <c r="E287" s="11" t="n"/>
      <c r="F287" s="11" t="n"/>
    </row>
    <row r="288" ht="14.25" customHeight="1" s="38">
      <c r="E288" s="11" t="n"/>
      <c r="F288" s="11" t="n"/>
    </row>
    <row r="289" ht="14.25" customHeight="1" s="38">
      <c r="E289" s="11" t="n"/>
      <c r="F289" s="11" t="n"/>
    </row>
    <row r="290" ht="14.25" customHeight="1" s="38">
      <c r="E290" s="11" t="n"/>
      <c r="F290" s="11" t="n"/>
    </row>
    <row r="291" ht="14.25" customHeight="1" s="38">
      <c r="E291" s="11" t="n"/>
      <c r="F291" s="11" t="n"/>
    </row>
    <row r="292" ht="14.25" customHeight="1" s="38">
      <c r="E292" s="11" t="n"/>
      <c r="F292" s="11" t="n"/>
    </row>
    <row r="293" ht="14.25" customHeight="1" s="38">
      <c r="E293" s="11" t="n"/>
      <c r="F293" s="11" t="n"/>
    </row>
    <row r="294" ht="14.25" customHeight="1" s="38">
      <c r="E294" s="11" t="n"/>
      <c r="F294" s="11" t="n"/>
    </row>
    <row r="295" ht="14.25" customHeight="1" s="38">
      <c r="E295" s="11" t="n"/>
      <c r="F295" s="11" t="n"/>
    </row>
    <row r="296" ht="14.25" customHeight="1" s="38">
      <c r="E296" s="11" t="n"/>
      <c r="F296" s="11" t="n"/>
    </row>
    <row r="297" ht="14.25" customHeight="1" s="38">
      <c r="E297" s="11" t="n"/>
      <c r="F297" s="11" t="n"/>
    </row>
    <row r="298" ht="14.25" customHeight="1" s="38">
      <c r="E298" s="11" t="n"/>
      <c r="F298" s="11" t="n"/>
    </row>
    <row r="299" ht="14.25" customHeight="1" s="38">
      <c r="E299" s="11" t="n"/>
      <c r="F299" s="11" t="n"/>
    </row>
    <row r="300" ht="14.25" customHeight="1" s="38">
      <c r="E300" s="11" t="n"/>
      <c r="F300" s="11" t="n"/>
    </row>
    <row r="301" ht="14.25" customHeight="1" s="38">
      <c r="E301" s="11" t="n"/>
      <c r="F301" s="11" t="n"/>
    </row>
    <row r="302" ht="14.25" customHeight="1" s="38">
      <c r="E302" s="11" t="n"/>
      <c r="F302" s="11" t="n"/>
    </row>
    <row r="303" ht="14.25" customHeight="1" s="38">
      <c r="E303" s="11" t="n"/>
      <c r="F303" s="11" t="n"/>
    </row>
    <row r="304" ht="14.25" customHeight="1" s="38">
      <c r="E304" s="11" t="n"/>
      <c r="F304" s="11" t="n"/>
    </row>
    <row r="305" ht="14.25" customHeight="1" s="38">
      <c r="E305" s="11" t="n"/>
      <c r="F305" s="11" t="n"/>
    </row>
    <row r="306" ht="14.25" customHeight="1" s="38">
      <c r="E306" s="11" t="n"/>
      <c r="F306" s="11" t="n"/>
    </row>
    <row r="307" ht="14.25" customHeight="1" s="38">
      <c r="E307" s="11" t="n"/>
      <c r="F307" s="11" t="n"/>
    </row>
    <row r="308" ht="14.25" customHeight="1" s="38">
      <c r="E308" s="11" t="n"/>
      <c r="F308" s="11" t="n"/>
    </row>
    <row r="309" ht="14.25" customHeight="1" s="38">
      <c r="E309" s="11" t="n"/>
      <c r="F309" s="11" t="n"/>
    </row>
    <row r="310" ht="14.25" customHeight="1" s="38">
      <c r="E310" s="11" t="n"/>
      <c r="F310" s="11" t="n"/>
    </row>
    <row r="311" ht="14.25" customHeight="1" s="38">
      <c r="E311" s="11" t="n"/>
      <c r="F311" s="11" t="n"/>
    </row>
    <row r="312" ht="14.25" customHeight="1" s="38">
      <c r="E312" s="11" t="n"/>
      <c r="F312" s="11" t="n"/>
    </row>
    <row r="313" ht="14.25" customHeight="1" s="38">
      <c r="E313" s="11" t="n"/>
      <c r="F313" s="11" t="n"/>
    </row>
    <row r="314" ht="14.25" customHeight="1" s="38">
      <c r="E314" s="11" t="n"/>
      <c r="F314" s="11" t="n"/>
    </row>
    <row r="315" ht="14.25" customHeight="1" s="38">
      <c r="E315" s="11" t="n"/>
      <c r="F315" s="11" t="n"/>
    </row>
    <row r="316" ht="14.25" customHeight="1" s="38">
      <c r="E316" s="11" t="n"/>
      <c r="F316" s="11" t="n"/>
    </row>
    <row r="317" ht="14.25" customHeight="1" s="38">
      <c r="E317" s="11" t="n"/>
      <c r="F317" s="11" t="n"/>
    </row>
    <row r="318" ht="14.25" customHeight="1" s="38">
      <c r="E318" s="11" t="n"/>
      <c r="F318" s="11" t="n"/>
    </row>
    <row r="319" ht="14.25" customHeight="1" s="38">
      <c r="E319" s="11" t="n"/>
      <c r="F319" s="11" t="n"/>
    </row>
    <row r="320" ht="14.25" customHeight="1" s="38">
      <c r="E320" s="11" t="n"/>
      <c r="F320" s="11" t="n"/>
    </row>
    <row r="321" ht="14.25" customHeight="1" s="38">
      <c r="E321" s="11" t="n"/>
      <c r="F321" s="11" t="n"/>
    </row>
    <row r="322" ht="14.25" customHeight="1" s="38">
      <c r="E322" s="11" t="n"/>
      <c r="F322" s="11" t="n"/>
    </row>
    <row r="323" ht="14.25" customHeight="1" s="38">
      <c r="E323" s="11" t="n"/>
      <c r="F323" s="11" t="n"/>
    </row>
    <row r="324" ht="14.25" customHeight="1" s="38">
      <c r="E324" s="11" t="n"/>
      <c r="F324" s="11" t="n"/>
    </row>
    <row r="325" ht="14.25" customHeight="1" s="38">
      <c r="E325" s="11" t="n"/>
      <c r="F325" s="11" t="n"/>
    </row>
    <row r="326" ht="14.25" customHeight="1" s="38">
      <c r="E326" s="11" t="n"/>
      <c r="F326" s="11" t="n"/>
    </row>
    <row r="327" ht="14.25" customHeight="1" s="38">
      <c r="E327" s="11" t="n"/>
      <c r="F327" s="11" t="n"/>
    </row>
    <row r="328" ht="14.25" customHeight="1" s="38">
      <c r="E328" s="11" t="n"/>
      <c r="F328" s="11" t="n"/>
    </row>
    <row r="329" ht="14.25" customHeight="1" s="38">
      <c r="E329" s="11" t="n"/>
      <c r="F329" s="11" t="n"/>
    </row>
    <row r="330" ht="14.25" customHeight="1" s="38">
      <c r="E330" s="11" t="n"/>
      <c r="F330" s="11" t="n"/>
    </row>
    <row r="331" ht="14.25" customHeight="1" s="38">
      <c r="E331" s="11" t="n"/>
      <c r="F331" s="11" t="n"/>
    </row>
    <row r="332" ht="14.25" customHeight="1" s="38">
      <c r="E332" s="11" t="n"/>
      <c r="F332" s="11" t="n"/>
    </row>
    <row r="333" ht="14.25" customHeight="1" s="38">
      <c r="E333" s="11" t="n"/>
      <c r="F333" s="11" t="n"/>
    </row>
    <row r="334" ht="14.25" customHeight="1" s="38">
      <c r="E334" s="11" t="n"/>
      <c r="F334" s="11" t="n"/>
    </row>
    <row r="335" ht="14.25" customHeight="1" s="38">
      <c r="E335" s="11" t="n"/>
      <c r="F335" s="11" t="n"/>
    </row>
    <row r="336" ht="14.25" customHeight="1" s="38">
      <c r="E336" s="11" t="n"/>
      <c r="F336" s="11" t="n"/>
    </row>
    <row r="337" ht="14.25" customHeight="1" s="38">
      <c r="E337" s="11" t="n"/>
      <c r="F337" s="11" t="n"/>
    </row>
    <row r="338" ht="14.25" customHeight="1" s="38">
      <c r="E338" s="11" t="n"/>
      <c r="F338" s="11" t="n"/>
    </row>
    <row r="339" ht="14.25" customHeight="1" s="38">
      <c r="E339" s="11" t="n"/>
      <c r="F339" s="11" t="n"/>
    </row>
    <row r="340" ht="14.25" customHeight="1" s="38">
      <c r="E340" s="11" t="n"/>
      <c r="F340" s="11" t="n"/>
    </row>
    <row r="341" ht="14.25" customHeight="1" s="38">
      <c r="E341" s="11" t="n"/>
      <c r="F341" s="11" t="n"/>
    </row>
    <row r="342" ht="14.25" customHeight="1" s="38">
      <c r="E342" s="11" t="n"/>
      <c r="F342" s="11" t="n"/>
    </row>
    <row r="343" ht="14.25" customHeight="1" s="38">
      <c r="E343" s="11" t="n"/>
      <c r="F343" s="11" t="n"/>
    </row>
    <row r="344" ht="14.25" customHeight="1" s="38">
      <c r="E344" s="11" t="n"/>
      <c r="F344" s="11" t="n"/>
    </row>
    <row r="345" ht="14.25" customHeight="1" s="38">
      <c r="E345" s="11" t="n"/>
      <c r="F345" s="11" t="n"/>
    </row>
    <row r="346" ht="14.25" customHeight="1" s="38">
      <c r="E346" s="11" t="n"/>
      <c r="F346" s="11" t="n"/>
    </row>
    <row r="347" ht="14.25" customHeight="1" s="38">
      <c r="E347" s="11" t="n"/>
      <c r="F347" s="11" t="n"/>
    </row>
    <row r="348" ht="14.25" customHeight="1" s="38">
      <c r="E348" s="11" t="n"/>
      <c r="F348" s="11" t="n"/>
    </row>
    <row r="349" ht="14.25" customHeight="1" s="38">
      <c r="E349" s="11" t="n"/>
      <c r="F349" s="11" t="n"/>
    </row>
    <row r="350" ht="14.25" customHeight="1" s="38">
      <c r="E350" s="11" t="n"/>
      <c r="F350" s="11" t="n"/>
    </row>
    <row r="351" ht="14.25" customHeight="1" s="38">
      <c r="E351" s="11" t="n"/>
      <c r="F351" s="11" t="n"/>
    </row>
    <row r="352" ht="14.25" customHeight="1" s="38">
      <c r="E352" s="11" t="n"/>
      <c r="F352" s="11" t="n"/>
    </row>
    <row r="353" ht="14.25" customHeight="1" s="38">
      <c r="E353" s="11" t="n"/>
      <c r="F353" s="11" t="n"/>
    </row>
    <row r="354" ht="14.25" customHeight="1" s="38">
      <c r="E354" s="11" t="n"/>
      <c r="F354" s="11" t="n"/>
    </row>
    <row r="355" ht="14.25" customHeight="1" s="38">
      <c r="E355" s="11" t="n"/>
      <c r="F355" s="11" t="n"/>
    </row>
    <row r="356" ht="14.25" customHeight="1" s="38">
      <c r="E356" s="11" t="n"/>
      <c r="F356" s="11" t="n"/>
    </row>
    <row r="357" ht="14.25" customHeight="1" s="38">
      <c r="E357" s="11" t="n"/>
      <c r="F357" s="11" t="n"/>
    </row>
    <row r="358" ht="14.25" customHeight="1" s="38">
      <c r="E358" s="11" t="n"/>
      <c r="F358" s="11" t="n"/>
    </row>
    <row r="359" ht="14.25" customHeight="1" s="38">
      <c r="E359" s="11" t="n"/>
      <c r="F359" s="11" t="n"/>
    </row>
    <row r="360" ht="14.25" customHeight="1" s="38">
      <c r="E360" s="11" t="n"/>
      <c r="F360" s="11" t="n"/>
    </row>
    <row r="361" ht="14.25" customHeight="1" s="38">
      <c r="E361" s="11" t="n"/>
      <c r="F361" s="11" t="n"/>
    </row>
    <row r="362" ht="14.25" customHeight="1" s="38">
      <c r="E362" s="11" t="n"/>
      <c r="F362" s="11" t="n"/>
    </row>
    <row r="363" ht="14.25" customHeight="1" s="38">
      <c r="E363" s="11" t="n"/>
      <c r="F363" s="11" t="n"/>
    </row>
    <row r="364" ht="14.25" customHeight="1" s="38">
      <c r="E364" s="11" t="n"/>
      <c r="F364" s="11" t="n"/>
    </row>
    <row r="365" ht="14.25" customHeight="1" s="38">
      <c r="E365" s="11" t="n"/>
      <c r="F365" s="11" t="n"/>
    </row>
    <row r="366" ht="14.25" customHeight="1" s="38">
      <c r="E366" s="11" t="n"/>
      <c r="F366" s="11" t="n"/>
    </row>
    <row r="367" ht="14.25" customHeight="1" s="38">
      <c r="E367" s="11" t="n"/>
      <c r="F367" s="11" t="n"/>
    </row>
    <row r="368" ht="14.25" customHeight="1" s="38">
      <c r="E368" s="11" t="n"/>
      <c r="F368" s="11" t="n"/>
    </row>
    <row r="369" ht="14.25" customHeight="1" s="38">
      <c r="E369" s="11" t="n"/>
      <c r="F369" s="11" t="n"/>
    </row>
    <row r="370" ht="14.25" customHeight="1" s="38">
      <c r="E370" s="11" t="n"/>
      <c r="F370" s="11" t="n"/>
    </row>
    <row r="371" ht="14.25" customHeight="1" s="38">
      <c r="E371" s="11" t="n"/>
      <c r="F371" s="11" t="n"/>
    </row>
    <row r="372" ht="14.25" customHeight="1" s="38">
      <c r="E372" s="11" t="n"/>
      <c r="F372" s="11" t="n"/>
    </row>
    <row r="373" ht="14.25" customHeight="1" s="38">
      <c r="E373" s="11" t="n"/>
      <c r="F373" s="11" t="n"/>
    </row>
    <row r="374" ht="14.25" customHeight="1" s="38">
      <c r="E374" s="11" t="n"/>
      <c r="F374" s="11" t="n"/>
    </row>
    <row r="375" ht="14.25" customHeight="1" s="38">
      <c r="E375" s="11" t="n"/>
      <c r="F375" s="11" t="n"/>
    </row>
    <row r="376" ht="14.25" customHeight="1" s="38">
      <c r="E376" s="11" t="n"/>
      <c r="F376" s="11" t="n"/>
    </row>
    <row r="377" ht="14.25" customHeight="1" s="38">
      <c r="E377" s="11" t="n"/>
      <c r="F377" s="11" t="n"/>
    </row>
    <row r="378" ht="14.25" customHeight="1" s="38">
      <c r="E378" s="11" t="n"/>
      <c r="F378" s="11" t="n"/>
    </row>
    <row r="379" ht="14.25" customHeight="1" s="38">
      <c r="E379" s="11" t="n"/>
      <c r="F379" s="11" t="n"/>
    </row>
    <row r="380" ht="14.25" customHeight="1" s="38">
      <c r="E380" s="11" t="n"/>
      <c r="F380" s="11" t="n"/>
    </row>
    <row r="381" ht="14.25" customHeight="1" s="38">
      <c r="E381" s="11" t="n"/>
      <c r="F381" s="11" t="n"/>
    </row>
    <row r="382" ht="14.25" customHeight="1" s="38">
      <c r="E382" s="11" t="n"/>
      <c r="F382" s="11" t="n"/>
    </row>
    <row r="383" ht="14.25" customHeight="1" s="38">
      <c r="E383" s="11" t="n"/>
      <c r="F383" s="11" t="n"/>
    </row>
    <row r="384" ht="14.25" customHeight="1" s="38">
      <c r="E384" s="11" t="n"/>
      <c r="F384" s="11" t="n"/>
    </row>
    <row r="385" ht="14.25" customHeight="1" s="38">
      <c r="E385" s="11" t="n"/>
      <c r="F385" s="11" t="n"/>
    </row>
    <row r="386" ht="14.25" customHeight="1" s="38">
      <c r="E386" s="11" t="n"/>
      <c r="F386" s="11" t="n"/>
    </row>
    <row r="387" ht="14.25" customHeight="1" s="38">
      <c r="E387" s="11" t="n"/>
      <c r="F387" s="11" t="n"/>
    </row>
    <row r="388" ht="14.25" customHeight="1" s="38">
      <c r="E388" s="11" t="n"/>
      <c r="F388" s="11" t="n"/>
    </row>
    <row r="389" ht="14.25" customHeight="1" s="38">
      <c r="E389" s="11" t="n"/>
      <c r="F389" s="11" t="n"/>
    </row>
    <row r="390" ht="14.25" customHeight="1" s="38">
      <c r="E390" s="11" t="n"/>
      <c r="F390" s="11" t="n"/>
    </row>
    <row r="391" ht="14.25" customHeight="1" s="38">
      <c r="E391" s="11" t="n"/>
      <c r="F391" s="11" t="n"/>
    </row>
    <row r="392" ht="14.25" customHeight="1" s="38">
      <c r="E392" s="11" t="n"/>
      <c r="F392" s="11" t="n"/>
    </row>
    <row r="393" ht="14.25" customHeight="1" s="38">
      <c r="E393" s="11" t="n"/>
      <c r="F393" s="11" t="n"/>
    </row>
    <row r="394" ht="14.25" customHeight="1" s="38">
      <c r="E394" s="11" t="n"/>
      <c r="F394" s="11" t="n"/>
    </row>
    <row r="395" ht="14.25" customHeight="1" s="38">
      <c r="E395" s="11" t="n"/>
      <c r="F395" s="11" t="n"/>
    </row>
    <row r="396" ht="14.25" customHeight="1" s="38">
      <c r="E396" s="11" t="n"/>
      <c r="F396" s="11" t="n"/>
    </row>
    <row r="397" ht="14.25" customHeight="1" s="38">
      <c r="E397" s="11" t="n"/>
      <c r="F397" s="11" t="n"/>
    </row>
    <row r="398" ht="14.25" customHeight="1" s="38">
      <c r="E398" s="11" t="n"/>
      <c r="F398" s="11" t="n"/>
    </row>
    <row r="399" ht="14.25" customHeight="1" s="38">
      <c r="E399" s="11" t="n"/>
      <c r="F399" s="11" t="n"/>
    </row>
    <row r="400" ht="14.25" customHeight="1" s="38">
      <c r="E400" s="11" t="n"/>
      <c r="F400" s="11" t="n"/>
    </row>
    <row r="401" ht="14.25" customHeight="1" s="38">
      <c r="E401" s="11" t="n"/>
      <c r="F401" s="11" t="n"/>
    </row>
    <row r="402" ht="14.25" customHeight="1" s="38">
      <c r="E402" s="11" t="n"/>
      <c r="F402" s="11" t="n"/>
    </row>
    <row r="403" ht="14.25" customHeight="1" s="38">
      <c r="E403" s="11" t="n"/>
      <c r="F403" s="11" t="n"/>
    </row>
    <row r="404" ht="14.25" customHeight="1" s="38">
      <c r="E404" s="11" t="n"/>
      <c r="F404" s="11" t="n"/>
    </row>
    <row r="405" ht="14.25" customHeight="1" s="38">
      <c r="E405" s="11" t="n"/>
      <c r="F405" s="11" t="n"/>
    </row>
    <row r="406" ht="14.25" customHeight="1" s="38">
      <c r="E406" s="11" t="n"/>
      <c r="F406" s="11" t="n"/>
    </row>
    <row r="407" ht="14.25" customHeight="1" s="38">
      <c r="E407" s="11" t="n"/>
      <c r="F407" s="11" t="n"/>
    </row>
    <row r="408" ht="14.25" customHeight="1" s="38">
      <c r="E408" s="11" t="n"/>
      <c r="F408" s="11" t="n"/>
    </row>
    <row r="409" ht="14.25" customHeight="1" s="38">
      <c r="E409" s="11" t="n"/>
      <c r="F409" s="11" t="n"/>
    </row>
    <row r="410" ht="14.25" customHeight="1" s="38">
      <c r="E410" s="11" t="n"/>
      <c r="F410" s="11" t="n"/>
    </row>
    <row r="411" ht="14.25" customHeight="1" s="38">
      <c r="E411" s="11" t="n"/>
      <c r="F411" s="11" t="n"/>
    </row>
    <row r="412" ht="14.25" customHeight="1" s="38">
      <c r="E412" s="11" t="n"/>
      <c r="F412" s="11" t="n"/>
    </row>
    <row r="413" ht="14.25" customHeight="1" s="38">
      <c r="E413" s="11" t="n"/>
      <c r="F413" s="11" t="n"/>
    </row>
    <row r="414" ht="14.25" customHeight="1" s="38">
      <c r="E414" s="11" t="n"/>
      <c r="F414" s="11" t="n"/>
    </row>
    <row r="415" ht="14.25" customHeight="1" s="38">
      <c r="E415" s="11" t="n"/>
      <c r="F415" s="11" t="n"/>
    </row>
    <row r="416" ht="14.25" customHeight="1" s="38">
      <c r="E416" s="11" t="n"/>
      <c r="F416" s="11" t="n"/>
    </row>
    <row r="417" ht="14.25" customHeight="1" s="38">
      <c r="E417" s="11" t="n"/>
      <c r="F417" s="11" t="n"/>
    </row>
    <row r="418" ht="14.25" customHeight="1" s="38">
      <c r="E418" s="11" t="n"/>
      <c r="F418" s="11" t="n"/>
    </row>
    <row r="419" ht="14.25" customHeight="1" s="38">
      <c r="E419" s="11" t="n"/>
      <c r="F419" s="11" t="n"/>
    </row>
    <row r="420" ht="14.25" customHeight="1" s="38">
      <c r="E420" s="11" t="n"/>
      <c r="F420" s="11" t="n"/>
    </row>
    <row r="421" ht="14.25" customHeight="1" s="38">
      <c r="E421" s="11" t="n"/>
      <c r="F421" s="11" t="n"/>
    </row>
    <row r="422" ht="14.25" customHeight="1" s="38">
      <c r="E422" s="11" t="n"/>
      <c r="F422" s="11" t="n"/>
    </row>
    <row r="423" ht="14.25" customHeight="1" s="38">
      <c r="E423" s="11" t="n"/>
      <c r="F423" s="11" t="n"/>
    </row>
    <row r="424" ht="14.25" customHeight="1" s="38">
      <c r="E424" s="11" t="n"/>
      <c r="F424" s="11" t="n"/>
    </row>
    <row r="425" ht="14.25" customHeight="1" s="38">
      <c r="E425" s="11" t="n"/>
      <c r="F425" s="11" t="n"/>
    </row>
    <row r="426" ht="14.25" customHeight="1" s="38">
      <c r="E426" s="11" t="n"/>
      <c r="F426" s="11" t="n"/>
    </row>
    <row r="427" ht="14.25" customHeight="1" s="38">
      <c r="E427" s="11" t="n"/>
      <c r="F427" s="11" t="n"/>
    </row>
    <row r="428" ht="14.25" customHeight="1" s="38">
      <c r="E428" s="11" t="n"/>
      <c r="F428" s="11" t="n"/>
    </row>
    <row r="429" ht="14.25" customHeight="1" s="38">
      <c r="E429" s="11" t="n"/>
      <c r="F429" s="11" t="n"/>
    </row>
    <row r="430" ht="14.25" customHeight="1" s="38">
      <c r="E430" s="11" t="n"/>
      <c r="F430" s="11" t="n"/>
    </row>
    <row r="431" ht="14.25" customHeight="1" s="38">
      <c r="E431" s="11" t="n"/>
      <c r="F431" s="11" t="n"/>
    </row>
    <row r="432" ht="14.25" customHeight="1" s="38">
      <c r="E432" s="11" t="n"/>
      <c r="F432" s="11" t="n"/>
    </row>
    <row r="433" ht="14.25" customHeight="1" s="38">
      <c r="E433" s="11" t="n"/>
      <c r="F433" s="11" t="n"/>
    </row>
    <row r="434" ht="14.25" customHeight="1" s="38">
      <c r="E434" s="11" t="n"/>
      <c r="F434" s="11" t="n"/>
    </row>
    <row r="435" ht="14.25" customHeight="1" s="38">
      <c r="E435" s="11" t="n"/>
      <c r="F435" s="11" t="n"/>
    </row>
    <row r="436" ht="14.25" customHeight="1" s="38">
      <c r="E436" s="11" t="n"/>
      <c r="F436" s="11" t="n"/>
    </row>
    <row r="437" ht="14.25" customHeight="1" s="38">
      <c r="E437" s="11" t="n"/>
      <c r="F437" s="11" t="n"/>
    </row>
    <row r="438" ht="14.25" customHeight="1" s="38">
      <c r="E438" s="11" t="n"/>
      <c r="F438" s="11" t="n"/>
    </row>
    <row r="439" ht="14.25" customHeight="1" s="38">
      <c r="E439" s="11" t="n"/>
      <c r="F439" s="11" t="n"/>
    </row>
    <row r="440" ht="14.25" customHeight="1" s="38">
      <c r="E440" s="11" t="n"/>
      <c r="F440" s="11" t="n"/>
    </row>
    <row r="441" ht="14.25" customHeight="1" s="38">
      <c r="E441" s="11" t="n"/>
      <c r="F441" s="11" t="n"/>
    </row>
    <row r="442" ht="14.25" customHeight="1" s="38">
      <c r="E442" s="11" t="n"/>
      <c r="F442" s="11" t="n"/>
    </row>
    <row r="443" ht="14.25" customHeight="1" s="38">
      <c r="E443" s="11" t="n"/>
      <c r="F443" s="11" t="n"/>
    </row>
    <row r="444" ht="14.25" customHeight="1" s="38">
      <c r="E444" s="11" t="n"/>
      <c r="F444" s="11" t="n"/>
    </row>
    <row r="445" ht="14.25" customHeight="1" s="38">
      <c r="E445" s="11" t="n"/>
      <c r="F445" s="11" t="n"/>
    </row>
    <row r="446" ht="14.25" customHeight="1" s="38">
      <c r="E446" s="11" t="n"/>
      <c r="F446" s="11" t="n"/>
    </row>
    <row r="447" ht="14.25" customHeight="1" s="38">
      <c r="E447" s="11" t="n"/>
      <c r="F447" s="11" t="n"/>
    </row>
    <row r="448" ht="14.25" customHeight="1" s="38">
      <c r="E448" s="11" t="n"/>
      <c r="F448" s="11" t="n"/>
    </row>
    <row r="449" ht="14.25" customHeight="1" s="38">
      <c r="E449" s="11" t="n"/>
      <c r="F449" s="11" t="n"/>
    </row>
    <row r="450" ht="14.25" customHeight="1" s="38">
      <c r="E450" s="11" t="n"/>
      <c r="F450" s="11" t="n"/>
    </row>
    <row r="451" ht="14.25" customHeight="1" s="38">
      <c r="E451" s="11" t="n"/>
      <c r="F451" s="11" t="n"/>
    </row>
    <row r="452" ht="14.25" customHeight="1" s="38">
      <c r="E452" s="11" t="n"/>
      <c r="F452" s="11" t="n"/>
    </row>
    <row r="453" ht="14.25" customHeight="1" s="38">
      <c r="E453" s="11" t="n"/>
      <c r="F453" s="11" t="n"/>
    </row>
    <row r="454" ht="14.25" customHeight="1" s="38">
      <c r="E454" s="11" t="n"/>
      <c r="F454" s="11" t="n"/>
    </row>
    <row r="455" ht="14.25" customHeight="1" s="38">
      <c r="E455" s="11" t="n"/>
      <c r="F455" s="11" t="n"/>
    </row>
    <row r="456" ht="14.25" customHeight="1" s="38">
      <c r="E456" s="11" t="n"/>
      <c r="F456" s="11" t="n"/>
    </row>
    <row r="457" ht="14.25" customHeight="1" s="38">
      <c r="E457" s="11" t="n"/>
      <c r="F457" s="11" t="n"/>
    </row>
    <row r="458" ht="14.25" customHeight="1" s="38">
      <c r="E458" s="11" t="n"/>
      <c r="F458" s="11" t="n"/>
    </row>
    <row r="459" ht="14.25" customHeight="1" s="38">
      <c r="E459" s="11" t="n"/>
      <c r="F459" s="11" t="n"/>
    </row>
    <row r="460" ht="14.25" customHeight="1" s="38">
      <c r="E460" s="11" t="n"/>
      <c r="F460" s="11" t="n"/>
    </row>
    <row r="461" ht="14.25" customHeight="1" s="38">
      <c r="E461" s="11" t="n"/>
      <c r="F461" s="11" t="n"/>
    </row>
    <row r="462" ht="14.25" customHeight="1" s="38">
      <c r="E462" s="11" t="n"/>
      <c r="F462" s="11" t="n"/>
    </row>
    <row r="463" ht="14.25" customHeight="1" s="38">
      <c r="E463" s="11" t="n"/>
      <c r="F463" s="11" t="n"/>
    </row>
    <row r="464" ht="14.25" customHeight="1" s="38">
      <c r="E464" s="11" t="n"/>
      <c r="F464" s="11" t="n"/>
    </row>
    <row r="465" ht="14.25" customHeight="1" s="38">
      <c r="E465" s="11" t="n"/>
      <c r="F465" s="11" t="n"/>
    </row>
    <row r="466" ht="14.25" customHeight="1" s="38">
      <c r="E466" s="11" t="n"/>
      <c r="F466" s="11" t="n"/>
    </row>
    <row r="467" ht="14.25" customHeight="1" s="38">
      <c r="E467" s="11" t="n"/>
      <c r="F467" s="11" t="n"/>
    </row>
    <row r="468" ht="14.25" customHeight="1" s="38">
      <c r="E468" s="11" t="n"/>
      <c r="F468" s="11" t="n"/>
    </row>
    <row r="469" ht="14.25" customHeight="1" s="38">
      <c r="E469" s="11" t="n"/>
      <c r="F469" s="11" t="n"/>
    </row>
    <row r="470" ht="14.25" customHeight="1" s="38">
      <c r="E470" s="11" t="n"/>
      <c r="F470" s="11" t="n"/>
    </row>
    <row r="471" ht="14.25" customHeight="1" s="38">
      <c r="E471" s="11" t="n"/>
      <c r="F471" s="11" t="n"/>
    </row>
    <row r="472" ht="14.25" customHeight="1" s="38">
      <c r="E472" s="11" t="n"/>
      <c r="F472" s="11" t="n"/>
    </row>
    <row r="473" ht="14.25" customHeight="1" s="38">
      <c r="E473" s="11" t="n"/>
      <c r="F473" s="11" t="n"/>
    </row>
    <row r="474" ht="14.25" customHeight="1" s="38">
      <c r="E474" s="11" t="n"/>
      <c r="F474" s="11" t="n"/>
    </row>
    <row r="475" ht="14.25" customHeight="1" s="38">
      <c r="E475" s="11" t="n"/>
      <c r="F475" s="11" t="n"/>
    </row>
    <row r="476" ht="14.25" customHeight="1" s="38">
      <c r="E476" s="11" t="n"/>
      <c r="F476" s="11" t="n"/>
    </row>
    <row r="477" ht="14.25" customHeight="1" s="38">
      <c r="E477" s="11" t="n"/>
      <c r="F477" s="11" t="n"/>
    </row>
    <row r="478" ht="14.25" customHeight="1" s="38">
      <c r="E478" s="11" t="n"/>
      <c r="F478" s="11" t="n"/>
    </row>
    <row r="479" ht="14.25" customHeight="1" s="38">
      <c r="E479" s="11" t="n"/>
      <c r="F479" s="11" t="n"/>
    </row>
    <row r="480" ht="14.25" customHeight="1" s="38">
      <c r="E480" s="11" t="n"/>
      <c r="F480" s="11" t="n"/>
    </row>
    <row r="481" ht="14.25" customHeight="1" s="38">
      <c r="E481" s="11" t="n"/>
      <c r="F481" s="11" t="n"/>
    </row>
    <row r="482" ht="14.25" customHeight="1" s="38">
      <c r="E482" s="11" t="n"/>
      <c r="F482" s="11" t="n"/>
    </row>
    <row r="483" ht="14.25" customHeight="1" s="38">
      <c r="E483" s="11" t="n"/>
      <c r="F483" s="11" t="n"/>
    </row>
    <row r="484" ht="14.25" customHeight="1" s="38">
      <c r="E484" s="11" t="n"/>
      <c r="F484" s="11" t="n"/>
    </row>
    <row r="485" ht="14.25" customHeight="1" s="38">
      <c r="E485" s="11" t="n"/>
      <c r="F485" s="11" t="n"/>
    </row>
    <row r="486" ht="14.25" customHeight="1" s="38">
      <c r="E486" s="11" t="n"/>
      <c r="F486" s="11" t="n"/>
    </row>
    <row r="487" ht="14.25" customHeight="1" s="38">
      <c r="E487" s="11" t="n"/>
      <c r="F487" s="11" t="n"/>
    </row>
    <row r="488" ht="14.25" customHeight="1" s="38">
      <c r="E488" s="11" t="n"/>
      <c r="F488" s="11" t="n"/>
    </row>
    <row r="489" ht="14.25" customHeight="1" s="38">
      <c r="E489" s="11" t="n"/>
      <c r="F489" s="11" t="n"/>
    </row>
    <row r="490" ht="14.25" customHeight="1" s="38">
      <c r="E490" s="11" t="n"/>
      <c r="F490" s="11" t="n"/>
    </row>
    <row r="491" ht="14.25" customHeight="1" s="38">
      <c r="E491" s="11" t="n"/>
      <c r="F491" s="11" t="n"/>
    </row>
    <row r="492" ht="14.25" customHeight="1" s="38">
      <c r="E492" s="11" t="n"/>
      <c r="F492" s="11" t="n"/>
    </row>
    <row r="493" ht="14.25" customHeight="1" s="38">
      <c r="E493" s="11" t="n"/>
      <c r="F493" s="11" t="n"/>
    </row>
    <row r="494" ht="14.25" customHeight="1" s="38">
      <c r="E494" s="11" t="n"/>
      <c r="F494" s="11" t="n"/>
    </row>
    <row r="495" ht="14.25" customHeight="1" s="38">
      <c r="E495" s="11" t="n"/>
      <c r="F495" s="11" t="n"/>
    </row>
    <row r="496" ht="14.25" customHeight="1" s="38">
      <c r="E496" s="11" t="n"/>
      <c r="F496" s="11" t="n"/>
    </row>
    <row r="497" ht="14.25" customHeight="1" s="38">
      <c r="E497" s="11" t="n"/>
      <c r="F497" s="11" t="n"/>
    </row>
    <row r="498" ht="14.25" customHeight="1" s="38">
      <c r="E498" s="11" t="n"/>
      <c r="F498" s="11" t="n"/>
    </row>
    <row r="499" ht="14.25" customHeight="1" s="38">
      <c r="E499" s="11" t="n"/>
      <c r="F499" s="11" t="n"/>
    </row>
    <row r="500" ht="14.25" customHeight="1" s="38">
      <c r="E500" s="11" t="n"/>
      <c r="F500" s="11" t="n"/>
    </row>
    <row r="501" ht="14.25" customHeight="1" s="38">
      <c r="E501" s="11" t="n"/>
      <c r="F501" s="11" t="n"/>
    </row>
    <row r="502" ht="14.25" customHeight="1" s="38">
      <c r="E502" s="11" t="n"/>
      <c r="F502" s="11" t="n"/>
    </row>
    <row r="503" ht="14.25" customHeight="1" s="38">
      <c r="E503" s="11" t="n"/>
      <c r="F503" s="11" t="n"/>
    </row>
    <row r="504" ht="14.25" customHeight="1" s="38">
      <c r="E504" s="11" t="n"/>
      <c r="F504" s="11" t="n"/>
    </row>
    <row r="505" ht="14.25" customHeight="1" s="38">
      <c r="E505" s="11" t="n"/>
      <c r="F505" s="11" t="n"/>
    </row>
    <row r="506" ht="14.25" customHeight="1" s="38">
      <c r="E506" s="11" t="n"/>
      <c r="F506" s="11" t="n"/>
    </row>
    <row r="507" ht="14.25" customHeight="1" s="38">
      <c r="E507" s="11" t="n"/>
      <c r="F507" s="11" t="n"/>
    </row>
    <row r="508" ht="14.25" customHeight="1" s="38">
      <c r="E508" s="11" t="n"/>
      <c r="F508" s="11" t="n"/>
    </row>
    <row r="509" ht="14.25" customHeight="1" s="38">
      <c r="E509" s="11" t="n"/>
      <c r="F509" s="11" t="n"/>
    </row>
    <row r="510" ht="14.25" customHeight="1" s="38">
      <c r="E510" s="11" t="n"/>
      <c r="F510" s="11" t="n"/>
    </row>
    <row r="511" ht="14.25" customHeight="1" s="38">
      <c r="E511" s="11" t="n"/>
      <c r="F511" s="11" t="n"/>
    </row>
    <row r="512" ht="14.25" customHeight="1" s="38">
      <c r="E512" s="11" t="n"/>
      <c r="F512" s="11" t="n"/>
    </row>
    <row r="513" ht="14.25" customHeight="1" s="38">
      <c r="E513" s="11" t="n"/>
      <c r="F513" s="11" t="n"/>
    </row>
    <row r="514" ht="14.25" customHeight="1" s="38">
      <c r="E514" s="11" t="n"/>
      <c r="F514" s="11" t="n"/>
    </row>
    <row r="515" ht="14.25" customHeight="1" s="38">
      <c r="E515" s="11" t="n"/>
      <c r="F515" s="11" t="n"/>
    </row>
    <row r="516" ht="14.25" customHeight="1" s="38">
      <c r="E516" s="11" t="n"/>
      <c r="F516" s="11" t="n"/>
    </row>
    <row r="517" ht="14.25" customHeight="1" s="38">
      <c r="E517" s="11" t="n"/>
      <c r="F517" s="11" t="n"/>
    </row>
    <row r="518" ht="14.25" customHeight="1" s="38">
      <c r="E518" s="11" t="n"/>
      <c r="F518" s="11" t="n"/>
    </row>
    <row r="519" ht="14.25" customHeight="1" s="38">
      <c r="E519" s="11" t="n"/>
      <c r="F519" s="11" t="n"/>
    </row>
    <row r="520" ht="14.25" customHeight="1" s="38">
      <c r="E520" s="11" t="n"/>
      <c r="F520" s="11" t="n"/>
    </row>
    <row r="521" ht="14.25" customHeight="1" s="38">
      <c r="E521" s="11" t="n"/>
      <c r="F521" s="11" t="n"/>
    </row>
    <row r="522" ht="14.25" customHeight="1" s="38">
      <c r="E522" s="11" t="n"/>
      <c r="F522" s="11" t="n"/>
    </row>
    <row r="523" ht="14.25" customHeight="1" s="38">
      <c r="E523" s="11" t="n"/>
      <c r="F523" s="11" t="n"/>
    </row>
    <row r="524" ht="14.25" customHeight="1" s="38">
      <c r="E524" s="11" t="n"/>
      <c r="F524" s="11" t="n"/>
    </row>
    <row r="525" ht="14.25" customHeight="1" s="38">
      <c r="E525" s="11" t="n"/>
      <c r="F525" s="11" t="n"/>
    </row>
    <row r="526" ht="14.25" customHeight="1" s="38">
      <c r="E526" s="11" t="n"/>
      <c r="F526" s="11" t="n"/>
    </row>
    <row r="527" ht="14.25" customHeight="1" s="38">
      <c r="E527" s="11" t="n"/>
      <c r="F527" s="11" t="n"/>
    </row>
    <row r="528" ht="14.25" customHeight="1" s="38">
      <c r="E528" s="11" t="n"/>
      <c r="F528" s="11" t="n"/>
    </row>
    <row r="529" ht="14.25" customHeight="1" s="38">
      <c r="E529" s="11" t="n"/>
      <c r="F529" s="11" t="n"/>
    </row>
    <row r="530" ht="14.25" customHeight="1" s="38">
      <c r="E530" s="11" t="n"/>
      <c r="F530" s="11" t="n"/>
    </row>
    <row r="531" ht="14.25" customHeight="1" s="38">
      <c r="E531" s="11" t="n"/>
      <c r="F531" s="11" t="n"/>
    </row>
    <row r="532" ht="14.25" customHeight="1" s="38">
      <c r="E532" s="11" t="n"/>
      <c r="F532" s="11" t="n"/>
    </row>
    <row r="533" ht="14.25" customHeight="1" s="38">
      <c r="E533" s="11" t="n"/>
      <c r="F533" s="11" t="n"/>
    </row>
    <row r="534" ht="14.25" customHeight="1" s="38">
      <c r="E534" s="11" t="n"/>
      <c r="F534" s="11" t="n"/>
    </row>
    <row r="535" ht="14.25" customHeight="1" s="38">
      <c r="E535" s="11" t="n"/>
      <c r="F535" s="11" t="n"/>
    </row>
    <row r="536" ht="14.25" customHeight="1" s="38">
      <c r="E536" s="11" t="n"/>
      <c r="F536" s="11" t="n"/>
    </row>
    <row r="537" ht="14.25" customHeight="1" s="38">
      <c r="E537" s="11" t="n"/>
      <c r="F537" s="11" t="n"/>
    </row>
    <row r="538" ht="14.25" customHeight="1" s="38">
      <c r="E538" s="11" t="n"/>
      <c r="F538" s="11" t="n"/>
    </row>
    <row r="539" ht="14.25" customHeight="1" s="38">
      <c r="E539" s="11" t="n"/>
      <c r="F539" s="11" t="n"/>
    </row>
    <row r="540" ht="14.25" customHeight="1" s="38">
      <c r="E540" s="11" t="n"/>
      <c r="F540" s="11" t="n"/>
    </row>
    <row r="541" ht="14.25" customHeight="1" s="38">
      <c r="E541" s="11" t="n"/>
      <c r="F541" s="11" t="n"/>
    </row>
    <row r="542" ht="14.25" customHeight="1" s="38">
      <c r="E542" s="11" t="n"/>
      <c r="F542" s="11" t="n"/>
    </row>
    <row r="543" ht="14.25" customHeight="1" s="38">
      <c r="E543" s="11" t="n"/>
      <c r="F543" s="11" t="n"/>
    </row>
    <row r="544" ht="14.25" customHeight="1" s="38">
      <c r="E544" s="11" t="n"/>
      <c r="F544" s="11" t="n"/>
    </row>
    <row r="545" ht="14.25" customHeight="1" s="38">
      <c r="E545" s="11" t="n"/>
      <c r="F545" s="11" t="n"/>
    </row>
    <row r="546" ht="14.25" customHeight="1" s="38">
      <c r="E546" s="11" t="n"/>
      <c r="F546" s="11" t="n"/>
    </row>
    <row r="547" ht="14.25" customHeight="1" s="38">
      <c r="E547" s="11" t="n"/>
      <c r="F547" s="11" t="n"/>
    </row>
    <row r="548" ht="14.25" customHeight="1" s="38">
      <c r="E548" s="11" t="n"/>
      <c r="F548" s="11" t="n"/>
    </row>
    <row r="549" ht="14.25" customHeight="1" s="38">
      <c r="E549" s="11" t="n"/>
      <c r="F549" s="11" t="n"/>
    </row>
    <row r="550" ht="14.25" customHeight="1" s="38">
      <c r="E550" s="11" t="n"/>
      <c r="F550" s="11" t="n"/>
    </row>
    <row r="551" ht="14.25" customHeight="1" s="38">
      <c r="E551" s="11" t="n"/>
      <c r="F551" s="11" t="n"/>
    </row>
    <row r="552" ht="14.25" customHeight="1" s="38">
      <c r="E552" s="11" t="n"/>
      <c r="F552" s="11" t="n"/>
    </row>
    <row r="553" ht="14.25" customHeight="1" s="38">
      <c r="E553" s="11" t="n"/>
      <c r="F553" s="11" t="n"/>
    </row>
    <row r="554" ht="14.25" customHeight="1" s="38">
      <c r="E554" s="11" t="n"/>
      <c r="F554" s="11" t="n"/>
    </row>
    <row r="555" ht="14.25" customHeight="1" s="38">
      <c r="E555" s="11" t="n"/>
      <c r="F555" s="11" t="n"/>
    </row>
    <row r="556" ht="14.25" customHeight="1" s="38">
      <c r="E556" s="11" t="n"/>
      <c r="F556" s="11" t="n"/>
    </row>
    <row r="557" ht="14.25" customHeight="1" s="38">
      <c r="E557" s="11" t="n"/>
      <c r="F557" s="11" t="n"/>
    </row>
    <row r="558" ht="14.25" customHeight="1" s="38">
      <c r="E558" s="11" t="n"/>
      <c r="F558" s="11" t="n"/>
    </row>
    <row r="559" ht="14.25" customHeight="1" s="38">
      <c r="E559" s="11" t="n"/>
      <c r="F559" s="11" t="n"/>
    </row>
    <row r="560" ht="14.25" customHeight="1" s="38">
      <c r="E560" s="11" t="n"/>
      <c r="F560" s="11" t="n"/>
    </row>
    <row r="561" ht="14.25" customHeight="1" s="38">
      <c r="E561" s="11" t="n"/>
      <c r="F561" s="11" t="n"/>
    </row>
    <row r="562" ht="14.25" customHeight="1" s="38">
      <c r="E562" s="11" t="n"/>
      <c r="F562" s="11" t="n"/>
    </row>
    <row r="563" ht="14.25" customHeight="1" s="38">
      <c r="E563" s="11" t="n"/>
      <c r="F563" s="11" t="n"/>
    </row>
    <row r="564" ht="14.25" customHeight="1" s="38">
      <c r="E564" s="11" t="n"/>
      <c r="F564" s="11" t="n"/>
    </row>
    <row r="565" ht="14.25" customHeight="1" s="38">
      <c r="E565" s="11" t="n"/>
      <c r="F565" s="11" t="n"/>
    </row>
    <row r="566" ht="14.25" customHeight="1" s="38">
      <c r="E566" s="11" t="n"/>
      <c r="F566" s="11" t="n"/>
    </row>
    <row r="567" ht="14.25" customHeight="1" s="38">
      <c r="E567" s="11" t="n"/>
      <c r="F567" s="11" t="n"/>
    </row>
    <row r="568" ht="14.25" customHeight="1" s="38">
      <c r="E568" s="11" t="n"/>
      <c r="F568" s="11" t="n"/>
    </row>
    <row r="569" ht="14.25" customHeight="1" s="38">
      <c r="E569" s="11" t="n"/>
      <c r="F569" s="11" t="n"/>
    </row>
    <row r="570" ht="14.25" customHeight="1" s="38">
      <c r="E570" s="11" t="n"/>
      <c r="F570" s="11" t="n"/>
    </row>
    <row r="571" ht="14.25" customHeight="1" s="38">
      <c r="E571" s="11" t="n"/>
      <c r="F571" s="11" t="n"/>
    </row>
    <row r="572" ht="14.25" customHeight="1" s="38">
      <c r="E572" s="11" t="n"/>
      <c r="F572" s="11" t="n"/>
    </row>
    <row r="573" ht="14.25" customHeight="1" s="38">
      <c r="E573" s="11" t="n"/>
      <c r="F573" s="11" t="n"/>
    </row>
    <row r="574" ht="14.25" customHeight="1" s="38">
      <c r="E574" s="11" t="n"/>
      <c r="F574" s="11" t="n"/>
    </row>
    <row r="575" ht="14.25" customHeight="1" s="38">
      <c r="E575" s="11" t="n"/>
      <c r="F575" s="11" t="n"/>
    </row>
    <row r="576" ht="14.25" customHeight="1" s="38">
      <c r="E576" s="11" t="n"/>
      <c r="F576" s="11" t="n"/>
    </row>
    <row r="577" ht="14.25" customHeight="1" s="38">
      <c r="E577" s="11" t="n"/>
      <c r="F577" s="11" t="n"/>
    </row>
    <row r="578" ht="14.25" customHeight="1" s="38">
      <c r="E578" s="11" t="n"/>
      <c r="F578" s="11" t="n"/>
    </row>
    <row r="579" ht="14.25" customHeight="1" s="38">
      <c r="E579" s="11" t="n"/>
      <c r="F579" s="11" t="n"/>
    </row>
    <row r="580" ht="14.25" customHeight="1" s="38">
      <c r="E580" s="11" t="n"/>
      <c r="F580" s="11" t="n"/>
    </row>
    <row r="581" ht="14.25" customHeight="1" s="38">
      <c r="E581" s="11" t="n"/>
      <c r="F581" s="11" t="n"/>
    </row>
    <row r="582" ht="14.25" customHeight="1" s="38">
      <c r="E582" s="11" t="n"/>
      <c r="F582" s="11" t="n"/>
    </row>
    <row r="583" ht="14.25" customHeight="1" s="38">
      <c r="E583" s="11" t="n"/>
      <c r="F583" s="11" t="n"/>
    </row>
    <row r="584" ht="14.25" customHeight="1" s="38">
      <c r="E584" s="11" t="n"/>
      <c r="F584" s="11" t="n"/>
    </row>
    <row r="585" ht="14.25" customHeight="1" s="38">
      <c r="E585" s="11" t="n"/>
      <c r="F585" s="11" t="n"/>
    </row>
    <row r="586" ht="14.25" customHeight="1" s="38">
      <c r="E586" s="11" t="n"/>
      <c r="F586" s="11" t="n"/>
    </row>
    <row r="587" ht="14.25" customHeight="1" s="38">
      <c r="E587" s="11" t="n"/>
      <c r="F587" s="11" t="n"/>
    </row>
    <row r="588" ht="14.25" customHeight="1" s="38">
      <c r="E588" s="11" t="n"/>
      <c r="F588" s="11" t="n"/>
    </row>
    <row r="589" ht="14.25" customHeight="1" s="38">
      <c r="E589" s="11" t="n"/>
      <c r="F589" s="11" t="n"/>
    </row>
    <row r="590" ht="14.25" customHeight="1" s="38">
      <c r="E590" s="11" t="n"/>
      <c r="F590" s="11" t="n"/>
    </row>
    <row r="591" ht="14.25" customHeight="1" s="38">
      <c r="E591" s="11" t="n"/>
      <c r="F591" s="11" t="n"/>
    </row>
    <row r="592" ht="14.25" customHeight="1" s="38">
      <c r="E592" s="11" t="n"/>
      <c r="F592" s="11" t="n"/>
    </row>
    <row r="593" ht="14.25" customHeight="1" s="38">
      <c r="E593" s="11" t="n"/>
      <c r="F593" s="11" t="n"/>
    </row>
    <row r="594" ht="14.25" customHeight="1" s="38">
      <c r="E594" s="11" t="n"/>
      <c r="F594" s="11" t="n"/>
    </row>
    <row r="595" ht="14.25" customHeight="1" s="38">
      <c r="E595" s="11" t="n"/>
      <c r="F595" s="11" t="n"/>
    </row>
    <row r="596" ht="14.25" customHeight="1" s="38">
      <c r="E596" s="11" t="n"/>
      <c r="F596" s="11" t="n"/>
    </row>
    <row r="597" ht="14.25" customHeight="1" s="38">
      <c r="E597" s="11" t="n"/>
      <c r="F597" s="11" t="n"/>
    </row>
    <row r="598" ht="14.25" customHeight="1" s="38">
      <c r="E598" s="11" t="n"/>
      <c r="F598" s="11" t="n"/>
    </row>
    <row r="599" ht="14.25" customHeight="1" s="38">
      <c r="E599" s="11" t="n"/>
      <c r="F599" s="11" t="n"/>
    </row>
    <row r="600" ht="14.25" customHeight="1" s="38">
      <c r="E600" s="11" t="n"/>
      <c r="F600" s="11" t="n"/>
    </row>
    <row r="601" ht="14.25" customHeight="1" s="38">
      <c r="E601" s="11" t="n"/>
      <c r="F601" s="11" t="n"/>
    </row>
    <row r="602" ht="14.25" customHeight="1" s="38">
      <c r="E602" s="11" t="n"/>
      <c r="F602" s="11" t="n"/>
    </row>
    <row r="603" ht="14.25" customHeight="1" s="38">
      <c r="E603" s="11" t="n"/>
      <c r="F603" s="11" t="n"/>
    </row>
    <row r="604" ht="14.25" customHeight="1" s="38">
      <c r="E604" s="11" t="n"/>
      <c r="F604" s="11" t="n"/>
    </row>
    <row r="605" ht="14.25" customHeight="1" s="38">
      <c r="E605" s="11" t="n"/>
      <c r="F605" s="11" t="n"/>
    </row>
    <row r="606" ht="14.25" customHeight="1" s="38">
      <c r="E606" s="11" t="n"/>
      <c r="F606" s="11" t="n"/>
    </row>
    <row r="607" ht="14.25" customHeight="1" s="38">
      <c r="E607" s="11" t="n"/>
      <c r="F607" s="11" t="n"/>
    </row>
    <row r="608" ht="14.25" customHeight="1" s="38">
      <c r="E608" s="11" t="n"/>
      <c r="F608" s="11" t="n"/>
    </row>
    <row r="609" ht="14.25" customHeight="1" s="38">
      <c r="E609" s="11" t="n"/>
      <c r="F609" s="11" t="n"/>
    </row>
    <row r="610" ht="14.25" customHeight="1" s="38">
      <c r="E610" s="11" t="n"/>
      <c r="F610" s="11" t="n"/>
    </row>
    <row r="611" ht="14.25" customHeight="1" s="38">
      <c r="E611" s="11" t="n"/>
      <c r="F611" s="11" t="n"/>
    </row>
    <row r="612" ht="14.25" customHeight="1" s="38">
      <c r="E612" s="11" t="n"/>
      <c r="F612" s="11" t="n"/>
    </row>
    <row r="613" ht="14.25" customHeight="1" s="38">
      <c r="E613" s="11" t="n"/>
      <c r="F613" s="11" t="n"/>
    </row>
    <row r="614" ht="14.25" customHeight="1" s="38">
      <c r="E614" s="11" t="n"/>
      <c r="F614" s="11" t="n"/>
    </row>
    <row r="615" ht="14.25" customHeight="1" s="38">
      <c r="E615" s="11" t="n"/>
      <c r="F615" s="11" t="n"/>
    </row>
    <row r="616" ht="14.25" customHeight="1" s="38">
      <c r="E616" s="11" t="n"/>
      <c r="F616" s="11" t="n"/>
    </row>
    <row r="617" ht="14.25" customHeight="1" s="38">
      <c r="E617" s="11" t="n"/>
      <c r="F617" s="11" t="n"/>
    </row>
    <row r="618" ht="14.25" customHeight="1" s="38">
      <c r="E618" s="11" t="n"/>
      <c r="F618" s="11" t="n"/>
    </row>
    <row r="619" ht="14.25" customHeight="1" s="38">
      <c r="E619" s="11" t="n"/>
      <c r="F619" s="11" t="n"/>
    </row>
    <row r="620" ht="14.25" customHeight="1" s="38">
      <c r="E620" s="11" t="n"/>
      <c r="F620" s="11" t="n"/>
    </row>
    <row r="621" ht="14.25" customHeight="1" s="38">
      <c r="E621" s="11" t="n"/>
      <c r="F621" s="11" t="n"/>
    </row>
    <row r="622" ht="14.25" customHeight="1" s="38">
      <c r="E622" s="11" t="n"/>
      <c r="F622" s="11" t="n"/>
    </row>
    <row r="623" ht="14.25" customHeight="1" s="38">
      <c r="E623" s="11" t="n"/>
      <c r="F623" s="11" t="n"/>
    </row>
    <row r="624" ht="14.25" customHeight="1" s="38">
      <c r="E624" s="11" t="n"/>
      <c r="F624" s="11" t="n"/>
    </row>
    <row r="625" ht="14.25" customHeight="1" s="38">
      <c r="E625" s="11" t="n"/>
      <c r="F625" s="11" t="n"/>
    </row>
    <row r="626" ht="14.25" customHeight="1" s="38">
      <c r="E626" s="11" t="n"/>
      <c r="F626" s="11" t="n"/>
    </row>
    <row r="627" ht="14.25" customHeight="1" s="38">
      <c r="E627" s="11" t="n"/>
      <c r="F627" s="11" t="n"/>
    </row>
    <row r="628" ht="14.25" customHeight="1" s="38">
      <c r="E628" s="11" t="n"/>
      <c r="F628" s="11" t="n"/>
    </row>
    <row r="629" ht="14.25" customHeight="1" s="38">
      <c r="E629" s="11" t="n"/>
      <c r="F629" s="11" t="n"/>
    </row>
    <row r="630" ht="14.25" customHeight="1" s="38">
      <c r="E630" s="11" t="n"/>
      <c r="F630" s="11" t="n"/>
    </row>
    <row r="631" ht="14.25" customHeight="1" s="38">
      <c r="E631" s="11" t="n"/>
      <c r="F631" s="11" t="n"/>
    </row>
    <row r="632" ht="14.25" customHeight="1" s="38">
      <c r="E632" s="11" t="n"/>
      <c r="F632" s="11" t="n"/>
    </row>
    <row r="633" ht="14.25" customHeight="1" s="38">
      <c r="E633" s="11" t="n"/>
      <c r="F633" s="11" t="n"/>
    </row>
    <row r="634" ht="14.25" customHeight="1" s="38">
      <c r="E634" s="11" t="n"/>
      <c r="F634" s="11" t="n"/>
    </row>
    <row r="635" ht="14.25" customHeight="1" s="38">
      <c r="E635" s="11" t="n"/>
      <c r="F635" s="11" t="n"/>
    </row>
    <row r="636" ht="14.25" customHeight="1" s="38">
      <c r="E636" s="11" t="n"/>
      <c r="F636" s="11" t="n"/>
    </row>
    <row r="637" ht="14.25" customHeight="1" s="38">
      <c r="E637" s="11" t="n"/>
      <c r="F637" s="11" t="n"/>
    </row>
    <row r="638" ht="14.25" customHeight="1" s="38">
      <c r="E638" s="11" t="n"/>
      <c r="F638" s="11" t="n"/>
    </row>
    <row r="639" ht="14.25" customHeight="1" s="38">
      <c r="E639" s="11" t="n"/>
      <c r="F639" s="11" t="n"/>
    </row>
    <row r="640" ht="14.25" customHeight="1" s="38">
      <c r="E640" s="11" t="n"/>
      <c r="F640" s="11" t="n"/>
    </row>
    <row r="641" ht="14.25" customHeight="1" s="38">
      <c r="E641" s="11" t="n"/>
      <c r="F641" s="11" t="n"/>
    </row>
    <row r="642" ht="14.25" customHeight="1" s="38">
      <c r="E642" s="11" t="n"/>
      <c r="F642" s="11" t="n"/>
    </row>
    <row r="643" ht="14.25" customHeight="1" s="38">
      <c r="E643" s="11" t="n"/>
      <c r="F643" s="11" t="n"/>
    </row>
    <row r="644" ht="14.25" customHeight="1" s="38">
      <c r="E644" s="11" t="n"/>
      <c r="F644" s="11" t="n"/>
    </row>
    <row r="645" ht="14.25" customHeight="1" s="38">
      <c r="E645" s="11" t="n"/>
      <c r="F645" s="11" t="n"/>
    </row>
    <row r="646" ht="14.25" customHeight="1" s="38">
      <c r="E646" s="11" t="n"/>
      <c r="F646" s="11" t="n"/>
    </row>
    <row r="647" ht="14.25" customHeight="1" s="38">
      <c r="E647" s="11" t="n"/>
      <c r="F647" s="11" t="n"/>
    </row>
    <row r="648" ht="14.25" customHeight="1" s="38">
      <c r="E648" s="11" t="n"/>
      <c r="F648" s="11" t="n"/>
    </row>
    <row r="649" ht="14.25" customHeight="1" s="38">
      <c r="E649" s="11" t="n"/>
      <c r="F649" s="11" t="n"/>
    </row>
    <row r="650" ht="14.25" customHeight="1" s="38">
      <c r="E650" s="11" t="n"/>
      <c r="F650" s="11" t="n"/>
    </row>
    <row r="651" ht="14.25" customHeight="1" s="38">
      <c r="E651" s="11" t="n"/>
      <c r="F651" s="11" t="n"/>
    </row>
    <row r="652" ht="14.25" customHeight="1" s="38">
      <c r="E652" s="11" t="n"/>
      <c r="F652" s="11" t="n"/>
    </row>
    <row r="653" ht="14.25" customHeight="1" s="38">
      <c r="E653" s="11" t="n"/>
      <c r="F653" s="11" t="n"/>
    </row>
    <row r="654" ht="14.25" customHeight="1" s="38">
      <c r="E654" s="11" t="n"/>
      <c r="F654" s="11" t="n"/>
    </row>
    <row r="655" ht="14.25" customHeight="1" s="38">
      <c r="E655" s="11" t="n"/>
      <c r="F655" s="11" t="n"/>
    </row>
    <row r="656" ht="14.25" customHeight="1" s="38">
      <c r="E656" s="11" t="n"/>
      <c r="F656" s="11" t="n"/>
    </row>
    <row r="657" ht="14.25" customHeight="1" s="38">
      <c r="E657" s="11" t="n"/>
      <c r="F657" s="11" t="n"/>
    </row>
    <row r="658" ht="14.25" customHeight="1" s="38">
      <c r="E658" s="11" t="n"/>
      <c r="F658" s="11" t="n"/>
    </row>
    <row r="659" ht="14.25" customHeight="1" s="38">
      <c r="E659" s="11" t="n"/>
      <c r="F659" s="11" t="n"/>
    </row>
    <row r="660" ht="14.25" customHeight="1" s="38">
      <c r="E660" s="11" t="n"/>
      <c r="F660" s="11" t="n"/>
    </row>
    <row r="661" ht="14.25" customHeight="1" s="38">
      <c r="E661" s="11" t="n"/>
      <c r="F661" s="11" t="n"/>
    </row>
    <row r="662" ht="14.25" customHeight="1" s="38">
      <c r="E662" s="11" t="n"/>
      <c r="F662" s="11" t="n"/>
    </row>
    <row r="663" ht="14.25" customHeight="1" s="38">
      <c r="E663" s="11" t="n"/>
      <c r="F663" s="11" t="n"/>
    </row>
    <row r="664" ht="14.25" customHeight="1" s="38">
      <c r="E664" s="11" t="n"/>
      <c r="F664" s="11" t="n"/>
    </row>
    <row r="665" ht="14.25" customHeight="1" s="38">
      <c r="E665" s="11" t="n"/>
      <c r="F665" s="11" t="n"/>
    </row>
    <row r="666" ht="14.25" customHeight="1" s="38">
      <c r="E666" s="11" t="n"/>
      <c r="F666" s="11" t="n"/>
    </row>
    <row r="667" ht="14.25" customHeight="1" s="38">
      <c r="E667" s="11" t="n"/>
      <c r="F667" s="11" t="n"/>
    </row>
    <row r="668" ht="14.25" customHeight="1" s="38">
      <c r="E668" s="11" t="n"/>
      <c r="F668" s="11" t="n"/>
    </row>
    <row r="669" ht="14.25" customHeight="1" s="38">
      <c r="E669" s="11" t="n"/>
      <c r="F669" s="11" t="n"/>
    </row>
    <row r="670" ht="14.25" customHeight="1" s="38">
      <c r="E670" s="11" t="n"/>
      <c r="F670" s="11" t="n"/>
    </row>
    <row r="671" ht="14.25" customHeight="1" s="38">
      <c r="E671" s="11" t="n"/>
      <c r="F671" s="11" t="n"/>
    </row>
    <row r="672" ht="14.25" customHeight="1" s="38">
      <c r="E672" s="11" t="n"/>
      <c r="F672" s="11" t="n"/>
    </row>
    <row r="673" ht="14.25" customHeight="1" s="38">
      <c r="E673" s="11" t="n"/>
      <c r="F673" s="11" t="n"/>
    </row>
    <row r="674" ht="14.25" customHeight="1" s="38">
      <c r="E674" s="11" t="n"/>
      <c r="F674" s="11" t="n"/>
    </row>
    <row r="675" ht="14.25" customHeight="1" s="38">
      <c r="E675" s="11" t="n"/>
      <c r="F675" s="11" t="n"/>
    </row>
    <row r="676" ht="14.25" customHeight="1" s="38">
      <c r="E676" s="11" t="n"/>
      <c r="F676" s="11" t="n"/>
    </row>
    <row r="677" ht="14.25" customHeight="1" s="38">
      <c r="E677" s="11" t="n"/>
      <c r="F677" s="11" t="n"/>
    </row>
    <row r="678" ht="14.25" customHeight="1" s="38">
      <c r="E678" s="11" t="n"/>
      <c r="F678" s="11" t="n"/>
    </row>
    <row r="679" ht="14.25" customHeight="1" s="38">
      <c r="E679" s="11" t="n"/>
      <c r="F679" s="11" t="n"/>
    </row>
    <row r="680" ht="14.25" customHeight="1" s="38">
      <c r="E680" s="11" t="n"/>
      <c r="F680" s="11" t="n"/>
    </row>
    <row r="681" ht="14.25" customHeight="1" s="38">
      <c r="E681" s="11" t="n"/>
      <c r="F681" s="11" t="n"/>
    </row>
    <row r="682" ht="14.25" customHeight="1" s="38">
      <c r="E682" s="11" t="n"/>
      <c r="F682" s="11" t="n"/>
    </row>
    <row r="683" ht="14.25" customHeight="1" s="38">
      <c r="E683" s="11" t="n"/>
      <c r="F683" s="11" t="n"/>
    </row>
    <row r="684" ht="14.25" customHeight="1" s="38">
      <c r="E684" s="11" t="n"/>
      <c r="F684" s="11" t="n"/>
    </row>
    <row r="685" ht="14.25" customHeight="1" s="38">
      <c r="E685" s="11" t="n"/>
      <c r="F685" s="11" t="n"/>
    </row>
    <row r="686" ht="14.25" customHeight="1" s="38">
      <c r="E686" s="11" t="n"/>
      <c r="F686" s="11" t="n"/>
    </row>
    <row r="687" ht="14.25" customHeight="1" s="38">
      <c r="E687" s="11" t="n"/>
      <c r="F687" s="11" t="n"/>
    </row>
    <row r="688" ht="14.25" customHeight="1" s="38">
      <c r="E688" s="11" t="n"/>
      <c r="F688" s="11" t="n"/>
    </row>
    <row r="689" ht="14.25" customHeight="1" s="38">
      <c r="E689" s="11" t="n"/>
      <c r="F689" s="11" t="n"/>
    </row>
    <row r="690" ht="14.25" customHeight="1" s="38">
      <c r="E690" s="11" t="n"/>
      <c r="F690" s="11" t="n"/>
    </row>
    <row r="691" ht="14.25" customHeight="1" s="38">
      <c r="E691" s="11" t="n"/>
      <c r="F691" s="11" t="n"/>
    </row>
    <row r="692" ht="14.25" customHeight="1" s="38">
      <c r="E692" s="11" t="n"/>
      <c r="F692" s="11" t="n"/>
    </row>
    <row r="693" ht="14.25" customHeight="1" s="38">
      <c r="E693" s="11" t="n"/>
      <c r="F693" s="11" t="n"/>
    </row>
    <row r="694" ht="14.25" customHeight="1" s="38">
      <c r="E694" s="11" t="n"/>
      <c r="F694" s="11" t="n"/>
    </row>
    <row r="695" ht="14.25" customHeight="1" s="38">
      <c r="E695" s="11" t="n"/>
      <c r="F695" s="11" t="n"/>
    </row>
    <row r="696" ht="14.25" customHeight="1" s="38">
      <c r="E696" s="11" t="n"/>
      <c r="F696" s="11" t="n"/>
    </row>
    <row r="697" ht="14.25" customHeight="1" s="38">
      <c r="E697" s="11" t="n"/>
      <c r="F697" s="11" t="n"/>
    </row>
    <row r="698" ht="14.25" customHeight="1" s="38">
      <c r="E698" s="11" t="n"/>
      <c r="F698" s="11" t="n"/>
    </row>
    <row r="699" ht="14.25" customHeight="1" s="38">
      <c r="E699" s="11" t="n"/>
      <c r="F699" s="11" t="n"/>
    </row>
    <row r="700" ht="14.25" customHeight="1" s="38">
      <c r="E700" s="11" t="n"/>
      <c r="F700" s="11" t="n"/>
    </row>
    <row r="701" ht="14.25" customHeight="1" s="38">
      <c r="E701" s="11" t="n"/>
      <c r="F701" s="11" t="n"/>
    </row>
    <row r="702" ht="14.25" customHeight="1" s="38">
      <c r="E702" s="11" t="n"/>
      <c r="F702" s="11" t="n"/>
    </row>
    <row r="703" ht="14.25" customHeight="1" s="38">
      <c r="E703" s="11" t="n"/>
      <c r="F703" s="11" t="n"/>
    </row>
    <row r="704" ht="14.25" customHeight="1" s="38">
      <c r="E704" s="11" t="n"/>
      <c r="F704" s="11" t="n"/>
    </row>
    <row r="705" ht="14.25" customHeight="1" s="38">
      <c r="E705" s="11" t="n"/>
      <c r="F705" s="11" t="n"/>
    </row>
    <row r="706" ht="14.25" customHeight="1" s="38">
      <c r="E706" s="11" t="n"/>
      <c r="F706" s="11" t="n"/>
    </row>
    <row r="707" ht="14.25" customHeight="1" s="38">
      <c r="E707" s="11" t="n"/>
      <c r="F707" s="11" t="n"/>
    </row>
    <row r="708" ht="14.25" customHeight="1" s="38">
      <c r="E708" s="11" t="n"/>
      <c r="F708" s="11" t="n"/>
    </row>
    <row r="709" ht="14.25" customHeight="1" s="38">
      <c r="E709" s="11" t="n"/>
      <c r="F709" s="11" t="n"/>
    </row>
    <row r="710" ht="14.25" customHeight="1" s="38">
      <c r="E710" s="11" t="n"/>
      <c r="F710" s="11" t="n"/>
    </row>
    <row r="711" ht="14.25" customHeight="1" s="38">
      <c r="E711" s="11" t="n"/>
      <c r="F711" s="11" t="n"/>
    </row>
    <row r="712" ht="14.25" customHeight="1" s="38">
      <c r="E712" s="11" t="n"/>
      <c r="F712" s="11" t="n"/>
    </row>
    <row r="713" ht="14.25" customHeight="1" s="38">
      <c r="E713" s="11" t="n"/>
      <c r="F713" s="11" t="n"/>
    </row>
    <row r="714" ht="14.25" customHeight="1" s="38">
      <c r="E714" s="11" t="n"/>
      <c r="F714" s="11" t="n"/>
    </row>
    <row r="715" ht="14.25" customHeight="1" s="38">
      <c r="E715" s="11" t="n"/>
      <c r="F715" s="11" t="n"/>
    </row>
    <row r="716" ht="14.25" customHeight="1" s="38">
      <c r="E716" s="11" t="n"/>
      <c r="F716" s="11" t="n"/>
    </row>
    <row r="717" ht="14.25" customHeight="1" s="38">
      <c r="E717" s="11" t="n"/>
      <c r="F717" s="11" t="n"/>
    </row>
    <row r="718" ht="14.25" customHeight="1" s="38">
      <c r="E718" s="11" t="n"/>
      <c r="F718" s="11" t="n"/>
    </row>
    <row r="719" ht="14.25" customHeight="1" s="38">
      <c r="E719" s="11" t="n"/>
      <c r="F719" s="11" t="n"/>
    </row>
    <row r="720" ht="14.25" customHeight="1" s="38">
      <c r="E720" s="11" t="n"/>
      <c r="F720" s="11" t="n"/>
    </row>
    <row r="721" ht="14.25" customHeight="1" s="38">
      <c r="E721" s="11" t="n"/>
      <c r="F721" s="11" t="n"/>
    </row>
    <row r="722" ht="14.25" customHeight="1" s="38">
      <c r="E722" s="11" t="n"/>
      <c r="F722" s="11" t="n"/>
    </row>
    <row r="723" ht="14.25" customHeight="1" s="38">
      <c r="E723" s="11" t="n"/>
      <c r="F723" s="11" t="n"/>
    </row>
    <row r="724" ht="14.25" customHeight="1" s="38">
      <c r="E724" s="11" t="n"/>
      <c r="F724" s="11" t="n"/>
    </row>
    <row r="725" ht="14.25" customHeight="1" s="38">
      <c r="E725" s="11" t="n"/>
      <c r="F725" s="11" t="n"/>
    </row>
    <row r="726" ht="14.25" customHeight="1" s="38">
      <c r="E726" s="11" t="n"/>
      <c r="F726" s="11" t="n"/>
    </row>
    <row r="727" ht="14.25" customHeight="1" s="38">
      <c r="E727" s="11" t="n"/>
      <c r="F727" s="11" t="n"/>
    </row>
    <row r="728" ht="14.25" customHeight="1" s="38">
      <c r="E728" s="11" t="n"/>
      <c r="F728" s="11" t="n"/>
    </row>
    <row r="729" ht="14.25" customHeight="1" s="38">
      <c r="E729" s="11" t="n"/>
      <c r="F729" s="11" t="n"/>
    </row>
    <row r="730" ht="14.25" customHeight="1" s="38">
      <c r="E730" s="11" t="n"/>
      <c r="F730" s="11" t="n"/>
    </row>
    <row r="731" ht="14.25" customHeight="1" s="38">
      <c r="E731" s="11" t="n"/>
      <c r="F731" s="11" t="n"/>
    </row>
    <row r="732" ht="14.25" customHeight="1" s="38">
      <c r="E732" s="11" t="n"/>
      <c r="F732" s="11" t="n"/>
    </row>
    <row r="733" ht="14.25" customHeight="1" s="38">
      <c r="E733" s="11" t="n"/>
      <c r="F733" s="11" t="n"/>
    </row>
    <row r="734" ht="14.25" customHeight="1" s="38">
      <c r="E734" s="11" t="n"/>
      <c r="F734" s="11" t="n"/>
    </row>
    <row r="735" ht="14.25" customHeight="1" s="38">
      <c r="E735" s="11" t="n"/>
      <c r="F735" s="11" t="n"/>
    </row>
    <row r="736" ht="14.25" customHeight="1" s="38">
      <c r="E736" s="11" t="n"/>
      <c r="F736" s="11" t="n"/>
    </row>
    <row r="737" ht="14.25" customHeight="1" s="38">
      <c r="E737" s="11" t="n"/>
      <c r="F737" s="11" t="n"/>
    </row>
    <row r="738" ht="14.25" customHeight="1" s="38">
      <c r="E738" s="11" t="n"/>
      <c r="F738" s="11" t="n"/>
    </row>
    <row r="739" ht="14.25" customHeight="1" s="38">
      <c r="E739" s="11" t="n"/>
      <c r="F739" s="11" t="n"/>
    </row>
    <row r="740" ht="14.25" customHeight="1" s="38">
      <c r="E740" s="11" t="n"/>
      <c r="F740" s="11" t="n"/>
    </row>
    <row r="741" ht="14.25" customHeight="1" s="38">
      <c r="E741" s="11" t="n"/>
      <c r="F741" s="11" t="n"/>
    </row>
    <row r="742" ht="14.25" customHeight="1" s="38">
      <c r="E742" s="11" t="n"/>
      <c r="F742" s="11" t="n"/>
    </row>
    <row r="743" ht="14.25" customHeight="1" s="38">
      <c r="E743" s="11" t="n"/>
      <c r="F743" s="11" t="n"/>
    </row>
    <row r="744" ht="14.25" customHeight="1" s="38">
      <c r="E744" s="11" t="n"/>
      <c r="F744" s="11" t="n"/>
    </row>
    <row r="745" ht="14.25" customHeight="1" s="38">
      <c r="E745" s="11" t="n"/>
      <c r="F745" s="11" t="n"/>
    </row>
    <row r="746" ht="14.25" customHeight="1" s="38">
      <c r="E746" s="11" t="n"/>
      <c r="F746" s="11" t="n"/>
    </row>
    <row r="747" ht="14.25" customHeight="1" s="38">
      <c r="E747" s="11" t="n"/>
      <c r="F747" s="11" t="n"/>
    </row>
    <row r="748" ht="14.25" customHeight="1" s="38">
      <c r="E748" s="11" t="n"/>
      <c r="F748" s="11" t="n"/>
    </row>
    <row r="749" ht="14.25" customHeight="1" s="38">
      <c r="E749" s="11" t="n"/>
      <c r="F749" s="11" t="n"/>
    </row>
    <row r="750" ht="14.25" customHeight="1" s="38">
      <c r="E750" s="11" t="n"/>
      <c r="F750" s="11" t="n"/>
    </row>
    <row r="751" ht="14.25" customHeight="1" s="38">
      <c r="E751" s="11" t="n"/>
      <c r="F751" s="11" t="n"/>
    </row>
    <row r="752" ht="14.25" customHeight="1" s="38">
      <c r="E752" s="11" t="n"/>
      <c r="F752" s="11" t="n"/>
    </row>
    <row r="753" ht="14.25" customHeight="1" s="38">
      <c r="E753" s="11" t="n"/>
      <c r="F753" s="11" t="n"/>
    </row>
    <row r="754" ht="14.25" customHeight="1" s="38">
      <c r="E754" s="11" t="n"/>
      <c r="F754" s="11" t="n"/>
    </row>
    <row r="755" ht="14.25" customHeight="1" s="38">
      <c r="E755" s="11" t="n"/>
      <c r="F755" s="11" t="n"/>
    </row>
    <row r="756" ht="14.25" customHeight="1" s="38">
      <c r="E756" s="11" t="n"/>
      <c r="F756" s="11" t="n"/>
    </row>
    <row r="757" ht="14.25" customHeight="1" s="38">
      <c r="E757" s="11" t="n"/>
      <c r="F757" s="11" t="n"/>
    </row>
    <row r="758" ht="14.25" customHeight="1" s="38">
      <c r="E758" s="11" t="n"/>
      <c r="F758" s="11" t="n"/>
    </row>
    <row r="759" ht="14.25" customHeight="1" s="38">
      <c r="E759" s="11" t="n"/>
      <c r="F759" s="11" t="n"/>
    </row>
    <row r="760" ht="14.25" customHeight="1" s="38">
      <c r="E760" s="11" t="n"/>
      <c r="F760" s="11" t="n"/>
    </row>
    <row r="761" ht="14.25" customHeight="1" s="38">
      <c r="E761" s="11" t="n"/>
      <c r="F761" s="11" t="n"/>
    </row>
    <row r="762" ht="14.25" customHeight="1" s="38">
      <c r="E762" s="11" t="n"/>
      <c r="F762" s="11" t="n"/>
    </row>
    <row r="763" ht="14.25" customHeight="1" s="38">
      <c r="E763" s="11" t="n"/>
      <c r="F763" s="11" t="n"/>
    </row>
    <row r="764" ht="14.25" customHeight="1" s="38">
      <c r="E764" s="11" t="n"/>
      <c r="F764" s="11" t="n"/>
    </row>
    <row r="765" ht="14.25" customHeight="1" s="38">
      <c r="E765" s="11" t="n"/>
      <c r="F765" s="11" t="n"/>
    </row>
    <row r="766" ht="14.25" customHeight="1" s="38">
      <c r="E766" s="11" t="n"/>
      <c r="F766" s="11" t="n"/>
    </row>
    <row r="767" ht="14.25" customHeight="1" s="38">
      <c r="E767" s="11" t="n"/>
      <c r="F767" s="11" t="n"/>
    </row>
    <row r="768" ht="14.25" customHeight="1" s="38">
      <c r="E768" s="11" t="n"/>
      <c r="F768" s="11" t="n"/>
    </row>
    <row r="769" ht="14.25" customHeight="1" s="38">
      <c r="E769" s="11" t="n"/>
      <c r="F769" s="11" t="n"/>
    </row>
    <row r="770" ht="14.25" customHeight="1" s="38">
      <c r="E770" s="11" t="n"/>
      <c r="F770" s="11" t="n"/>
    </row>
    <row r="771" ht="14.25" customHeight="1" s="38">
      <c r="E771" s="11" t="n"/>
      <c r="F771" s="11" t="n"/>
    </row>
    <row r="772" ht="14.25" customHeight="1" s="38">
      <c r="E772" s="11" t="n"/>
      <c r="F772" s="11" t="n"/>
    </row>
    <row r="773" ht="14.25" customHeight="1" s="38">
      <c r="E773" s="11" t="n"/>
      <c r="F773" s="11" t="n"/>
    </row>
    <row r="774" ht="14.25" customHeight="1" s="38">
      <c r="E774" s="11" t="n"/>
      <c r="F774" s="11" t="n"/>
    </row>
    <row r="775" ht="14.25" customHeight="1" s="38">
      <c r="E775" s="11" t="n"/>
      <c r="F775" s="11" t="n"/>
    </row>
    <row r="776" ht="14.25" customHeight="1" s="38">
      <c r="E776" s="11" t="n"/>
      <c r="F776" s="11" t="n"/>
    </row>
    <row r="777" ht="14.25" customHeight="1" s="38">
      <c r="E777" s="11" t="n"/>
      <c r="F777" s="11" t="n"/>
    </row>
    <row r="778" ht="14.25" customHeight="1" s="38">
      <c r="E778" s="11" t="n"/>
      <c r="F778" s="11" t="n"/>
    </row>
    <row r="779" ht="14.25" customHeight="1" s="38">
      <c r="E779" s="11" t="n"/>
      <c r="F779" s="11" t="n"/>
    </row>
    <row r="780" ht="14.25" customHeight="1" s="38">
      <c r="E780" s="11" t="n"/>
      <c r="F780" s="11" t="n"/>
    </row>
    <row r="781" ht="14.25" customHeight="1" s="38">
      <c r="E781" s="11" t="n"/>
      <c r="F781" s="11" t="n"/>
    </row>
    <row r="782" ht="14.25" customHeight="1" s="38">
      <c r="E782" s="11" t="n"/>
      <c r="F782" s="11" t="n"/>
    </row>
    <row r="783" ht="14.25" customHeight="1" s="38">
      <c r="E783" s="11" t="n"/>
      <c r="F783" s="11" t="n"/>
    </row>
    <row r="784" ht="14.25" customHeight="1" s="38">
      <c r="E784" s="11" t="n"/>
      <c r="F784" s="11" t="n"/>
    </row>
    <row r="785" ht="14.25" customHeight="1" s="38">
      <c r="E785" s="11" t="n"/>
      <c r="F785" s="11" t="n"/>
    </row>
    <row r="786" ht="14.25" customHeight="1" s="38">
      <c r="E786" s="11" t="n"/>
      <c r="F786" s="11" t="n"/>
    </row>
    <row r="787" ht="14.25" customHeight="1" s="38">
      <c r="E787" s="11" t="n"/>
      <c r="F787" s="11" t="n"/>
    </row>
    <row r="788" ht="14.25" customHeight="1" s="38">
      <c r="E788" s="11" t="n"/>
      <c r="F788" s="11" t="n"/>
    </row>
    <row r="789" ht="14.25" customHeight="1" s="38">
      <c r="E789" s="11" t="n"/>
      <c r="F789" s="11" t="n"/>
    </row>
    <row r="790" ht="14.25" customHeight="1" s="38">
      <c r="E790" s="11" t="n"/>
      <c r="F790" s="11" t="n"/>
    </row>
    <row r="791" ht="14.25" customHeight="1" s="38">
      <c r="E791" s="11" t="n"/>
      <c r="F791" s="11" t="n"/>
    </row>
    <row r="792" ht="14.25" customHeight="1" s="38">
      <c r="E792" s="11" t="n"/>
      <c r="F792" s="11" t="n"/>
    </row>
    <row r="793" ht="14.25" customHeight="1" s="38">
      <c r="E793" s="11" t="n"/>
      <c r="F793" s="11" t="n"/>
    </row>
    <row r="794" ht="14.25" customHeight="1" s="38">
      <c r="E794" s="11" t="n"/>
      <c r="F794" s="11" t="n"/>
    </row>
    <row r="795" ht="14.25" customHeight="1" s="38">
      <c r="E795" s="11" t="n"/>
      <c r="F795" s="11" t="n"/>
    </row>
    <row r="796" ht="14.25" customHeight="1" s="38">
      <c r="E796" s="11" t="n"/>
      <c r="F796" s="11" t="n"/>
    </row>
    <row r="797" ht="14.25" customHeight="1" s="38">
      <c r="E797" s="11" t="n"/>
      <c r="F797" s="11" t="n"/>
    </row>
    <row r="798" ht="14.25" customHeight="1" s="38">
      <c r="E798" s="11" t="n"/>
      <c r="F798" s="11" t="n"/>
    </row>
    <row r="799" ht="14.25" customHeight="1" s="38">
      <c r="E799" s="11" t="n"/>
      <c r="F799" s="11" t="n"/>
    </row>
    <row r="800" ht="14.25" customHeight="1" s="38">
      <c r="E800" s="11" t="n"/>
      <c r="F800" s="11" t="n"/>
    </row>
    <row r="801" ht="14.25" customHeight="1" s="38">
      <c r="E801" s="11" t="n"/>
      <c r="F801" s="11" t="n"/>
    </row>
    <row r="802" ht="14.25" customHeight="1" s="38">
      <c r="E802" s="11" t="n"/>
      <c r="F802" s="11" t="n"/>
    </row>
    <row r="803" ht="14.25" customHeight="1" s="38">
      <c r="E803" s="11" t="n"/>
      <c r="F803" s="11" t="n"/>
    </row>
    <row r="804" ht="14.25" customHeight="1" s="38">
      <c r="E804" s="11" t="n"/>
      <c r="F804" s="11" t="n"/>
    </row>
    <row r="805" ht="14.25" customHeight="1" s="38">
      <c r="E805" s="11" t="n"/>
      <c r="F805" s="11" t="n"/>
    </row>
    <row r="806" ht="14.25" customHeight="1" s="38">
      <c r="E806" s="11" t="n"/>
      <c r="F806" s="11" t="n"/>
    </row>
    <row r="807" ht="14.25" customHeight="1" s="38">
      <c r="E807" s="11" t="n"/>
      <c r="F807" s="11" t="n"/>
    </row>
    <row r="808" ht="14.25" customHeight="1" s="38">
      <c r="E808" s="11" t="n"/>
      <c r="F808" s="11" t="n"/>
    </row>
    <row r="809" ht="14.25" customHeight="1" s="38">
      <c r="E809" s="11" t="n"/>
      <c r="F809" s="11" t="n"/>
    </row>
    <row r="810" ht="14.25" customHeight="1" s="38">
      <c r="E810" s="11" t="n"/>
      <c r="F810" s="11" t="n"/>
    </row>
    <row r="811" ht="14.25" customHeight="1" s="38">
      <c r="E811" s="11" t="n"/>
      <c r="F811" s="11" t="n"/>
    </row>
    <row r="812" ht="14.25" customHeight="1" s="38">
      <c r="E812" s="11" t="n"/>
      <c r="F812" s="11" t="n"/>
    </row>
    <row r="813" ht="14.25" customHeight="1" s="38">
      <c r="E813" s="11" t="n"/>
      <c r="F813" s="11" t="n"/>
    </row>
    <row r="814" ht="14.25" customHeight="1" s="38">
      <c r="E814" s="11" t="n"/>
      <c r="F814" s="11" t="n"/>
    </row>
    <row r="815" ht="14.25" customHeight="1" s="38">
      <c r="E815" s="11" t="n"/>
      <c r="F815" s="11" t="n"/>
    </row>
    <row r="816" ht="14.25" customHeight="1" s="38">
      <c r="E816" s="11" t="n"/>
      <c r="F816" s="11" t="n"/>
    </row>
    <row r="817" ht="14.25" customHeight="1" s="38">
      <c r="E817" s="11" t="n"/>
      <c r="F817" s="11" t="n"/>
    </row>
    <row r="818" ht="14.25" customHeight="1" s="38">
      <c r="E818" s="11" t="n"/>
      <c r="F818" s="11" t="n"/>
    </row>
    <row r="819" ht="14.25" customHeight="1" s="38">
      <c r="E819" s="11" t="n"/>
      <c r="F819" s="11" t="n"/>
    </row>
    <row r="820" ht="14.25" customHeight="1" s="38">
      <c r="E820" s="11" t="n"/>
      <c r="F820" s="11" t="n"/>
    </row>
    <row r="821" ht="14.25" customHeight="1" s="38">
      <c r="E821" s="11" t="n"/>
      <c r="F821" s="11" t="n"/>
    </row>
    <row r="822" ht="14.25" customHeight="1" s="38">
      <c r="E822" s="11" t="n"/>
      <c r="F822" s="11" t="n"/>
    </row>
    <row r="823" ht="14.25" customHeight="1" s="38">
      <c r="E823" s="11" t="n"/>
      <c r="F823" s="11" t="n"/>
    </row>
    <row r="824" ht="14.25" customHeight="1" s="38">
      <c r="E824" s="11" t="n"/>
      <c r="F824" s="11" t="n"/>
    </row>
    <row r="825" ht="14.25" customHeight="1" s="38">
      <c r="E825" s="11" t="n"/>
      <c r="F825" s="11" t="n"/>
    </row>
    <row r="826" ht="14.25" customHeight="1" s="38">
      <c r="E826" s="11" t="n"/>
      <c r="F826" s="11" t="n"/>
    </row>
    <row r="827" ht="14.25" customHeight="1" s="38">
      <c r="E827" s="11" t="n"/>
      <c r="F827" s="11" t="n"/>
    </row>
    <row r="828" ht="14.25" customHeight="1" s="38">
      <c r="E828" s="11" t="n"/>
      <c r="F828" s="11" t="n"/>
    </row>
    <row r="829" ht="14.25" customHeight="1" s="38">
      <c r="E829" s="11" t="n"/>
      <c r="F829" s="11" t="n"/>
    </row>
    <row r="830" ht="14.25" customHeight="1" s="38">
      <c r="E830" s="11" t="n"/>
      <c r="F830" s="11" t="n"/>
    </row>
    <row r="831" ht="14.25" customHeight="1" s="38">
      <c r="E831" s="11" t="n"/>
      <c r="F831" s="11" t="n"/>
    </row>
    <row r="832" ht="14.25" customHeight="1" s="38">
      <c r="E832" s="11" t="n"/>
      <c r="F832" s="11" t="n"/>
    </row>
    <row r="833" ht="14.25" customHeight="1" s="38">
      <c r="E833" s="11" t="n"/>
      <c r="F833" s="11" t="n"/>
    </row>
    <row r="834" ht="14.25" customHeight="1" s="38">
      <c r="E834" s="11" t="n"/>
      <c r="F834" s="11" t="n"/>
    </row>
    <row r="835" ht="14.25" customHeight="1" s="38">
      <c r="E835" s="11" t="n"/>
      <c r="F835" s="11" t="n"/>
    </row>
    <row r="836" ht="14.25" customHeight="1" s="38">
      <c r="E836" s="11" t="n"/>
      <c r="F836" s="11" t="n"/>
    </row>
    <row r="837" ht="14.25" customHeight="1" s="38">
      <c r="E837" s="11" t="n"/>
      <c r="F837" s="11" t="n"/>
    </row>
    <row r="838" ht="14.25" customHeight="1" s="38">
      <c r="E838" s="11" t="n"/>
      <c r="F838" s="11" t="n"/>
    </row>
    <row r="839" ht="14.25" customHeight="1" s="38">
      <c r="E839" s="11" t="n"/>
      <c r="F839" s="11" t="n"/>
    </row>
    <row r="840" ht="14.25" customHeight="1" s="38">
      <c r="E840" s="11" t="n"/>
      <c r="F840" s="11" t="n"/>
    </row>
    <row r="841" ht="14.25" customHeight="1" s="38">
      <c r="E841" s="11" t="n"/>
      <c r="F841" s="11" t="n"/>
    </row>
    <row r="842" ht="14.25" customHeight="1" s="38">
      <c r="E842" s="11" t="n"/>
      <c r="F842" s="11" t="n"/>
    </row>
    <row r="843" ht="14.25" customHeight="1" s="38">
      <c r="E843" s="11" t="n"/>
      <c r="F843" s="11" t="n"/>
    </row>
    <row r="844" ht="14.25" customHeight="1" s="38">
      <c r="E844" s="11" t="n"/>
      <c r="F844" s="11" t="n"/>
    </row>
    <row r="845" ht="14.25" customHeight="1" s="38">
      <c r="E845" s="11" t="n"/>
      <c r="F845" s="11" t="n"/>
    </row>
    <row r="846" ht="14.25" customHeight="1" s="38">
      <c r="E846" s="11" t="n"/>
      <c r="F846" s="11" t="n"/>
    </row>
    <row r="847" ht="14.25" customHeight="1" s="38">
      <c r="E847" s="11" t="n"/>
      <c r="F847" s="11" t="n"/>
    </row>
    <row r="848" ht="14.25" customHeight="1" s="38">
      <c r="E848" s="11" t="n"/>
      <c r="F848" s="11" t="n"/>
    </row>
    <row r="849" ht="14.25" customHeight="1" s="38">
      <c r="E849" s="11" t="n"/>
      <c r="F849" s="11" t="n"/>
    </row>
    <row r="850" ht="14.25" customHeight="1" s="38">
      <c r="E850" s="11" t="n"/>
      <c r="F850" s="11" t="n"/>
    </row>
    <row r="851" ht="14.25" customHeight="1" s="38">
      <c r="E851" s="11" t="n"/>
      <c r="F851" s="11" t="n"/>
    </row>
    <row r="852" ht="14.25" customHeight="1" s="38">
      <c r="E852" s="11" t="n"/>
      <c r="F852" s="11" t="n"/>
    </row>
    <row r="853" ht="14.25" customHeight="1" s="38">
      <c r="E853" s="11" t="n"/>
      <c r="F853" s="11" t="n"/>
    </row>
    <row r="854" ht="14.25" customHeight="1" s="38">
      <c r="E854" s="11" t="n"/>
      <c r="F854" s="11" t="n"/>
    </row>
    <row r="855" ht="14.25" customHeight="1" s="38">
      <c r="E855" s="11" t="n"/>
      <c r="F855" s="11" t="n"/>
    </row>
    <row r="856" ht="14.25" customHeight="1" s="38">
      <c r="E856" s="11" t="n"/>
      <c r="F856" s="11" t="n"/>
    </row>
    <row r="857" ht="14.25" customHeight="1" s="38">
      <c r="E857" s="11" t="n"/>
      <c r="F857" s="11" t="n"/>
    </row>
    <row r="858" ht="14.25" customHeight="1" s="38">
      <c r="E858" s="11" t="n"/>
      <c r="F858" s="11" t="n"/>
    </row>
    <row r="859" ht="14.25" customHeight="1" s="38">
      <c r="E859" s="11" t="n"/>
      <c r="F859" s="11" t="n"/>
    </row>
    <row r="860" ht="14.25" customHeight="1" s="38">
      <c r="E860" s="11" t="n"/>
      <c r="F860" s="11" t="n"/>
    </row>
    <row r="861" ht="14.25" customHeight="1" s="38">
      <c r="E861" s="11" t="n"/>
      <c r="F861" s="11" t="n"/>
    </row>
    <row r="862" ht="14.25" customHeight="1" s="38">
      <c r="E862" s="11" t="n"/>
      <c r="F862" s="11" t="n"/>
    </row>
    <row r="863" ht="14.25" customHeight="1" s="38">
      <c r="E863" s="11" t="n"/>
      <c r="F863" s="11" t="n"/>
    </row>
    <row r="864" ht="14.25" customHeight="1" s="38">
      <c r="E864" s="11" t="n"/>
      <c r="F864" s="11" t="n"/>
    </row>
    <row r="865" ht="14.25" customHeight="1" s="38">
      <c r="E865" s="11" t="n"/>
      <c r="F865" s="11" t="n"/>
    </row>
    <row r="866" ht="14.25" customHeight="1" s="38">
      <c r="E866" s="11" t="n"/>
      <c r="F866" s="11" t="n"/>
    </row>
    <row r="867" ht="14.25" customHeight="1" s="38">
      <c r="E867" s="11" t="n"/>
      <c r="F867" s="11" t="n"/>
    </row>
    <row r="868" ht="14.25" customHeight="1" s="38">
      <c r="E868" s="11" t="n"/>
      <c r="F868" s="11" t="n"/>
    </row>
    <row r="869" ht="14.25" customHeight="1" s="38">
      <c r="E869" s="11" t="n"/>
      <c r="F869" s="11" t="n"/>
    </row>
    <row r="870" ht="14.25" customHeight="1" s="38">
      <c r="E870" s="11" t="n"/>
      <c r="F870" s="11" t="n"/>
    </row>
    <row r="871" ht="14.25" customHeight="1" s="38">
      <c r="E871" s="11" t="n"/>
      <c r="F871" s="11" t="n"/>
    </row>
    <row r="872" ht="14.25" customHeight="1" s="38">
      <c r="E872" s="11" t="n"/>
      <c r="F872" s="11" t="n"/>
    </row>
    <row r="873" ht="14.25" customHeight="1" s="38">
      <c r="E873" s="11" t="n"/>
      <c r="F873" s="11" t="n"/>
    </row>
    <row r="874" ht="14.25" customHeight="1" s="38">
      <c r="E874" s="11" t="n"/>
      <c r="F874" s="11" t="n"/>
    </row>
    <row r="875" ht="14.25" customHeight="1" s="38">
      <c r="E875" s="11" t="n"/>
      <c r="F875" s="11" t="n"/>
    </row>
    <row r="876" ht="14.25" customHeight="1" s="38">
      <c r="E876" s="11" t="n"/>
      <c r="F876" s="11" t="n"/>
    </row>
    <row r="877" ht="14.25" customHeight="1" s="38">
      <c r="E877" s="11" t="n"/>
      <c r="F877" s="11" t="n"/>
    </row>
    <row r="878" ht="14.25" customHeight="1" s="38">
      <c r="E878" s="11" t="n"/>
      <c r="F878" s="11" t="n"/>
    </row>
    <row r="879" ht="14.25" customHeight="1" s="38">
      <c r="E879" s="11" t="n"/>
      <c r="F879" s="11" t="n"/>
    </row>
    <row r="880" ht="14.25" customHeight="1" s="38">
      <c r="E880" s="11" t="n"/>
      <c r="F880" s="11" t="n"/>
    </row>
    <row r="881" ht="14.25" customHeight="1" s="38">
      <c r="E881" s="11" t="n"/>
      <c r="F881" s="11" t="n"/>
    </row>
    <row r="882" ht="14.25" customHeight="1" s="38">
      <c r="E882" s="11" t="n"/>
      <c r="F882" s="11" t="n"/>
    </row>
    <row r="883" ht="14.25" customHeight="1" s="38">
      <c r="E883" s="11" t="n"/>
      <c r="F883" s="11" t="n"/>
    </row>
    <row r="884" ht="14.25" customHeight="1" s="38">
      <c r="E884" s="11" t="n"/>
      <c r="F884" s="11" t="n"/>
    </row>
    <row r="885" ht="14.25" customHeight="1" s="38">
      <c r="E885" s="11" t="n"/>
      <c r="F885" s="11" t="n"/>
    </row>
    <row r="886" ht="14.25" customHeight="1" s="38">
      <c r="E886" s="11" t="n"/>
      <c r="F886" s="11" t="n"/>
    </row>
    <row r="887" ht="14.25" customHeight="1" s="38">
      <c r="E887" s="11" t="n"/>
      <c r="F887" s="11" t="n"/>
    </row>
    <row r="888" ht="14.25" customHeight="1" s="38">
      <c r="E888" s="11" t="n"/>
      <c r="F888" s="11" t="n"/>
    </row>
    <row r="889" ht="14.25" customHeight="1" s="38">
      <c r="E889" s="11" t="n"/>
      <c r="F889" s="11" t="n"/>
    </row>
    <row r="890" ht="14.25" customHeight="1" s="38">
      <c r="E890" s="11" t="n"/>
      <c r="F890" s="11" t="n"/>
    </row>
    <row r="891" ht="14.25" customHeight="1" s="38">
      <c r="E891" s="11" t="n"/>
      <c r="F891" s="11" t="n"/>
    </row>
    <row r="892" ht="14.25" customHeight="1" s="38">
      <c r="E892" s="11" t="n"/>
      <c r="F892" s="11" t="n"/>
    </row>
    <row r="893" ht="14.25" customHeight="1" s="38">
      <c r="E893" s="11" t="n"/>
      <c r="F893" s="11" t="n"/>
    </row>
    <row r="894" ht="14.25" customHeight="1" s="38">
      <c r="E894" s="11" t="n"/>
      <c r="F894" s="11" t="n"/>
    </row>
    <row r="895" ht="14.25" customHeight="1" s="38">
      <c r="E895" s="11" t="n"/>
      <c r="F895" s="11" t="n"/>
    </row>
    <row r="896" ht="14.25" customHeight="1" s="38">
      <c r="E896" s="11" t="n"/>
      <c r="F896" s="11" t="n"/>
    </row>
    <row r="897" ht="14.25" customHeight="1" s="38">
      <c r="E897" s="11" t="n"/>
      <c r="F897" s="11" t="n"/>
    </row>
    <row r="898" ht="14.25" customHeight="1" s="38">
      <c r="E898" s="11" t="n"/>
      <c r="F898" s="11" t="n"/>
    </row>
    <row r="899" ht="14.25" customHeight="1" s="38">
      <c r="E899" s="11" t="n"/>
      <c r="F899" s="11" t="n"/>
    </row>
    <row r="900" ht="14.25" customHeight="1" s="38">
      <c r="E900" s="11" t="n"/>
      <c r="F900" s="11" t="n"/>
    </row>
    <row r="901" ht="14.25" customHeight="1" s="38">
      <c r="E901" s="11" t="n"/>
      <c r="F901" s="11" t="n"/>
    </row>
    <row r="902" ht="14.25" customHeight="1" s="38">
      <c r="E902" s="11" t="n"/>
      <c r="F902" s="11" t="n"/>
    </row>
    <row r="903" ht="14.25" customHeight="1" s="38">
      <c r="E903" s="11" t="n"/>
      <c r="F903" s="11" t="n"/>
    </row>
    <row r="904" ht="14.25" customHeight="1" s="38">
      <c r="E904" s="11" t="n"/>
      <c r="F904" s="11" t="n"/>
    </row>
    <row r="905" ht="14.25" customHeight="1" s="38">
      <c r="E905" s="11" t="n"/>
      <c r="F905" s="11" t="n"/>
    </row>
    <row r="906" ht="14.25" customHeight="1" s="38">
      <c r="E906" s="11" t="n"/>
      <c r="F906" s="11" t="n"/>
    </row>
    <row r="907" ht="14.25" customHeight="1" s="38">
      <c r="E907" s="11" t="n"/>
      <c r="F907" s="11" t="n"/>
    </row>
    <row r="908" ht="14.25" customHeight="1" s="38">
      <c r="E908" s="11" t="n"/>
      <c r="F908" s="11" t="n"/>
    </row>
    <row r="909" ht="14.25" customHeight="1" s="38">
      <c r="E909" s="11" t="n"/>
      <c r="F909" s="11" t="n"/>
    </row>
    <row r="910" ht="14.25" customHeight="1" s="38">
      <c r="E910" s="11" t="n"/>
      <c r="F910" s="11" t="n"/>
    </row>
    <row r="911" ht="14.25" customHeight="1" s="38">
      <c r="E911" s="11" t="n"/>
      <c r="F911" s="11" t="n"/>
    </row>
    <row r="912" ht="14.25" customHeight="1" s="38">
      <c r="E912" s="11" t="n"/>
      <c r="F912" s="11" t="n"/>
    </row>
    <row r="913" ht="14.25" customHeight="1" s="38">
      <c r="E913" s="11" t="n"/>
      <c r="F913" s="11" t="n"/>
    </row>
    <row r="914" ht="14.25" customHeight="1" s="38">
      <c r="E914" s="11" t="n"/>
      <c r="F914" s="11" t="n"/>
    </row>
    <row r="915" ht="14.25" customHeight="1" s="38">
      <c r="E915" s="11" t="n"/>
      <c r="F915" s="11" t="n"/>
    </row>
    <row r="916" ht="14.25" customHeight="1" s="38">
      <c r="E916" s="11" t="n"/>
      <c r="F916" s="11" t="n"/>
    </row>
    <row r="917" ht="14.25" customHeight="1" s="38">
      <c r="E917" s="11" t="n"/>
      <c r="F917" s="11" t="n"/>
    </row>
    <row r="918" ht="14.25" customHeight="1" s="38">
      <c r="E918" s="11" t="n"/>
      <c r="F918" s="11" t="n"/>
    </row>
    <row r="919" ht="14.25" customHeight="1" s="38">
      <c r="E919" s="11" t="n"/>
      <c r="F919" s="11" t="n"/>
    </row>
    <row r="920" ht="14.25" customHeight="1" s="38">
      <c r="E920" s="11" t="n"/>
      <c r="F920" s="11" t="n"/>
    </row>
    <row r="921" ht="14.25" customHeight="1" s="38">
      <c r="E921" s="11" t="n"/>
      <c r="F921" s="11" t="n"/>
    </row>
    <row r="922" ht="14.25" customHeight="1" s="38">
      <c r="E922" s="11" t="n"/>
      <c r="F922" s="11" t="n"/>
    </row>
    <row r="923" ht="14.25" customHeight="1" s="38">
      <c r="E923" s="11" t="n"/>
      <c r="F923" s="11" t="n"/>
    </row>
    <row r="924" ht="14.25" customHeight="1" s="38">
      <c r="E924" s="11" t="n"/>
      <c r="F924" s="11" t="n"/>
    </row>
    <row r="925" ht="14.25" customHeight="1" s="38">
      <c r="E925" s="11" t="n"/>
      <c r="F925" s="11" t="n"/>
    </row>
    <row r="926" ht="14.25" customHeight="1" s="38">
      <c r="E926" s="11" t="n"/>
      <c r="F926" s="11" t="n"/>
    </row>
    <row r="927" ht="14.25" customHeight="1" s="38">
      <c r="E927" s="11" t="n"/>
      <c r="F927" s="11" t="n"/>
    </row>
    <row r="928" ht="14.25" customHeight="1" s="38">
      <c r="E928" s="11" t="n"/>
      <c r="F928" s="11" t="n"/>
    </row>
    <row r="929" ht="14.25" customHeight="1" s="38">
      <c r="E929" s="11" t="n"/>
      <c r="F929" s="11" t="n"/>
    </row>
    <row r="930" ht="14.25" customHeight="1" s="38">
      <c r="E930" s="11" t="n"/>
      <c r="F930" s="11" t="n"/>
    </row>
    <row r="931" ht="14.25" customHeight="1" s="38">
      <c r="E931" s="11" t="n"/>
      <c r="F931" s="11" t="n"/>
    </row>
    <row r="932" ht="14.25" customHeight="1" s="38">
      <c r="E932" s="11" t="n"/>
      <c r="F932" s="11" t="n"/>
    </row>
    <row r="933" ht="14.25" customHeight="1" s="38">
      <c r="E933" s="11" t="n"/>
      <c r="F933" s="11" t="n"/>
    </row>
    <row r="934" ht="14.25" customHeight="1" s="38">
      <c r="E934" s="11" t="n"/>
      <c r="F934" s="11" t="n"/>
    </row>
    <row r="935" ht="14.25" customHeight="1" s="38">
      <c r="E935" s="11" t="n"/>
      <c r="F935" s="11" t="n"/>
    </row>
    <row r="936" ht="14.25" customHeight="1" s="38">
      <c r="E936" s="11" t="n"/>
      <c r="F936" s="11" t="n"/>
    </row>
    <row r="937" ht="14.25" customHeight="1" s="38">
      <c r="E937" s="11" t="n"/>
      <c r="F937" s="11" t="n"/>
    </row>
    <row r="938" ht="14.25" customHeight="1" s="38">
      <c r="E938" s="11" t="n"/>
      <c r="F938" s="11" t="n"/>
    </row>
    <row r="939" ht="14.25" customHeight="1" s="38">
      <c r="E939" s="11" t="n"/>
      <c r="F939" s="11" t="n"/>
    </row>
    <row r="940" ht="14.25" customHeight="1" s="38">
      <c r="E940" s="11" t="n"/>
      <c r="F940" s="11" t="n"/>
    </row>
    <row r="941" ht="14.25" customHeight="1" s="38">
      <c r="E941" s="11" t="n"/>
      <c r="F941" s="11" t="n"/>
    </row>
    <row r="942" ht="14.25" customHeight="1" s="38">
      <c r="E942" s="11" t="n"/>
      <c r="F942" s="11" t="n"/>
    </row>
    <row r="943" ht="14.25" customHeight="1" s="38">
      <c r="E943" s="11" t="n"/>
      <c r="F943" s="11" t="n"/>
    </row>
    <row r="944" ht="14.25" customHeight="1" s="38">
      <c r="E944" s="11" t="n"/>
      <c r="F944" s="11" t="n"/>
    </row>
    <row r="945" ht="14.25" customHeight="1" s="38">
      <c r="E945" s="11" t="n"/>
      <c r="F945" s="11" t="n"/>
    </row>
    <row r="946" ht="14.25" customHeight="1" s="38">
      <c r="E946" s="11" t="n"/>
      <c r="F946" s="11" t="n"/>
    </row>
    <row r="947" ht="14.25" customHeight="1" s="38">
      <c r="E947" s="11" t="n"/>
      <c r="F947" s="11" t="n"/>
    </row>
    <row r="948" ht="14.25" customHeight="1" s="38">
      <c r="E948" s="11" t="n"/>
      <c r="F948" s="11" t="n"/>
    </row>
    <row r="949" ht="14.25" customHeight="1" s="38">
      <c r="E949" s="11" t="n"/>
      <c r="F949" s="11" t="n"/>
    </row>
    <row r="950" ht="14.25" customHeight="1" s="38">
      <c r="E950" s="11" t="n"/>
      <c r="F950" s="11" t="n"/>
    </row>
    <row r="951" ht="14.25" customHeight="1" s="38">
      <c r="E951" s="11" t="n"/>
      <c r="F951" s="11" t="n"/>
    </row>
    <row r="952" ht="14.25" customHeight="1" s="38">
      <c r="E952" s="11" t="n"/>
      <c r="F952" s="11" t="n"/>
    </row>
    <row r="953" ht="14.25" customHeight="1" s="38">
      <c r="E953" s="11" t="n"/>
      <c r="F953" s="11" t="n"/>
    </row>
    <row r="954" ht="14.25" customHeight="1" s="38">
      <c r="E954" s="11" t="n"/>
      <c r="F954" s="11" t="n"/>
    </row>
    <row r="955" ht="14.25" customHeight="1" s="38">
      <c r="E955" s="11" t="n"/>
      <c r="F955" s="11" t="n"/>
    </row>
    <row r="956" ht="14.25" customHeight="1" s="38">
      <c r="E956" s="11" t="n"/>
      <c r="F956" s="11" t="n"/>
    </row>
    <row r="957" ht="14.25" customHeight="1" s="38">
      <c r="E957" s="11" t="n"/>
      <c r="F957" s="11" t="n"/>
    </row>
    <row r="958" ht="14.25" customHeight="1" s="38">
      <c r="E958" s="11" t="n"/>
      <c r="F958" s="11" t="n"/>
    </row>
    <row r="959" ht="14.25" customHeight="1" s="38">
      <c r="E959" s="11" t="n"/>
      <c r="F959" s="11" t="n"/>
    </row>
    <row r="960" ht="14.25" customHeight="1" s="38">
      <c r="E960" s="11" t="n"/>
      <c r="F960" s="11" t="n"/>
    </row>
    <row r="961" ht="14.25" customHeight="1" s="38">
      <c r="E961" s="11" t="n"/>
      <c r="F961" s="11" t="n"/>
    </row>
    <row r="962" ht="14.25" customHeight="1" s="38">
      <c r="E962" s="11" t="n"/>
      <c r="F962" s="11" t="n"/>
    </row>
    <row r="963" ht="14.25" customHeight="1" s="38">
      <c r="E963" s="11" t="n"/>
      <c r="F963" s="11" t="n"/>
    </row>
    <row r="964" ht="14.25" customHeight="1" s="38">
      <c r="E964" s="11" t="n"/>
      <c r="F964" s="11" t="n"/>
    </row>
    <row r="965" ht="14.25" customHeight="1" s="38">
      <c r="E965" s="11" t="n"/>
      <c r="F965" s="11" t="n"/>
    </row>
    <row r="966" ht="14.25" customHeight="1" s="38">
      <c r="E966" s="11" t="n"/>
      <c r="F966" s="11" t="n"/>
    </row>
    <row r="967" ht="14.25" customHeight="1" s="38">
      <c r="E967" s="11" t="n"/>
      <c r="F967" s="11" t="n"/>
    </row>
    <row r="968" ht="14.25" customHeight="1" s="38">
      <c r="E968" s="11" t="n"/>
      <c r="F968" s="11" t="n"/>
    </row>
    <row r="969" ht="14.25" customHeight="1" s="38">
      <c r="E969" s="11" t="n"/>
      <c r="F969" s="11" t="n"/>
    </row>
    <row r="970" ht="14.25" customHeight="1" s="38">
      <c r="E970" s="11" t="n"/>
      <c r="F970" s="11" t="n"/>
    </row>
    <row r="971" ht="14.25" customHeight="1" s="38">
      <c r="E971" s="11" t="n"/>
      <c r="F971" s="11" t="n"/>
    </row>
    <row r="972" ht="14.25" customHeight="1" s="38">
      <c r="E972" s="11" t="n"/>
      <c r="F972" s="11" t="n"/>
    </row>
    <row r="973" ht="14.25" customHeight="1" s="38">
      <c r="E973" s="11" t="n"/>
      <c r="F973" s="11" t="n"/>
    </row>
    <row r="974" ht="14.25" customHeight="1" s="38">
      <c r="E974" s="11" t="n"/>
      <c r="F974" s="11" t="n"/>
    </row>
    <row r="975" ht="14.25" customHeight="1" s="38">
      <c r="E975" s="11" t="n"/>
      <c r="F975" s="11" t="n"/>
    </row>
    <row r="976" ht="14.25" customHeight="1" s="38">
      <c r="E976" s="11" t="n"/>
      <c r="F976" s="11" t="n"/>
    </row>
    <row r="977" ht="14.25" customHeight="1" s="38">
      <c r="E977" s="11" t="n"/>
      <c r="F977" s="11" t="n"/>
    </row>
    <row r="978" ht="14.25" customHeight="1" s="38">
      <c r="E978" s="11" t="n"/>
      <c r="F978" s="11" t="n"/>
    </row>
    <row r="979" ht="14.25" customHeight="1" s="38">
      <c r="E979" s="11" t="n"/>
      <c r="F979" s="11" t="n"/>
    </row>
    <row r="980" ht="14.25" customHeight="1" s="38">
      <c r="E980" s="11" t="n"/>
      <c r="F980" s="11" t="n"/>
    </row>
    <row r="981" ht="14.25" customHeight="1" s="38">
      <c r="E981" s="11" t="n"/>
      <c r="F981" s="11" t="n"/>
    </row>
    <row r="982" ht="14.25" customHeight="1" s="38">
      <c r="E982" s="11" t="n"/>
      <c r="F982" s="11" t="n"/>
    </row>
    <row r="983" ht="14.25" customHeight="1" s="38">
      <c r="E983" s="11" t="n"/>
      <c r="F983" s="11" t="n"/>
    </row>
    <row r="984" ht="14.25" customHeight="1" s="38">
      <c r="E984" s="11" t="n"/>
      <c r="F984" s="11" t="n"/>
    </row>
    <row r="985" ht="14.25" customHeight="1" s="38">
      <c r="E985" s="11" t="n"/>
      <c r="F985" s="11" t="n"/>
    </row>
    <row r="986" ht="14.25" customHeight="1" s="38">
      <c r="E986" s="11" t="n"/>
      <c r="F986" s="11" t="n"/>
    </row>
    <row r="987" ht="14.25" customHeight="1" s="38">
      <c r="E987" s="11" t="n"/>
      <c r="F987" s="11" t="n"/>
    </row>
    <row r="988" ht="14.25" customHeight="1" s="38">
      <c r="E988" s="11" t="n"/>
      <c r="F988" s="11" t="n"/>
    </row>
    <row r="989" ht="14.25" customHeight="1" s="38">
      <c r="E989" s="11" t="n"/>
      <c r="F989" s="11" t="n"/>
    </row>
    <row r="990" ht="14.25" customHeight="1" s="38">
      <c r="E990" s="11" t="n"/>
      <c r="F990" s="11" t="n"/>
    </row>
    <row r="991" ht="14.25" customHeight="1" s="38">
      <c r="E991" s="11" t="n"/>
      <c r="F991" s="11" t="n"/>
    </row>
    <row r="992" ht="14.25" customHeight="1" s="38">
      <c r="E992" s="11" t="n"/>
      <c r="F992" s="11" t="n"/>
    </row>
    <row r="993" ht="14.25" customHeight="1" s="38">
      <c r="E993" s="11" t="n"/>
      <c r="F993" s="11" t="n"/>
    </row>
    <row r="994" ht="14.25" customHeight="1" s="38">
      <c r="E994" s="11" t="n"/>
      <c r="F994" s="11" t="n"/>
    </row>
    <row r="995" ht="14.25" customHeight="1" s="38">
      <c r="E995" s="11" t="n"/>
      <c r="F995" s="11" t="n"/>
    </row>
    <row r="996" ht="14.25" customHeight="1" s="38">
      <c r="E996" s="11" t="n"/>
      <c r="F996" s="11" t="n"/>
    </row>
    <row r="997" ht="14.25" customHeight="1" s="38">
      <c r="E997" s="11" t="n"/>
      <c r="F997" s="11" t="n"/>
    </row>
    <row r="998" ht="14.25" customHeight="1" s="38">
      <c r="E998" s="11" t="n"/>
      <c r="F998" s="11" t="n"/>
    </row>
    <row r="999" ht="14.25" customHeight="1" s="38">
      <c r="E999" s="11" t="n"/>
      <c r="F999" s="11" t="n"/>
    </row>
    <row r="1000" ht="14.25" customHeight="1" s="38">
      <c r="E1000" s="11" t="n"/>
      <c r="F1000" s="11" t="n"/>
    </row>
    <row r="1001" ht="14.25" customHeight="1" s="38">
      <c r="E1001" s="11" t="n"/>
      <c r="F1001" s="11" t="n"/>
    </row>
  </sheetData>
  <autoFilter ref="$A$1:$H$1001"/>
  <dataValidations count="2">
    <dataValidation sqref="E2:E1001" showDropDown="0" showInputMessage="0" showErrorMessage="0" allowBlank="1" type="list">
      <formula1>LIST!$H$2:$H$5</formula1>
    </dataValidation>
    <dataValidation sqref="F2:F1001" showDropDown="0" showInputMessage="0" showErrorMessage="0" allowBlank="1" type="list">
      <formula1>LIST!$I$2:$I$3</formula1>
    </dataValidation>
  </dataValidations>
  <pageMargins left="0.25" right="0.25" top="0.35" bottom="0.35" header="0" footer="0"/>
  <pageSetup orientation="landscape" paperSize="9" fitToHeight="0"/>
  <headerFooter>
    <oddHeader/>
    <oddFooter>&amp;CParoki St. Klement I Sepinggan Balikpapan • Statistik 2026&amp;RHalaman &amp;P dari 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S105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24" customWidth="1" style="38" min="1" max="1"/>
    <col width="8" customWidth="1" style="38" min="2" max="3"/>
    <col width="11" customWidth="1" style="38" min="4" max="4"/>
    <col width="13" customWidth="1" style="38" min="5" max="7"/>
    <col width="10" customWidth="1" style="38" min="8" max="8"/>
    <col width="13" customWidth="1" style="38" min="9" max="10"/>
    <col width="11" customWidth="1" style="38" min="11" max="11"/>
    <col width="12" customWidth="1" style="38" min="12" max="12"/>
    <col width="10" customWidth="1" style="38" min="13" max="13"/>
    <col width="13" customWidth="1" style="38" min="14" max="14"/>
    <col width="12" customWidth="1" style="38" min="15" max="16"/>
    <col width="10" customWidth="1" style="38" min="17" max="17"/>
    <col width="14" customWidth="1" style="38" min="18" max="19"/>
    <col width="9" customWidth="1" style="38" min="20" max="26"/>
  </cols>
  <sheetData>
    <row r="1" ht="14.25" customHeight="1" s="38">
      <c r="A1" s="41" t="inlineStr">
        <is>
          <t>REKAP STATISTIK LINGKUNGAN — PAROKI ST. KLEMENT I SEPINGGAN BALIKPAPAN 2026</t>
        </is>
      </c>
    </row>
    <row r="2" ht="14.25" customHeight="1" s="38">
      <c r="A2" s="15" t="inlineStr">
        <is>
          <t>Ketik nama lingkungan di kolom A. Kolom angka terhitung otomatis dari database.</t>
        </is>
      </c>
    </row>
    <row r="3" ht="14.25" customHeight="1" s="38">
      <c r="A3" s="16" t="inlineStr">
        <is>
          <t>*Kolom 1.1/1.2 mengikuti kategori pada formulir sumber: mutasi antar-paroki dalam keuskupan vs keuskupan lain.</t>
        </is>
      </c>
    </row>
    <row r="4" ht="49.5" customHeight="1" s="38">
      <c r="A4" s="17" t="inlineStr">
        <is>
          <t>Nama Lingkungan</t>
        </is>
      </c>
      <c r="B4" s="17" t="inlineStr">
        <is>
          <t>KK</t>
        </is>
      </c>
      <c r="C4" s="17" t="inlineStr">
        <is>
          <t>Jiwa</t>
        </is>
      </c>
      <c r="D4" s="17" t="inlineStr">
        <is>
          <t>Baptis 2026</t>
        </is>
      </c>
      <c r="E4" s="17" t="inlineStr">
        <is>
          <t>Diterima dari Kristen Lain</t>
        </is>
      </c>
      <c r="F4" s="17" t="inlineStr">
        <is>
          <t>Pindah Masuk dari Paroki Lain</t>
        </is>
      </c>
      <c r="G4" s="17" t="inlineStr">
        <is>
          <t>Pindah Masuk dari Keuskupan Lain</t>
        </is>
      </c>
      <c r="H4" s="17" t="inlineStr">
        <is>
          <t>Meninggal</t>
        </is>
      </c>
      <c r="I4" s="17" t="inlineStr">
        <is>
          <t>Pindah Keluar ke Paroki Lain</t>
        </is>
      </c>
      <c r="J4" s="17" t="inlineStr">
        <is>
          <t>Pindah Keluar ke Keuskupan Lain</t>
        </is>
      </c>
      <c r="K4" s="17" t="inlineStr">
        <is>
          <t>Pindah Agama</t>
        </is>
      </c>
      <c r="L4" s="17" t="inlineStr">
        <is>
          <t>Saldo Perubahan</t>
        </is>
      </c>
      <c r="M4" s="17" t="inlineStr">
        <is>
          <t>Komuni I</t>
        </is>
      </c>
      <c r="N4" s="17" t="inlineStr">
        <is>
          <t>Perkawinan Gerejani</t>
        </is>
      </c>
      <c r="O4" s="17" t="inlineStr">
        <is>
          <t>Pembubaran</t>
        </is>
      </c>
      <c r="P4" s="17" t="inlineStr">
        <is>
          <t>Perminyakan Suci</t>
        </is>
      </c>
      <c r="Q4" s="17" t="inlineStr">
        <is>
          <t>Kematian</t>
        </is>
      </c>
      <c r="R4" s="17" t="inlineStr">
        <is>
          <t>Mulai Seminari/Biara</t>
        </is>
      </c>
      <c r="S4" s="17" t="inlineStr">
        <is>
          <t>Sedang Belajar Seminari</t>
        </is>
      </c>
    </row>
    <row r="5" ht="14.25" customHeight="1" s="38">
      <c r="A5" s="18" t="n"/>
      <c r="B5" s="19">
        <f>IF($A5="","",COUNTIF('DATA KK'!$E$2:$E$501,$A5))</f>
        <v/>
      </c>
      <c r="C5" s="19">
        <f>IF($A5="","",COUNTIF('DATA UMAT'!$H$2:$H$2001,$A5))</f>
        <v/>
      </c>
      <c r="D5" s="19">
        <f>IF($A5="","",COUNTIFS(BAPTIS!$C$2:$C$1001,$A5,BAPTIS!$F$2:$F$1001,"&gt;="&amp;DATE(2026,1,1),BAPTIS!$F$2:$F$1001,"&lt;="&amp;DATE(2026,12,31)))</f>
        <v/>
      </c>
      <c r="E5" s="19">
        <f>IF($A5="","",COUNTIFS('DITERIMA MASUK'!$C$2:$C$1001,$A5,'DITERIMA MASUK'!$D$2:$D$1001,"&gt;="&amp;DATE(2026,1,1),'DITERIMA MASUK'!$D$2:$D$1001,"&lt;="&amp;DATE(2026,12,31)))</f>
        <v/>
      </c>
      <c r="F5" s="19">
        <f>IF($A5="","",COUNTIFS(MUTASI!$C$2:$C$1001,$A5,MUTASI!$D$2:$D$1001,"Masuk",MUTASI!$F$2:$F$1001,"Paroki lain dalam keuskupan",MUTASI!$E$2:$E$1001,"&gt;="&amp;DATE(2026,1,1),MUTASI!$E$2:$E$1001,"&lt;="&amp;DATE(2026,12,31)))</f>
        <v/>
      </c>
      <c r="G5" s="19">
        <f>IF($A5="","",COUNTIFS(MUTASI!$C$2:$C$1001,$A5,MUTASI!$D$2:$D$1001,"Masuk",MUTASI!$F$2:$F$1001,"Keuskupan lain",MUTASI!$E$2:$E$1001,"&gt;="&amp;DATE(2026,1,1),MUTASI!$E$2:$E$1001,"&lt;="&amp;DATE(2026,12,31)))</f>
        <v/>
      </c>
      <c r="H5" s="19">
        <f>IF($A5="","",COUNTIFS(KEMATIAN!$C$2:$C$1001,$A5,KEMATIAN!$F$2:$F$1001,"&gt;="&amp;DATE(2026,1,1),KEMATIAN!$F$2:$F$1001,"&lt;="&amp;DATE(2026,12,31)))</f>
        <v/>
      </c>
      <c r="I5" s="19">
        <f>IF($A5="","",COUNTIFS(MUTASI!$C$2:$C$1001,$A5,MUTASI!$D$2:$D$1001,"Keluar",MUTASI!$F$2:$F$1001,"Paroki lain dalam keuskupan",MUTASI!$E$2:$E$1001,"&gt;="&amp;DATE(2026,1,1),MUTASI!$E$2:$E$1001,"&lt;="&amp;DATE(2026,12,31)))</f>
        <v/>
      </c>
      <c r="J5" s="19">
        <f>IF($A5="","",COUNTIFS(MUTASI!$C$2:$C$1001,$A5,MUTASI!$D$2:$D$1001,"Keluar",MUTASI!$F$2:$F$1001,"Keuskupan lain",MUTASI!$E$2:$E$1001,"&gt;="&amp;DATE(2026,1,1),MUTASI!$E$2:$E$1001,"&lt;="&amp;DATE(2026,12,31)))</f>
        <v/>
      </c>
      <c r="K5" s="19">
        <f>IF($A5="","",COUNTIFS('PINDAH AGAMA'!$C$2:$C$1001,$A5,'PINDAH AGAMA'!$D$2:$D$1001,"&gt;="&amp;DATE(2026,1,1),'PINDAH AGAMA'!$D$2:$D$1001,"&lt;="&amp;DATE(2026,12,31)))</f>
        <v/>
      </c>
      <c r="L5" s="19">
        <f>IF($A5="","",D5+E5+F5+G5-H5-I5-J5-K5)</f>
        <v/>
      </c>
      <c r="M5" s="19">
        <f>IF($A5="","",COUNTIFS('KOMUNI PERTAMA'!$C$2:$C$1001,$A5,'KOMUNI PERTAMA'!$E$2:$E$1001,"&gt;="&amp;DATE(2026,1,1),'KOMUNI PERTAMA'!$E$2:$E$1001,"&lt;="&amp;DATE(2026,12,31)))</f>
        <v/>
      </c>
      <c r="N5" s="19">
        <f>IF($A5="","",COUNTIFS('PERKAWINAN GEREJANI'!$C$2:$C$1001,$A5,'PERKAWINAN GEREJANI'!$D$2:$D$1001,"&gt;="&amp;DATE(2026,1,1),'PERKAWINAN GEREJANI'!$D$2:$D$1001,"&lt;="&amp;DATE(2026,12,31)))</f>
        <v/>
      </c>
      <c r="O5" s="19">
        <f>IF($A5="","",COUNTIFS(PEMBUBARAN!$C$2:$C$1001,$A5,PEMBUBARAN!$D$2:$D$1001,"&gt;="&amp;DATE(2026,1,1),PEMBUBARAN!$D$2:$D$1001,"&lt;="&amp;DATE(2026,12,31)))</f>
        <v/>
      </c>
      <c r="P5" s="19">
        <f>IF($A5="","",COUNTIFS('PERMINYAKAN SUCI'!$C$2:$C$1001,$A5,'PERMINYAKAN SUCI'!$E$2:$E$1001,"&gt;="&amp;DATE(2026,1,1),'PERMINYAKAN SUCI'!$E$2:$E$1001,"&lt;="&amp;DATE(2026,12,31)))</f>
        <v/>
      </c>
      <c r="Q5" s="19">
        <f>IF($A5="","",H5)</f>
        <v/>
      </c>
      <c r="R5" s="19">
        <f>IF($A5="","",COUNTIFS('SEMINARI BIARA'!$C$2:$C$1001,$A5,'SEMINARI BIARA'!$F$2:$F$1001,"Mulai masuk 2026",'SEMINARI BIARA'!$G$2:$G$1001,"&gt;="&amp;DATE(2026,1,1),'SEMINARI BIARA'!$G$2:$G$1001,"&lt;="&amp;DATE(2026,12,31)))</f>
        <v/>
      </c>
      <c r="S5" s="19">
        <f>IF($A5="","",COUNTIFS('SEMINARI BIARA'!$C$2:$C$1001,$A5,'SEMINARI BIARA'!$F$2:$F$1001,"Sedang belajar 2026"))</f>
        <v/>
      </c>
    </row>
    <row r="6" ht="14.25" customHeight="1" s="38">
      <c r="A6" s="18" t="n"/>
      <c r="B6" s="19">
        <f>IF($A6="","",COUNTIF('DATA KK'!$E$2:$E$501,$A6))</f>
        <v/>
      </c>
      <c r="C6" s="19">
        <f>IF($A6="","",COUNTIF('DATA UMAT'!$H$2:$H$2001,$A6))</f>
        <v/>
      </c>
      <c r="D6" s="19">
        <f>IF($A6="","",COUNTIFS(BAPTIS!$C$2:$C$1001,$A6,BAPTIS!$F$2:$F$1001,"&gt;="&amp;DATE(2026,1,1),BAPTIS!$F$2:$F$1001,"&lt;="&amp;DATE(2026,12,31)))</f>
        <v/>
      </c>
      <c r="E6" s="19">
        <f>IF($A6="","",COUNTIFS('DITERIMA MASUK'!$C$2:$C$1001,$A6,'DITERIMA MASUK'!$D$2:$D$1001,"&gt;="&amp;DATE(2026,1,1),'DITERIMA MASUK'!$D$2:$D$1001,"&lt;="&amp;DATE(2026,12,31)))</f>
        <v/>
      </c>
      <c r="F6" s="19">
        <f>IF($A6="","",COUNTIFS(MUTASI!$C$2:$C$1001,$A6,MUTASI!$D$2:$D$1001,"Masuk",MUTASI!$F$2:$F$1001,"Paroki lain dalam keuskupan",MUTASI!$E$2:$E$1001,"&gt;="&amp;DATE(2026,1,1),MUTASI!$E$2:$E$1001,"&lt;="&amp;DATE(2026,12,31)))</f>
        <v/>
      </c>
      <c r="G6" s="19">
        <f>IF($A6="","",COUNTIFS(MUTASI!$C$2:$C$1001,$A6,MUTASI!$D$2:$D$1001,"Masuk",MUTASI!$F$2:$F$1001,"Keuskupan lain",MUTASI!$E$2:$E$1001,"&gt;="&amp;DATE(2026,1,1),MUTASI!$E$2:$E$1001,"&lt;="&amp;DATE(2026,12,31)))</f>
        <v/>
      </c>
      <c r="H6" s="19">
        <f>IF($A6="","",COUNTIFS(KEMATIAN!$C$2:$C$1001,$A6,KEMATIAN!$F$2:$F$1001,"&gt;="&amp;DATE(2026,1,1),KEMATIAN!$F$2:$F$1001,"&lt;="&amp;DATE(2026,12,31)))</f>
        <v/>
      </c>
      <c r="I6" s="19">
        <f>IF($A6="","",COUNTIFS(MUTASI!$C$2:$C$1001,$A6,MUTASI!$D$2:$D$1001,"Keluar",MUTASI!$F$2:$F$1001,"Paroki lain dalam keuskupan",MUTASI!$E$2:$E$1001,"&gt;="&amp;DATE(2026,1,1),MUTASI!$E$2:$E$1001,"&lt;="&amp;DATE(2026,12,31)))</f>
        <v/>
      </c>
      <c r="J6" s="19">
        <f>IF($A6="","",COUNTIFS(MUTASI!$C$2:$C$1001,$A6,MUTASI!$D$2:$D$1001,"Keluar",MUTASI!$F$2:$F$1001,"Keuskupan lain",MUTASI!$E$2:$E$1001,"&gt;="&amp;DATE(2026,1,1),MUTASI!$E$2:$E$1001,"&lt;="&amp;DATE(2026,12,31)))</f>
        <v/>
      </c>
      <c r="K6" s="19">
        <f>IF($A6="","",COUNTIFS('PINDAH AGAMA'!$C$2:$C$1001,$A6,'PINDAH AGAMA'!$D$2:$D$1001,"&gt;="&amp;DATE(2026,1,1),'PINDAH AGAMA'!$D$2:$D$1001,"&lt;="&amp;DATE(2026,12,31)))</f>
        <v/>
      </c>
      <c r="L6" s="19">
        <f>IF($A6="","",D6+E6+F6+G6-H6-I6-J6-K6)</f>
        <v/>
      </c>
      <c r="M6" s="19">
        <f>IF($A6="","",COUNTIFS('KOMUNI PERTAMA'!$C$2:$C$1001,$A6,'KOMUNI PERTAMA'!$E$2:$E$1001,"&gt;="&amp;DATE(2026,1,1),'KOMUNI PERTAMA'!$E$2:$E$1001,"&lt;="&amp;DATE(2026,12,31)))</f>
        <v/>
      </c>
      <c r="N6" s="19">
        <f>IF($A6="","",COUNTIFS('PERKAWINAN GEREJANI'!$C$2:$C$1001,$A6,'PERKAWINAN GEREJANI'!$D$2:$D$1001,"&gt;="&amp;DATE(2026,1,1),'PERKAWINAN GEREJANI'!$D$2:$D$1001,"&lt;="&amp;DATE(2026,12,31)))</f>
        <v/>
      </c>
      <c r="O6" s="19">
        <f>IF($A6="","",COUNTIFS(PEMBUBARAN!$C$2:$C$1001,$A6,PEMBUBARAN!$D$2:$D$1001,"&gt;="&amp;DATE(2026,1,1),PEMBUBARAN!$D$2:$D$1001,"&lt;="&amp;DATE(2026,12,31)))</f>
        <v/>
      </c>
      <c r="P6" s="19">
        <f>IF($A6="","",COUNTIFS('PERMINYAKAN SUCI'!$C$2:$C$1001,$A6,'PERMINYAKAN SUCI'!$E$2:$E$1001,"&gt;="&amp;DATE(2026,1,1),'PERMINYAKAN SUCI'!$E$2:$E$1001,"&lt;="&amp;DATE(2026,12,31)))</f>
        <v/>
      </c>
      <c r="Q6" s="19">
        <f>IF($A6="","",H6)</f>
        <v/>
      </c>
      <c r="R6" s="19">
        <f>IF($A6="","",COUNTIFS('SEMINARI BIARA'!$C$2:$C$1001,$A6,'SEMINARI BIARA'!$F$2:$F$1001,"Mulai masuk 2026",'SEMINARI BIARA'!$G$2:$G$1001,"&gt;="&amp;DATE(2026,1,1),'SEMINARI BIARA'!$G$2:$G$1001,"&lt;="&amp;DATE(2026,12,31)))</f>
        <v/>
      </c>
      <c r="S6" s="19">
        <f>IF($A6="","",COUNTIFS('SEMINARI BIARA'!$C$2:$C$1001,$A6,'SEMINARI BIARA'!$F$2:$F$1001,"Sedang belajar 2026"))</f>
        <v/>
      </c>
    </row>
    <row r="7" ht="14.25" customHeight="1" s="38">
      <c r="A7" s="18" t="n"/>
      <c r="B7" s="19">
        <f>IF($A7="","",COUNTIF('DATA KK'!$E$2:$E$501,$A7))</f>
        <v/>
      </c>
      <c r="C7" s="19">
        <f>IF($A7="","",COUNTIF('DATA UMAT'!$H$2:$H$2001,$A7))</f>
        <v/>
      </c>
      <c r="D7" s="19">
        <f>IF($A7="","",COUNTIFS(BAPTIS!$C$2:$C$1001,$A7,BAPTIS!$F$2:$F$1001,"&gt;="&amp;DATE(2026,1,1),BAPTIS!$F$2:$F$1001,"&lt;="&amp;DATE(2026,12,31)))</f>
        <v/>
      </c>
      <c r="E7" s="19">
        <f>IF($A7="","",COUNTIFS('DITERIMA MASUK'!$C$2:$C$1001,$A7,'DITERIMA MASUK'!$D$2:$D$1001,"&gt;="&amp;DATE(2026,1,1),'DITERIMA MASUK'!$D$2:$D$1001,"&lt;="&amp;DATE(2026,12,31)))</f>
        <v/>
      </c>
      <c r="F7" s="19">
        <f>IF($A7="","",COUNTIFS(MUTASI!$C$2:$C$1001,$A7,MUTASI!$D$2:$D$1001,"Masuk",MUTASI!$F$2:$F$1001,"Paroki lain dalam keuskupan",MUTASI!$E$2:$E$1001,"&gt;="&amp;DATE(2026,1,1),MUTASI!$E$2:$E$1001,"&lt;="&amp;DATE(2026,12,31)))</f>
        <v/>
      </c>
      <c r="G7" s="19">
        <f>IF($A7="","",COUNTIFS(MUTASI!$C$2:$C$1001,$A7,MUTASI!$D$2:$D$1001,"Masuk",MUTASI!$F$2:$F$1001,"Keuskupan lain",MUTASI!$E$2:$E$1001,"&gt;="&amp;DATE(2026,1,1),MUTASI!$E$2:$E$1001,"&lt;="&amp;DATE(2026,12,31)))</f>
        <v/>
      </c>
      <c r="H7" s="19">
        <f>IF($A7="","",COUNTIFS(KEMATIAN!$C$2:$C$1001,$A7,KEMATIAN!$F$2:$F$1001,"&gt;="&amp;DATE(2026,1,1),KEMATIAN!$F$2:$F$1001,"&lt;="&amp;DATE(2026,12,31)))</f>
        <v/>
      </c>
      <c r="I7" s="19">
        <f>IF($A7="","",COUNTIFS(MUTASI!$C$2:$C$1001,$A7,MUTASI!$D$2:$D$1001,"Keluar",MUTASI!$F$2:$F$1001,"Paroki lain dalam keuskupan",MUTASI!$E$2:$E$1001,"&gt;="&amp;DATE(2026,1,1),MUTASI!$E$2:$E$1001,"&lt;="&amp;DATE(2026,12,31)))</f>
        <v/>
      </c>
      <c r="J7" s="19">
        <f>IF($A7="","",COUNTIFS(MUTASI!$C$2:$C$1001,$A7,MUTASI!$D$2:$D$1001,"Keluar",MUTASI!$F$2:$F$1001,"Keuskupan lain",MUTASI!$E$2:$E$1001,"&gt;="&amp;DATE(2026,1,1),MUTASI!$E$2:$E$1001,"&lt;="&amp;DATE(2026,12,31)))</f>
        <v/>
      </c>
      <c r="K7" s="19">
        <f>IF($A7="","",COUNTIFS('PINDAH AGAMA'!$C$2:$C$1001,$A7,'PINDAH AGAMA'!$D$2:$D$1001,"&gt;="&amp;DATE(2026,1,1),'PINDAH AGAMA'!$D$2:$D$1001,"&lt;="&amp;DATE(2026,12,31)))</f>
        <v/>
      </c>
      <c r="L7" s="19">
        <f>IF($A7="","",D7+E7+F7+G7-H7-I7-J7-K7)</f>
        <v/>
      </c>
      <c r="M7" s="19">
        <f>IF($A7="","",COUNTIFS('KOMUNI PERTAMA'!$C$2:$C$1001,$A7,'KOMUNI PERTAMA'!$E$2:$E$1001,"&gt;="&amp;DATE(2026,1,1),'KOMUNI PERTAMA'!$E$2:$E$1001,"&lt;="&amp;DATE(2026,12,31)))</f>
        <v/>
      </c>
      <c r="N7" s="19">
        <f>IF($A7="","",COUNTIFS('PERKAWINAN GEREJANI'!$C$2:$C$1001,$A7,'PERKAWINAN GEREJANI'!$D$2:$D$1001,"&gt;="&amp;DATE(2026,1,1),'PERKAWINAN GEREJANI'!$D$2:$D$1001,"&lt;="&amp;DATE(2026,12,31)))</f>
        <v/>
      </c>
      <c r="O7" s="19">
        <f>IF($A7="","",COUNTIFS(PEMBUBARAN!$C$2:$C$1001,$A7,PEMBUBARAN!$D$2:$D$1001,"&gt;="&amp;DATE(2026,1,1),PEMBUBARAN!$D$2:$D$1001,"&lt;="&amp;DATE(2026,12,31)))</f>
        <v/>
      </c>
      <c r="P7" s="19">
        <f>IF($A7="","",COUNTIFS('PERMINYAKAN SUCI'!$C$2:$C$1001,$A7,'PERMINYAKAN SUCI'!$E$2:$E$1001,"&gt;="&amp;DATE(2026,1,1),'PERMINYAKAN SUCI'!$E$2:$E$1001,"&lt;="&amp;DATE(2026,12,31)))</f>
        <v/>
      </c>
      <c r="Q7" s="19">
        <f>IF($A7="","",H7)</f>
        <v/>
      </c>
      <c r="R7" s="19">
        <f>IF($A7="","",COUNTIFS('SEMINARI BIARA'!$C$2:$C$1001,$A7,'SEMINARI BIARA'!$F$2:$F$1001,"Mulai masuk 2026",'SEMINARI BIARA'!$G$2:$G$1001,"&gt;="&amp;DATE(2026,1,1),'SEMINARI BIARA'!$G$2:$G$1001,"&lt;="&amp;DATE(2026,12,31)))</f>
        <v/>
      </c>
      <c r="S7" s="19">
        <f>IF($A7="","",COUNTIFS('SEMINARI BIARA'!$C$2:$C$1001,$A7,'SEMINARI BIARA'!$F$2:$F$1001,"Sedang belajar 2026"))</f>
        <v/>
      </c>
    </row>
    <row r="8" ht="14.25" customHeight="1" s="38">
      <c r="A8" s="18" t="n"/>
      <c r="B8" s="19">
        <f>IF($A8="","",COUNTIF('DATA KK'!$E$2:$E$501,$A8))</f>
        <v/>
      </c>
      <c r="C8" s="19">
        <f>IF($A8="","",COUNTIF('DATA UMAT'!$H$2:$H$2001,$A8))</f>
        <v/>
      </c>
      <c r="D8" s="19">
        <f>IF($A8="","",COUNTIFS(BAPTIS!$C$2:$C$1001,$A8,BAPTIS!$F$2:$F$1001,"&gt;="&amp;DATE(2026,1,1),BAPTIS!$F$2:$F$1001,"&lt;="&amp;DATE(2026,12,31)))</f>
        <v/>
      </c>
      <c r="E8" s="19">
        <f>IF($A8="","",COUNTIFS('DITERIMA MASUK'!$C$2:$C$1001,$A8,'DITERIMA MASUK'!$D$2:$D$1001,"&gt;="&amp;DATE(2026,1,1),'DITERIMA MASUK'!$D$2:$D$1001,"&lt;="&amp;DATE(2026,12,31)))</f>
        <v/>
      </c>
      <c r="F8" s="19">
        <f>IF($A8="","",COUNTIFS(MUTASI!$C$2:$C$1001,$A8,MUTASI!$D$2:$D$1001,"Masuk",MUTASI!$F$2:$F$1001,"Paroki lain dalam keuskupan",MUTASI!$E$2:$E$1001,"&gt;="&amp;DATE(2026,1,1),MUTASI!$E$2:$E$1001,"&lt;="&amp;DATE(2026,12,31)))</f>
        <v/>
      </c>
      <c r="G8" s="19">
        <f>IF($A8="","",COUNTIFS(MUTASI!$C$2:$C$1001,$A8,MUTASI!$D$2:$D$1001,"Masuk",MUTASI!$F$2:$F$1001,"Keuskupan lain",MUTASI!$E$2:$E$1001,"&gt;="&amp;DATE(2026,1,1),MUTASI!$E$2:$E$1001,"&lt;="&amp;DATE(2026,12,31)))</f>
        <v/>
      </c>
      <c r="H8" s="19">
        <f>IF($A8="","",COUNTIFS(KEMATIAN!$C$2:$C$1001,$A8,KEMATIAN!$F$2:$F$1001,"&gt;="&amp;DATE(2026,1,1),KEMATIAN!$F$2:$F$1001,"&lt;="&amp;DATE(2026,12,31)))</f>
        <v/>
      </c>
      <c r="I8" s="19">
        <f>IF($A8="","",COUNTIFS(MUTASI!$C$2:$C$1001,$A8,MUTASI!$D$2:$D$1001,"Keluar",MUTASI!$F$2:$F$1001,"Paroki lain dalam keuskupan",MUTASI!$E$2:$E$1001,"&gt;="&amp;DATE(2026,1,1),MUTASI!$E$2:$E$1001,"&lt;="&amp;DATE(2026,12,31)))</f>
        <v/>
      </c>
      <c r="J8" s="19">
        <f>IF($A8="","",COUNTIFS(MUTASI!$C$2:$C$1001,$A8,MUTASI!$D$2:$D$1001,"Keluar",MUTASI!$F$2:$F$1001,"Keuskupan lain",MUTASI!$E$2:$E$1001,"&gt;="&amp;DATE(2026,1,1),MUTASI!$E$2:$E$1001,"&lt;="&amp;DATE(2026,12,31)))</f>
        <v/>
      </c>
      <c r="K8" s="19">
        <f>IF($A8="","",COUNTIFS('PINDAH AGAMA'!$C$2:$C$1001,$A8,'PINDAH AGAMA'!$D$2:$D$1001,"&gt;="&amp;DATE(2026,1,1),'PINDAH AGAMA'!$D$2:$D$1001,"&lt;="&amp;DATE(2026,12,31)))</f>
        <v/>
      </c>
      <c r="L8" s="19">
        <f>IF($A8="","",D8+E8+F8+G8-H8-I8-J8-K8)</f>
        <v/>
      </c>
      <c r="M8" s="19">
        <f>IF($A8="","",COUNTIFS('KOMUNI PERTAMA'!$C$2:$C$1001,$A8,'KOMUNI PERTAMA'!$E$2:$E$1001,"&gt;="&amp;DATE(2026,1,1),'KOMUNI PERTAMA'!$E$2:$E$1001,"&lt;="&amp;DATE(2026,12,31)))</f>
        <v/>
      </c>
      <c r="N8" s="19">
        <f>IF($A8="","",COUNTIFS('PERKAWINAN GEREJANI'!$C$2:$C$1001,$A8,'PERKAWINAN GEREJANI'!$D$2:$D$1001,"&gt;="&amp;DATE(2026,1,1),'PERKAWINAN GEREJANI'!$D$2:$D$1001,"&lt;="&amp;DATE(2026,12,31)))</f>
        <v/>
      </c>
      <c r="O8" s="19">
        <f>IF($A8="","",COUNTIFS(PEMBUBARAN!$C$2:$C$1001,$A8,PEMBUBARAN!$D$2:$D$1001,"&gt;="&amp;DATE(2026,1,1),PEMBUBARAN!$D$2:$D$1001,"&lt;="&amp;DATE(2026,12,31)))</f>
        <v/>
      </c>
      <c r="P8" s="19">
        <f>IF($A8="","",COUNTIFS('PERMINYAKAN SUCI'!$C$2:$C$1001,$A8,'PERMINYAKAN SUCI'!$E$2:$E$1001,"&gt;="&amp;DATE(2026,1,1),'PERMINYAKAN SUCI'!$E$2:$E$1001,"&lt;="&amp;DATE(2026,12,31)))</f>
        <v/>
      </c>
      <c r="Q8" s="19">
        <f>IF($A8="","",H8)</f>
        <v/>
      </c>
      <c r="R8" s="19">
        <f>IF($A8="","",COUNTIFS('SEMINARI BIARA'!$C$2:$C$1001,$A8,'SEMINARI BIARA'!$F$2:$F$1001,"Mulai masuk 2026",'SEMINARI BIARA'!$G$2:$G$1001,"&gt;="&amp;DATE(2026,1,1),'SEMINARI BIARA'!$G$2:$G$1001,"&lt;="&amp;DATE(2026,12,31)))</f>
        <v/>
      </c>
      <c r="S8" s="19">
        <f>IF($A8="","",COUNTIFS('SEMINARI BIARA'!$C$2:$C$1001,$A8,'SEMINARI BIARA'!$F$2:$F$1001,"Sedang belajar 2026"))</f>
        <v/>
      </c>
    </row>
    <row r="9" ht="14.25" customHeight="1" s="38">
      <c r="A9" s="18" t="n"/>
      <c r="B9" s="19">
        <f>IF($A9="","",COUNTIF('DATA KK'!$E$2:$E$501,$A9))</f>
        <v/>
      </c>
      <c r="C9" s="19">
        <f>IF($A9="","",COUNTIF('DATA UMAT'!$H$2:$H$2001,$A9))</f>
        <v/>
      </c>
      <c r="D9" s="19">
        <f>IF($A9="","",COUNTIFS(BAPTIS!$C$2:$C$1001,$A9,BAPTIS!$F$2:$F$1001,"&gt;="&amp;DATE(2026,1,1),BAPTIS!$F$2:$F$1001,"&lt;="&amp;DATE(2026,12,31)))</f>
        <v/>
      </c>
      <c r="E9" s="19">
        <f>IF($A9="","",COUNTIFS('DITERIMA MASUK'!$C$2:$C$1001,$A9,'DITERIMA MASUK'!$D$2:$D$1001,"&gt;="&amp;DATE(2026,1,1),'DITERIMA MASUK'!$D$2:$D$1001,"&lt;="&amp;DATE(2026,12,31)))</f>
        <v/>
      </c>
      <c r="F9" s="19">
        <f>IF($A9="","",COUNTIFS(MUTASI!$C$2:$C$1001,$A9,MUTASI!$D$2:$D$1001,"Masuk",MUTASI!$F$2:$F$1001,"Paroki lain dalam keuskupan",MUTASI!$E$2:$E$1001,"&gt;="&amp;DATE(2026,1,1),MUTASI!$E$2:$E$1001,"&lt;="&amp;DATE(2026,12,31)))</f>
        <v/>
      </c>
      <c r="G9" s="19">
        <f>IF($A9="","",COUNTIFS(MUTASI!$C$2:$C$1001,$A9,MUTASI!$D$2:$D$1001,"Masuk",MUTASI!$F$2:$F$1001,"Keuskupan lain",MUTASI!$E$2:$E$1001,"&gt;="&amp;DATE(2026,1,1),MUTASI!$E$2:$E$1001,"&lt;="&amp;DATE(2026,12,31)))</f>
        <v/>
      </c>
      <c r="H9" s="19">
        <f>IF($A9="","",COUNTIFS(KEMATIAN!$C$2:$C$1001,$A9,KEMATIAN!$F$2:$F$1001,"&gt;="&amp;DATE(2026,1,1),KEMATIAN!$F$2:$F$1001,"&lt;="&amp;DATE(2026,12,31)))</f>
        <v/>
      </c>
      <c r="I9" s="19">
        <f>IF($A9="","",COUNTIFS(MUTASI!$C$2:$C$1001,$A9,MUTASI!$D$2:$D$1001,"Keluar",MUTASI!$F$2:$F$1001,"Paroki lain dalam keuskupan",MUTASI!$E$2:$E$1001,"&gt;="&amp;DATE(2026,1,1),MUTASI!$E$2:$E$1001,"&lt;="&amp;DATE(2026,12,31)))</f>
        <v/>
      </c>
      <c r="J9" s="19">
        <f>IF($A9="","",COUNTIFS(MUTASI!$C$2:$C$1001,$A9,MUTASI!$D$2:$D$1001,"Keluar",MUTASI!$F$2:$F$1001,"Keuskupan lain",MUTASI!$E$2:$E$1001,"&gt;="&amp;DATE(2026,1,1),MUTASI!$E$2:$E$1001,"&lt;="&amp;DATE(2026,12,31)))</f>
        <v/>
      </c>
      <c r="K9" s="19">
        <f>IF($A9="","",COUNTIFS('PINDAH AGAMA'!$C$2:$C$1001,$A9,'PINDAH AGAMA'!$D$2:$D$1001,"&gt;="&amp;DATE(2026,1,1),'PINDAH AGAMA'!$D$2:$D$1001,"&lt;="&amp;DATE(2026,12,31)))</f>
        <v/>
      </c>
      <c r="L9" s="19">
        <f>IF($A9="","",D9+E9+F9+G9-H9-I9-J9-K9)</f>
        <v/>
      </c>
      <c r="M9" s="19">
        <f>IF($A9="","",COUNTIFS('KOMUNI PERTAMA'!$C$2:$C$1001,$A9,'KOMUNI PERTAMA'!$E$2:$E$1001,"&gt;="&amp;DATE(2026,1,1),'KOMUNI PERTAMA'!$E$2:$E$1001,"&lt;="&amp;DATE(2026,12,31)))</f>
        <v/>
      </c>
      <c r="N9" s="19">
        <f>IF($A9="","",COUNTIFS('PERKAWINAN GEREJANI'!$C$2:$C$1001,$A9,'PERKAWINAN GEREJANI'!$D$2:$D$1001,"&gt;="&amp;DATE(2026,1,1),'PERKAWINAN GEREJANI'!$D$2:$D$1001,"&lt;="&amp;DATE(2026,12,31)))</f>
        <v/>
      </c>
      <c r="O9" s="19">
        <f>IF($A9="","",COUNTIFS(PEMBUBARAN!$C$2:$C$1001,$A9,PEMBUBARAN!$D$2:$D$1001,"&gt;="&amp;DATE(2026,1,1),PEMBUBARAN!$D$2:$D$1001,"&lt;="&amp;DATE(2026,12,31)))</f>
        <v/>
      </c>
      <c r="P9" s="19">
        <f>IF($A9="","",COUNTIFS('PERMINYAKAN SUCI'!$C$2:$C$1001,$A9,'PERMINYAKAN SUCI'!$E$2:$E$1001,"&gt;="&amp;DATE(2026,1,1),'PERMINYAKAN SUCI'!$E$2:$E$1001,"&lt;="&amp;DATE(2026,12,31)))</f>
        <v/>
      </c>
      <c r="Q9" s="19">
        <f>IF($A9="","",H9)</f>
        <v/>
      </c>
      <c r="R9" s="19">
        <f>IF($A9="","",COUNTIFS('SEMINARI BIARA'!$C$2:$C$1001,$A9,'SEMINARI BIARA'!$F$2:$F$1001,"Mulai masuk 2026",'SEMINARI BIARA'!$G$2:$G$1001,"&gt;="&amp;DATE(2026,1,1),'SEMINARI BIARA'!$G$2:$G$1001,"&lt;="&amp;DATE(2026,12,31)))</f>
        <v/>
      </c>
      <c r="S9" s="19">
        <f>IF($A9="","",COUNTIFS('SEMINARI BIARA'!$C$2:$C$1001,$A9,'SEMINARI BIARA'!$F$2:$F$1001,"Sedang belajar 2026"))</f>
        <v/>
      </c>
    </row>
    <row r="10" ht="14.25" customHeight="1" s="38">
      <c r="A10" s="18" t="n"/>
      <c r="B10" s="19">
        <f>IF($A10="","",COUNTIF('DATA KK'!$E$2:$E$501,$A10))</f>
        <v/>
      </c>
      <c r="C10" s="19">
        <f>IF($A10="","",COUNTIF('DATA UMAT'!$H$2:$H$2001,$A10))</f>
        <v/>
      </c>
      <c r="D10" s="19">
        <f>IF($A10="","",COUNTIFS(BAPTIS!$C$2:$C$1001,$A10,BAPTIS!$F$2:$F$1001,"&gt;="&amp;DATE(2026,1,1),BAPTIS!$F$2:$F$1001,"&lt;="&amp;DATE(2026,12,31)))</f>
        <v/>
      </c>
      <c r="E10" s="19">
        <f>IF($A10="","",COUNTIFS('DITERIMA MASUK'!$C$2:$C$1001,$A10,'DITERIMA MASUK'!$D$2:$D$1001,"&gt;="&amp;DATE(2026,1,1),'DITERIMA MASUK'!$D$2:$D$1001,"&lt;="&amp;DATE(2026,12,31)))</f>
        <v/>
      </c>
      <c r="F10" s="19">
        <f>IF($A10="","",COUNTIFS(MUTASI!$C$2:$C$1001,$A10,MUTASI!$D$2:$D$1001,"Masuk",MUTASI!$F$2:$F$1001,"Paroki lain dalam keuskupan",MUTASI!$E$2:$E$1001,"&gt;="&amp;DATE(2026,1,1),MUTASI!$E$2:$E$1001,"&lt;="&amp;DATE(2026,12,31)))</f>
        <v/>
      </c>
      <c r="G10" s="19">
        <f>IF($A10="","",COUNTIFS(MUTASI!$C$2:$C$1001,$A10,MUTASI!$D$2:$D$1001,"Masuk",MUTASI!$F$2:$F$1001,"Keuskupan lain",MUTASI!$E$2:$E$1001,"&gt;="&amp;DATE(2026,1,1),MUTASI!$E$2:$E$1001,"&lt;="&amp;DATE(2026,12,31)))</f>
        <v/>
      </c>
      <c r="H10" s="19">
        <f>IF($A10="","",COUNTIFS(KEMATIAN!$C$2:$C$1001,$A10,KEMATIAN!$F$2:$F$1001,"&gt;="&amp;DATE(2026,1,1),KEMATIAN!$F$2:$F$1001,"&lt;="&amp;DATE(2026,12,31)))</f>
        <v/>
      </c>
      <c r="I10" s="19">
        <f>IF($A10="","",COUNTIFS(MUTASI!$C$2:$C$1001,$A10,MUTASI!$D$2:$D$1001,"Keluar",MUTASI!$F$2:$F$1001,"Paroki lain dalam keuskupan",MUTASI!$E$2:$E$1001,"&gt;="&amp;DATE(2026,1,1),MUTASI!$E$2:$E$1001,"&lt;="&amp;DATE(2026,12,31)))</f>
        <v/>
      </c>
      <c r="J10" s="19">
        <f>IF($A10="","",COUNTIFS(MUTASI!$C$2:$C$1001,$A10,MUTASI!$D$2:$D$1001,"Keluar",MUTASI!$F$2:$F$1001,"Keuskupan lain",MUTASI!$E$2:$E$1001,"&gt;="&amp;DATE(2026,1,1),MUTASI!$E$2:$E$1001,"&lt;="&amp;DATE(2026,12,31)))</f>
        <v/>
      </c>
      <c r="K10" s="19">
        <f>IF($A10="","",COUNTIFS('PINDAH AGAMA'!$C$2:$C$1001,$A10,'PINDAH AGAMA'!$D$2:$D$1001,"&gt;="&amp;DATE(2026,1,1),'PINDAH AGAMA'!$D$2:$D$1001,"&lt;="&amp;DATE(2026,12,31)))</f>
        <v/>
      </c>
      <c r="L10" s="19">
        <f>IF($A10="","",D10+E10+F10+G10-H10-I10-J10-K10)</f>
        <v/>
      </c>
      <c r="M10" s="19">
        <f>IF($A10="","",COUNTIFS('KOMUNI PERTAMA'!$C$2:$C$1001,$A10,'KOMUNI PERTAMA'!$E$2:$E$1001,"&gt;="&amp;DATE(2026,1,1),'KOMUNI PERTAMA'!$E$2:$E$1001,"&lt;="&amp;DATE(2026,12,31)))</f>
        <v/>
      </c>
      <c r="N10" s="19">
        <f>IF($A10="","",COUNTIFS('PERKAWINAN GEREJANI'!$C$2:$C$1001,$A10,'PERKAWINAN GEREJANI'!$D$2:$D$1001,"&gt;="&amp;DATE(2026,1,1),'PERKAWINAN GEREJANI'!$D$2:$D$1001,"&lt;="&amp;DATE(2026,12,31)))</f>
        <v/>
      </c>
      <c r="O10" s="19">
        <f>IF($A10="","",COUNTIFS(PEMBUBARAN!$C$2:$C$1001,$A10,PEMBUBARAN!$D$2:$D$1001,"&gt;="&amp;DATE(2026,1,1),PEMBUBARAN!$D$2:$D$1001,"&lt;="&amp;DATE(2026,12,31)))</f>
        <v/>
      </c>
      <c r="P10" s="19">
        <f>IF($A10="","",COUNTIFS('PERMINYAKAN SUCI'!$C$2:$C$1001,$A10,'PERMINYAKAN SUCI'!$E$2:$E$1001,"&gt;="&amp;DATE(2026,1,1),'PERMINYAKAN SUCI'!$E$2:$E$1001,"&lt;="&amp;DATE(2026,12,31)))</f>
        <v/>
      </c>
      <c r="Q10" s="19">
        <f>IF($A10="","",H10)</f>
        <v/>
      </c>
      <c r="R10" s="19">
        <f>IF($A10="","",COUNTIFS('SEMINARI BIARA'!$C$2:$C$1001,$A10,'SEMINARI BIARA'!$F$2:$F$1001,"Mulai masuk 2026",'SEMINARI BIARA'!$G$2:$G$1001,"&gt;="&amp;DATE(2026,1,1),'SEMINARI BIARA'!$G$2:$G$1001,"&lt;="&amp;DATE(2026,12,31)))</f>
        <v/>
      </c>
      <c r="S10" s="19">
        <f>IF($A10="","",COUNTIFS('SEMINARI BIARA'!$C$2:$C$1001,$A10,'SEMINARI BIARA'!$F$2:$F$1001,"Sedang belajar 2026"))</f>
        <v/>
      </c>
    </row>
    <row r="11" ht="14.25" customHeight="1" s="38">
      <c r="A11" s="18" t="n"/>
      <c r="B11" s="19">
        <f>IF($A11="","",COUNTIF('DATA KK'!$E$2:$E$501,$A11))</f>
        <v/>
      </c>
      <c r="C11" s="19">
        <f>IF($A11="","",COUNTIF('DATA UMAT'!$H$2:$H$2001,$A11))</f>
        <v/>
      </c>
      <c r="D11" s="19">
        <f>IF($A11="","",COUNTIFS(BAPTIS!$C$2:$C$1001,$A11,BAPTIS!$F$2:$F$1001,"&gt;="&amp;DATE(2026,1,1),BAPTIS!$F$2:$F$1001,"&lt;="&amp;DATE(2026,12,31)))</f>
        <v/>
      </c>
      <c r="E11" s="19">
        <f>IF($A11="","",COUNTIFS('DITERIMA MASUK'!$C$2:$C$1001,$A11,'DITERIMA MASUK'!$D$2:$D$1001,"&gt;="&amp;DATE(2026,1,1),'DITERIMA MASUK'!$D$2:$D$1001,"&lt;="&amp;DATE(2026,12,31)))</f>
        <v/>
      </c>
      <c r="F11" s="19">
        <f>IF($A11="","",COUNTIFS(MUTASI!$C$2:$C$1001,$A11,MUTASI!$D$2:$D$1001,"Masuk",MUTASI!$F$2:$F$1001,"Paroki lain dalam keuskupan",MUTASI!$E$2:$E$1001,"&gt;="&amp;DATE(2026,1,1),MUTASI!$E$2:$E$1001,"&lt;="&amp;DATE(2026,12,31)))</f>
        <v/>
      </c>
      <c r="G11" s="19">
        <f>IF($A11="","",COUNTIFS(MUTASI!$C$2:$C$1001,$A11,MUTASI!$D$2:$D$1001,"Masuk",MUTASI!$F$2:$F$1001,"Keuskupan lain",MUTASI!$E$2:$E$1001,"&gt;="&amp;DATE(2026,1,1),MUTASI!$E$2:$E$1001,"&lt;="&amp;DATE(2026,12,31)))</f>
        <v/>
      </c>
      <c r="H11" s="19">
        <f>IF($A11="","",COUNTIFS(KEMATIAN!$C$2:$C$1001,$A11,KEMATIAN!$F$2:$F$1001,"&gt;="&amp;DATE(2026,1,1),KEMATIAN!$F$2:$F$1001,"&lt;="&amp;DATE(2026,12,31)))</f>
        <v/>
      </c>
      <c r="I11" s="19">
        <f>IF($A11="","",COUNTIFS(MUTASI!$C$2:$C$1001,$A11,MUTASI!$D$2:$D$1001,"Keluar",MUTASI!$F$2:$F$1001,"Paroki lain dalam keuskupan",MUTASI!$E$2:$E$1001,"&gt;="&amp;DATE(2026,1,1),MUTASI!$E$2:$E$1001,"&lt;="&amp;DATE(2026,12,31)))</f>
        <v/>
      </c>
      <c r="J11" s="19">
        <f>IF($A11="","",COUNTIFS(MUTASI!$C$2:$C$1001,$A11,MUTASI!$D$2:$D$1001,"Keluar",MUTASI!$F$2:$F$1001,"Keuskupan lain",MUTASI!$E$2:$E$1001,"&gt;="&amp;DATE(2026,1,1),MUTASI!$E$2:$E$1001,"&lt;="&amp;DATE(2026,12,31)))</f>
        <v/>
      </c>
      <c r="K11" s="19">
        <f>IF($A11="","",COUNTIFS('PINDAH AGAMA'!$C$2:$C$1001,$A11,'PINDAH AGAMA'!$D$2:$D$1001,"&gt;="&amp;DATE(2026,1,1),'PINDAH AGAMA'!$D$2:$D$1001,"&lt;="&amp;DATE(2026,12,31)))</f>
        <v/>
      </c>
      <c r="L11" s="19">
        <f>IF($A11="","",D11+E11+F11+G11-H11-I11-J11-K11)</f>
        <v/>
      </c>
      <c r="M11" s="19">
        <f>IF($A11="","",COUNTIFS('KOMUNI PERTAMA'!$C$2:$C$1001,$A11,'KOMUNI PERTAMA'!$E$2:$E$1001,"&gt;="&amp;DATE(2026,1,1),'KOMUNI PERTAMA'!$E$2:$E$1001,"&lt;="&amp;DATE(2026,12,31)))</f>
        <v/>
      </c>
      <c r="N11" s="19">
        <f>IF($A11="","",COUNTIFS('PERKAWINAN GEREJANI'!$C$2:$C$1001,$A11,'PERKAWINAN GEREJANI'!$D$2:$D$1001,"&gt;="&amp;DATE(2026,1,1),'PERKAWINAN GEREJANI'!$D$2:$D$1001,"&lt;="&amp;DATE(2026,12,31)))</f>
        <v/>
      </c>
      <c r="O11" s="19">
        <f>IF($A11="","",COUNTIFS(PEMBUBARAN!$C$2:$C$1001,$A11,PEMBUBARAN!$D$2:$D$1001,"&gt;="&amp;DATE(2026,1,1),PEMBUBARAN!$D$2:$D$1001,"&lt;="&amp;DATE(2026,12,31)))</f>
        <v/>
      </c>
      <c r="P11" s="19">
        <f>IF($A11="","",COUNTIFS('PERMINYAKAN SUCI'!$C$2:$C$1001,$A11,'PERMINYAKAN SUCI'!$E$2:$E$1001,"&gt;="&amp;DATE(2026,1,1),'PERMINYAKAN SUCI'!$E$2:$E$1001,"&lt;="&amp;DATE(2026,12,31)))</f>
        <v/>
      </c>
      <c r="Q11" s="19">
        <f>IF($A11="","",H11)</f>
        <v/>
      </c>
      <c r="R11" s="19">
        <f>IF($A11="","",COUNTIFS('SEMINARI BIARA'!$C$2:$C$1001,$A11,'SEMINARI BIARA'!$F$2:$F$1001,"Mulai masuk 2026",'SEMINARI BIARA'!$G$2:$G$1001,"&gt;="&amp;DATE(2026,1,1),'SEMINARI BIARA'!$G$2:$G$1001,"&lt;="&amp;DATE(2026,12,31)))</f>
        <v/>
      </c>
      <c r="S11" s="19">
        <f>IF($A11="","",COUNTIFS('SEMINARI BIARA'!$C$2:$C$1001,$A11,'SEMINARI BIARA'!$F$2:$F$1001,"Sedang belajar 2026"))</f>
        <v/>
      </c>
    </row>
    <row r="12" ht="14.25" customHeight="1" s="38">
      <c r="A12" s="18" t="n"/>
      <c r="B12" s="19">
        <f>IF($A12="","",COUNTIF('DATA KK'!$E$2:$E$501,$A12))</f>
        <v/>
      </c>
      <c r="C12" s="19">
        <f>IF($A12="","",COUNTIF('DATA UMAT'!$H$2:$H$2001,$A12))</f>
        <v/>
      </c>
      <c r="D12" s="19">
        <f>IF($A12="","",COUNTIFS(BAPTIS!$C$2:$C$1001,$A12,BAPTIS!$F$2:$F$1001,"&gt;="&amp;DATE(2026,1,1),BAPTIS!$F$2:$F$1001,"&lt;="&amp;DATE(2026,12,31)))</f>
        <v/>
      </c>
      <c r="E12" s="19">
        <f>IF($A12="","",COUNTIFS('DITERIMA MASUK'!$C$2:$C$1001,$A12,'DITERIMA MASUK'!$D$2:$D$1001,"&gt;="&amp;DATE(2026,1,1),'DITERIMA MASUK'!$D$2:$D$1001,"&lt;="&amp;DATE(2026,12,31)))</f>
        <v/>
      </c>
      <c r="F12" s="19">
        <f>IF($A12="","",COUNTIFS(MUTASI!$C$2:$C$1001,$A12,MUTASI!$D$2:$D$1001,"Masuk",MUTASI!$F$2:$F$1001,"Paroki lain dalam keuskupan",MUTASI!$E$2:$E$1001,"&gt;="&amp;DATE(2026,1,1),MUTASI!$E$2:$E$1001,"&lt;="&amp;DATE(2026,12,31)))</f>
        <v/>
      </c>
      <c r="G12" s="19">
        <f>IF($A12="","",COUNTIFS(MUTASI!$C$2:$C$1001,$A12,MUTASI!$D$2:$D$1001,"Masuk",MUTASI!$F$2:$F$1001,"Keuskupan lain",MUTASI!$E$2:$E$1001,"&gt;="&amp;DATE(2026,1,1),MUTASI!$E$2:$E$1001,"&lt;="&amp;DATE(2026,12,31)))</f>
        <v/>
      </c>
      <c r="H12" s="19">
        <f>IF($A12="","",COUNTIFS(KEMATIAN!$C$2:$C$1001,$A12,KEMATIAN!$F$2:$F$1001,"&gt;="&amp;DATE(2026,1,1),KEMATIAN!$F$2:$F$1001,"&lt;="&amp;DATE(2026,12,31)))</f>
        <v/>
      </c>
      <c r="I12" s="19">
        <f>IF($A12="","",COUNTIFS(MUTASI!$C$2:$C$1001,$A12,MUTASI!$D$2:$D$1001,"Keluar",MUTASI!$F$2:$F$1001,"Paroki lain dalam keuskupan",MUTASI!$E$2:$E$1001,"&gt;="&amp;DATE(2026,1,1),MUTASI!$E$2:$E$1001,"&lt;="&amp;DATE(2026,12,31)))</f>
        <v/>
      </c>
      <c r="J12" s="19">
        <f>IF($A12="","",COUNTIFS(MUTASI!$C$2:$C$1001,$A12,MUTASI!$D$2:$D$1001,"Keluar",MUTASI!$F$2:$F$1001,"Keuskupan lain",MUTASI!$E$2:$E$1001,"&gt;="&amp;DATE(2026,1,1),MUTASI!$E$2:$E$1001,"&lt;="&amp;DATE(2026,12,31)))</f>
        <v/>
      </c>
      <c r="K12" s="19">
        <f>IF($A12="","",COUNTIFS('PINDAH AGAMA'!$C$2:$C$1001,$A12,'PINDAH AGAMA'!$D$2:$D$1001,"&gt;="&amp;DATE(2026,1,1),'PINDAH AGAMA'!$D$2:$D$1001,"&lt;="&amp;DATE(2026,12,31)))</f>
        <v/>
      </c>
      <c r="L12" s="19">
        <f>IF($A12="","",D12+E12+F12+G12-H12-I12-J12-K12)</f>
        <v/>
      </c>
      <c r="M12" s="19">
        <f>IF($A12="","",COUNTIFS('KOMUNI PERTAMA'!$C$2:$C$1001,$A12,'KOMUNI PERTAMA'!$E$2:$E$1001,"&gt;="&amp;DATE(2026,1,1),'KOMUNI PERTAMA'!$E$2:$E$1001,"&lt;="&amp;DATE(2026,12,31)))</f>
        <v/>
      </c>
      <c r="N12" s="19">
        <f>IF($A12="","",COUNTIFS('PERKAWINAN GEREJANI'!$C$2:$C$1001,$A12,'PERKAWINAN GEREJANI'!$D$2:$D$1001,"&gt;="&amp;DATE(2026,1,1),'PERKAWINAN GEREJANI'!$D$2:$D$1001,"&lt;="&amp;DATE(2026,12,31)))</f>
        <v/>
      </c>
      <c r="O12" s="19">
        <f>IF($A12="","",COUNTIFS(PEMBUBARAN!$C$2:$C$1001,$A12,PEMBUBARAN!$D$2:$D$1001,"&gt;="&amp;DATE(2026,1,1),PEMBUBARAN!$D$2:$D$1001,"&lt;="&amp;DATE(2026,12,31)))</f>
        <v/>
      </c>
      <c r="P12" s="19">
        <f>IF($A12="","",COUNTIFS('PERMINYAKAN SUCI'!$C$2:$C$1001,$A12,'PERMINYAKAN SUCI'!$E$2:$E$1001,"&gt;="&amp;DATE(2026,1,1),'PERMINYAKAN SUCI'!$E$2:$E$1001,"&lt;="&amp;DATE(2026,12,31)))</f>
        <v/>
      </c>
      <c r="Q12" s="19">
        <f>IF($A12="","",H12)</f>
        <v/>
      </c>
      <c r="R12" s="19">
        <f>IF($A12="","",COUNTIFS('SEMINARI BIARA'!$C$2:$C$1001,$A12,'SEMINARI BIARA'!$F$2:$F$1001,"Mulai masuk 2026",'SEMINARI BIARA'!$G$2:$G$1001,"&gt;="&amp;DATE(2026,1,1),'SEMINARI BIARA'!$G$2:$G$1001,"&lt;="&amp;DATE(2026,12,31)))</f>
        <v/>
      </c>
      <c r="S12" s="19">
        <f>IF($A12="","",COUNTIFS('SEMINARI BIARA'!$C$2:$C$1001,$A12,'SEMINARI BIARA'!$F$2:$F$1001,"Sedang belajar 2026"))</f>
        <v/>
      </c>
    </row>
    <row r="13" ht="14.25" customHeight="1" s="38">
      <c r="A13" s="18" t="n"/>
      <c r="B13" s="19">
        <f>IF($A13="","",COUNTIF('DATA KK'!$E$2:$E$501,$A13))</f>
        <v/>
      </c>
      <c r="C13" s="19">
        <f>IF($A13="","",COUNTIF('DATA UMAT'!$H$2:$H$2001,$A13))</f>
        <v/>
      </c>
      <c r="D13" s="19">
        <f>IF($A13="","",COUNTIFS(BAPTIS!$C$2:$C$1001,$A13,BAPTIS!$F$2:$F$1001,"&gt;="&amp;DATE(2026,1,1),BAPTIS!$F$2:$F$1001,"&lt;="&amp;DATE(2026,12,31)))</f>
        <v/>
      </c>
      <c r="E13" s="19">
        <f>IF($A13="","",COUNTIFS('DITERIMA MASUK'!$C$2:$C$1001,$A13,'DITERIMA MASUK'!$D$2:$D$1001,"&gt;="&amp;DATE(2026,1,1),'DITERIMA MASUK'!$D$2:$D$1001,"&lt;="&amp;DATE(2026,12,31)))</f>
        <v/>
      </c>
      <c r="F13" s="19">
        <f>IF($A13="","",COUNTIFS(MUTASI!$C$2:$C$1001,$A13,MUTASI!$D$2:$D$1001,"Masuk",MUTASI!$F$2:$F$1001,"Paroki lain dalam keuskupan",MUTASI!$E$2:$E$1001,"&gt;="&amp;DATE(2026,1,1),MUTASI!$E$2:$E$1001,"&lt;="&amp;DATE(2026,12,31)))</f>
        <v/>
      </c>
      <c r="G13" s="19">
        <f>IF($A13="","",COUNTIFS(MUTASI!$C$2:$C$1001,$A13,MUTASI!$D$2:$D$1001,"Masuk",MUTASI!$F$2:$F$1001,"Keuskupan lain",MUTASI!$E$2:$E$1001,"&gt;="&amp;DATE(2026,1,1),MUTASI!$E$2:$E$1001,"&lt;="&amp;DATE(2026,12,31)))</f>
        <v/>
      </c>
      <c r="H13" s="19">
        <f>IF($A13="","",COUNTIFS(KEMATIAN!$C$2:$C$1001,$A13,KEMATIAN!$F$2:$F$1001,"&gt;="&amp;DATE(2026,1,1),KEMATIAN!$F$2:$F$1001,"&lt;="&amp;DATE(2026,12,31)))</f>
        <v/>
      </c>
      <c r="I13" s="19">
        <f>IF($A13="","",COUNTIFS(MUTASI!$C$2:$C$1001,$A13,MUTASI!$D$2:$D$1001,"Keluar",MUTASI!$F$2:$F$1001,"Paroki lain dalam keuskupan",MUTASI!$E$2:$E$1001,"&gt;="&amp;DATE(2026,1,1),MUTASI!$E$2:$E$1001,"&lt;="&amp;DATE(2026,12,31)))</f>
        <v/>
      </c>
      <c r="J13" s="19">
        <f>IF($A13="","",COUNTIFS(MUTASI!$C$2:$C$1001,$A13,MUTASI!$D$2:$D$1001,"Keluar",MUTASI!$F$2:$F$1001,"Keuskupan lain",MUTASI!$E$2:$E$1001,"&gt;="&amp;DATE(2026,1,1),MUTASI!$E$2:$E$1001,"&lt;="&amp;DATE(2026,12,31)))</f>
        <v/>
      </c>
      <c r="K13" s="19">
        <f>IF($A13="","",COUNTIFS('PINDAH AGAMA'!$C$2:$C$1001,$A13,'PINDAH AGAMA'!$D$2:$D$1001,"&gt;="&amp;DATE(2026,1,1),'PINDAH AGAMA'!$D$2:$D$1001,"&lt;="&amp;DATE(2026,12,31)))</f>
        <v/>
      </c>
      <c r="L13" s="19">
        <f>IF($A13="","",D13+E13+F13+G13-H13-I13-J13-K13)</f>
        <v/>
      </c>
      <c r="M13" s="19">
        <f>IF($A13="","",COUNTIFS('KOMUNI PERTAMA'!$C$2:$C$1001,$A13,'KOMUNI PERTAMA'!$E$2:$E$1001,"&gt;="&amp;DATE(2026,1,1),'KOMUNI PERTAMA'!$E$2:$E$1001,"&lt;="&amp;DATE(2026,12,31)))</f>
        <v/>
      </c>
      <c r="N13" s="19">
        <f>IF($A13="","",COUNTIFS('PERKAWINAN GEREJANI'!$C$2:$C$1001,$A13,'PERKAWINAN GEREJANI'!$D$2:$D$1001,"&gt;="&amp;DATE(2026,1,1),'PERKAWINAN GEREJANI'!$D$2:$D$1001,"&lt;="&amp;DATE(2026,12,31)))</f>
        <v/>
      </c>
      <c r="O13" s="19">
        <f>IF($A13="","",COUNTIFS(PEMBUBARAN!$C$2:$C$1001,$A13,PEMBUBARAN!$D$2:$D$1001,"&gt;="&amp;DATE(2026,1,1),PEMBUBARAN!$D$2:$D$1001,"&lt;="&amp;DATE(2026,12,31)))</f>
        <v/>
      </c>
      <c r="P13" s="19">
        <f>IF($A13="","",COUNTIFS('PERMINYAKAN SUCI'!$C$2:$C$1001,$A13,'PERMINYAKAN SUCI'!$E$2:$E$1001,"&gt;="&amp;DATE(2026,1,1),'PERMINYAKAN SUCI'!$E$2:$E$1001,"&lt;="&amp;DATE(2026,12,31)))</f>
        <v/>
      </c>
      <c r="Q13" s="19">
        <f>IF($A13="","",H13)</f>
        <v/>
      </c>
      <c r="R13" s="19">
        <f>IF($A13="","",COUNTIFS('SEMINARI BIARA'!$C$2:$C$1001,$A13,'SEMINARI BIARA'!$F$2:$F$1001,"Mulai masuk 2026",'SEMINARI BIARA'!$G$2:$G$1001,"&gt;="&amp;DATE(2026,1,1),'SEMINARI BIARA'!$G$2:$G$1001,"&lt;="&amp;DATE(2026,12,31)))</f>
        <v/>
      </c>
      <c r="S13" s="19">
        <f>IF($A13="","",COUNTIFS('SEMINARI BIARA'!$C$2:$C$1001,$A13,'SEMINARI BIARA'!$F$2:$F$1001,"Sedang belajar 2026"))</f>
        <v/>
      </c>
    </row>
    <row r="14" ht="14.25" customHeight="1" s="38">
      <c r="A14" s="18" t="n"/>
      <c r="B14" s="19">
        <f>IF($A14="","",COUNTIF('DATA KK'!$E$2:$E$501,$A14))</f>
        <v/>
      </c>
      <c r="C14" s="19">
        <f>IF($A14="","",COUNTIF('DATA UMAT'!$H$2:$H$2001,$A14))</f>
        <v/>
      </c>
      <c r="D14" s="19">
        <f>IF($A14="","",COUNTIFS(BAPTIS!$C$2:$C$1001,$A14,BAPTIS!$F$2:$F$1001,"&gt;="&amp;DATE(2026,1,1),BAPTIS!$F$2:$F$1001,"&lt;="&amp;DATE(2026,12,31)))</f>
        <v/>
      </c>
      <c r="E14" s="19">
        <f>IF($A14="","",COUNTIFS('DITERIMA MASUK'!$C$2:$C$1001,$A14,'DITERIMA MASUK'!$D$2:$D$1001,"&gt;="&amp;DATE(2026,1,1),'DITERIMA MASUK'!$D$2:$D$1001,"&lt;="&amp;DATE(2026,12,31)))</f>
        <v/>
      </c>
      <c r="F14" s="19">
        <f>IF($A14="","",COUNTIFS(MUTASI!$C$2:$C$1001,$A14,MUTASI!$D$2:$D$1001,"Masuk",MUTASI!$F$2:$F$1001,"Paroki lain dalam keuskupan",MUTASI!$E$2:$E$1001,"&gt;="&amp;DATE(2026,1,1),MUTASI!$E$2:$E$1001,"&lt;="&amp;DATE(2026,12,31)))</f>
        <v/>
      </c>
      <c r="G14" s="19">
        <f>IF($A14="","",COUNTIFS(MUTASI!$C$2:$C$1001,$A14,MUTASI!$D$2:$D$1001,"Masuk",MUTASI!$F$2:$F$1001,"Keuskupan lain",MUTASI!$E$2:$E$1001,"&gt;="&amp;DATE(2026,1,1),MUTASI!$E$2:$E$1001,"&lt;="&amp;DATE(2026,12,31)))</f>
        <v/>
      </c>
      <c r="H14" s="19">
        <f>IF($A14="","",COUNTIFS(KEMATIAN!$C$2:$C$1001,$A14,KEMATIAN!$F$2:$F$1001,"&gt;="&amp;DATE(2026,1,1),KEMATIAN!$F$2:$F$1001,"&lt;="&amp;DATE(2026,12,31)))</f>
        <v/>
      </c>
      <c r="I14" s="19">
        <f>IF($A14="","",COUNTIFS(MUTASI!$C$2:$C$1001,$A14,MUTASI!$D$2:$D$1001,"Keluar",MUTASI!$F$2:$F$1001,"Paroki lain dalam keuskupan",MUTASI!$E$2:$E$1001,"&gt;="&amp;DATE(2026,1,1),MUTASI!$E$2:$E$1001,"&lt;="&amp;DATE(2026,12,31)))</f>
        <v/>
      </c>
      <c r="J14" s="19">
        <f>IF($A14="","",COUNTIFS(MUTASI!$C$2:$C$1001,$A14,MUTASI!$D$2:$D$1001,"Keluar",MUTASI!$F$2:$F$1001,"Keuskupan lain",MUTASI!$E$2:$E$1001,"&gt;="&amp;DATE(2026,1,1),MUTASI!$E$2:$E$1001,"&lt;="&amp;DATE(2026,12,31)))</f>
        <v/>
      </c>
      <c r="K14" s="19">
        <f>IF($A14="","",COUNTIFS('PINDAH AGAMA'!$C$2:$C$1001,$A14,'PINDAH AGAMA'!$D$2:$D$1001,"&gt;="&amp;DATE(2026,1,1),'PINDAH AGAMA'!$D$2:$D$1001,"&lt;="&amp;DATE(2026,12,31)))</f>
        <v/>
      </c>
      <c r="L14" s="19">
        <f>IF($A14="","",D14+E14+F14+G14-H14-I14-J14-K14)</f>
        <v/>
      </c>
      <c r="M14" s="19">
        <f>IF($A14="","",COUNTIFS('KOMUNI PERTAMA'!$C$2:$C$1001,$A14,'KOMUNI PERTAMA'!$E$2:$E$1001,"&gt;="&amp;DATE(2026,1,1),'KOMUNI PERTAMA'!$E$2:$E$1001,"&lt;="&amp;DATE(2026,12,31)))</f>
        <v/>
      </c>
      <c r="N14" s="19">
        <f>IF($A14="","",COUNTIFS('PERKAWINAN GEREJANI'!$C$2:$C$1001,$A14,'PERKAWINAN GEREJANI'!$D$2:$D$1001,"&gt;="&amp;DATE(2026,1,1),'PERKAWINAN GEREJANI'!$D$2:$D$1001,"&lt;="&amp;DATE(2026,12,31)))</f>
        <v/>
      </c>
      <c r="O14" s="19">
        <f>IF($A14="","",COUNTIFS(PEMBUBARAN!$C$2:$C$1001,$A14,PEMBUBARAN!$D$2:$D$1001,"&gt;="&amp;DATE(2026,1,1),PEMBUBARAN!$D$2:$D$1001,"&lt;="&amp;DATE(2026,12,31)))</f>
        <v/>
      </c>
      <c r="P14" s="19">
        <f>IF($A14="","",COUNTIFS('PERMINYAKAN SUCI'!$C$2:$C$1001,$A14,'PERMINYAKAN SUCI'!$E$2:$E$1001,"&gt;="&amp;DATE(2026,1,1),'PERMINYAKAN SUCI'!$E$2:$E$1001,"&lt;="&amp;DATE(2026,12,31)))</f>
        <v/>
      </c>
      <c r="Q14" s="19">
        <f>IF($A14="","",H14)</f>
        <v/>
      </c>
      <c r="R14" s="19">
        <f>IF($A14="","",COUNTIFS('SEMINARI BIARA'!$C$2:$C$1001,$A14,'SEMINARI BIARA'!$F$2:$F$1001,"Mulai masuk 2026",'SEMINARI BIARA'!$G$2:$G$1001,"&gt;="&amp;DATE(2026,1,1),'SEMINARI BIARA'!$G$2:$G$1001,"&lt;="&amp;DATE(2026,12,31)))</f>
        <v/>
      </c>
      <c r="S14" s="19">
        <f>IF($A14="","",COUNTIFS('SEMINARI BIARA'!$C$2:$C$1001,$A14,'SEMINARI BIARA'!$F$2:$F$1001,"Sedang belajar 2026"))</f>
        <v/>
      </c>
    </row>
    <row r="15" ht="14.25" customHeight="1" s="38">
      <c r="A15" s="18" t="n"/>
      <c r="B15" s="19">
        <f>IF($A15="","",COUNTIF('DATA KK'!$E$2:$E$501,$A15))</f>
        <v/>
      </c>
      <c r="C15" s="19">
        <f>IF($A15="","",COUNTIF('DATA UMAT'!$H$2:$H$2001,$A15))</f>
        <v/>
      </c>
      <c r="D15" s="19">
        <f>IF($A15="","",COUNTIFS(BAPTIS!$C$2:$C$1001,$A15,BAPTIS!$F$2:$F$1001,"&gt;="&amp;DATE(2026,1,1),BAPTIS!$F$2:$F$1001,"&lt;="&amp;DATE(2026,12,31)))</f>
        <v/>
      </c>
      <c r="E15" s="19">
        <f>IF($A15="","",COUNTIFS('DITERIMA MASUK'!$C$2:$C$1001,$A15,'DITERIMA MASUK'!$D$2:$D$1001,"&gt;="&amp;DATE(2026,1,1),'DITERIMA MASUK'!$D$2:$D$1001,"&lt;="&amp;DATE(2026,12,31)))</f>
        <v/>
      </c>
      <c r="F15" s="19">
        <f>IF($A15="","",COUNTIFS(MUTASI!$C$2:$C$1001,$A15,MUTASI!$D$2:$D$1001,"Masuk",MUTASI!$F$2:$F$1001,"Paroki lain dalam keuskupan",MUTASI!$E$2:$E$1001,"&gt;="&amp;DATE(2026,1,1),MUTASI!$E$2:$E$1001,"&lt;="&amp;DATE(2026,12,31)))</f>
        <v/>
      </c>
      <c r="G15" s="19">
        <f>IF($A15="","",COUNTIFS(MUTASI!$C$2:$C$1001,$A15,MUTASI!$D$2:$D$1001,"Masuk",MUTASI!$F$2:$F$1001,"Keuskupan lain",MUTASI!$E$2:$E$1001,"&gt;="&amp;DATE(2026,1,1),MUTASI!$E$2:$E$1001,"&lt;="&amp;DATE(2026,12,31)))</f>
        <v/>
      </c>
      <c r="H15" s="19">
        <f>IF($A15="","",COUNTIFS(KEMATIAN!$C$2:$C$1001,$A15,KEMATIAN!$F$2:$F$1001,"&gt;="&amp;DATE(2026,1,1),KEMATIAN!$F$2:$F$1001,"&lt;="&amp;DATE(2026,12,31)))</f>
        <v/>
      </c>
      <c r="I15" s="19">
        <f>IF($A15="","",COUNTIFS(MUTASI!$C$2:$C$1001,$A15,MUTASI!$D$2:$D$1001,"Keluar",MUTASI!$F$2:$F$1001,"Paroki lain dalam keuskupan",MUTASI!$E$2:$E$1001,"&gt;="&amp;DATE(2026,1,1),MUTASI!$E$2:$E$1001,"&lt;="&amp;DATE(2026,12,31)))</f>
        <v/>
      </c>
      <c r="J15" s="19">
        <f>IF($A15="","",COUNTIFS(MUTASI!$C$2:$C$1001,$A15,MUTASI!$D$2:$D$1001,"Keluar",MUTASI!$F$2:$F$1001,"Keuskupan lain",MUTASI!$E$2:$E$1001,"&gt;="&amp;DATE(2026,1,1),MUTASI!$E$2:$E$1001,"&lt;="&amp;DATE(2026,12,31)))</f>
        <v/>
      </c>
      <c r="K15" s="19">
        <f>IF($A15="","",COUNTIFS('PINDAH AGAMA'!$C$2:$C$1001,$A15,'PINDAH AGAMA'!$D$2:$D$1001,"&gt;="&amp;DATE(2026,1,1),'PINDAH AGAMA'!$D$2:$D$1001,"&lt;="&amp;DATE(2026,12,31)))</f>
        <v/>
      </c>
      <c r="L15" s="19">
        <f>IF($A15="","",D15+E15+F15+G15-H15-I15-J15-K15)</f>
        <v/>
      </c>
      <c r="M15" s="19">
        <f>IF($A15="","",COUNTIFS('KOMUNI PERTAMA'!$C$2:$C$1001,$A15,'KOMUNI PERTAMA'!$E$2:$E$1001,"&gt;="&amp;DATE(2026,1,1),'KOMUNI PERTAMA'!$E$2:$E$1001,"&lt;="&amp;DATE(2026,12,31)))</f>
        <v/>
      </c>
      <c r="N15" s="19">
        <f>IF($A15="","",COUNTIFS('PERKAWINAN GEREJANI'!$C$2:$C$1001,$A15,'PERKAWINAN GEREJANI'!$D$2:$D$1001,"&gt;="&amp;DATE(2026,1,1),'PERKAWINAN GEREJANI'!$D$2:$D$1001,"&lt;="&amp;DATE(2026,12,31)))</f>
        <v/>
      </c>
      <c r="O15" s="19">
        <f>IF($A15="","",COUNTIFS(PEMBUBARAN!$C$2:$C$1001,$A15,PEMBUBARAN!$D$2:$D$1001,"&gt;="&amp;DATE(2026,1,1),PEMBUBARAN!$D$2:$D$1001,"&lt;="&amp;DATE(2026,12,31)))</f>
        <v/>
      </c>
      <c r="P15" s="19">
        <f>IF($A15="","",COUNTIFS('PERMINYAKAN SUCI'!$C$2:$C$1001,$A15,'PERMINYAKAN SUCI'!$E$2:$E$1001,"&gt;="&amp;DATE(2026,1,1),'PERMINYAKAN SUCI'!$E$2:$E$1001,"&lt;="&amp;DATE(2026,12,31)))</f>
        <v/>
      </c>
      <c r="Q15" s="19">
        <f>IF($A15="","",H15)</f>
        <v/>
      </c>
      <c r="R15" s="19">
        <f>IF($A15="","",COUNTIFS('SEMINARI BIARA'!$C$2:$C$1001,$A15,'SEMINARI BIARA'!$F$2:$F$1001,"Mulai masuk 2026",'SEMINARI BIARA'!$G$2:$G$1001,"&gt;="&amp;DATE(2026,1,1),'SEMINARI BIARA'!$G$2:$G$1001,"&lt;="&amp;DATE(2026,12,31)))</f>
        <v/>
      </c>
      <c r="S15" s="19">
        <f>IF($A15="","",COUNTIFS('SEMINARI BIARA'!$C$2:$C$1001,$A15,'SEMINARI BIARA'!$F$2:$F$1001,"Sedang belajar 2026"))</f>
        <v/>
      </c>
    </row>
    <row r="16" ht="14.25" customHeight="1" s="38">
      <c r="A16" s="18" t="n"/>
      <c r="B16" s="19">
        <f>IF($A16="","",COUNTIF('DATA KK'!$E$2:$E$501,$A16))</f>
        <v/>
      </c>
      <c r="C16" s="19">
        <f>IF($A16="","",COUNTIF('DATA UMAT'!$H$2:$H$2001,$A16))</f>
        <v/>
      </c>
      <c r="D16" s="19">
        <f>IF($A16="","",COUNTIFS(BAPTIS!$C$2:$C$1001,$A16,BAPTIS!$F$2:$F$1001,"&gt;="&amp;DATE(2026,1,1),BAPTIS!$F$2:$F$1001,"&lt;="&amp;DATE(2026,12,31)))</f>
        <v/>
      </c>
      <c r="E16" s="19">
        <f>IF($A16="","",COUNTIFS('DITERIMA MASUK'!$C$2:$C$1001,$A16,'DITERIMA MASUK'!$D$2:$D$1001,"&gt;="&amp;DATE(2026,1,1),'DITERIMA MASUK'!$D$2:$D$1001,"&lt;="&amp;DATE(2026,12,31)))</f>
        <v/>
      </c>
      <c r="F16" s="19">
        <f>IF($A16="","",COUNTIFS(MUTASI!$C$2:$C$1001,$A16,MUTASI!$D$2:$D$1001,"Masuk",MUTASI!$F$2:$F$1001,"Paroki lain dalam keuskupan",MUTASI!$E$2:$E$1001,"&gt;="&amp;DATE(2026,1,1),MUTASI!$E$2:$E$1001,"&lt;="&amp;DATE(2026,12,31)))</f>
        <v/>
      </c>
      <c r="G16" s="19">
        <f>IF($A16="","",COUNTIFS(MUTASI!$C$2:$C$1001,$A16,MUTASI!$D$2:$D$1001,"Masuk",MUTASI!$F$2:$F$1001,"Keuskupan lain",MUTASI!$E$2:$E$1001,"&gt;="&amp;DATE(2026,1,1),MUTASI!$E$2:$E$1001,"&lt;="&amp;DATE(2026,12,31)))</f>
        <v/>
      </c>
      <c r="H16" s="19">
        <f>IF($A16="","",COUNTIFS(KEMATIAN!$C$2:$C$1001,$A16,KEMATIAN!$F$2:$F$1001,"&gt;="&amp;DATE(2026,1,1),KEMATIAN!$F$2:$F$1001,"&lt;="&amp;DATE(2026,12,31)))</f>
        <v/>
      </c>
      <c r="I16" s="19">
        <f>IF($A16="","",COUNTIFS(MUTASI!$C$2:$C$1001,$A16,MUTASI!$D$2:$D$1001,"Keluar",MUTASI!$F$2:$F$1001,"Paroki lain dalam keuskupan",MUTASI!$E$2:$E$1001,"&gt;="&amp;DATE(2026,1,1),MUTASI!$E$2:$E$1001,"&lt;="&amp;DATE(2026,12,31)))</f>
        <v/>
      </c>
      <c r="J16" s="19">
        <f>IF($A16="","",COUNTIFS(MUTASI!$C$2:$C$1001,$A16,MUTASI!$D$2:$D$1001,"Keluar",MUTASI!$F$2:$F$1001,"Keuskupan lain",MUTASI!$E$2:$E$1001,"&gt;="&amp;DATE(2026,1,1),MUTASI!$E$2:$E$1001,"&lt;="&amp;DATE(2026,12,31)))</f>
        <v/>
      </c>
      <c r="K16" s="19">
        <f>IF($A16="","",COUNTIFS('PINDAH AGAMA'!$C$2:$C$1001,$A16,'PINDAH AGAMA'!$D$2:$D$1001,"&gt;="&amp;DATE(2026,1,1),'PINDAH AGAMA'!$D$2:$D$1001,"&lt;="&amp;DATE(2026,12,31)))</f>
        <v/>
      </c>
      <c r="L16" s="19">
        <f>IF($A16="","",D16+E16+F16+G16-H16-I16-J16-K16)</f>
        <v/>
      </c>
      <c r="M16" s="19">
        <f>IF($A16="","",COUNTIFS('KOMUNI PERTAMA'!$C$2:$C$1001,$A16,'KOMUNI PERTAMA'!$E$2:$E$1001,"&gt;="&amp;DATE(2026,1,1),'KOMUNI PERTAMA'!$E$2:$E$1001,"&lt;="&amp;DATE(2026,12,31)))</f>
        <v/>
      </c>
      <c r="N16" s="19">
        <f>IF($A16="","",COUNTIFS('PERKAWINAN GEREJANI'!$C$2:$C$1001,$A16,'PERKAWINAN GEREJANI'!$D$2:$D$1001,"&gt;="&amp;DATE(2026,1,1),'PERKAWINAN GEREJANI'!$D$2:$D$1001,"&lt;="&amp;DATE(2026,12,31)))</f>
        <v/>
      </c>
      <c r="O16" s="19">
        <f>IF($A16="","",COUNTIFS(PEMBUBARAN!$C$2:$C$1001,$A16,PEMBUBARAN!$D$2:$D$1001,"&gt;="&amp;DATE(2026,1,1),PEMBUBARAN!$D$2:$D$1001,"&lt;="&amp;DATE(2026,12,31)))</f>
        <v/>
      </c>
      <c r="P16" s="19">
        <f>IF($A16="","",COUNTIFS('PERMINYAKAN SUCI'!$C$2:$C$1001,$A16,'PERMINYAKAN SUCI'!$E$2:$E$1001,"&gt;="&amp;DATE(2026,1,1),'PERMINYAKAN SUCI'!$E$2:$E$1001,"&lt;="&amp;DATE(2026,12,31)))</f>
        <v/>
      </c>
      <c r="Q16" s="19">
        <f>IF($A16="","",H16)</f>
        <v/>
      </c>
      <c r="R16" s="19">
        <f>IF($A16="","",COUNTIFS('SEMINARI BIARA'!$C$2:$C$1001,$A16,'SEMINARI BIARA'!$F$2:$F$1001,"Mulai masuk 2026",'SEMINARI BIARA'!$G$2:$G$1001,"&gt;="&amp;DATE(2026,1,1),'SEMINARI BIARA'!$G$2:$G$1001,"&lt;="&amp;DATE(2026,12,31)))</f>
        <v/>
      </c>
      <c r="S16" s="19">
        <f>IF($A16="","",COUNTIFS('SEMINARI BIARA'!$C$2:$C$1001,$A16,'SEMINARI BIARA'!$F$2:$F$1001,"Sedang belajar 2026"))</f>
        <v/>
      </c>
    </row>
    <row r="17" ht="14.25" customHeight="1" s="38">
      <c r="A17" s="18" t="n"/>
      <c r="B17" s="19">
        <f>IF($A17="","",COUNTIF('DATA KK'!$E$2:$E$501,$A17))</f>
        <v/>
      </c>
      <c r="C17" s="19">
        <f>IF($A17="","",COUNTIF('DATA UMAT'!$H$2:$H$2001,$A17))</f>
        <v/>
      </c>
      <c r="D17" s="19">
        <f>IF($A17="","",COUNTIFS(BAPTIS!$C$2:$C$1001,$A17,BAPTIS!$F$2:$F$1001,"&gt;="&amp;DATE(2026,1,1),BAPTIS!$F$2:$F$1001,"&lt;="&amp;DATE(2026,12,31)))</f>
        <v/>
      </c>
      <c r="E17" s="19">
        <f>IF($A17="","",COUNTIFS('DITERIMA MASUK'!$C$2:$C$1001,$A17,'DITERIMA MASUK'!$D$2:$D$1001,"&gt;="&amp;DATE(2026,1,1),'DITERIMA MASUK'!$D$2:$D$1001,"&lt;="&amp;DATE(2026,12,31)))</f>
        <v/>
      </c>
      <c r="F17" s="19">
        <f>IF($A17="","",COUNTIFS(MUTASI!$C$2:$C$1001,$A17,MUTASI!$D$2:$D$1001,"Masuk",MUTASI!$F$2:$F$1001,"Paroki lain dalam keuskupan",MUTASI!$E$2:$E$1001,"&gt;="&amp;DATE(2026,1,1),MUTASI!$E$2:$E$1001,"&lt;="&amp;DATE(2026,12,31)))</f>
        <v/>
      </c>
      <c r="G17" s="19">
        <f>IF($A17="","",COUNTIFS(MUTASI!$C$2:$C$1001,$A17,MUTASI!$D$2:$D$1001,"Masuk",MUTASI!$F$2:$F$1001,"Keuskupan lain",MUTASI!$E$2:$E$1001,"&gt;="&amp;DATE(2026,1,1),MUTASI!$E$2:$E$1001,"&lt;="&amp;DATE(2026,12,31)))</f>
        <v/>
      </c>
      <c r="H17" s="19">
        <f>IF($A17="","",COUNTIFS(KEMATIAN!$C$2:$C$1001,$A17,KEMATIAN!$F$2:$F$1001,"&gt;="&amp;DATE(2026,1,1),KEMATIAN!$F$2:$F$1001,"&lt;="&amp;DATE(2026,12,31)))</f>
        <v/>
      </c>
      <c r="I17" s="19">
        <f>IF($A17="","",COUNTIFS(MUTASI!$C$2:$C$1001,$A17,MUTASI!$D$2:$D$1001,"Keluar",MUTASI!$F$2:$F$1001,"Paroki lain dalam keuskupan",MUTASI!$E$2:$E$1001,"&gt;="&amp;DATE(2026,1,1),MUTASI!$E$2:$E$1001,"&lt;="&amp;DATE(2026,12,31)))</f>
        <v/>
      </c>
      <c r="J17" s="19">
        <f>IF($A17="","",COUNTIFS(MUTASI!$C$2:$C$1001,$A17,MUTASI!$D$2:$D$1001,"Keluar",MUTASI!$F$2:$F$1001,"Keuskupan lain",MUTASI!$E$2:$E$1001,"&gt;="&amp;DATE(2026,1,1),MUTASI!$E$2:$E$1001,"&lt;="&amp;DATE(2026,12,31)))</f>
        <v/>
      </c>
      <c r="K17" s="19">
        <f>IF($A17="","",COUNTIFS('PINDAH AGAMA'!$C$2:$C$1001,$A17,'PINDAH AGAMA'!$D$2:$D$1001,"&gt;="&amp;DATE(2026,1,1),'PINDAH AGAMA'!$D$2:$D$1001,"&lt;="&amp;DATE(2026,12,31)))</f>
        <v/>
      </c>
      <c r="L17" s="19">
        <f>IF($A17="","",D17+E17+F17+G17-H17-I17-J17-K17)</f>
        <v/>
      </c>
      <c r="M17" s="19">
        <f>IF($A17="","",COUNTIFS('KOMUNI PERTAMA'!$C$2:$C$1001,$A17,'KOMUNI PERTAMA'!$E$2:$E$1001,"&gt;="&amp;DATE(2026,1,1),'KOMUNI PERTAMA'!$E$2:$E$1001,"&lt;="&amp;DATE(2026,12,31)))</f>
        <v/>
      </c>
      <c r="N17" s="19">
        <f>IF($A17="","",COUNTIFS('PERKAWINAN GEREJANI'!$C$2:$C$1001,$A17,'PERKAWINAN GEREJANI'!$D$2:$D$1001,"&gt;="&amp;DATE(2026,1,1),'PERKAWINAN GEREJANI'!$D$2:$D$1001,"&lt;="&amp;DATE(2026,12,31)))</f>
        <v/>
      </c>
      <c r="O17" s="19">
        <f>IF($A17="","",COUNTIFS(PEMBUBARAN!$C$2:$C$1001,$A17,PEMBUBARAN!$D$2:$D$1001,"&gt;="&amp;DATE(2026,1,1),PEMBUBARAN!$D$2:$D$1001,"&lt;="&amp;DATE(2026,12,31)))</f>
        <v/>
      </c>
      <c r="P17" s="19">
        <f>IF($A17="","",COUNTIFS('PERMINYAKAN SUCI'!$C$2:$C$1001,$A17,'PERMINYAKAN SUCI'!$E$2:$E$1001,"&gt;="&amp;DATE(2026,1,1),'PERMINYAKAN SUCI'!$E$2:$E$1001,"&lt;="&amp;DATE(2026,12,31)))</f>
        <v/>
      </c>
      <c r="Q17" s="19">
        <f>IF($A17="","",H17)</f>
        <v/>
      </c>
      <c r="R17" s="19">
        <f>IF($A17="","",COUNTIFS('SEMINARI BIARA'!$C$2:$C$1001,$A17,'SEMINARI BIARA'!$F$2:$F$1001,"Mulai masuk 2026",'SEMINARI BIARA'!$G$2:$G$1001,"&gt;="&amp;DATE(2026,1,1),'SEMINARI BIARA'!$G$2:$G$1001,"&lt;="&amp;DATE(2026,12,31)))</f>
        <v/>
      </c>
      <c r="S17" s="19">
        <f>IF($A17="","",COUNTIFS('SEMINARI BIARA'!$C$2:$C$1001,$A17,'SEMINARI BIARA'!$F$2:$F$1001,"Sedang belajar 2026"))</f>
        <v/>
      </c>
    </row>
    <row r="18" ht="14.25" customHeight="1" s="38">
      <c r="A18" s="18" t="n"/>
      <c r="B18" s="19">
        <f>IF($A18="","",COUNTIF('DATA KK'!$E$2:$E$501,$A18))</f>
        <v/>
      </c>
      <c r="C18" s="19">
        <f>IF($A18="","",COUNTIF('DATA UMAT'!$H$2:$H$2001,$A18))</f>
        <v/>
      </c>
      <c r="D18" s="19">
        <f>IF($A18="","",COUNTIFS(BAPTIS!$C$2:$C$1001,$A18,BAPTIS!$F$2:$F$1001,"&gt;="&amp;DATE(2026,1,1),BAPTIS!$F$2:$F$1001,"&lt;="&amp;DATE(2026,12,31)))</f>
        <v/>
      </c>
      <c r="E18" s="19">
        <f>IF($A18="","",COUNTIFS('DITERIMA MASUK'!$C$2:$C$1001,$A18,'DITERIMA MASUK'!$D$2:$D$1001,"&gt;="&amp;DATE(2026,1,1),'DITERIMA MASUK'!$D$2:$D$1001,"&lt;="&amp;DATE(2026,12,31)))</f>
        <v/>
      </c>
      <c r="F18" s="19">
        <f>IF($A18="","",COUNTIFS(MUTASI!$C$2:$C$1001,$A18,MUTASI!$D$2:$D$1001,"Masuk",MUTASI!$F$2:$F$1001,"Paroki lain dalam keuskupan",MUTASI!$E$2:$E$1001,"&gt;="&amp;DATE(2026,1,1),MUTASI!$E$2:$E$1001,"&lt;="&amp;DATE(2026,12,31)))</f>
        <v/>
      </c>
      <c r="G18" s="19">
        <f>IF($A18="","",COUNTIFS(MUTASI!$C$2:$C$1001,$A18,MUTASI!$D$2:$D$1001,"Masuk",MUTASI!$F$2:$F$1001,"Keuskupan lain",MUTASI!$E$2:$E$1001,"&gt;="&amp;DATE(2026,1,1),MUTASI!$E$2:$E$1001,"&lt;="&amp;DATE(2026,12,31)))</f>
        <v/>
      </c>
      <c r="H18" s="19">
        <f>IF($A18="","",COUNTIFS(KEMATIAN!$C$2:$C$1001,$A18,KEMATIAN!$F$2:$F$1001,"&gt;="&amp;DATE(2026,1,1),KEMATIAN!$F$2:$F$1001,"&lt;="&amp;DATE(2026,12,31)))</f>
        <v/>
      </c>
      <c r="I18" s="19">
        <f>IF($A18="","",COUNTIFS(MUTASI!$C$2:$C$1001,$A18,MUTASI!$D$2:$D$1001,"Keluar",MUTASI!$F$2:$F$1001,"Paroki lain dalam keuskupan",MUTASI!$E$2:$E$1001,"&gt;="&amp;DATE(2026,1,1),MUTASI!$E$2:$E$1001,"&lt;="&amp;DATE(2026,12,31)))</f>
        <v/>
      </c>
      <c r="J18" s="19">
        <f>IF($A18="","",COUNTIFS(MUTASI!$C$2:$C$1001,$A18,MUTASI!$D$2:$D$1001,"Keluar",MUTASI!$F$2:$F$1001,"Keuskupan lain",MUTASI!$E$2:$E$1001,"&gt;="&amp;DATE(2026,1,1),MUTASI!$E$2:$E$1001,"&lt;="&amp;DATE(2026,12,31)))</f>
        <v/>
      </c>
      <c r="K18" s="19">
        <f>IF($A18="","",COUNTIFS('PINDAH AGAMA'!$C$2:$C$1001,$A18,'PINDAH AGAMA'!$D$2:$D$1001,"&gt;="&amp;DATE(2026,1,1),'PINDAH AGAMA'!$D$2:$D$1001,"&lt;="&amp;DATE(2026,12,31)))</f>
        <v/>
      </c>
      <c r="L18" s="19">
        <f>IF($A18="","",D18+E18+F18+G18-H18-I18-J18-K18)</f>
        <v/>
      </c>
      <c r="M18" s="19">
        <f>IF($A18="","",COUNTIFS('KOMUNI PERTAMA'!$C$2:$C$1001,$A18,'KOMUNI PERTAMA'!$E$2:$E$1001,"&gt;="&amp;DATE(2026,1,1),'KOMUNI PERTAMA'!$E$2:$E$1001,"&lt;="&amp;DATE(2026,12,31)))</f>
        <v/>
      </c>
      <c r="N18" s="19">
        <f>IF($A18="","",COUNTIFS('PERKAWINAN GEREJANI'!$C$2:$C$1001,$A18,'PERKAWINAN GEREJANI'!$D$2:$D$1001,"&gt;="&amp;DATE(2026,1,1),'PERKAWINAN GEREJANI'!$D$2:$D$1001,"&lt;="&amp;DATE(2026,12,31)))</f>
        <v/>
      </c>
      <c r="O18" s="19">
        <f>IF($A18="","",COUNTIFS(PEMBUBARAN!$C$2:$C$1001,$A18,PEMBUBARAN!$D$2:$D$1001,"&gt;="&amp;DATE(2026,1,1),PEMBUBARAN!$D$2:$D$1001,"&lt;="&amp;DATE(2026,12,31)))</f>
        <v/>
      </c>
      <c r="P18" s="19">
        <f>IF($A18="","",COUNTIFS('PERMINYAKAN SUCI'!$C$2:$C$1001,$A18,'PERMINYAKAN SUCI'!$E$2:$E$1001,"&gt;="&amp;DATE(2026,1,1),'PERMINYAKAN SUCI'!$E$2:$E$1001,"&lt;="&amp;DATE(2026,12,31)))</f>
        <v/>
      </c>
      <c r="Q18" s="19">
        <f>IF($A18="","",H18)</f>
        <v/>
      </c>
      <c r="R18" s="19">
        <f>IF($A18="","",COUNTIFS('SEMINARI BIARA'!$C$2:$C$1001,$A18,'SEMINARI BIARA'!$F$2:$F$1001,"Mulai masuk 2026",'SEMINARI BIARA'!$G$2:$G$1001,"&gt;="&amp;DATE(2026,1,1),'SEMINARI BIARA'!$G$2:$G$1001,"&lt;="&amp;DATE(2026,12,31)))</f>
        <v/>
      </c>
      <c r="S18" s="19">
        <f>IF($A18="","",COUNTIFS('SEMINARI BIARA'!$C$2:$C$1001,$A18,'SEMINARI BIARA'!$F$2:$F$1001,"Sedang belajar 2026"))</f>
        <v/>
      </c>
    </row>
    <row r="19" ht="14.25" customHeight="1" s="38">
      <c r="A19" s="18" t="n"/>
      <c r="B19" s="19">
        <f>IF($A19="","",COUNTIF('DATA KK'!$E$2:$E$501,$A19))</f>
        <v/>
      </c>
      <c r="C19" s="19">
        <f>IF($A19="","",COUNTIF('DATA UMAT'!$H$2:$H$2001,$A19))</f>
        <v/>
      </c>
      <c r="D19" s="19">
        <f>IF($A19="","",COUNTIFS(BAPTIS!$C$2:$C$1001,$A19,BAPTIS!$F$2:$F$1001,"&gt;="&amp;DATE(2026,1,1),BAPTIS!$F$2:$F$1001,"&lt;="&amp;DATE(2026,12,31)))</f>
        <v/>
      </c>
      <c r="E19" s="19">
        <f>IF($A19="","",COUNTIFS('DITERIMA MASUK'!$C$2:$C$1001,$A19,'DITERIMA MASUK'!$D$2:$D$1001,"&gt;="&amp;DATE(2026,1,1),'DITERIMA MASUK'!$D$2:$D$1001,"&lt;="&amp;DATE(2026,12,31)))</f>
        <v/>
      </c>
      <c r="F19" s="19">
        <f>IF($A19="","",COUNTIFS(MUTASI!$C$2:$C$1001,$A19,MUTASI!$D$2:$D$1001,"Masuk",MUTASI!$F$2:$F$1001,"Paroki lain dalam keuskupan",MUTASI!$E$2:$E$1001,"&gt;="&amp;DATE(2026,1,1),MUTASI!$E$2:$E$1001,"&lt;="&amp;DATE(2026,12,31)))</f>
        <v/>
      </c>
      <c r="G19" s="19">
        <f>IF($A19="","",COUNTIFS(MUTASI!$C$2:$C$1001,$A19,MUTASI!$D$2:$D$1001,"Masuk",MUTASI!$F$2:$F$1001,"Keuskupan lain",MUTASI!$E$2:$E$1001,"&gt;="&amp;DATE(2026,1,1),MUTASI!$E$2:$E$1001,"&lt;="&amp;DATE(2026,12,31)))</f>
        <v/>
      </c>
      <c r="H19" s="19">
        <f>IF($A19="","",COUNTIFS(KEMATIAN!$C$2:$C$1001,$A19,KEMATIAN!$F$2:$F$1001,"&gt;="&amp;DATE(2026,1,1),KEMATIAN!$F$2:$F$1001,"&lt;="&amp;DATE(2026,12,31)))</f>
        <v/>
      </c>
      <c r="I19" s="19">
        <f>IF($A19="","",COUNTIFS(MUTASI!$C$2:$C$1001,$A19,MUTASI!$D$2:$D$1001,"Keluar",MUTASI!$F$2:$F$1001,"Paroki lain dalam keuskupan",MUTASI!$E$2:$E$1001,"&gt;="&amp;DATE(2026,1,1),MUTASI!$E$2:$E$1001,"&lt;="&amp;DATE(2026,12,31)))</f>
        <v/>
      </c>
      <c r="J19" s="19">
        <f>IF($A19="","",COUNTIFS(MUTASI!$C$2:$C$1001,$A19,MUTASI!$D$2:$D$1001,"Keluar",MUTASI!$F$2:$F$1001,"Keuskupan lain",MUTASI!$E$2:$E$1001,"&gt;="&amp;DATE(2026,1,1),MUTASI!$E$2:$E$1001,"&lt;="&amp;DATE(2026,12,31)))</f>
        <v/>
      </c>
      <c r="K19" s="19">
        <f>IF($A19="","",COUNTIFS('PINDAH AGAMA'!$C$2:$C$1001,$A19,'PINDAH AGAMA'!$D$2:$D$1001,"&gt;="&amp;DATE(2026,1,1),'PINDAH AGAMA'!$D$2:$D$1001,"&lt;="&amp;DATE(2026,12,31)))</f>
        <v/>
      </c>
      <c r="L19" s="19">
        <f>IF($A19="","",D19+E19+F19+G19-H19-I19-J19-K19)</f>
        <v/>
      </c>
      <c r="M19" s="19">
        <f>IF($A19="","",COUNTIFS('KOMUNI PERTAMA'!$C$2:$C$1001,$A19,'KOMUNI PERTAMA'!$E$2:$E$1001,"&gt;="&amp;DATE(2026,1,1),'KOMUNI PERTAMA'!$E$2:$E$1001,"&lt;="&amp;DATE(2026,12,31)))</f>
        <v/>
      </c>
      <c r="N19" s="19">
        <f>IF($A19="","",COUNTIFS('PERKAWINAN GEREJANI'!$C$2:$C$1001,$A19,'PERKAWINAN GEREJANI'!$D$2:$D$1001,"&gt;="&amp;DATE(2026,1,1),'PERKAWINAN GEREJANI'!$D$2:$D$1001,"&lt;="&amp;DATE(2026,12,31)))</f>
        <v/>
      </c>
      <c r="O19" s="19">
        <f>IF($A19="","",COUNTIFS(PEMBUBARAN!$C$2:$C$1001,$A19,PEMBUBARAN!$D$2:$D$1001,"&gt;="&amp;DATE(2026,1,1),PEMBUBARAN!$D$2:$D$1001,"&lt;="&amp;DATE(2026,12,31)))</f>
        <v/>
      </c>
      <c r="P19" s="19">
        <f>IF($A19="","",COUNTIFS('PERMINYAKAN SUCI'!$C$2:$C$1001,$A19,'PERMINYAKAN SUCI'!$E$2:$E$1001,"&gt;="&amp;DATE(2026,1,1),'PERMINYAKAN SUCI'!$E$2:$E$1001,"&lt;="&amp;DATE(2026,12,31)))</f>
        <v/>
      </c>
      <c r="Q19" s="19">
        <f>IF($A19="","",H19)</f>
        <v/>
      </c>
      <c r="R19" s="19">
        <f>IF($A19="","",COUNTIFS('SEMINARI BIARA'!$C$2:$C$1001,$A19,'SEMINARI BIARA'!$F$2:$F$1001,"Mulai masuk 2026",'SEMINARI BIARA'!$G$2:$G$1001,"&gt;="&amp;DATE(2026,1,1),'SEMINARI BIARA'!$G$2:$G$1001,"&lt;="&amp;DATE(2026,12,31)))</f>
        <v/>
      </c>
      <c r="S19" s="19">
        <f>IF($A19="","",COUNTIFS('SEMINARI BIARA'!$C$2:$C$1001,$A19,'SEMINARI BIARA'!$F$2:$F$1001,"Sedang belajar 2026"))</f>
        <v/>
      </c>
    </row>
    <row r="20" ht="14.25" customHeight="1" s="38">
      <c r="A20" s="18" t="n"/>
      <c r="B20" s="19">
        <f>IF($A20="","",COUNTIF('DATA KK'!$E$2:$E$501,$A20))</f>
        <v/>
      </c>
      <c r="C20" s="19">
        <f>IF($A20="","",COUNTIF('DATA UMAT'!$H$2:$H$2001,$A20))</f>
        <v/>
      </c>
      <c r="D20" s="19">
        <f>IF($A20="","",COUNTIFS(BAPTIS!$C$2:$C$1001,$A20,BAPTIS!$F$2:$F$1001,"&gt;="&amp;DATE(2026,1,1),BAPTIS!$F$2:$F$1001,"&lt;="&amp;DATE(2026,12,31)))</f>
        <v/>
      </c>
      <c r="E20" s="19">
        <f>IF($A20="","",COUNTIFS('DITERIMA MASUK'!$C$2:$C$1001,$A20,'DITERIMA MASUK'!$D$2:$D$1001,"&gt;="&amp;DATE(2026,1,1),'DITERIMA MASUK'!$D$2:$D$1001,"&lt;="&amp;DATE(2026,12,31)))</f>
        <v/>
      </c>
      <c r="F20" s="19">
        <f>IF($A20="","",COUNTIFS(MUTASI!$C$2:$C$1001,$A20,MUTASI!$D$2:$D$1001,"Masuk",MUTASI!$F$2:$F$1001,"Paroki lain dalam keuskupan",MUTASI!$E$2:$E$1001,"&gt;="&amp;DATE(2026,1,1),MUTASI!$E$2:$E$1001,"&lt;="&amp;DATE(2026,12,31)))</f>
        <v/>
      </c>
      <c r="G20" s="19">
        <f>IF($A20="","",COUNTIFS(MUTASI!$C$2:$C$1001,$A20,MUTASI!$D$2:$D$1001,"Masuk",MUTASI!$F$2:$F$1001,"Keuskupan lain",MUTASI!$E$2:$E$1001,"&gt;="&amp;DATE(2026,1,1),MUTASI!$E$2:$E$1001,"&lt;="&amp;DATE(2026,12,31)))</f>
        <v/>
      </c>
      <c r="H20" s="19">
        <f>IF($A20="","",COUNTIFS(KEMATIAN!$C$2:$C$1001,$A20,KEMATIAN!$F$2:$F$1001,"&gt;="&amp;DATE(2026,1,1),KEMATIAN!$F$2:$F$1001,"&lt;="&amp;DATE(2026,12,31)))</f>
        <v/>
      </c>
      <c r="I20" s="19">
        <f>IF($A20="","",COUNTIFS(MUTASI!$C$2:$C$1001,$A20,MUTASI!$D$2:$D$1001,"Keluar",MUTASI!$F$2:$F$1001,"Paroki lain dalam keuskupan",MUTASI!$E$2:$E$1001,"&gt;="&amp;DATE(2026,1,1),MUTASI!$E$2:$E$1001,"&lt;="&amp;DATE(2026,12,31)))</f>
        <v/>
      </c>
      <c r="J20" s="19">
        <f>IF($A20="","",COUNTIFS(MUTASI!$C$2:$C$1001,$A20,MUTASI!$D$2:$D$1001,"Keluar",MUTASI!$F$2:$F$1001,"Keuskupan lain",MUTASI!$E$2:$E$1001,"&gt;="&amp;DATE(2026,1,1),MUTASI!$E$2:$E$1001,"&lt;="&amp;DATE(2026,12,31)))</f>
        <v/>
      </c>
      <c r="K20" s="19">
        <f>IF($A20="","",COUNTIFS('PINDAH AGAMA'!$C$2:$C$1001,$A20,'PINDAH AGAMA'!$D$2:$D$1001,"&gt;="&amp;DATE(2026,1,1),'PINDAH AGAMA'!$D$2:$D$1001,"&lt;="&amp;DATE(2026,12,31)))</f>
        <v/>
      </c>
      <c r="L20" s="19">
        <f>IF($A20="","",D20+E20+F20+G20-H20-I20-J20-K20)</f>
        <v/>
      </c>
      <c r="M20" s="19">
        <f>IF($A20="","",COUNTIFS('KOMUNI PERTAMA'!$C$2:$C$1001,$A20,'KOMUNI PERTAMA'!$E$2:$E$1001,"&gt;="&amp;DATE(2026,1,1),'KOMUNI PERTAMA'!$E$2:$E$1001,"&lt;="&amp;DATE(2026,12,31)))</f>
        <v/>
      </c>
      <c r="N20" s="19">
        <f>IF($A20="","",COUNTIFS('PERKAWINAN GEREJANI'!$C$2:$C$1001,$A20,'PERKAWINAN GEREJANI'!$D$2:$D$1001,"&gt;="&amp;DATE(2026,1,1),'PERKAWINAN GEREJANI'!$D$2:$D$1001,"&lt;="&amp;DATE(2026,12,31)))</f>
        <v/>
      </c>
      <c r="O20" s="19">
        <f>IF($A20="","",COUNTIFS(PEMBUBARAN!$C$2:$C$1001,$A20,PEMBUBARAN!$D$2:$D$1001,"&gt;="&amp;DATE(2026,1,1),PEMBUBARAN!$D$2:$D$1001,"&lt;="&amp;DATE(2026,12,31)))</f>
        <v/>
      </c>
      <c r="P20" s="19">
        <f>IF($A20="","",COUNTIFS('PERMINYAKAN SUCI'!$C$2:$C$1001,$A20,'PERMINYAKAN SUCI'!$E$2:$E$1001,"&gt;="&amp;DATE(2026,1,1),'PERMINYAKAN SUCI'!$E$2:$E$1001,"&lt;="&amp;DATE(2026,12,31)))</f>
        <v/>
      </c>
      <c r="Q20" s="19">
        <f>IF($A20="","",H20)</f>
        <v/>
      </c>
      <c r="R20" s="19">
        <f>IF($A20="","",COUNTIFS('SEMINARI BIARA'!$C$2:$C$1001,$A20,'SEMINARI BIARA'!$F$2:$F$1001,"Mulai masuk 2026",'SEMINARI BIARA'!$G$2:$G$1001,"&gt;="&amp;DATE(2026,1,1),'SEMINARI BIARA'!$G$2:$G$1001,"&lt;="&amp;DATE(2026,12,31)))</f>
        <v/>
      </c>
      <c r="S20" s="19">
        <f>IF($A20="","",COUNTIFS('SEMINARI BIARA'!$C$2:$C$1001,$A20,'SEMINARI BIARA'!$F$2:$F$1001,"Sedang belajar 2026"))</f>
        <v/>
      </c>
    </row>
    <row r="21" ht="14.25" customHeight="1" s="38">
      <c r="A21" s="18" t="n"/>
      <c r="B21" s="19">
        <f>IF($A21="","",COUNTIF('DATA KK'!$E$2:$E$501,$A21))</f>
        <v/>
      </c>
      <c r="C21" s="19">
        <f>IF($A21="","",COUNTIF('DATA UMAT'!$H$2:$H$2001,$A21))</f>
        <v/>
      </c>
      <c r="D21" s="19">
        <f>IF($A21="","",COUNTIFS(BAPTIS!$C$2:$C$1001,$A21,BAPTIS!$F$2:$F$1001,"&gt;="&amp;DATE(2026,1,1),BAPTIS!$F$2:$F$1001,"&lt;="&amp;DATE(2026,12,31)))</f>
        <v/>
      </c>
      <c r="E21" s="19">
        <f>IF($A21="","",COUNTIFS('DITERIMA MASUK'!$C$2:$C$1001,$A21,'DITERIMA MASUK'!$D$2:$D$1001,"&gt;="&amp;DATE(2026,1,1),'DITERIMA MASUK'!$D$2:$D$1001,"&lt;="&amp;DATE(2026,12,31)))</f>
        <v/>
      </c>
      <c r="F21" s="19">
        <f>IF($A21="","",COUNTIFS(MUTASI!$C$2:$C$1001,$A21,MUTASI!$D$2:$D$1001,"Masuk",MUTASI!$F$2:$F$1001,"Paroki lain dalam keuskupan",MUTASI!$E$2:$E$1001,"&gt;="&amp;DATE(2026,1,1),MUTASI!$E$2:$E$1001,"&lt;="&amp;DATE(2026,12,31)))</f>
        <v/>
      </c>
      <c r="G21" s="19">
        <f>IF($A21="","",COUNTIFS(MUTASI!$C$2:$C$1001,$A21,MUTASI!$D$2:$D$1001,"Masuk",MUTASI!$F$2:$F$1001,"Keuskupan lain",MUTASI!$E$2:$E$1001,"&gt;="&amp;DATE(2026,1,1),MUTASI!$E$2:$E$1001,"&lt;="&amp;DATE(2026,12,31)))</f>
        <v/>
      </c>
      <c r="H21" s="19">
        <f>IF($A21="","",COUNTIFS(KEMATIAN!$C$2:$C$1001,$A21,KEMATIAN!$F$2:$F$1001,"&gt;="&amp;DATE(2026,1,1),KEMATIAN!$F$2:$F$1001,"&lt;="&amp;DATE(2026,12,31)))</f>
        <v/>
      </c>
      <c r="I21" s="19">
        <f>IF($A21="","",COUNTIFS(MUTASI!$C$2:$C$1001,$A21,MUTASI!$D$2:$D$1001,"Keluar",MUTASI!$F$2:$F$1001,"Paroki lain dalam keuskupan",MUTASI!$E$2:$E$1001,"&gt;="&amp;DATE(2026,1,1),MUTASI!$E$2:$E$1001,"&lt;="&amp;DATE(2026,12,31)))</f>
        <v/>
      </c>
      <c r="J21" s="19">
        <f>IF($A21="","",COUNTIFS(MUTASI!$C$2:$C$1001,$A21,MUTASI!$D$2:$D$1001,"Keluar",MUTASI!$F$2:$F$1001,"Keuskupan lain",MUTASI!$E$2:$E$1001,"&gt;="&amp;DATE(2026,1,1),MUTASI!$E$2:$E$1001,"&lt;="&amp;DATE(2026,12,31)))</f>
        <v/>
      </c>
      <c r="K21" s="19">
        <f>IF($A21="","",COUNTIFS('PINDAH AGAMA'!$C$2:$C$1001,$A21,'PINDAH AGAMA'!$D$2:$D$1001,"&gt;="&amp;DATE(2026,1,1),'PINDAH AGAMA'!$D$2:$D$1001,"&lt;="&amp;DATE(2026,12,31)))</f>
        <v/>
      </c>
      <c r="L21" s="19">
        <f>IF($A21="","",D21+E21+F21+G21-H21-I21-J21-K21)</f>
        <v/>
      </c>
      <c r="M21" s="19">
        <f>IF($A21="","",COUNTIFS('KOMUNI PERTAMA'!$C$2:$C$1001,$A21,'KOMUNI PERTAMA'!$E$2:$E$1001,"&gt;="&amp;DATE(2026,1,1),'KOMUNI PERTAMA'!$E$2:$E$1001,"&lt;="&amp;DATE(2026,12,31)))</f>
        <v/>
      </c>
      <c r="N21" s="19">
        <f>IF($A21="","",COUNTIFS('PERKAWINAN GEREJANI'!$C$2:$C$1001,$A21,'PERKAWINAN GEREJANI'!$D$2:$D$1001,"&gt;="&amp;DATE(2026,1,1),'PERKAWINAN GEREJANI'!$D$2:$D$1001,"&lt;="&amp;DATE(2026,12,31)))</f>
        <v/>
      </c>
      <c r="O21" s="19">
        <f>IF($A21="","",COUNTIFS(PEMBUBARAN!$C$2:$C$1001,$A21,PEMBUBARAN!$D$2:$D$1001,"&gt;="&amp;DATE(2026,1,1),PEMBUBARAN!$D$2:$D$1001,"&lt;="&amp;DATE(2026,12,31)))</f>
        <v/>
      </c>
      <c r="P21" s="19">
        <f>IF($A21="","",COUNTIFS('PERMINYAKAN SUCI'!$C$2:$C$1001,$A21,'PERMINYAKAN SUCI'!$E$2:$E$1001,"&gt;="&amp;DATE(2026,1,1),'PERMINYAKAN SUCI'!$E$2:$E$1001,"&lt;="&amp;DATE(2026,12,31)))</f>
        <v/>
      </c>
      <c r="Q21" s="19">
        <f>IF($A21="","",H21)</f>
        <v/>
      </c>
      <c r="R21" s="19">
        <f>IF($A21="","",COUNTIFS('SEMINARI BIARA'!$C$2:$C$1001,$A21,'SEMINARI BIARA'!$F$2:$F$1001,"Mulai masuk 2026",'SEMINARI BIARA'!$G$2:$G$1001,"&gt;="&amp;DATE(2026,1,1),'SEMINARI BIARA'!$G$2:$G$1001,"&lt;="&amp;DATE(2026,12,31)))</f>
        <v/>
      </c>
      <c r="S21" s="19">
        <f>IF($A21="","",COUNTIFS('SEMINARI BIARA'!$C$2:$C$1001,$A21,'SEMINARI BIARA'!$F$2:$F$1001,"Sedang belajar 2026"))</f>
        <v/>
      </c>
    </row>
    <row r="22" ht="14.25" customHeight="1" s="38">
      <c r="A22" s="18" t="n"/>
      <c r="B22" s="19">
        <f>IF($A22="","",COUNTIF('DATA KK'!$E$2:$E$501,$A22))</f>
        <v/>
      </c>
      <c r="C22" s="19">
        <f>IF($A22="","",COUNTIF('DATA UMAT'!$H$2:$H$2001,$A22))</f>
        <v/>
      </c>
      <c r="D22" s="19">
        <f>IF($A22="","",COUNTIFS(BAPTIS!$C$2:$C$1001,$A22,BAPTIS!$F$2:$F$1001,"&gt;="&amp;DATE(2026,1,1),BAPTIS!$F$2:$F$1001,"&lt;="&amp;DATE(2026,12,31)))</f>
        <v/>
      </c>
      <c r="E22" s="19">
        <f>IF($A22="","",COUNTIFS('DITERIMA MASUK'!$C$2:$C$1001,$A22,'DITERIMA MASUK'!$D$2:$D$1001,"&gt;="&amp;DATE(2026,1,1),'DITERIMA MASUK'!$D$2:$D$1001,"&lt;="&amp;DATE(2026,12,31)))</f>
        <v/>
      </c>
      <c r="F22" s="19">
        <f>IF($A22="","",COUNTIFS(MUTASI!$C$2:$C$1001,$A22,MUTASI!$D$2:$D$1001,"Masuk",MUTASI!$F$2:$F$1001,"Paroki lain dalam keuskupan",MUTASI!$E$2:$E$1001,"&gt;="&amp;DATE(2026,1,1),MUTASI!$E$2:$E$1001,"&lt;="&amp;DATE(2026,12,31)))</f>
        <v/>
      </c>
      <c r="G22" s="19">
        <f>IF($A22="","",COUNTIFS(MUTASI!$C$2:$C$1001,$A22,MUTASI!$D$2:$D$1001,"Masuk",MUTASI!$F$2:$F$1001,"Keuskupan lain",MUTASI!$E$2:$E$1001,"&gt;="&amp;DATE(2026,1,1),MUTASI!$E$2:$E$1001,"&lt;="&amp;DATE(2026,12,31)))</f>
        <v/>
      </c>
      <c r="H22" s="19">
        <f>IF($A22="","",COUNTIFS(KEMATIAN!$C$2:$C$1001,$A22,KEMATIAN!$F$2:$F$1001,"&gt;="&amp;DATE(2026,1,1),KEMATIAN!$F$2:$F$1001,"&lt;="&amp;DATE(2026,12,31)))</f>
        <v/>
      </c>
      <c r="I22" s="19">
        <f>IF($A22="","",COUNTIFS(MUTASI!$C$2:$C$1001,$A22,MUTASI!$D$2:$D$1001,"Keluar",MUTASI!$F$2:$F$1001,"Paroki lain dalam keuskupan",MUTASI!$E$2:$E$1001,"&gt;="&amp;DATE(2026,1,1),MUTASI!$E$2:$E$1001,"&lt;="&amp;DATE(2026,12,31)))</f>
        <v/>
      </c>
      <c r="J22" s="19">
        <f>IF($A22="","",COUNTIFS(MUTASI!$C$2:$C$1001,$A22,MUTASI!$D$2:$D$1001,"Keluar",MUTASI!$F$2:$F$1001,"Keuskupan lain",MUTASI!$E$2:$E$1001,"&gt;="&amp;DATE(2026,1,1),MUTASI!$E$2:$E$1001,"&lt;="&amp;DATE(2026,12,31)))</f>
        <v/>
      </c>
      <c r="K22" s="19">
        <f>IF($A22="","",COUNTIFS('PINDAH AGAMA'!$C$2:$C$1001,$A22,'PINDAH AGAMA'!$D$2:$D$1001,"&gt;="&amp;DATE(2026,1,1),'PINDAH AGAMA'!$D$2:$D$1001,"&lt;="&amp;DATE(2026,12,31)))</f>
        <v/>
      </c>
      <c r="L22" s="19">
        <f>IF($A22="","",D22+E22+F22+G22-H22-I22-J22-K22)</f>
        <v/>
      </c>
      <c r="M22" s="19">
        <f>IF($A22="","",COUNTIFS('KOMUNI PERTAMA'!$C$2:$C$1001,$A22,'KOMUNI PERTAMA'!$E$2:$E$1001,"&gt;="&amp;DATE(2026,1,1),'KOMUNI PERTAMA'!$E$2:$E$1001,"&lt;="&amp;DATE(2026,12,31)))</f>
        <v/>
      </c>
      <c r="N22" s="19">
        <f>IF($A22="","",COUNTIFS('PERKAWINAN GEREJANI'!$C$2:$C$1001,$A22,'PERKAWINAN GEREJANI'!$D$2:$D$1001,"&gt;="&amp;DATE(2026,1,1),'PERKAWINAN GEREJANI'!$D$2:$D$1001,"&lt;="&amp;DATE(2026,12,31)))</f>
        <v/>
      </c>
      <c r="O22" s="19">
        <f>IF($A22="","",COUNTIFS(PEMBUBARAN!$C$2:$C$1001,$A22,PEMBUBARAN!$D$2:$D$1001,"&gt;="&amp;DATE(2026,1,1),PEMBUBARAN!$D$2:$D$1001,"&lt;="&amp;DATE(2026,12,31)))</f>
        <v/>
      </c>
      <c r="P22" s="19">
        <f>IF($A22="","",COUNTIFS('PERMINYAKAN SUCI'!$C$2:$C$1001,$A22,'PERMINYAKAN SUCI'!$E$2:$E$1001,"&gt;="&amp;DATE(2026,1,1),'PERMINYAKAN SUCI'!$E$2:$E$1001,"&lt;="&amp;DATE(2026,12,31)))</f>
        <v/>
      </c>
      <c r="Q22" s="19">
        <f>IF($A22="","",H22)</f>
        <v/>
      </c>
      <c r="R22" s="19">
        <f>IF($A22="","",COUNTIFS('SEMINARI BIARA'!$C$2:$C$1001,$A22,'SEMINARI BIARA'!$F$2:$F$1001,"Mulai masuk 2026",'SEMINARI BIARA'!$G$2:$G$1001,"&gt;="&amp;DATE(2026,1,1),'SEMINARI BIARA'!$G$2:$G$1001,"&lt;="&amp;DATE(2026,12,31)))</f>
        <v/>
      </c>
      <c r="S22" s="19">
        <f>IF($A22="","",COUNTIFS('SEMINARI BIARA'!$C$2:$C$1001,$A22,'SEMINARI BIARA'!$F$2:$F$1001,"Sedang belajar 2026"))</f>
        <v/>
      </c>
    </row>
    <row r="23" ht="14.25" customHeight="1" s="38">
      <c r="A23" s="18" t="n"/>
      <c r="B23" s="19">
        <f>IF($A23="","",COUNTIF('DATA KK'!$E$2:$E$501,$A23))</f>
        <v/>
      </c>
      <c r="C23" s="19">
        <f>IF($A23="","",COUNTIF('DATA UMAT'!$H$2:$H$2001,$A23))</f>
        <v/>
      </c>
      <c r="D23" s="19">
        <f>IF($A23="","",COUNTIFS(BAPTIS!$C$2:$C$1001,$A23,BAPTIS!$F$2:$F$1001,"&gt;="&amp;DATE(2026,1,1),BAPTIS!$F$2:$F$1001,"&lt;="&amp;DATE(2026,12,31)))</f>
        <v/>
      </c>
      <c r="E23" s="19">
        <f>IF($A23="","",COUNTIFS('DITERIMA MASUK'!$C$2:$C$1001,$A23,'DITERIMA MASUK'!$D$2:$D$1001,"&gt;="&amp;DATE(2026,1,1),'DITERIMA MASUK'!$D$2:$D$1001,"&lt;="&amp;DATE(2026,12,31)))</f>
        <v/>
      </c>
      <c r="F23" s="19">
        <f>IF($A23="","",COUNTIFS(MUTASI!$C$2:$C$1001,$A23,MUTASI!$D$2:$D$1001,"Masuk",MUTASI!$F$2:$F$1001,"Paroki lain dalam keuskupan",MUTASI!$E$2:$E$1001,"&gt;="&amp;DATE(2026,1,1),MUTASI!$E$2:$E$1001,"&lt;="&amp;DATE(2026,12,31)))</f>
        <v/>
      </c>
      <c r="G23" s="19">
        <f>IF($A23="","",COUNTIFS(MUTASI!$C$2:$C$1001,$A23,MUTASI!$D$2:$D$1001,"Masuk",MUTASI!$F$2:$F$1001,"Keuskupan lain",MUTASI!$E$2:$E$1001,"&gt;="&amp;DATE(2026,1,1),MUTASI!$E$2:$E$1001,"&lt;="&amp;DATE(2026,12,31)))</f>
        <v/>
      </c>
      <c r="H23" s="19">
        <f>IF($A23="","",COUNTIFS(KEMATIAN!$C$2:$C$1001,$A23,KEMATIAN!$F$2:$F$1001,"&gt;="&amp;DATE(2026,1,1),KEMATIAN!$F$2:$F$1001,"&lt;="&amp;DATE(2026,12,31)))</f>
        <v/>
      </c>
      <c r="I23" s="19">
        <f>IF($A23="","",COUNTIFS(MUTASI!$C$2:$C$1001,$A23,MUTASI!$D$2:$D$1001,"Keluar",MUTASI!$F$2:$F$1001,"Paroki lain dalam keuskupan",MUTASI!$E$2:$E$1001,"&gt;="&amp;DATE(2026,1,1),MUTASI!$E$2:$E$1001,"&lt;="&amp;DATE(2026,12,31)))</f>
        <v/>
      </c>
      <c r="J23" s="19">
        <f>IF($A23="","",COUNTIFS(MUTASI!$C$2:$C$1001,$A23,MUTASI!$D$2:$D$1001,"Keluar",MUTASI!$F$2:$F$1001,"Keuskupan lain",MUTASI!$E$2:$E$1001,"&gt;="&amp;DATE(2026,1,1),MUTASI!$E$2:$E$1001,"&lt;="&amp;DATE(2026,12,31)))</f>
        <v/>
      </c>
      <c r="K23" s="19">
        <f>IF($A23="","",COUNTIFS('PINDAH AGAMA'!$C$2:$C$1001,$A23,'PINDAH AGAMA'!$D$2:$D$1001,"&gt;="&amp;DATE(2026,1,1),'PINDAH AGAMA'!$D$2:$D$1001,"&lt;="&amp;DATE(2026,12,31)))</f>
        <v/>
      </c>
      <c r="L23" s="19">
        <f>IF($A23="","",D23+E23+F23+G23-H23-I23-J23-K23)</f>
        <v/>
      </c>
      <c r="M23" s="19">
        <f>IF($A23="","",COUNTIFS('KOMUNI PERTAMA'!$C$2:$C$1001,$A23,'KOMUNI PERTAMA'!$E$2:$E$1001,"&gt;="&amp;DATE(2026,1,1),'KOMUNI PERTAMA'!$E$2:$E$1001,"&lt;="&amp;DATE(2026,12,31)))</f>
        <v/>
      </c>
      <c r="N23" s="19">
        <f>IF($A23="","",COUNTIFS('PERKAWINAN GEREJANI'!$C$2:$C$1001,$A23,'PERKAWINAN GEREJANI'!$D$2:$D$1001,"&gt;="&amp;DATE(2026,1,1),'PERKAWINAN GEREJANI'!$D$2:$D$1001,"&lt;="&amp;DATE(2026,12,31)))</f>
        <v/>
      </c>
      <c r="O23" s="19">
        <f>IF($A23="","",COUNTIFS(PEMBUBARAN!$C$2:$C$1001,$A23,PEMBUBARAN!$D$2:$D$1001,"&gt;="&amp;DATE(2026,1,1),PEMBUBARAN!$D$2:$D$1001,"&lt;="&amp;DATE(2026,12,31)))</f>
        <v/>
      </c>
      <c r="P23" s="19">
        <f>IF($A23="","",COUNTIFS('PERMINYAKAN SUCI'!$C$2:$C$1001,$A23,'PERMINYAKAN SUCI'!$E$2:$E$1001,"&gt;="&amp;DATE(2026,1,1),'PERMINYAKAN SUCI'!$E$2:$E$1001,"&lt;="&amp;DATE(2026,12,31)))</f>
        <v/>
      </c>
      <c r="Q23" s="19">
        <f>IF($A23="","",H23)</f>
        <v/>
      </c>
      <c r="R23" s="19">
        <f>IF($A23="","",COUNTIFS('SEMINARI BIARA'!$C$2:$C$1001,$A23,'SEMINARI BIARA'!$F$2:$F$1001,"Mulai masuk 2026",'SEMINARI BIARA'!$G$2:$G$1001,"&gt;="&amp;DATE(2026,1,1),'SEMINARI BIARA'!$G$2:$G$1001,"&lt;="&amp;DATE(2026,12,31)))</f>
        <v/>
      </c>
      <c r="S23" s="19">
        <f>IF($A23="","",COUNTIFS('SEMINARI BIARA'!$C$2:$C$1001,$A23,'SEMINARI BIARA'!$F$2:$F$1001,"Sedang belajar 2026"))</f>
        <v/>
      </c>
    </row>
    <row r="24" ht="14.25" customHeight="1" s="38">
      <c r="A24" s="18" t="n"/>
      <c r="B24" s="19">
        <f>IF($A24="","",COUNTIF('DATA KK'!$E$2:$E$501,$A24))</f>
        <v/>
      </c>
      <c r="C24" s="19">
        <f>IF($A24="","",COUNTIF('DATA UMAT'!$H$2:$H$2001,$A24))</f>
        <v/>
      </c>
      <c r="D24" s="19">
        <f>IF($A24="","",COUNTIFS(BAPTIS!$C$2:$C$1001,$A24,BAPTIS!$F$2:$F$1001,"&gt;="&amp;DATE(2026,1,1),BAPTIS!$F$2:$F$1001,"&lt;="&amp;DATE(2026,12,31)))</f>
        <v/>
      </c>
      <c r="E24" s="19">
        <f>IF($A24="","",COUNTIFS('DITERIMA MASUK'!$C$2:$C$1001,$A24,'DITERIMA MASUK'!$D$2:$D$1001,"&gt;="&amp;DATE(2026,1,1),'DITERIMA MASUK'!$D$2:$D$1001,"&lt;="&amp;DATE(2026,12,31)))</f>
        <v/>
      </c>
      <c r="F24" s="19">
        <f>IF($A24="","",COUNTIFS(MUTASI!$C$2:$C$1001,$A24,MUTASI!$D$2:$D$1001,"Masuk",MUTASI!$F$2:$F$1001,"Paroki lain dalam keuskupan",MUTASI!$E$2:$E$1001,"&gt;="&amp;DATE(2026,1,1),MUTASI!$E$2:$E$1001,"&lt;="&amp;DATE(2026,12,31)))</f>
        <v/>
      </c>
      <c r="G24" s="19">
        <f>IF($A24="","",COUNTIFS(MUTASI!$C$2:$C$1001,$A24,MUTASI!$D$2:$D$1001,"Masuk",MUTASI!$F$2:$F$1001,"Keuskupan lain",MUTASI!$E$2:$E$1001,"&gt;="&amp;DATE(2026,1,1),MUTASI!$E$2:$E$1001,"&lt;="&amp;DATE(2026,12,31)))</f>
        <v/>
      </c>
      <c r="H24" s="19">
        <f>IF($A24="","",COUNTIFS(KEMATIAN!$C$2:$C$1001,$A24,KEMATIAN!$F$2:$F$1001,"&gt;="&amp;DATE(2026,1,1),KEMATIAN!$F$2:$F$1001,"&lt;="&amp;DATE(2026,12,31)))</f>
        <v/>
      </c>
      <c r="I24" s="19">
        <f>IF($A24="","",COUNTIFS(MUTASI!$C$2:$C$1001,$A24,MUTASI!$D$2:$D$1001,"Keluar",MUTASI!$F$2:$F$1001,"Paroki lain dalam keuskupan",MUTASI!$E$2:$E$1001,"&gt;="&amp;DATE(2026,1,1),MUTASI!$E$2:$E$1001,"&lt;="&amp;DATE(2026,12,31)))</f>
        <v/>
      </c>
      <c r="J24" s="19">
        <f>IF($A24="","",COUNTIFS(MUTASI!$C$2:$C$1001,$A24,MUTASI!$D$2:$D$1001,"Keluar",MUTASI!$F$2:$F$1001,"Keuskupan lain",MUTASI!$E$2:$E$1001,"&gt;="&amp;DATE(2026,1,1),MUTASI!$E$2:$E$1001,"&lt;="&amp;DATE(2026,12,31)))</f>
        <v/>
      </c>
      <c r="K24" s="19">
        <f>IF($A24="","",COUNTIFS('PINDAH AGAMA'!$C$2:$C$1001,$A24,'PINDAH AGAMA'!$D$2:$D$1001,"&gt;="&amp;DATE(2026,1,1),'PINDAH AGAMA'!$D$2:$D$1001,"&lt;="&amp;DATE(2026,12,31)))</f>
        <v/>
      </c>
      <c r="L24" s="19">
        <f>IF($A24="","",D24+E24+F24+G24-H24-I24-J24-K24)</f>
        <v/>
      </c>
      <c r="M24" s="19">
        <f>IF($A24="","",COUNTIFS('KOMUNI PERTAMA'!$C$2:$C$1001,$A24,'KOMUNI PERTAMA'!$E$2:$E$1001,"&gt;="&amp;DATE(2026,1,1),'KOMUNI PERTAMA'!$E$2:$E$1001,"&lt;="&amp;DATE(2026,12,31)))</f>
        <v/>
      </c>
      <c r="N24" s="19">
        <f>IF($A24="","",COUNTIFS('PERKAWINAN GEREJANI'!$C$2:$C$1001,$A24,'PERKAWINAN GEREJANI'!$D$2:$D$1001,"&gt;="&amp;DATE(2026,1,1),'PERKAWINAN GEREJANI'!$D$2:$D$1001,"&lt;="&amp;DATE(2026,12,31)))</f>
        <v/>
      </c>
      <c r="O24" s="19">
        <f>IF($A24="","",COUNTIFS(PEMBUBARAN!$C$2:$C$1001,$A24,PEMBUBARAN!$D$2:$D$1001,"&gt;="&amp;DATE(2026,1,1),PEMBUBARAN!$D$2:$D$1001,"&lt;="&amp;DATE(2026,12,31)))</f>
        <v/>
      </c>
      <c r="P24" s="19">
        <f>IF($A24="","",COUNTIFS('PERMINYAKAN SUCI'!$C$2:$C$1001,$A24,'PERMINYAKAN SUCI'!$E$2:$E$1001,"&gt;="&amp;DATE(2026,1,1),'PERMINYAKAN SUCI'!$E$2:$E$1001,"&lt;="&amp;DATE(2026,12,31)))</f>
        <v/>
      </c>
      <c r="Q24" s="19">
        <f>IF($A24="","",H24)</f>
        <v/>
      </c>
      <c r="R24" s="19">
        <f>IF($A24="","",COUNTIFS('SEMINARI BIARA'!$C$2:$C$1001,$A24,'SEMINARI BIARA'!$F$2:$F$1001,"Mulai masuk 2026",'SEMINARI BIARA'!$G$2:$G$1001,"&gt;="&amp;DATE(2026,1,1),'SEMINARI BIARA'!$G$2:$G$1001,"&lt;="&amp;DATE(2026,12,31)))</f>
        <v/>
      </c>
      <c r="S24" s="19">
        <f>IF($A24="","",COUNTIFS('SEMINARI BIARA'!$C$2:$C$1001,$A24,'SEMINARI BIARA'!$F$2:$F$1001,"Sedang belajar 2026"))</f>
        <v/>
      </c>
    </row>
    <row r="25" ht="14.25" customHeight="1" s="38">
      <c r="A25" s="18" t="n"/>
      <c r="B25" s="19">
        <f>IF($A25="","",COUNTIF('DATA KK'!$E$2:$E$501,$A25))</f>
        <v/>
      </c>
      <c r="C25" s="19">
        <f>IF($A25="","",COUNTIF('DATA UMAT'!$H$2:$H$2001,$A25))</f>
        <v/>
      </c>
      <c r="D25" s="19">
        <f>IF($A25="","",COUNTIFS(BAPTIS!$C$2:$C$1001,$A25,BAPTIS!$F$2:$F$1001,"&gt;="&amp;DATE(2026,1,1),BAPTIS!$F$2:$F$1001,"&lt;="&amp;DATE(2026,12,31)))</f>
        <v/>
      </c>
      <c r="E25" s="19">
        <f>IF($A25="","",COUNTIFS('DITERIMA MASUK'!$C$2:$C$1001,$A25,'DITERIMA MASUK'!$D$2:$D$1001,"&gt;="&amp;DATE(2026,1,1),'DITERIMA MASUK'!$D$2:$D$1001,"&lt;="&amp;DATE(2026,12,31)))</f>
        <v/>
      </c>
      <c r="F25" s="19">
        <f>IF($A25="","",COUNTIFS(MUTASI!$C$2:$C$1001,$A25,MUTASI!$D$2:$D$1001,"Masuk",MUTASI!$F$2:$F$1001,"Paroki lain dalam keuskupan",MUTASI!$E$2:$E$1001,"&gt;="&amp;DATE(2026,1,1),MUTASI!$E$2:$E$1001,"&lt;="&amp;DATE(2026,12,31)))</f>
        <v/>
      </c>
      <c r="G25" s="19">
        <f>IF($A25="","",COUNTIFS(MUTASI!$C$2:$C$1001,$A25,MUTASI!$D$2:$D$1001,"Masuk",MUTASI!$F$2:$F$1001,"Keuskupan lain",MUTASI!$E$2:$E$1001,"&gt;="&amp;DATE(2026,1,1),MUTASI!$E$2:$E$1001,"&lt;="&amp;DATE(2026,12,31)))</f>
        <v/>
      </c>
      <c r="H25" s="19">
        <f>IF($A25="","",COUNTIFS(KEMATIAN!$C$2:$C$1001,$A25,KEMATIAN!$F$2:$F$1001,"&gt;="&amp;DATE(2026,1,1),KEMATIAN!$F$2:$F$1001,"&lt;="&amp;DATE(2026,12,31)))</f>
        <v/>
      </c>
      <c r="I25" s="19">
        <f>IF($A25="","",COUNTIFS(MUTASI!$C$2:$C$1001,$A25,MUTASI!$D$2:$D$1001,"Keluar",MUTASI!$F$2:$F$1001,"Paroki lain dalam keuskupan",MUTASI!$E$2:$E$1001,"&gt;="&amp;DATE(2026,1,1),MUTASI!$E$2:$E$1001,"&lt;="&amp;DATE(2026,12,31)))</f>
        <v/>
      </c>
      <c r="J25" s="19">
        <f>IF($A25="","",COUNTIFS(MUTASI!$C$2:$C$1001,$A25,MUTASI!$D$2:$D$1001,"Keluar",MUTASI!$F$2:$F$1001,"Keuskupan lain",MUTASI!$E$2:$E$1001,"&gt;="&amp;DATE(2026,1,1),MUTASI!$E$2:$E$1001,"&lt;="&amp;DATE(2026,12,31)))</f>
        <v/>
      </c>
      <c r="K25" s="19">
        <f>IF($A25="","",COUNTIFS('PINDAH AGAMA'!$C$2:$C$1001,$A25,'PINDAH AGAMA'!$D$2:$D$1001,"&gt;="&amp;DATE(2026,1,1),'PINDAH AGAMA'!$D$2:$D$1001,"&lt;="&amp;DATE(2026,12,31)))</f>
        <v/>
      </c>
      <c r="L25" s="19">
        <f>IF($A25="","",D25+E25+F25+G25-H25-I25-J25-K25)</f>
        <v/>
      </c>
      <c r="M25" s="19">
        <f>IF($A25="","",COUNTIFS('KOMUNI PERTAMA'!$C$2:$C$1001,$A25,'KOMUNI PERTAMA'!$E$2:$E$1001,"&gt;="&amp;DATE(2026,1,1),'KOMUNI PERTAMA'!$E$2:$E$1001,"&lt;="&amp;DATE(2026,12,31)))</f>
        <v/>
      </c>
      <c r="N25" s="19">
        <f>IF($A25="","",COUNTIFS('PERKAWINAN GEREJANI'!$C$2:$C$1001,$A25,'PERKAWINAN GEREJANI'!$D$2:$D$1001,"&gt;="&amp;DATE(2026,1,1),'PERKAWINAN GEREJANI'!$D$2:$D$1001,"&lt;="&amp;DATE(2026,12,31)))</f>
        <v/>
      </c>
      <c r="O25" s="19">
        <f>IF($A25="","",COUNTIFS(PEMBUBARAN!$C$2:$C$1001,$A25,PEMBUBARAN!$D$2:$D$1001,"&gt;="&amp;DATE(2026,1,1),PEMBUBARAN!$D$2:$D$1001,"&lt;="&amp;DATE(2026,12,31)))</f>
        <v/>
      </c>
      <c r="P25" s="19">
        <f>IF($A25="","",COUNTIFS('PERMINYAKAN SUCI'!$C$2:$C$1001,$A25,'PERMINYAKAN SUCI'!$E$2:$E$1001,"&gt;="&amp;DATE(2026,1,1),'PERMINYAKAN SUCI'!$E$2:$E$1001,"&lt;="&amp;DATE(2026,12,31)))</f>
        <v/>
      </c>
      <c r="Q25" s="19">
        <f>IF($A25="","",H25)</f>
        <v/>
      </c>
      <c r="R25" s="19">
        <f>IF($A25="","",COUNTIFS('SEMINARI BIARA'!$C$2:$C$1001,$A25,'SEMINARI BIARA'!$F$2:$F$1001,"Mulai masuk 2026",'SEMINARI BIARA'!$G$2:$G$1001,"&gt;="&amp;DATE(2026,1,1),'SEMINARI BIARA'!$G$2:$G$1001,"&lt;="&amp;DATE(2026,12,31)))</f>
        <v/>
      </c>
      <c r="S25" s="19">
        <f>IF($A25="","",COUNTIFS('SEMINARI BIARA'!$C$2:$C$1001,$A25,'SEMINARI BIARA'!$F$2:$F$1001,"Sedang belajar 2026"))</f>
        <v/>
      </c>
    </row>
    <row r="26" ht="14.25" customHeight="1" s="38">
      <c r="A26" s="18" t="n"/>
      <c r="B26" s="19">
        <f>IF($A26="","",COUNTIF('DATA KK'!$E$2:$E$501,$A26))</f>
        <v/>
      </c>
      <c r="C26" s="19">
        <f>IF($A26="","",COUNTIF('DATA UMAT'!$H$2:$H$2001,$A26))</f>
        <v/>
      </c>
      <c r="D26" s="19">
        <f>IF($A26="","",COUNTIFS(BAPTIS!$C$2:$C$1001,$A26,BAPTIS!$F$2:$F$1001,"&gt;="&amp;DATE(2026,1,1),BAPTIS!$F$2:$F$1001,"&lt;="&amp;DATE(2026,12,31)))</f>
        <v/>
      </c>
      <c r="E26" s="19">
        <f>IF($A26="","",COUNTIFS('DITERIMA MASUK'!$C$2:$C$1001,$A26,'DITERIMA MASUK'!$D$2:$D$1001,"&gt;="&amp;DATE(2026,1,1),'DITERIMA MASUK'!$D$2:$D$1001,"&lt;="&amp;DATE(2026,12,31)))</f>
        <v/>
      </c>
      <c r="F26" s="19">
        <f>IF($A26="","",COUNTIFS(MUTASI!$C$2:$C$1001,$A26,MUTASI!$D$2:$D$1001,"Masuk",MUTASI!$F$2:$F$1001,"Paroki lain dalam keuskupan",MUTASI!$E$2:$E$1001,"&gt;="&amp;DATE(2026,1,1),MUTASI!$E$2:$E$1001,"&lt;="&amp;DATE(2026,12,31)))</f>
        <v/>
      </c>
      <c r="G26" s="19">
        <f>IF($A26="","",COUNTIFS(MUTASI!$C$2:$C$1001,$A26,MUTASI!$D$2:$D$1001,"Masuk",MUTASI!$F$2:$F$1001,"Keuskupan lain",MUTASI!$E$2:$E$1001,"&gt;="&amp;DATE(2026,1,1),MUTASI!$E$2:$E$1001,"&lt;="&amp;DATE(2026,12,31)))</f>
        <v/>
      </c>
      <c r="H26" s="19">
        <f>IF($A26="","",COUNTIFS(KEMATIAN!$C$2:$C$1001,$A26,KEMATIAN!$F$2:$F$1001,"&gt;="&amp;DATE(2026,1,1),KEMATIAN!$F$2:$F$1001,"&lt;="&amp;DATE(2026,12,31)))</f>
        <v/>
      </c>
      <c r="I26" s="19">
        <f>IF($A26="","",COUNTIFS(MUTASI!$C$2:$C$1001,$A26,MUTASI!$D$2:$D$1001,"Keluar",MUTASI!$F$2:$F$1001,"Paroki lain dalam keuskupan",MUTASI!$E$2:$E$1001,"&gt;="&amp;DATE(2026,1,1),MUTASI!$E$2:$E$1001,"&lt;="&amp;DATE(2026,12,31)))</f>
        <v/>
      </c>
      <c r="J26" s="19">
        <f>IF($A26="","",COUNTIFS(MUTASI!$C$2:$C$1001,$A26,MUTASI!$D$2:$D$1001,"Keluar",MUTASI!$F$2:$F$1001,"Keuskupan lain",MUTASI!$E$2:$E$1001,"&gt;="&amp;DATE(2026,1,1),MUTASI!$E$2:$E$1001,"&lt;="&amp;DATE(2026,12,31)))</f>
        <v/>
      </c>
      <c r="K26" s="19">
        <f>IF($A26="","",COUNTIFS('PINDAH AGAMA'!$C$2:$C$1001,$A26,'PINDAH AGAMA'!$D$2:$D$1001,"&gt;="&amp;DATE(2026,1,1),'PINDAH AGAMA'!$D$2:$D$1001,"&lt;="&amp;DATE(2026,12,31)))</f>
        <v/>
      </c>
      <c r="L26" s="19">
        <f>IF($A26="","",D26+E26+F26+G26-H26-I26-J26-K26)</f>
        <v/>
      </c>
      <c r="M26" s="19">
        <f>IF($A26="","",COUNTIFS('KOMUNI PERTAMA'!$C$2:$C$1001,$A26,'KOMUNI PERTAMA'!$E$2:$E$1001,"&gt;="&amp;DATE(2026,1,1),'KOMUNI PERTAMA'!$E$2:$E$1001,"&lt;="&amp;DATE(2026,12,31)))</f>
        <v/>
      </c>
      <c r="N26" s="19">
        <f>IF($A26="","",COUNTIFS('PERKAWINAN GEREJANI'!$C$2:$C$1001,$A26,'PERKAWINAN GEREJANI'!$D$2:$D$1001,"&gt;="&amp;DATE(2026,1,1),'PERKAWINAN GEREJANI'!$D$2:$D$1001,"&lt;="&amp;DATE(2026,12,31)))</f>
        <v/>
      </c>
      <c r="O26" s="19">
        <f>IF($A26="","",COUNTIFS(PEMBUBARAN!$C$2:$C$1001,$A26,PEMBUBARAN!$D$2:$D$1001,"&gt;="&amp;DATE(2026,1,1),PEMBUBARAN!$D$2:$D$1001,"&lt;="&amp;DATE(2026,12,31)))</f>
        <v/>
      </c>
      <c r="P26" s="19">
        <f>IF($A26="","",COUNTIFS('PERMINYAKAN SUCI'!$C$2:$C$1001,$A26,'PERMINYAKAN SUCI'!$E$2:$E$1001,"&gt;="&amp;DATE(2026,1,1),'PERMINYAKAN SUCI'!$E$2:$E$1001,"&lt;="&amp;DATE(2026,12,31)))</f>
        <v/>
      </c>
      <c r="Q26" s="19">
        <f>IF($A26="","",H26)</f>
        <v/>
      </c>
      <c r="R26" s="19">
        <f>IF($A26="","",COUNTIFS('SEMINARI BIARA'!$C$2:$C$1001,$A26,'SEMINARI BIARA'!$F$2:$F$1001,"Mulai masuk 2026",'SEMINARI BIARA'!$G$2:$G$1001,"&gt;="&amp;DATE(2026,1,1),'SEMINARI BIARA'!$G$2:$G$1001,"&lt;="&amp;DATE(2026,12,31)))</f>
        <v/>
      </c>
      <c r="S26" s="19">
        <f>IF($A26="","",COUNTIFS('SEMINARI BIARA'!$C$2:$C$1001,$A26,'SEMINARI BIARA'!$F$2:$F$1001,"Sedang belajar 2026"))</f>
        <v/>
      </c>
    </row>
    <row r="27" ht="14.25" customHeight="1" s="38">
      <c r="A27" s="18" t="n"/>
      <c r="B27" s="19">
        <f>IF($A27="","",COUNTIF('DATA KK'!$E$2:$E$501,$A27))</f>
        <v/>
      </c>
      <c r="C27" s="19">
        <f>IF($A27="","",COUNTIF('DATA UMAT'!$H$2:$H$2001,$A27))</f>
        <v/>
      </c>
      <c r="D27" s="19">
        <f>IF($A27="","",COUNTIFS(BAPTIS!$C$2:$C$1001,$A27,BAPTIS!$F$2:$F$1001,"&gt;="&amp;DATE(2026,1,1),BAPTIS!$F$2:$F$1001,"&lt;="&amp;DATE(2026,12,31)))</f>
        <v/>
      </c>
      <c r="E27" s="19">
        <f>IF($A27="","",COUNTIFS('DITERIMA MASUK'!$C$2:$C$1001,$A27,'DITERIMA MASUK'!$D$2:$D$1001,"&gt;="&amp;DATE(2026,1,1),'DITERIMA MASUK'!$D$2:$D$1001,"&lt;="&amp;DATE(2026,12,31)))</f>
        <v/>
      </c>
      <c r="F27" s="19">
        <f>IF($A27="","",COUNTIFS(MUTASI!$C$2:$C$1001,$A27,MUTASI!$D$2:$D$1001,"Masuk",MUTASI!$F$2:$F$1001,"Paroki lain dalam keuskupan",MUTASI!$E$2:$E$1001,"&gt;="&amp;DATE(2026,1,1),MUTASI!$E$2:$E$1001,"&lt;="&amp;DATE(2026,12,31)))</f>
        <v/>
      </c>
      <c r="G27" s="19">
        <f>IF($A27="","",COUNTIFS(MUTASI!$C$2:$C$1001,$A27,MUTASI!$D$2:$D$1001,"Masuk",MUTASI!$F$2:$F$1001,"Keuskupan lain",MUTASI!$E$2:$E$1001,"&gt;="&amp;DATE(2026,1,1),MUTASI!$E$2:$E$1001,"&lt;="&amp;DATE(2026,12,31)))</f>
        <v/>
      </c>
      <c r="H27" s="19">
        <f>IF($A27="","",COUNTIFS(KEMATIAN!$C$2:$C$1001,$A27,KEMATIAN!$F$2:$F$1001,"&gt;="&amp;DATE(2026,1,1),KEMATIAN!$F$2:$F$1001,"&lt;="&amp;DATE(2026,12,31)))</f>
        <v/>
      </c>
      <c r="I27" s="19">
        <f>IF($A27="","",COUNTIFS(MUTASI!$C$2:$C$1001,$A27,MUTASI!$D$2:$D$1001,"Keluar",MUTASI!$F$2:$F$1001,"Paroki lain dalam keuskupan",MUTASI!$E$2:$E$1001,"&gt;="&amp;DATE(2026,1,1),MUTASI!$E$2:$E$1001,"&lt;="&amp;DATE(2026,12,31)))</f>
        <v/>
      </c>
      <c r="J27" s="19">
        <f>IF($A27="","",COUNTIFS(MUTASI!$C$2:$C$1001,$A27,MUTASI!$D$2:$D$1001,"Keluar",MUTASI!$F$2:$F$1001,"Keuskupan lain",MUTASI!$E$2:$E$1001,"&gt;="&amp;DATE(2026,1,1),MUTASI!$E$2:$E$1001,"&lt;="&amp;DATE(2026,12,31)))</f>
        <v/>
      </c>
      <c r="K27" s="19">
        <f>IF($A27="","",COUNTIFS('PINDAH AGAMA'!$C$2:$C$1001,$A27,'PINDAH AGAMA'!$D$2:$D$1001,"&gt;="&amp;DATE(2026,1,1),'PINDAH AGAMA'!$D$2:$D$1001,"&lt;="&amp;DATE(2026,12,31)))</f>
        <v/>
      </c>
      <c r="L27" s="19">
        <f>IF($A27="","",D27+E27+F27+G27-H27-I27-J27-K27)</f>
        <v/>
      </c>
      <c r="M27" s="19">
        <f>IF($A27="","",COUNTIFS('KOMUNI PERTAMA'!$C$2:$C$1001,$A27,'KOMUNI PERTAMA'!$E$2:$E$1001,"&gt;="&amp;DATE(2026,1,1),'KOMUNI PERTAMA'!$E$2:$E$1001,"&lt;="&amp;DATE(2026,12,31)))</f>
        <v/>
      </c>
      <c r="N27" s="19">
        <f>IF($A27="","",COUNTIFS('PERKAWINAN GEREJANI'!$C$2:$C$1001,$A27,'PERKAWINAN GEREJANI'!$D$2:$D$1001,"&gt;="&amp;DATE(2026,1,1),'PERKAWINAN GEREJANI'!$D$2:$D$1001,"&lt;="&amp;DATE(2026,12,31)))</f>
        <v/>
      </c>
      <c r="O27" s="19">
        <f>IF($A27="","",COUNTIFS(PEMBUBARAN!$C$2:$C$1001,$A27,PEMBUBARAN!$D$2:$D$1001,"&gt;="&amp;DATE(2026,1,1),PEMBUBARAN!$D$2:$D$1001,"&lt;="&amp;DATE(2026,12,31)))</f>
        <v/>
      </c>
      <c r="P27" s="19">
        <f>IF($A27="","",COUNTIFS('PERMINYAKAN SUCI'!$C$2:$C$1001,$A27,'PERMINYAKAN SUCI'!$E$2:$E$1001,"&gt;="&amp;DATE(2026,1,1),'PERMINYAKAN SUCI'!$E$2:$E$1001,"&lt;="&amp;DATE(2026,12,31)))</f>
        <v/>
      </c>
      <c r="Q27" s="19">
        <f>IF($A27="","",H27)</f>
        <v/>
      </c>
      <c r="R27" s="19">
        <f>IF($A27="","",COUNTIFS('SEMINARI BIARA'!$C$2:$C$1001,$A27,'SEMINARI BIARA'!$F$2:$F$1001,"Mulai masuk 2026",'SEMINARI BIARA'!$G$2:$G$1001,"&gt;="&amp;DATE(2026,1,1),'SEMINARI BIARA'!$G$2:$G$1001,"&lt;="&amp;DATE(2026,12,31)))</f>
        <v/>
      </c>
      <c r="S27" s="19">
        <f>IF($A27="","",COUNTIFS('SEMINARI BIARA'!$C$2:$C$1001,$A27,'SEMINARI BIARA'!$F$2:$F$1001,"Sedang belajar 2026"))</f>
        <v/>
      </c>
    </row>
    <row r="28" ht="14.25" customHeight="1" s="38">
      <c r="A28" s="18" t="n"/>
      <c r="B28" s="19">
        <f>IF($A28="","",COUNTIF('DATA KK'!$E$2:$E$501,$A28))</f>
        <v/>
      </c>
      <c r="C28" s="19">
        <f>IF($A28="","",COUNTIF('DATA UMAT'!$H$2:$H$2001,$A28))</f>
        <v/>
      </c>
      <c r="D28" s="19">
        <f>IF($A28="","",COUNTIFS(BAPTIS!$C$2:$C$1001,$A28,BAPTIS!$F$2:$F$1001,"&gt;="&amp;DATE(2026,1,1),BAPTIS!$F$2:$F$1001,"&lt;="&amp;DATE(2026,12,31)))</f>
        <v/>
      </c>
      <c r="E28" s="19">
        <f>IF($A28="","",COUNTIFS('DITERIMA MASUK'!$C$2:$C$1001,$A28,'DITERIMA MASUK'!$D$2:$D$1001,"&gt;="&amp;DATE(2026,1,1),'DITERIMA MASUK'!$D$2:$D$1001,"&lt;="&amp;DATE(2026,12,31)))</f>
        <v/>
      </c>
      <c r="F28" s="19">
        <f>IF($A28="","",COUNTIFS(MUTASI!$C$2:$C$1001,$A28,MUTASI!$D$2:$D$1001,"Masuk",MUTASI!$F$2:$F$1001,"Paroki lain dalam keuskupan",MUTASI!$E$2:$E$1001,"&gt;="&amp;DATE(2026,1,1),MUTASI!$E$2:$E$1001,"&lt;="&amp;DATE(2026,12,31)))</f>
        <v/>
      </c>
      <c r="G28" s="19">
        <f>IF($A28="","",COUNTIFS(MUTASI!$C$2:$C$1001,$A28,MUTASI!$D$2:$D$1001,"Masuk",MUTASI!$F$2:$F$1001,"Keuskupan lain",MUTASI!$E$2:$E$1001,"&gt;="&amp;DATE(2026,1,1),MUTASI!$E$2:$E$1001,"&lt;="&amp;DATE(2026,12,31)))</f>
        <v/>
      </c>
      <c r="H28" s="19">
        <f>IF($A28="","",COUNTIFS(KEMATIAN!$C$2:$C$1001,$A28,KEMATIAN!$F$2:$F$1001,"&gt;="&amp;DATE(2026,1,1),KEMATIAN!$F$2:$F$1001,"&lt;="&amp;DATE(2026,12,31)))</f>
        <v/>
      </c>
      <c r="I28" s="19">
        <f>IF($A28="","",COUNTIFS(MUTASI!$C$2:$C$1001,$A28,MUTASI!$D$2:$D$1001,"Keluar",MUTASI!$F$2:$F$1001,"Paroki lain dalam keuskupan",MUTASI!$E$2:$E$1001,"&gt;="&amp;DATE(2026,1,1),MUTASI!$E$2:$E$1001,"&lt;="&amp;DATE(2026,12,31)))</f>
        <v/>
      </c>
      <c r="J28" s="19">
        <f>IF($A28="","",COUNTIFS(MUTASI!$C$2:$C$1001,$A28,MUTASI!$D$2:$D$1001,"Keluar",MUTASI!$F$2:$F$1001,"Keuskupan lain",MUTASI!$E$2:$E$1001,"&gt;="&amp;DATE(2026,1,1),MUTASI!$E$2:$E$1001,"&lt;="&amp;DATE(2026,12,31)))</f>
        <v/>
      </c>
      <c r="K28" s="19">
        <f>IF($A28="","",COUNTIFS('PINDAH AGAMA'!$C$2:$C$1001,$A28,'PINDAH AGAMA'!$D$2:$D$1001,"&gt;="&amp;DATE(2026,1,1),'PINDAH AGAMA'!$D$2:$D$1001,"&lt;="&amp;DATE(2026,12,31)))</f>
        <v/>
      </c>
      <c r="L28" s="19">
        <f>IF($A28="","",D28+E28+F28+G28-H28-I28-J28-K28)</f>
        <v/>
      </c>
      <c r="M28" s="19">
        <f>IF($A28="","",COUNTIFS('KOMUNI PERTAMA'!$C$2:$C$1001,$A28,'KOMUNI PERTAMA'!$E$2:$E$1001,"&gt;="&amp;DATE(2026,1,1),'KOMUNI PERTAMA'!$E$2:$E$1001,"&lt;="&amp;DATE(2026,12,31)))</f>
        <v/>
      </c>
      <c r="N28" s="19">
        <f>IF($A28="","",COUNTIFS('PERKAWINAN GEREJANI'!$C$2:$C$1001,$A28,'PERKAWINAN GEREJANI'!$D$2:$D$1001,"&gt;="&amp;DATE(2026,1,1),'PERKAWINAN GEREJANI'!$D$2:$D$1001,"&lt;="&amp;DATE(2026,12,31)))</f>
        <v/>
      </c>
      <c r="O28" s="19">
        <f>IF($A28="","",COUNTIFS(PEMBUBARAN!$C$2:$C$1001,$A28,PEMBUBARAN!$D$2:$D$1001,"&gt;="&amp;DATE(2026,1,1),PEMBUBARAN!$D$2:$D$1001,"&lt;="&amp;DATE(2026,12,31)))</f>
        <v/>
      </c>
      <c r="P28" s="19">
        <f>IF($A28="","",COUNTIFS('PERMINYAKAN SUCI'!$C$2:$C$1001,$A28,'PERMINYAKAN SUCI'!$E$2:$E$1001,"&gt;="&amp;DATE(2026,1,1),'PERMINYAKAN SUCI'!$E$2:$E$1001,"&lt;="&amp;DATE(2026,12,31)))</f>
        <v/>
      </c>
      <c r="Q28" s="19">
        <f>IF($A28="","",H28)</f>
        <v/>
      </c>
      <c r="R28" s="19">
        <f>IF($A28="","",COUNTIFS('SEMINARI BIARA'!$C$2:$C$1001,$A28,'SEMINARI BIARA'!$F$2:$F$1001,"Mulai masuk 2026",'SEMINARI BIARA'!$G$2:$G$1001,"&gt;="&amp;DATE(2026,1,1),'SEMINARI BIARA'!$G$2:$G$1001,"&lt;="&amp;DATE(2026,12,31)))</f>
        <v/>
      </c>
      <c r="S28" s="19">
        <f>IF($A28="","",COUNTIFS('SEMINARI BIARA'!$C$2:$C$1001,$A28,'SEMINARI BIARA'!$F$2:$F$1001,"Sedang belajar 2026"))</f>
        <v/>
      </c>
    </row>
    <row r="29" ht="14.25" customHeight="1" s="38">
      <c r="A29" s="18" t="n"/>
      <c r="B29" s="19">
        <f>IF($A29="","",COUNTIF('DATA KK'!$E$2:$E$501,$A29))</f>
        <v/>
      </c>
      <c r="C29" s="19">
        <f>IF($A29="","",COUNTIF('DATA UMAT'!$H$2:$H$2001,$A29))</f>
        <v/>
      </c>
      <c r="D29" s="19">
        <f>IF($A29="","",COUNTIFS(BAPTIS!$C$2:$C$1001,$A29,BAPTIS!$F$2:$F$1001,"&gt;="&amp;DATE(2026,1,1),BAPTIS!$F$2:$F$1001,"&lt;="&amp;DATE(2026,12,31)))</f>
        <v/>
      </c>
      <c r="E29" s="19">
        <f>IF($A29="","",COUNTIFS('DITERIMA MASUK'!$C$2:$C$1001,$A29,'DITERIMA MASUK'!$D$2:$D$1001,"&gt;="&amp;DATE(2026,1,1),'DITERIMA MASUK'!$D$2:$D$1001,"&lt;="&amp;DATE(2026,12,31)))</f>
        <v/>
      </c>
      <c r="F29" s="19">
        <f>IF($A29="","",COUNTIFS(MUTASI!$C$2:$C$1001,$A29,MUTASI!$D$2:$D$1001,"Masuk",MUTASI!$F$2:$F$1001,"Paroki lain dalam keuskupan",MUTASI!$E$2:$E$1001,"&gt;="&amp;DATE(2026,1,1),MUTASI!$E$2:$E$1001,"&lt;="&amp;DATE(2026,12,31)))</f>
        <v/>
      </c>
      <c r="G29" s="19">
        <f>IF($A29="","",COUNTIFS(MUTASI!$C$2:$C$1001,$A29,MUTASI!$D$2:$D$1001,"Masuk",MUTASI!$F$2:$F$1001,"Keuskupan lain",MUTASI!$E$2:$E$1001,"&gt;="&amp;DATE(2026,1,1),MUTASI!$E$2:$E$1001,"&lt;="&amp;DATE(2026,12,31)))</f>
        <v/>
      </c>
      <c r="H29" s="19">
        <f>IF($A29="","",COUNTIFS(KEMATIAN!$C$2:$C$1001,$A29,KEMATIAN!$F$2:$F$1001,"&gt;="&amp;DATE(2026,1,1),KEMATIAN!$F$2:$F$1001,"&lt;="&amp;DATE(2026,12,31)))</f>
        <v/>
      </c>
      <c r="I29" s="19">
        <f>IF($A29="","",COUNTIFS(MUTASI!$C$2:$C$1001,$A29,MUTASI!$D$2:$D$1001,"Keluar",MUTASI!$F$2:$F$1001,"Paroki lain dalam keuskupan",MUTASI!$E$2:$E$1001,"&gt;="&amp;DATE(2026,1,1),MUTASI!$E$2:$E$1001,"&lt;="&amp;DATE(2026,12,31)))</f>
        <v/>
      </c>
      <c r="J29" s="19">
        <f>IF($A29="","",COUNTIFS(MUTASI!$C$2:$C$1001,$A29,MUTASI!$D$2:$D$1001,"Keluar",MUTASI!$F$2:$F$1001,"Keuskupan lain",MUTASI!$E$2:$E$1001,"&gt;="&amp;DATE(2026,1,1),MUTASI!$E$2:$E$1001,"&lt;="&amp;DATE(2026,12,31)))</f>
        <v/>
      </c>
      <c r="K29" s="19">
        <f>IF($A29="","",COUNTIFS('PINDAH AGAMA'!$C$2:$C$1001,$A29,'PINDAH AGAMA'!$D$2:$D$1001,"&gt;="&amp;DATE(2026,1,1),'PINDAH AGAMA'!$D$2:$D$1001,"&lt;="&amp;DATE(2026,12,31)))</f>
        <v/>
      </c>
      <c r="L29" s="19">
        <f>IF($A29="","",D29+E29+F29+G29-H29-I29-J29-K29)</f>
        <v/>
      </c>
      <c r="M29" s="19">
        <f>IF($A29="","",COUNTIFS('KOMUNI PERTAMA'!$C$2:$C$1001,$A29,'KOMUNI PERTAMA'!$E$2:$E$1001,"&gt;="&amp;DATE(2026,1,1),'KOMUNI PERTAMA'!$E$2:$E$1001,"&lt;="&amp;DATE(2026,12,31)))</f>
        <v/>
      </c>
      <c r="N29" s="19">
        <f>IF($A29="","",COUNTIFS('PERKAWINAN GEREJANI'!$C$2:$C$1001,$A29,'PERKAWINAN GEREJANI'!$D$2:$D$1001,"&gt;="&amp;DATE(2026,1,1),'PERKAWINAN GEREJANI'!$D$2:$D$1001,"&lt;="&amp;DATE(2026,12,31)))</f>
        <v/>
      </c>
      <c r="O29" s="19">
        <f>IF($A29="","",COUNTIFS(PEMBUBARAN!$C$2:$C$1001,$A29,PEMBUBARAN!$D$2:$D$1001,"&gt;="&amp;DATE(2026,1,1),PEMBUBARAN!$D$2:$D$1001,"&lt;="&amp;DATE(2026,12,31)))</f>
        <v/>
      </c>
      <c r="P29" s="19">
        <f>IF($A29="","",COUNTIFS('PERMINYAKAN SUCI'!$C$2:$C$1001,$A29,'PERMINYAKAN SUCI'!$E$2:$E$1001,"&gt;="&amp;DATE(2026,1,1),'PERMINYAKAN SUCI'!$E$2:$E$1001,"&lt;="&amp;DATE(2026,12,31)))</f>
        <v/>
      </c>
      <c r="Q29" s="19">
        <f>IF($A29="","",H29)</f>
        <v/>
      </c>
      <c r="R29" s="19">
        <f>IF($A29="","",COUNTIFS('SEMINARI BIARA'!$C$2:$C$1001,$A29,'SEMINARI BIARA'!$F$2:$F$1001,"Mulai masuk 2026",'SEMINARI BIARA'!$G$2:$G$1001,"&gt;="&amp;DATE(2026,1,1),'SEMINARI BIARA'!$G$2:$G$1001,"&lt;="&amp;DATE(2026,12,31)))</f>
        <v/>
      </c>
      <c r="S29" s="19">
        <f>IF($A29="","",COUNTIFS('SEMINARI BIARA'!$C$2:$C$1001,$A29,'SEMINARI BIARA'!$F$2:$F$1001,"Sedang belajar 2026"))</f>
        <v/>
      </c>
    </row>
    <row r="30" ht="14.25" customHeight="1" s="38">
      <c r="A30" s="18" t="n"/>
      <c r="B30" s="19">
        <f>IF($A30="","",COUNTIF('DATA KK'!$E$2:$E$501,$A30))</f>
        <v/>
      </c>
      <c r="C30" s="19">
        <f>IF($A30="","",COUNTIF('DATA UMAT'!$H$2:$H$2001,$A30))</f>
        <v/>
      </c>
      <c r="D30" s="19">
        <f>IF($A30="","",COUNTIFS(BAPTIS!$C$2:$C$1001,$A30,BAPTIS!$F$2:$F$1001,"&gt;="&amp;DATE(2026,1,1),BAPTIS!$F$2:$F$1001,"&lt;="&amp;DATE(2026,12,31)))</f>
        <v/>
      </c>
      <c r="E30" s="19">
        <f>IF($A30="","",COUNTIFS('DITERIMA MASUK'!$C$2:$C$1001,$A30,'DITERIMA MASUK'!$D$2:$D$1001,"&gt;="&amp;DATE(2026,1,1),'DITERIMA MASUK'!$D$2:$D$1001,"&lt;="&amp;DATE(2026,12,31)))</f>
        <v/>
      </c>
      <c r="F30" s="19">
        <f>IF($A30="","",COUNTIFS(MUTASI!$C$2:$C$1001,$A30,MUTASI!$D$2:$D$1001,"Masuk",MUTASI!$F$2:$F$1001,"Paroki lain dalam keuskupan",MUTASI!$E$2:$E$1001,"&gt;="&amp;DATE(2026,1,1),MUTASI!$E$2:$E$1001,"&lt;="&amp;DATE(2026,12,31)))</f>
        <v/>
      </c>
      <c r="G30" s="19">
        <f>IF($A30="","",COUNTIFS(MUTASI!$C$2:$C$1001,$A30,MUTASI!$D$2:$D$1001,"Masuk",MUTASI!$F$2:$F$1001,"Keuskupan lain",MUTASI!$E$2:$E$1001,"&gt;="&amp;DATE(2026,1,1),MUTASI!$E$2:$E$1001,"&lt;="&amp;DATE(2026,12,31)))</f>
        <v/>
      </c>
      <c r="H30" s="19">
        <f>IF($A30="","",COUNTIFS(KEMATIAN!$C$2:$C$1001,$A30,KEMATIAN!$F$2:$F$1001,"&gt;="&amp;DATE(2026,1,1),KEMATIAN!$F$2:$F$1001,"&lt;="&amp;DATE(2026,12,31)))</f>
        <v/>
      </c>
      <c r="I30" s="19">
        <f>IF($A30="","",COUNTIFS(MUTASI!$C$2:$C$1001,$A30,MUTASI!$D$2:$D$1001,"Keluar",MUTASI!$F$2:$F$1001,"Paroki lain dalam keuskupan",MUTASI!$E$2:$E$1001,"&gt;="&amp;DATE(2026,1,1),MUTASI!$E$2:$E$1001,"&lt;="&amp;DATE(2026,12,31)))</f>
        <v/>
      </c>
      <c r="J30" s="19">
        <f>IF($A30="","",COUNTIFS(MUTASI!$C$2:$C$1001,$A30,MUTASI!$D$2:$D$1001,"Keluar",MUTASI!$F$2:$F$1001,"Keuskupan lain",MUTASI!$E$2:$E$1001,"&gt;="&amp;DATE(2026,1,1),MUTASI!$E$2:$E$1001,"&lt;="&amp;DATE(2026,12,31)))</f>
        <v/>
      </c>
      <c r="K30" s="19">
        <f>IF($A30="","",COUNTIFS('PINDAH AGAMA'!$C$2:$C$1001,$A30,'PINDAH AGAMA'!$D$2:$D$1001,"&gt;="&amp;DATE(2026,1,1),'PINDAH AGAMA'!$D$2:$D$1001,"&lt;="&amp;DATE(2026,12,31)))</f>
        <v/>
      </c>
      <c r="L30" s="19">
        <f>IF($A30="","",D30+E30+F30+G30-H30-I30-J30-K30)</f>
        <v/>
      </c>
      <c r="M30" s="19">
        <f>IF($A30="","",COUNTIFS('KOMUNI PERTAMA'!$C$2:$C$1001,$A30,'KOMUNI PERTAMA'!$E$2:$E$1001,"&gt;="&amp;DATE(2026,1,1),'KOMUNI PERTAMA'!$E$2:$E$1001,"&lt;="&amp;DATE(2026,12,31)))</f>
        <v/>
      </c>
      <c r="N30" s="19">
        <f>IF($A30="","",COUNTIFS('PERKAWINAN GEREJANI'!$C$2:$C$1001,$A30,'PERKAWINAN GEREJANI'!$D$2:$D$1001,"&gt;="&amp;DATE(2026,1,1),'PERKAWINAN GEREJANI'!$D$2:$D$1001,"&lt;="&amp;DATE(2026,12,31)))</f>
        <v/>
      </c>
      <c r="O30" s="19">
        <f>IF($A30="","",COUNTIFS(PEMBUBARAN!$C$2:$C$1001,$A30,PEMBUBARAN!$D$2:$D$1001,"&gt;="&amp;DATE(2026,1,1),PEMBUBARAN!$D$2:$D$1001,"&lt;="&amp;DATE(2026,12,31)))</f>
        <v/>
      </c>
      <c r="P30" s="19">
        <f>IF($A30="","",COUNTIFS('PERMINYAKAN SUCI'!$C$2:$C$1001,$A30,'PERMINYAKAN SUCI'!$E$2:$E$1001,"&gt;="&amp;DATE(2026,1,1),'PERMINYAKAN SUCI'!$E$2:$E$1001,"&lt;="&amp;DATE(2026,12,31)))</f>
        <v/>
      </c>
      <c r="Q30" s="19">
        <f>IF($A30="","",H30)</f>
        <v/>
      </c>
      <c r="R30" s="19">
        <f>IF($A30="","",COUNTIFS('SEMINARI BIARA'!$C$2:$C$1001,$A30,'SEMINARI BIARA'!$F$2:$F$1001,"Mulai masuk 2026",'SEMINARI BIARA'!$G$2:$G$1001,"&gt;="&amp;DATE(2026,1,1),'SEMINARI BIARA'!$G$2:$G$1001,"&lt;="&amp;DATE(2026,12,31)))</f>
        <v/>
      </c>
      <c r="S30" s="19">
        <f>IF($A30="","",COUNTIFS('SEMINARI BIARA'!$C$2:$C$1001,$A30,'SEMINARI BIARA'!$F$2:$F$1001,"Sedang belajar 2026"))</f>
        <v/>
      </c>
    </row>
    <row r="31" ht="14.25" customHeight="1" s="38">
      <c r="A31" s="18" t="n"/>
      <c r="B31" s="19">
        <f>IF($A31="","",COUNTIF('DATA KK'!$E$2:$E$501,$A31))</f>
        <v/>
      </c>
      <c r="C31" s="19">
        <f>IF($A31="","",COUNTIF('DATA UMAT'!$H$2:$H$2001,$A31))</f>
        <v/>
      </c>
      <c r="D31" s="19">
        <f>IF($A31="","",COUNTIFS(BAPTIS!$C$2:$C$1001,$A31,BAPTIS!$F$2:$F$1001,"&gt;="&amp;DATE(2026,1,1),BAPTIS!$F$2:$F$1001,"&lt;="&amp;DATE(2026,12,31)))</f>
        <v/>
      </c>
      <c r="E31" s="19">
        <f>IF($A31="","",COUNTIFS('DITERIMA MASUK'!$C$2:$C$1001,$A31,'DITERIMA MASUK'!$D$2:$D$1001,"&gt;="&amp;DATE(2026,1,1),'DITERIMA MASUK'!$D$2:$D$1001,"&lt;="&amp;DATE(2026,12,31)))</f>
        <v/>
      </c>
      <c r="F31" s="19">
        <f>IF($A31="","",COUNTIFS(MUTASI!$C$2:$C$1001,$A31,MUTASI!$D$2:$D$1001,"Masuk",MUTASI!$F$2:$F$1001,"Paroki lain dalam keuskupan",MUTASI!$E$2:$E$1001,"&gt;="&amp;DATE(2026,1,1),MUTASI!$E$2:$E$1001,"&lt;="&amp;DATE(2026,12,31)))</f>
        <v/>
      </c>
      <c r="G31" s="19">
        <f>IF($A31="","",COUNTIFS(MUTASI!$C$2:$C$1001,$A31,MUTASI!$D$2:$D$1001,"Masuk",MUTASI!$F$2:$F$1001,"Keuskupan lain",MUTASI!$E$2:$E$1001,"&gt;="&amp;DATE(2026,1,1),MUTASI!$E$2:$E$1001,"&lt;="&amp;DATE(2026,12,31)))</f>
        <v/>
      </c>
      <c r="H31" s="19">
        <f>IF($A31="","",COUNTIFS(KEMATIAN!$C$2:$C$1001,$A31,KEMATIAN!$F$2:$F$1001,"&gt;="&amp;DATE(2026,1,1),KEMATIAN!$F$2:$F$1001,"&lt;="&amp;DATE(2026,12,31)))</f>
        <v/>
      </c>
      <c r="I31" s="19">
        <f>IF($A31="","",COUNTIFS(MUTASI!$C$2:$C$1001,$A31,MUTASI!$D$2:$D$1001,"Keluar",MUTASI!$F$2:$F$1001,"Paroki lain dalam keuskupan",MUTASI!$E$2:$E$1001,"&gt;="&amp;DATE(2026,1,1),MUTASI!$E$2:$E$1001,"&lt;="&amp;DATE(2026,12,31)))</f>
        <v/>
      </c>
      <c r="J31" s="19">
        <f>IF($A31="","",COUNTIFS(MUTASI!$C$2:$C$1001,$A31,MUTASI!$D$2:$D$1001,"Keluar",MUTASI!$F$2:$F$1001,"Keuskupan lain",MUTASI!$E$2:$E$1001,"&gt;="&amp;DATE(2026,1,1),MUTASI!$E$2:$E$1001,"&lt;="&amp;DATE(2026,12,31)))</f>
        <v/>
      </c>
      <c r="K31" s="19">
        <f>IF($A31="","",COUNTIFS('PINDAH AGAMA'!$C$2:$C$1001,$A31,'PINDAH AGAMA'!$D$2:$D$1001,"&gt;="&amp;DATE(2026,1,1),'PINDAH AGAMA'!$D$2:$D$1001,"&lt;="&amp;DATE(2026,12,31)))</f>
        <v/>
      </c>
      <c r="L31" s="19">
        <f>IF($A31="","",D31+E31+F31+G31-H31-I31-J31-K31)</f>
        <v/>
      </c>
      <c r="M31" s="19">
        <f>IF($A31="","",COUNTIFS('KOMUNI PERTAMA'!$C$2:$C$1001,$A31,'KOMUNI PERTAMA'!$E$2:$E$1001,"&gt;="&amp;DATE(2026,1,1),'KOMUNI PERTAMA'!$E$2:$E$1001,"&lt;="&amp;DATE(2026,12,31)))</f>
        <v/>
      </c>
      <c r="N31" s="19">
        <f>IF($A31="","",COUNTIFS('PERKAWINAN GEREJANI'!$C$2:$C$1001,$A31,'PERKAWINAN GEREJANI'!$D$2:$D$1001,"&gt;="&amp;DATE(2026,1,1),'PERKAWINAN GEREJANI'!$D$2:$D$1001,"&lt;="&amp;DATE(2026,12,31)))</f>
        <v/>
      </c>
      <c r="O31" s="19">
        <f>IF($A31="","",COUNTIFS(PEMBUBARAN!$C$2:$C$1001,$A31,PEMBUBARAN!$D$2:$D$1001,"&gt;="&amp;DATE(2026,1,1),PEMBUBARAN!$D$2:$D$1001,"&lt;="&amp;DATE(2026,12,31)))</f>
        <v/>
      </c>
      <c r="P31" s="19">
        <f>IF($A31="","",COUNTIFS('PERMINYAKAN SUCI'!$C$2:$C$1001,$A31,'PERMINYAKAN SUCI'!$E$2:$E$1001,"&gt;="&amp;DATE(2026,1,1),'PERMINYAKAN SUCI'!$E$2:$E$1001,"&lt;="&amp;DATE(2026,12,31)))</f>
        <v/>
      </c>
      <c r="Q31" s="19">
        <f>IF($A31="","",H31)</f>
        <v/>
      </c>
      <c r="R31" s="19">
        <f>IF($A31="","",COUNTIFS('SEMINARI BIARA'!$C$2:$C$1001,$A31,'SEMINARI BIARA'!$F$2:$F$1001,"Mulai masuk 2026",'SEMINARI BIARA'!$G$2:$G$1001,"&gt;="&amp;DATE(2026,1,1),'SEMINARI BIARA'!$G$2:$G$1001,"&lt;="&amp;DATE(2026,12,31)))</f>
        <v/>
      </c>
      <c r="S31" s="19">
        <f>IF($A31="","",COUNTIFS('SEMINARI BIARA'!$C$2:$C$1001,$A31,'SEMINARI BIARA'!$F$2:$F$1001,"Sedang belajar 2026"))</f>
        <v/>
      </c>
    </row>
    <row r="32" ht="14.25" customHeight="1" s="38">
      <c r="A32" s="18" t="n"/>
      <c r="B32" s="19">
        <f>IF($A32="","",COUNTIF('DATA KK'!$E$2:$E$501,$A32))</f>
        <v/>
      </c>
      <c r="C32" s="19">
        <f>IF($A32="","",COUNTIF('DATA UMAT'!$H$2:$H$2001,$A32))</f>
        <v/>
      </c>
      <c r="D32" s="19">
        <f>IF($A32="","",COUNTIFS(BAPTIS!$C$2:$C$1001,$A32,BAPTIS!$F$2:$F$1001,"&gt;="&amp;DATE(2026,1,1),BAPTIS!$F$2:$F$1001,"&lt;="&amp;DATE(2026,12,31)))</f>
        <v/>
      </c>
      <c r="E32" s="19">
        <f>IF($A32="","",COUNTIFS('DITERIMA MASUK'!$C$2:$C$1001,$A32,'DITERIMA MASUK'!$D$2:$D$1001,"&gt;="&amp;DATE(2026,1,1),'DITERIMA MASUK'!$D$2:$D$1001,"&lt;="&amp;DATE(2026,12,31)))</f>
        <v/>
      </c>
      <c r="F32" s="19">
        <f>IF($A32="","",COUNTIFS(MUTASI!$C$2:$C$1001,$A32,MUTASI!$D$2:$D$1001,"Masuk",MUTASI!$F$2:$F$1001,"Paroki lain dalam keuskupan",MUTASI!$E$2:$E$1001,"&gt;="&amp;DATE(2026,1,1),MUTASI!$E$2:$E$1001,"&lt;="&amp;DATE(2026,12,31)))</f>
        <v/>
      </c>
      <c r="G32" s="19">
        <f>IF($A32="","",COUNTIFS(MUTASI!$C$2:$C$1001,$A32,MUTASI!$D$2:$D$1001,"Masuk",MUTASI!$F$2:$F$1001,"Keuskupan lain",MUTASI!$E$2:$E$1001,"&gt;="&amp;DATE(2026,1,1),MUTASI!$E$2:$E$1001,"&lt;="&amp;DATE(2026,12,31)))</f>
        <v/>
      </c>
      <c r="H32" s="19">
        <f>IF($A32="","",COUNTIFS(KEMATIAN!$C$2:$C$1001,$A32,KEMATIAN!$F$2:$F$1001,"&gt;="&amp;DATE(2026,1,1),KEMATIAN!$F$2:$F$1001,"&lt;="&amp;DATE(2026,12,31)))</f>
        <v/>
      </c>
      <c r="I32" s="19">
        <f>IF($A32="","",COUNTIFS(MUTASI!$C$2:$C$1001,$A32,MUTASI!$D$2:$D$1001,"Keluar",MUTASI!$F$2:$F$1001,"Paroki lain dalam keuskupan",MUTASI!$E$2:$E$1001,"&gt;="&amp;DATE(2026,1,1),MUTASI!$E$2:$E$1001,"&lt;="&amp;DATE(2026,12,31)))</f>
        <v/>
      </c>
      <c r="J32" s="19">
        <f>IF($A32="","",COUNTIFS(MUTASI!$C$2:$C$1001,$A32,MUTASI!$D$2:$D$1001,"Keluar",MUTASI!$F$2:$F$1001,"Keuskupan lain",MUTASI!$E$2:$E$1001,"&gt;="&amp;DATE(2026,1,1),MUTASI!$E$2:$E$1001,"&lt;="&amp;DATE(2026,12,31)))</f>
        <v/>
      </c>
      <c r="K32" s="19">
        <f>IF($A32="","",COUNTIFS('PINDAH AGAMA'!$C$2:$C$1001,$A32,'PINDAH AGAMA'!$D$2:$D$1001,"&gt;="&amp;DATE(2026,1,1),'PINDAH AGAMA'!$D$2:$D$1001,"&lt;="&amp;DATE(2026,12,31)))</f>
        <v/>
      </c>
      <c r="L32" s="19">
        <f>IF($A32="","",D32+E32+F32+G32-H32-I32-J32-K32)</f>
        <v/>
      </c>
      <c r="M32" s="19">
        <f>IF($A32="","",COUNTIFS('KOMUNI PERTAMA'!$C$2:$C$1001,$A32,'KOMUNI PERTAMA'!$E$2:$E$1001,"&gt;="&amp;DATE(2026,1,1),'KOMUNI PERTAMA'!$E$2:$E$1001,"&lt;="&amp;DATE(2026,12,31)))</f>
        <v/>
      </c>
      <c r="N32" s="19">
        <f>IF($A32="","",COUNTIFS('PERKAWINAN GEREJANI'!$C$2:$C$1001,$A32,'PERKAWINAN GEREJANI'!$D$2:$D$1001,"&gt;="&amp;DATE(2026,1,1),'PERKAWINAN GEREJANI'!$D$2:$D$1001,"&lt;="&amp;DATE(2026,12,31)))</f>
        <v/>
      </c>
      <c r="O32" s="19">
        <f>IF($A32="","",COUNTIFS(PEMBUBARAN!$C$2:$C$1001,$A32,PEMBUBARAN!$D$2:$D$1001,"&gt;="&amp;DATE(2026,1,1),PEMBUBARAN!$D$2:$D$1001,"&lt;="&amp;DATE(2026,12,31)))</f>
        <v/>
      </c>
      <c r="P32" s="19">
        <f>IF($A32="","",COUNTIFS('PERMINYAKAN SUCI'!$C$2:$C$1001,$A32,'PERMINYAKAN SUCI'!$E$2:$E$1001,"&gt;="&amp;DATE(2026,1,1),'PERMINYAKAN SUCI'!$E$2:$E$1001,"&lt;="&amp;DATE(2026,12,31)))</f>
        <v/>
      </c>
      <c r="Q32" s="19">
        <f>IF($A32="","",H32)</f>
        <v/>
      </c>
      <c r="R32" s="19">
        <f>IF($A32="","",COUNTIFS('SEMINARI BIARA'!$C$2:$C$1001,$A32,'SEMINARI BIARA'!$F$2:$F$1001,"Mulai masuk 2026",'SEMINARI BIARA'!$G$2:$G$1001,"&gt;="&amp;DATE(2026,1,1),'SEMINARI BIARA'!$G$2:$G$1001,"&lt;="&amp;DATE(2026,12,31)))</f>
        <v/>
      </c>
      <c r="S32" s="19">
        <f>IF($A32="","",COUNTIFS('SEMINARI BIARA'!$C$2:$C$1001,$A32,'SEMINARI BIARA'!$F$2:$F$1001,"Sedang belajar 2026"))</f>
        <v/>
      </c>
    </row>
    <row r="33" ht="14.25" customHeight="1" s="38">
      <c r="A33" s="18" t="n"/>
      <c r="B33" s="19">
        <f>IF($A33="","",COUNTIF('DATA KK'!$E$2:$E$501,$A33))</f>
        <v/>
      </c>
      <c r="C33" s="19">
        <f>IF($A33="","",COUNTIF('DATA UMAT'!$H$2:$H$2001,$A33))</f>
        <v/>
      </c>
      <c r="D33" s="19">
        <f>IF($A33="","",COUNTIFS(BAPTIS!$C$2:$C$1001,$A33,BAPTIS!$F$2:$F$1001,"&gt;="&amp;DATE(2026,1,1),BAPTIS!$F$2:$F$1001,"&lt;="&amp;DATE(2026,12,31)))</f>
        <v/>
      </c>
      <c r="E33" s="19">
        <f>IF($A33="","",COUNTIFS('DITERIMA MASUK'!$C$2:$C$1001,$A33,'DITERIMA MASUK'!$D$2:$D$1001,"&gt;="&amp;DATE(2026,1,1),'DITERIMA MASUK'!$D$2:$D$1001,"&lt;="&amp;DATE(2026,12,31)))</f>
        <v/>
      </c>
      <c r="F33" s="19">
        <f>IF($A33="","",COUNTIFS(MUTASI!$C$2:$C$1001,$A33,MUTASI!$D$2:$D$1001,"Masuk",MUTASI!$F$2:$F$1001,"Paroki lain dalam keuskupan",MUTASI!$E$2:$E$1001,"&gt;="&amp;DATE(2026,1,1),MUTASI!$E$2:$E$1001,"&lt;="&amp;DATE(2026,12,31)))</f>
        <v/>
      </c>
      <c r="G33" s="19">
        <f>IF($A33="","",COUNTIFS(MUTASI!$C$2:$C$1001,$A33,MUTASI!$D$2:$D$1001,"Masuk",MUTASI!$F$2:$F$1001,"Keuskupan lain",MUTASI!$E$2:$E$1001,"&gt;="&amp;DATE(2026,1,1),MUTASI!$E$2:$E$1001,"&lt;="&amp;DATE(2026,12,31)))</f>
        <v/>
      </c>
      <c r="H33" s="19">
        <f>IF($A33="","",COUNTIFS(KEMATIAN!$C$2:$C$1001,$A33,KEMATIAN!$F$2:$F$1001,"&gt;="&amp;DATE(2026,1,1),KEMATIAN!$F$2:$F$1001,"&lt;="&amp;DATE(2026,12,31)))</f>
        <v/>
      </c>
      <c r="I33" s="19">
        <f>IF($A33="","",COUNTIFS(MUTASI!$C$2:$C$1001,$A33,MUTASI!$D$2:$D$1001,"Keluar",MUTASI!$F$2:$F$1001,"Paroki lain dalam keuskupan",MUTASI!$E$2:$E$1001,"&gt;="&amp;DATE(2026,1,1),MUTASI!$E$2:$E$1001,"&lt;="&amp;DATE(2026,12,31)))</f>
        <v/>
      </c>
      <c r="J33" s="19">
        <f>IF($A33="","",COUNTIFS(MUTASI!$C$2:$C$1001,$A33,MUTASI!$D$2:$D$1001,"Keluar",MUTASI!$F$2:$F$1001,"Keuskupan lain",MUTASI!$E$2:$E$1001,"&gt;="&amp;DATE(2026,1,1),MUTASI!$E$2:$E$1001,"&lt;="&amp;DATE(2026,12,31)))</f>
        <v/>
      </c>
      <c r="K33" s="19">
        <f>IF($A33="","",COUNTIFS('PINDAH AGAMA'!$C$2:$C$1001,$A33,'PINDAH AGAMA'!$D$2:$D$1001,"&gt;="&amp;DATE(2026,1,1),'PINDAH AGAMA'!$D$2:$D$1001,"&lt;="&amp;DATE(2026,12,31)))</f>
        <v/>
      </c>
      <c r="L33" s="19">
        <f>IF($A33="","",D33+E33+F33+G33-H33-I33-J33-K33)</f>
        <v/>
      </c>
      <c r="M33" s="19">
        <f>IF($A33="","",COUNTIFS('KOMUNI PERTAMA'!$C$2:$C$1001,$A33,'KOMUNI PERTAMA'!$E$2:$E$1001,"&gt;="&amp;DATE(2026,1,1),'KOMUNI PERTAMA'!$E$2:$E$1001,"&lt;="&amp;DATE(2026,12,31)))</f>
        <v/>
      </c>
      <c r="N33" s="19">
        <f>IF($A33="","",COUNTIFS('PERKAWINAN GEREJANI'!$C$2:$C$1001,$A33,'PERKAWINAN GEREJANI'!$D$2:$D$1001,"&gt;="&amp;DATE(2026,1,1),'PERKAWINAN GEREJANI'!$D$2:$D$1001,"&lt;="&amp;DATE(2026,12,31)))</f>
        <v/>
      </c>
      <c r="O33" s="19">
        <f>IF($A33="","",COUNTIFS(PEMBUBARAN!$C$2:$C$1001,$A33,PEMBUBARAN!$D$2:$D$1001,"&gt;="&amp;DATE(2026,1,1),PEMBUBARAN!$D$2:$D$1001,"&lt;="&amp;DATE(2026,12,31)))</f>
        <v/>
      </c>
      <c r="P33" s="19">
        <f>IF($A33="","",COUNTIFS('PERMINYAKAN SUCI'!$C$2:$C$1001,$A33,'PERMINYAKAN SUCI'!$E$2:$E$1001,"&gt;="&amp;DATE(2026,1,1),'PERMINYAKAN SUCI'!$E$2:$E$1001,"&lt;="&amp;DATE(2026,12,31)))</f>
        <v/>
      </c>
      <c r="Q33" s="19">
        <f>IF($A33="","",H33)</f>
        <v/>
      </c>
      <c r="R33" s="19">
        <f>IF($A33="","",COUNTIFS('SEMINARI BIARA'!$C$2:$C$1001,$A33,'SEMINARI BIARA'!$F$2:$F$1001,"Mulai masuk 2026",'SEMINARI BIARA'!$G$2:$G$1001,"&gt;="&amp;DATE(2026,1,1),'SEMINARI BIARA'!$G$2:$G$1001,"&lt;="&amp;DATE(2026,12,31)))</f>
        <v/>
      </c>
      <c r="S33" s="19">
        <f>IF($A33="","",COUNTIFS('SEMINARI BIARA'!$C$2:$C$1001,$A33,'SEMINARI BIARA'!$F$2:$F$1001,"Sedang belajar 2026"))</f>
        <v/>
      </c>
    </row>
    <row r="34" ht="14.25" customHeight="1" s="38">
      <c r="A34" s="18" t="n"/>
      <c r="B34" s="19">
        <f>IF($A34="","",COUNTIF('DATA KK'!$E$2:$E$501,$A34))</f>
        <v/>
      </c>
      <c r="C34" s="19">
        <f>IF($A34="","",COUNTIF('DATA UMAT'!$H$2:$H$2001,$A34))</f>
        <v/>
      </c>
      <c r="D34" s="19">
        <f>IF($A34="","",COUNTIFS(BAPTIS!$C$2:$C$1001,$A34,BAPTIS!$F$2:$F$1001,"&gt;="&amp;DATE(2026,1,1),BAPTIS!$F$2:$F$1001,"&lt;="&amp;DATE(2026,12,31)))</f>
        <v/>
      </c>
      <c r="E34" s="19">
        <f>IF($A34="","",COUNTIFS('DITERIMA MASUK'!$C$2:$C$1001,$A34,'DITERIMA MASUK'!$D$2:$D$1001,"&gt;="&amp;DATE(2026,1,1),'DITERIMA MASUK'!$D$2:$D$1001,"&lt;="&amp;DATE(2026,12,31)))</f>
        <v/>
      </c>
      <c r="F34" s="19">
        <f>IF($A34="","",COUNTIFS(MUTASI!$C$2:$C$1001,$A34,MUTASI!$D$2:$D$1001,"Masuk",MUTASI!$F$2:$F$1001,"Paroki lain dalam keuskupan",MUTASI!$E$2:$E$1001,"&gt;="&amp;DATE(2026,1,1),MUTASI!$E$2:$E$1001,"&lt;="&amp;DATE(2026,12,31)))</f>
        <v/>
      </c>
      <c r="G34" s="19">
        <f>IF($A34="","",COUNTIFS(MUTASI!$C$2:$C$1001,$A34,MUTASI!$D$2:$D$1001,"Masuk",MUTASI!$F$2:$F$1001,"Keuskupan lain",MUTASI!$E$2:$E$1001,"&gt;="&amp;DATE(2026,1,1),MUTASI!$E$2:$E$1001,"&lt;="&amp;DATE(2026,12,31)))</f>
        <v/>
      </c>
      <c r="H34" s="19">
        <f>IF($A34="","",COUNTIFS(KEMATIAN!$C$2:$C$1001,$A34,KEMATIAN!$F$2:$F$1001,"&gt;="&amp;DATE(2026,1,1),KEMATIAN!$F$2:$F$1001,"&lt;="&amp;DATE(2026,12,31)))</f>
        <v/>
      </c>
      <c r="I34" s="19">
        <f>IF($A34="","",COUNTIFS(MUTASI!$C$2:$C$1001,$A34,MUTASI!$D$2:$D$1001,"Keluar",MUTASI!$F$2:$F$1001,"Paroki lain dalam keuskupan",MUTASI!$E$2:$E$1001,"&gt;="&amp;DATE(2026,1,1),MUTASI!$E$2:$E$1001,"&lt;="&amp;DATE(2026,12,31)))</f>
        <v/>
      </c>
      <c r="J34" s="19">
        <f>IF($A34="","",COUNTIFS(MUTASI!$C$2:$C$1001,$A34,MUTASI!$D$2:$D$1001,"Keluar",MUTASI!$F$2:$F$1001,"Keuskupan lain",MUTASI!$E$2:$E$1001,"&gt;="&amp;DATE(2026,1,1),MUTASI!$E$2:$E$1001,"&lt;="&amp;DATE(2026,12,31)))</f>
        <v/>
      </c>
      <c r="K34" s="19">
        <f>IF($A34="","",COUNTIFS('PINDAH AGAMA'!$C$2:$C$1001,$A34,'PINDAH AGAMA'!$D$2:$D$1001,"&gt;="&amp;DATE(2026,1,1),'PINDAH AGAMA'!$D$2:$D$1001,"&lt;="&amp;DATE(2026,12,31)))</f>
        <v/>
      </c>
      <c r="L34" s="19">
        <f>IF($A34="","",D34+E34+F34+G34-H34-I34-J34-K34)</f>
        <v/>
      </c>
      <c r="M34" s="19">
        <f>IF($A34="","",COUNTIFS('KOMUNI PERTAMA'!$C$2:$C$1001,$A34,'KOMUNI PERTAMA'!$E$2:$E$1001,"&gt;="&amp;DATE(2026,1,1),'KOMUNI PERTAMA'!$E$2:$E$1001,"&lt;="&amp;DATE(2026,12,31)))</f>
        <v/>
      </c>
      <c r="N34" s="19">
        <f>IF($A34="","",COUNTIFS('PERKAWINAN GEREJANI'!$C$2:$C$1001,$A34,'PERKAWINAN GEREJANI'!$D$2:$D$1001,"&gt;="&amp;DATE(2026,1,1),'PERKAWINAN GEREJANI'!$D$2:$D$1001,"&lt;="&amp;DATE(2026,12,31)))</f>
        <v/>
      </c>
      <c r="O34" s="19">
        <f>IF($A34="","",COUNTIFS(PEMBUBARAN!$C$2:$C$1001,$A34,PEMBUBARAN!$D$2:$D$1001,"&gt;="&amp;DATE(2026,1,1),PEMBUBARAN!$D$2:$D$1001,"&lt;="&amp;DATE(2026,12,31)))</f>
        <v/>
      </c>
      <c r="P34" s="19">
        <f>IF($A34="","",COUNTIFS('PERMINYAKAN SUCI'!$C$2:$C$1001,$A34,'PERMINYAKAN SUCI'!$E$2:$E$1001,"&gt;="&amp;DATE(2026,1,1),'PERMINYAKAN SUCI'!$E$2:$E$1001,"&lt;="&amp;DATE(2026,12,31)))</f>
        <v/>
      </c>
      <c r="Q34" s="19">
        <f>IF($A34="","",H34)</f>
        <v/>
      </c>
      <c r="R34" s="19">
        <f>IF($A34="","",COUNTIFS('SEMINARI BIARA'!$C$2:$C$1001,$A34,'SEMINARI BIARA'!$F$2:$F$1001,"Mulai masuk 2026",'SEMINARI BIARA'!$G$2:$G$1001,"&gt;="&amp;DATE(2026,1,1),'SEMINARI BIARA'!$G$2:$G$1001,"&lt;="&amp;DATE(2026,12,31)))</f>
        <v/>
      </c>
      <c r="S34" s="19">
        <f>IF($A34="","",COUNTIFS('SEMINARI BIARA'!$C$2:$C$1001,$A34,'SEMINARI BIARA'!$F$2:$F$1001,"Sedang belajar 2026"))</f>
        <v/>
      </c>
    </row>
    <row r="35" ht="14.25" customHeight="1" s="38">
      <c r="A35" s="18" t="n"/>
      <c r="B35" s="19">
        <f>IF($A35="","",COUNTIF('DATA KK'!$E$2:$E$501,$A35))</f>
        <v/>
      </c>
      <c r="C35" s="19">
        <f>IF($A35="","",COUNTIF('DATA UMAT'!$H$2:$H$2001,$A35))</f>
        <v/>
      </c>
      <c r="D35" s="19">
        <f>IF($A35="","",COUNTIFS(BAPTIS!$C$2:$C$1001,$A35,BAPTIS!$F$2:$F$1001,"&gt;="&amp;DATE(2026,1,1),BAPTIS!$F$2:$F$1001,"&lt;="&amp;DATE(2026,12,31)))</f>
        <v/>
      </c>
      <c r="E35" s="19">
        <f>IF($A35="","",COUNTIFS('DITERIMA MASUK'!$C$2:$C$1001,$A35,'DITERIMA MASUK'!$D$2:$D$1001,"&gt;="&amp;DATE(2026,1,1),'DITERIMA MASUK'!$D$2:$D$1001,"&lt;="&amp;DATE(2026,12,31)))</f>
        <v/>
      </c>
      <c r="F35" s="19">
        <f>IF($A35="","",COUNTIFS(MUTASI!$C$2:$C$1001,$A35,MUTASI!$D$2:$D$1001,"Masuk",MUTASI!$F$2:$F$1001,"Paroki lain dalam keuskupan",MUTASI!$E$2:$E$1001,"&gt;="&amp;DATE(2026,1,1),MUTASI!$E$2:$E$1001,"&lt;="&amp;DATE(2026,12,31)))</f>
        <v/>
      </c>
      <c r="G35" s="19">
        <f>IF($A35="","",COUNTIFS(MUTASI!$C$2:$C$1001,$A35,MUTASI!$D$2:$D$1001,"Masuk",MUTASI!$F$2:$F$1001,"Keuskupan lain",MUTASI!$E$2:$E$1001,"&gt;="&amp;DATE(2026,1,1),MUTASI!$E$2:$E$1001,"&lt;="&amp;DATE(2026,12,31)))</f>
        <v/>
      </c>
      <c r="H35" s="19">
        <f>IF($A35="","",COUNTIFS(KEMATIAN!$C$2:$C$1001,$A35,KEMATIAN!$F$2:$F$1001,"&gt;="&amp;DATE(2026,1,1),KEMATIAN!$F$2:$F$1001,"&lt;="&amp;DATE(2026,12,31)))</f>
        <v/>
      </c>
      <c r="I35" s="19">
        <f>IF($A35="","",COUNTIFS(MUTASI!$C$2:$C$1001,$A35,MUTASI!$D$2:$D$1001,"Keluar",MUTASI!$F$2:$F$1001,"Paroki lain dalam keuskupan",MUTASI!$E$2:$E$1001,"&gt;="&amp;DATE(2026,1,1),MUTASI!$E$2:$E$1001,"&lt;="&amp;DATE(2026,12,31)))</f>
        <v/>
      </c>
      <c r="J35" s="19">
        <f>IF($A35="","",COUNTIFS(MUTASI!$C$2:$C$1001,$A35,MUTASI!$D$2:$D$1001,"Keluar",MUTASI!$F$2:$F$1001,"Keuskupan lain",MUTASI!$E$2:$E$1001,"&gt;="&amp;DATE(2026,1,1),MUTASI!$E$2:$E$1001,"&lt;="&amp;DATE(2026,12,31)))</f>
        <v/>
      </c>
      <c r="K35" s="19">
        <f>IF($A35="","",COUNTIFS('PINDAH AGAMA'!$C$2:$C$1001,$A35,'PINDAH AGAMA'!$D$2:$D$1001,"&gt;="&amp;DATE(2026,1,1),'PINDAH AGAMA'!$D$2:$D$1001,"&lt;="&amp;DATE(2026,12,31)))</f>
        <v/>
      </c>
      <c r="L35" s="19">
        <f>IF($A35="","",D35+E35+F35+G35-H35-I35-J35-K35)</f>
        <v/>
      </c>
      <c r="M35" s="19">
        <f>IF($A35="","",COUNTIFS('KOMUNI PERTAMA'!$C$2:$C$1001,$A35,'KOMUNI PERTAMA'!$E$2:$E$1001,"&gt;="&amp;DATE(2026,1,1),'KOMUNI PERTAMA'!$E$2:$E$1001,"&lt;="&amp;DATE(2026,12,31)))</f>
        <v/>
      </c>
      <c r="N35" s="19">
        <f>IF($A35="","",COUNTIFS('PERKAWINAN GEREJANI'!$C$2:$C$1001,$A35,'PERKAWINAN GEREJANI'!$D$2:$D$1001,"&gt;="&amp;DATE(2026,1,1),'PERKAWINAN GEREJANI'!$D$2:$D$1001,"&lt;="&amp;DATE(2026,12,31)))</f>
        <v/>
      </c>
      <c r="O35" s="19">
        <f>IF($A35="","",COUNTIFS(PEMBUBARAN!$C$2:$C$1001,$A35,PEMBUBARAN!$D$2:$D$1001,"&gt;="&amp;DATE(2026,1,1),PEMBUBARAN!$D$2:$D$1001,"&lt;="&amp;DATE(2026,12,31)))</f>
        <v/>
      </c>
      <c r="P35" s="19">
        <f>IF($A35="","",COUNTIFS('PERMINYAKAN SUCI'!$C$2:$C$1001,$A35,'PERMINYAKAN SUCI'!$E$2:$E$1001,"&gt;="&amp;DATE(2026,1,1),'PERMINYAKAN SUCI'!$E$2:$E$1001,"&lt;="&amp;DATE(2026,12,31)))</f>
        <v/>
      </c>
      <c r="Q35" s="19">
        <f>IF($A35="","",H35)</f>
        <v/>
      </c>
      <c r="R35" s="19">
        <f>IF($A35="","",COUNTIFS('SEMINARI BIARA'!$C$2:$C$1001,$A35,'SEMINARI BIARA'!$F$2:$F$1001,"Mulai masuk 2026",'SEMINARI BIARA'!$G$2:$G$1001,"&gt;="&amp;DATE(2026,1,1),'SEMINARI BIARA'!$G$2:$G$1001,"&lt;="&amp;DATE(2026,12,31)))</f>
        <v/>
      </c>
      <c r="S35" s="19">
        <f>IF($A35="","",COUNTIFS('SEMINARI BIARA'!$C$2:$C$1001,$A35,'SEMINARI BIARA'!$F$2:$F$1001,"Sedang belajar 2026"))</f>
        <v/>
      </c>
    </row>
    <row r="36" ht="14.25" customHeight="1" s="38">
      <c r="A36" s="18" t="n"/>
      <c r="B36" s="19">
        <f>IF($A36="","",COUNTIF('DATA KK'!$E$2:$E$501,$A36))</f>
        <v/>
      </c>
      <c r="C36" s="19">
        <f>IF($A36="","",COUNTIF('DATA UMAT'!$H$2:$H$2001,$A36))</f>
        <v/>
      </c>
      <c r="D36" s="19">
        <f>IF($A36="","",COUNTIFS(BAPTIS!$C$2:$C$1001,$A36,BAPTIS!$F$2:$F$1001,"&gt;="&amp;DATE(2026,1,1),BAPTIS!$F$2:$F$1001,"&lt;="&amp;DATE(2026,12,31)))</f>
        <v/>
      </c>
      <c r="E36" s="19">
        <f>IF($A36="","",COUNTIFS('DITERIMA MASUK'!$C$2:$C$1001,$A36,'DITERIMA MASUK'!$D$2:$D$1001,"&gt;="&amp;DATE(2026,1,1),'DITERIMA MASUK'!$D$2:$D$1001,"&lt;="&amp;DATE(2026,12,31)))</f>
        <v/>
      </c>
      <c r="F36" s="19">
        <f>IF($A36="","",COUNTIFS(MUTASI!$C$2:$C$1001,$A36,MUTASI!$D$2:$D$1001,"Masuk",MUTASI!$F$2:$F$1001,"Paroki lain dalam keuskupan",MUTASI!$E$2:$E$1001,"&gt;="&amp;DATE(2026,1,1),MUTASI!$E$2:$E$1001,"&lt;="&amp;DATE(2026,12,31)))</f>
        <v/>
      </c>
      <c r="G36" s="19">
        <f>IF($A36="","",COUNTIFS(MUTASI!$C$2:$C$1001,$A36,MUTASI!$D$2:$D$1001,"Masuk",MUTASI!$F$2:$F$1001,"Keuskupan lain",MUTASI!$E$2:$E$1001,"&gt;="&amp;DATE(2026,1,1),MUTASI!$E$2:$E$1001,"&lt;="&amp;DATE(2026,12,31)))</f>
        <v/>
      </c>
      <c r="H36" s="19">
        <f>IF($A36="","",COUNTIFS(KEMATIAN!$C$2:$C$1001,$A36,KEMATIAN!$F$2:$F$1001,"&gt;="&amp;DATE(2026,1,1),KEMATIAN!$F$2:$F$1001,"&lt;="&amp;DATE(2026,12,31)))</f>
        <v/>
      </c>
      <c r="I36" s="19">
        <f>IF($A36="","",COUNTIFS(MUTASI!$C$2:$C$1001,$A36,MUTASI!$D$2:$D$1001,"Keluar",MUTASI!$F$2:$F$1001,"Paroki lain dalam keuskupan",MUTASI!$E$2:$E$1001,"&gt;="&amp;DATE(2026,1,1),MUTASI!$E$2:$E$1001,"&lt;="&amp;DATE(2026,12,31)))</f>
        <v/>
      </c>
      <c r="J36" s="19">
        <f>IF($A36="","",COUNTIFS(MUTASI!$C$2:$C$1001,$A36,MUTASI!$D$2:$D$1001,"Keluar",MUTASI!$F$2:$F$1001,"Keuskupan lain",MUTASI!$E$2:$E$1001,"&gt;="&amp;DATE(2026,1,1),MUTASI!$E$2:$E$1001,"&lt;="&amp;DATE(2026,12,31)))</f>
        <v/>
      </c>
      <c r="K36" s="19">
        <f>IF($A36="","",COUNTIFS('PINDAH AGAMA'!$C$2:$C$1001,$A36,'PINDAH AGAMA'!$D$2:$D$1001,"&gt;="&amp;DATE(2026,1,1),'PINDAH AGAMA'!$D$2:$D$1001,"&lt;="&amp;DATE(2026,12,31)))</f>
        <v/>
      </c>
      <c r="L36" s="19">
        <f>IF($A36="","",D36+E36+F36+G36-H36-I36-J36-K36)</f>
        <v/>
      </c>
      <c r="M36" s="19">
        <f>IF($A36="","",COUNTIFS('KOMUNI PERTAMA'!$C$2:$C$1001,$A36,'KOMUNI PERTAMA'!$E$2:$E$1001,"&gt;="&amp;DATE(2026,1,1),'KOMUNI PERTAMA'!$E$2:$E$1001,"&lt;="&amp;DATE(2026,12,31)))</f>
        <v/>
      </c>
      <c r="N36" s="19">
        <f>IF($A36="","",COUNTIFS('PERKAWINAN GEREJANI'!$C$2:$C$1001,$A36,'PERKAWINAN GEREJANI'!$D$2:$D$1001,"&gt;="&amp;DATE(2026,1,1),'PERKAWINAN GEREJANI'!$D$2:$D$1001,"&lt;="&amp;DATE(2026,12,31)))</f>
        <v/>
      </c>
      <c r="O36" s="19">
        <f>IF($A36="","",COUNTIFS(PEMBUBARAN!$C$2:$C$1001,$A36,PEMBUBARAN!$D$2:$D$1001,"&gt;="&amp;DATE(2026,1,1),PEMBUBARAN!$D$2:$D$1001,"&lt;="&amp;DATE(2026,12,31)))</f>
        <v/>
      </c>
      <c r="P36" s="19">
        <f>IF($A36="","",COUNTIFS('PERMINYAKAN SUCI'!$C$2:$C$1001,$A36,'PERMINYAKAN SUCI'!$E$2:$E$1001,"&gt;="&amp;DATE(2026,1,1),'PERMINYAKAN SUCI'!$E$2:$E$1001,"&lt;="&amp;DATE(2026,12,31)))</f>
        <v/>
      </c>
      <c r="Q36" s="19">
        <f>IF($A36="","",H36)</f>
        <v/>
      </c>
      <c r="R36" s="19">
        <f>IF($A36="","",COUNTIFS('SEMINARI BIARA'!$C$2:$C$1001,$A36,'SEMINARI BIARA'!$F$2:$F$1001,"Mulai masuk 2026",'SEMINARI BIARA'!$G$2:$G$1001,"&gt;="&amp;DATE(2026,1,1),'SEMINARI BIARA'!$G$2:$G$1001,"&lt;="&amp;DATE(2026,12,31)))</f>
        <v/>
      </c>
      <c r="S36" s="19">
        <f>IF($A36="","",COUNTIFS('SEMINARI BIARA'!$C$2:$C$1001,$A36,'SEMINARI BIARA'!$F$2:$F$1001,"Sedang belajar 2026"))</f>
        <v/>
      </c>
    </row>
    <row r="37" ht="14.25" customHeight="1" s="38">
      <c r="A37" s="18" t="n"/>
      <c r="B37" s="19">
        <f>IF($A37="","",COUNTIF('DATA KK'!$E$2:$E$501,$A37))</f>
        <v/>
      </c>
      <c r="C37" s="19">
        <f>IF($A37="","",COUNTIF('DATA UMAT'!$H$2:$H$2001,$A37))</f>
        <v/>
      </c>
      <c r="D37" s="19">
        <f>IF($A37="","",COUNTIFS(BAPTIS!$C$2:$C$1001,$A37,BAPTIS!$F$2:$F$1001,"&gt;="&amp;DATE(2026,1,1),BAPTIS!$F$2:$F$1001,"&lt;="&amp;DATE(2026,12,31)))</f>
        <v/>
      </c>
      <c r="E37" s="19">
        <f>IF($A37="","",COUNTIFS('DITERIMA MASUK'!$C$2:$C$1001,$A37,'DITERIMA MASUK'!$D$2:$D$1001,"&gt;="&amp;DATE(2026,1,1),'DITERIMA MASUK'!$D$2:$D$1001,"&lt;="&amp;DATE(2026,12,31)))</f>
        <v/>
      </c>
      <c r="F37" s="19">
        <f>IF($A37="","",COUNTIFS(MUTASI!$C$2:$C$1001,$A37,MUTASI!$D$2:$D$1001,"Masuk",MUTASI!$F$2:$F$1001,"Paroki lain dalam keuskupan",MUTASI!$E$2:$E$1001,"&gt;="&amp;DATE(2026,1,1),MUTASI!$E$2:$E$1001,"&lt;="&amp;DATE(2026,12,31)))</f>
        <v/>
      </c>
      <c r="G37" s="19">
        <f>IF($A37="","",COUNTIFS(MUTASI!$C$2:$C$1001,$A37,MUTASI!$D$2:$D$1001,"Masuk",MUTASI!$F$2:$F$1001,"Keuskupan lain",MUTASI!$E$2:$E$1001,"&gt;="&amp;DATE(2026,1,1),MUTASI!$E$2:$E$1001,"&lt;="&amp;DATE(2026,12,31)))</f>
        <v/>
      </c>
      <c r="H37" s="19">
        <f>IF($A37="","",COUNTIFS(KEMATIAN!$C$2:$C$1001,$A37,KEMATIAN!$F$2:$F$1001,"&gt;="&amp;DATE(2026,1,1),KEMATIAN!$F$2:$F$1001,"&lt;="&amp;DATE(2026,12,31)))</f>
        <v/>
      </c>
      <c r="I37" s="19">
        <f>IF($A37="","",COUNTIFS(MUTASI!$C$2:$C$1001,$A37,MUTASI!$D$2:$D$1001,"Keluar",MUTASI!$F$2:$F$1001,"Paroki lain dalam keuskupan",MUTASI!$E$2:$E$1001,"&gt;="&amp;DATE(2026,1,1),MUTASI!$E$2:$E$1001,"&lt;="&amp;DATE(2026,12,31)))</f>
        <v/>
      </c>
      <c r="J37" s="19">
        <f>IF($A37="","",COUNTIFS(MUTASI!$C$2:$C$1001,$A37,MUTASI!$D$2:$D$1001,"Keluar",MUTASI!$F$2:$F$1001,"Keuskupan lain",MUTASI!$E$2:$E$1001,"&gt;="&amp;DATE(2026,1,1),MUTASI!$E$2:$E$1001,"&lt;="&amp;DATE(2026,12,31)))</f>
        <v/>
      </c>
      <c r="K37" s="19">
        <f>IF($A37="","",COUNTIFS('PINDAH AGAMA'!$C$2:$C$1001,$A37,'PINDAH AGAMA'!$D$2:$D$1001,"&gt;="&amp;DATE(2026,1,1),'PINDAH AGAMA'!$D$2:$D$1001,"&lt;="&amp;DATE(2026,12,31)))</f>
        <v/>
      </c>
      <c r="L37" s="19">
        <f>IF($A37="","",D37+E37+F37+G37-H37-I37-J37-K37)</f>
        <v/>
      </c>
      <c r="M37" s="19">
        <f>IF($A37="","",COUNTIFS('KOMUNI PERTAMA'!$C$2:$C$1001,$A37,'KOMUNI PERTAMA'!$E$2:$E$1001,"&gt;="&amp;DATE(2026,1,1),'KOMUNI PERTAMA'!$E$2:$E$1001,"&lt;="&amp;DATE(2026,12,31)))</f>
        <v/>
      </c>
      <c r="N37" s="19">
        <f>IF($A37="","",COUNTIFS('PERKAWINAN GEREJANI'!$C$2:$C$1001,$A37,'PERKAWINAN GEREJANI'!$D$2:$D$1001,"&gt;="&amp;DATE(2026,1,1),'PERKAWINAN GEREJANI'!$D$2:$D$1001,"&lt;="&amp;DATE(2026,12,31)))</f>
        <v/>
      </c>
      <c r="O37" s="19">
        <f>IF($A37="","",COUNTIFS(PEMBUBARAN!$C$2:$C$1001,$A37,PEMBUBARAN!$D$2:$D$1001,"&gt;="&amp;DATE(2026,1,1),PEMBUBARAN!$D$2:$D$1001,"&lt;="&amp;DATE(2026,12,31)))</f>
        <v/>
      </c>
      <c r="P37" s="19">
        <f>IF($A37="","",COUNTIFS('PERMINYAKAN SUCI'!$C$2:$C$1001,$A37,'PERMINYAKAN SUCI'!$E$2:$E$1001,"&gt;="&amp;DATE(2026,1,1),'PERMINYAKAN SUCI'!$E$2:$E$1001,"&lt;="&amp;DATE(2026,12,31)))</f>
        <v/>
      </c>
      <c r="Q37" s="19">
        <f>IF($A37="","",H37)</f>
        <v/>
      </c>
      <c r="R37" s="19">
        <f>IF($A37="","",COUNTIFS('SEMINARI BIARA'!$C$2:$C$1001,$A37,'SEMINARI BIARA'!$F$2:$F$1001,"Mulai masuk 2026",'SEMINARI BIARA'!$G$2:$G$1001,"&gt;="&amp;DATE(2026,1,1),'SEMINARI BIARA'!$G$2:$G$1001,"&lt;="&amp;DATE(2026,12,31)))</f>
        <v/>
      </c>
      <c r="S37" s="19">
        <f>IF($A37="","",COUNTIFS('SEMINARI BIARA'!$C$2:$C$1001,$A37,'SEMINARI BIARA'!$F$2:$F$1001,"Sedang belajar 2026"))</f>
        <v/>
      </c>
    </row>
    <row r="38" ht="14.25" customHeight="1" s="38">
      <c r="A38" s="18" t="n"/>
      <c r="B38" s="19">
        <f>IF($A38="","",COUNTIF('DATA KK'!$E$2:$E$501,$A38))</f>
        <v/>
      </c>
      <c r="C38" s="19">
        <f>IF($A38="","",COUNTIF('DATA UMAT'!$H$2:$H$2001,$A38))</f>
        <v/>
      </c>
      <c r="D38" s="19">
        <f>IF($A38="","",COUNTIFS(BAPTIS!$C$2:$C$1001,$A38,BAPTIS!$F$2:$F$1001,"&gt;="&amp;DATE(2026,1,1),BAPTIS!$F$2:$F$1001,"&lt;="&amp;DATE(2026,12,31)))</f>
        <v/>
      </c>
      <c r="E38" s="19">
        <f>IF($A38="","",COUNTIFS('DITERIMA MASUK'!$C$2:$C$1001,$A38,'DITERIMA MASUK'!$D$2:$D$1001,"&gt;="&amp;DATE(2026,1,1),'DITERIMA MASUK'!$D$2:$D$1001,"&lt;="&amp;DATE(2026,12,31)))</f>
        <v/>
      </c>
      <c r="F38" s="19">
        <f>IF($A38="","",COUNTIFS(MUTASI!$C$2:$C$1001,$A38,MUTASI!$D$2:$D$1001,"Masuk",MUTASI!$F$2:$F$1001,"Paroki lain dalam keuskupan",MUTASI!$E$2:$E$1001,"&gt;="&amp;DATE(2026,1,1),MUTASI!$E$2:$E$1001,"&lt;="&amp;DATE(2026,12,31)))</f>
        <v/>
      </c>
      <c r="G38" s="19">
        <f>IF($A38="","",COUNTIFS(MUTASI!$C$2:$C$1001,$A38,MUTASI!$D$2:$D$1001,"Masuk",MUTASI!$F$2:$F$1001,"Keuskupan lain",MUTASI!$E$2:$E$1001,"&gt;="&amp;DATE(2026,1,1),MUTASI!$E$2:$E$1001,"&lt;="&amp;DATE(2026,12,31)))</f>
        <v/>
      </c>
      <c r="H38" s="19">
        <f>IF($A38="","",COUNTIFS(KEMATIAN!$C$2:$C$1001,$A38,KEMATIAN!$F$2:$F$1001,"&gt;="&amp;DATE(2026,1,1),KEMATIAN!$F$2:$F$1001,"&lt;="&amp;DATE(2026,12,31)))</f>
        <v/>
      </c>
      <c r="I38" s="19">
        <f>IF($A38="","",COUNTIFS(MUTASI!$C$2:$C$1001,$A38,MUTASI!$D$2:$D$1001,"Keluar",MUTASI!$F$2:$F$1001,"Paroki lain dalam keuskupan",MUTASI!$E$2:$E$1001,"&gt;="&amp;DATE(2026,1,1),MUTASI!$E$2:$E$1001,"&lt;="&amp;DATE(2026,12,31)))</f>
        <v/>
      </c>
      <c r="J38" s="19">
        <f>IF($A38="","",COUNTIFS(MUTASI!$C$2:$C$1001,$A38,MUTASI!$D$2:$D$1001,"Keluar",MUTASI!$F$2:$F$1001,"Keuskupan lain",MUTASI!$E$2:$E$1001,"&gt;="&amp;DATE(2026,1,1),MUTASI!$E$2:$E$1001,"&lt;="&amp;DATE(2026,12,31)))</f>
        <v/>
      </c>
      <c r="K38" s="19">
        <f>IF($A38="","",COUNTIFS('PINDAH AGAMA'!$C$2:$C$1001,$A38,'PINDAH AGAMA'!$D$2:$D$1001,"&gt;="&amp;DATE(2026,1,1),'PINDAH AGAMA'!$D$2:$D$1001,"&lt;="&amp;DATE(2026,12,31)))</f>
        <v/>
      </c>
      <c r="L38" s="19">
        <f>IF($A38="","",D38+E38+F38+G38-H38-I38-J38-K38)</f>
        <v/>
      </c>
      <c r="M38" s="19">
        <f>IF($A38="","",COUNTIFS('KOMUNI PERTAMA'!$C$2:$C$1001,$A38,'KOMUNI PERTAMA'!$E$2:$E$1001,"&gt;="&amp;DATE(2026,1,1),'KOMUNI PERTAMA'!$E$2:$E$1001,"&lt;="&amp;DATE(2026,12,31)))</f>
        <v/>
      </c>
      <c r="N38" s="19">
        <f>IF($A38="","",COUNTIFS('PERKAWINAN GEREJANI'!$C$2:$C$1001,$A38,'PERKAWINAN GEREJANI'!$D$2:$D$1001,"&gt;="&amp;DATE(2026,1,1),'PERKAWINAN GEREJANI'!$D$2:$D$1001,"&lt;="&amp;DATE(2026,12,31)))</f>
        <v/>
      </c>
      <c r="O38" s="19">
        <f>IF($A38="","",COUNTIFS(PEMBUBARAN!$C$2:$C$1001,$A38,PEMBUBARAN!$D$2:$D$1001,"&gt;="&amp;DATE(2026,1,1),PEMBUBARAN!$D$2:$D$1001,"&lt;="&amp;DATE(2026,12,31)))</f>
        <v/>
      </c>
      <c r="P38" s="19">
        <f>IF($A38="","",COUNTIFS('PERMINYAKAN SUCI'!$C$2:$C$1001,$A38,'PERMINYAKAN SUCI'!$E$2:$E$1001,"&gt;="&amp;DATE(2026,1,1),'PERMINYAKAN SUCI'!$E$2:$E$1001,"&lt;="&amp;DATE(2026,12,31)))</f>
        <v/>
      </c>
      <c r="Q38" s="19">
        <f>IF($A38="","",H38)</f>
        <v/>
      </c>
      <c r="R38" s="19">
        <f>IF($A38="","",COUNTIFS('SEMINARI BIARA'!$C$2:$C$1001,$A38,'SEMINARI BIARA'!$F$2:$F$1001,"Mulai masuk 2026",'SEMINARI BIARA'!$G$2:$G$1001,"&gt;="&amp;DATE(2026,1,1),'SEMINARI BIARA'!$G$2:$G$1001,"&lt;="&amp;DATE(2026,12,31)))</f>
        <v/>
      </c>
      <c r="S38" s="19">
        <f>IF($A38="","",COUNTIFS('SEMINARI BIARA'!$C$2:$C$1001,$A38,'SEMINARI BIARA'!$F$2:$F$1001,"Sedang belajar 2026"))</f>
        <v/>
      </c>
    </row>
    <row r="39" ht="14.25" customHeight="1" s="38">
      <c r="A39" s="18" t="n"/>
      <c r="B39" s="19">
        <f>IF($A39="","",COUNTIF('DATA KK'!$E$2:$E$501,$A39))</f>
        <v/>
      </c>
      <c r="C39" s="19">
        <f>IF($A39="","",COUNTIF('DATA UMAT'!$H$2:$H$2001,$A39))</f>
        <v/>
      </c>
      <c r="D39" s="19">
        <f>IF($A39="","",COUNTIFS(BAPTIS!$C$2:$C$1001,$A39,BAPTIS!$F$2:$F$1001,"&gt;="&amp;DATE(2026,1,1),BAPTIS!$F$2:$F$1001,"&lt;="&amp;DATE(2026,12,31)))</f>
        <v/>
      </c>
      <c r="E39" s="19">
        <f>IF($A39="","",COUNTIFS('DITERIMA MASUK'!$C$2:$C$1001,$A39,'DITERIMA MASUK'!$D$2:$D$1001,"&gt;="&amp;DATE(2026,1,1),'DITERIMA MASUK'!$D$2:$D$1001,"&lt;="&amp;DATE(2026,12,31)))</f>
        <v/>
      </c>
      <c r="F39" s="19">
        <f>IF($A39="","",COUNTIFS(MUTASI!$C$2:$C$1001,$A39,MUTASI!$D$2:$D$1001,"Masuk",MUTASI!$F$2:$F$1001,"Paroki lain dalam keuskupan",MUTASI!$E$2:$E$1001,"&gt;="&amp;DATE(2026,1,1),MUTASI!$E$2:$E$1001,"&lt;="&amp;DATE(2026,12,31)))</f>
        <v/>
      </c>
      <c r="G39" s="19">
        <f>IF($A39="","",COUNTIFS(MUTASI!$C$2:$C$1001,$A39,MUTASI!$D$2:$D$1001,"Masuk",MUTASI!$F$2:$F$1001,"Keuskupan lain",MUTASI!$E$2:$E$1001,"&gt;="&amp;DATE(2026,1,1),MUTASI!$E$2:$E$1001,"&lt;="&amp;DATE(2026,12,31)))</f>
        <v/>
      </c>
      <c r="H39" s="19">
        <f>IF($A39="","",COUNTIFS(KEMATIAN!$C$2:$C$1001,$A39,KEMATIAN!$F$2:$F$1001,"&gt;="&amp;DATE(2026,1,1),KEMATIAN!$F$2:$F$1001,"&lt;="&amp;DATE(2026,12,31)))</f>
        <v/>
      </c>
      <c r="I39" s="19">
        <f>IF($A39="","",COUNTIFS(MUTASI!$C$2:$C$1001,$A39,MUTASI!$D$2:$D$1001,"Keluar",MUTASI!$F$2:$F$1001,"Paroki lain dalam keuskupan",MUTASI!$E$2:$E$1001,"&gt;="&amp;DATE(2026,1,1),MUTASI!$E$2:$E$1001,"&lt;="&amp;DATE(2026,12,31)))</f>
        <v/>
      </c>
      <c r="J39" s="19">
        <f>IF($A39="","",COUNTIFS(MUTASI!$C$2:$C$1001,$A39,MUTASI!$D$2:$D$1001,"Keluar",MUTASI!$F$2:$F$1001,"Keuskupan lain",MUTASI!$E$2:$E$1001,"&gt;="&amp;DATE(2026,1,1),MUTASI!$E$2:$E$1001,"&lt;="&amp;DATE(2026,12,31)))</f>
        <v/>
      </c>
      <c r="K39" s="19">
        <f>IF($A39="","",COUNTIFS('PINDAH AGAMA'!$C$2:$C$1001,$A39,'PINDAH AGAMA'!$D$2:$D$1001,"&gt;="&amp;DATE(2026,1,1),'PINDAH AGAMA'!$D$2:$D$1001,"&lt;="&amp;DATE(2026,12,31)))</f>
        <v/>
      </c>
      <c r="L39" s="19">
        <f>IF($A39="","",D39+E39+F39+G39-H39-I39-J39-K39)</f>
        <v/>
      </c>
      <c r="M39" s="19">
        <f>IF($A39="","",COUNTIFS('KOMUNI PERTAMA'!$C$2:$C$1001,$A39,'KOMUNI PERTAMA'!$E$2:$E$1001,"&gt;="&amp;DATE(2026,1,1),'KOMUNI PERTAMA'!$E$2:$E$1001,"&lt;="&amp;DATE(2026,12,31)))</f>
        <v/>
      </c>
      <c r="N39" s="19">
        <f>IF($A39="","",COUNTIFS('PERKAWINAN GEREJANI'!$C$2:$C$1001,$A39,'PERKAWINAN GEREJANI'!$D$2:$D$1001,"&gt;="&amp;DATE(2026,1,1),'PERKAWINAN GEREJANI'!$D$2:$D$1001,"&lt;="&amp;DATE(2026,12,31)))</f>
        <v/>
      </c>
      <c r="O39" s="19">
        <f>IF($A39="","",COUNTIFS(PEMBUBARAN!$C$2:$C$1001,$A39,PEMBUBARAN!$D$2:$D$1001,"&gt;="&amp;DATE(2026,1,1),PEMBUBARAN!$D$2:$D$1001,"&lt;="&amp;DATE(2026,12,31)))</f>
        <v/>
      </c>
      <c r="P39" s="19">
        <f>IF($A39="","",COUNTIFS('PERMINYAKAN SUCI'!$C$2:$C$1001,$A39,'PERMINYAKAN SUCI'!$E$2:$E$1001,"&gt;="&amp;DATE(2026,1,1),'PERMINYAKAN SUCI'!$E$2:$E$1001,"&lt;="&amp;DATE(2026,12,31)))</f>
        <v/>
      </c>
      <c r="Q39" s="19">
        <f>IF($A39="","",H39)</f>
        <v/>
      </c>
      <c r="R39" s="19">
        <f>IF($A39="","",COUNTIFS('SEMINARI BIARA'!$C$2:$C$1001,$A39,'SEMINARI BIARA'!$F$2:$F$1001,"Mulai masuk 2026",'SEMINARI BIARA'!$G$2:$G$1001,"&gt;="&amp;DATE(2026,1,1),'SEMINARI BIARA'!$G$2:$G$1001,"&lt;="&amp;DATE(2026,12,31)))</f>
        <v/>
      </c>
      <c r="S39" s="19">
        <f>IF($A39="","",COUNTIFS('SEMINARI BIARA'!$C$2:$C$1001,$A39,'SEMINARI BIARA'!$F$2:$F$1001,"Sedang belajar 2026"))</f>
        <v/>
      </c>
    </row>
    <row r="40" ht="14.25" customHeight="1" s="38">
      <c r="A40" s="18" t="n"/>
      <c r="B40" s="19">
        <f>IF($A40="","",COUNTIF('DATA KK'!$E$2:$E$501,$A40))</f>
        <v/>
      </c>
      <c r="C40" s="19">
        <f>IF($A40="","",COUNTIF('DATA UMAT'!$H$2:$H$2001,$A40))</f>
        <v/>
      </c>
      <c r="D40" s="19">
        <f>IF($A40="","",COUNTIFS(BAPTIS!$C$2:$C$1001,$A40,BAPTIS!$F$2:$F$1001,"&gt;="&amp;DATE(2026,1,1),BAPTIS!$F$2:$F$1001,"&lt;="&amp;DATE(2026,12,31)))</f>
        <v/>
      </c>
      <c r="E40" s="19">
        <f>IF($A40="","",COUNTIFS('DITERIMA MASUK'!$C$2:$C$1001,$A40,'DITERIMA MASUK'!$D$2:$D$1001,"&gt;="&amp;DATE(2026,1,1),'DITERIMA MASUK'!$D$2:$D$1001,"&lt;="&amp;DATE(2026,12,31)))</f>
        <v/>
      </c>
      <c r="F40" s="19">
        <f>IF($A40="","",COUNTIFS(MUTASI!$C$2:$C$1001,$A40,MUTASI!$D$2:$D$1001,"Masuk",MUTASI!$F$2:$F$1001,"Paroki lain dalam keuskupan",MUTASI!$E$2:$E$1001,"&gt;="&amp;DATE(2026,1,1),MUTASI!$E$2:$E$1001,"&lt;="&amp;DATE(2026,12,31)))</f>
        <v/>
      </c>
      <c r="G40" s="19">
        <f>IF($A40="","",COUNTIFS(MUTASI!$C$2:$C$1001,$A40,MUTASI!$D$2:$D$1001,"Masuk",MUTASI!$F$2:$F$1001,"Keuskupan lain",MUTASI!$E$2:$E$1001,"&gt;="&amp;DATE(2026,1,1),MUTASI!$E$2:$E$1001,"&lt;="&amp;DATE(2026,12,31)))</f>
        <v/>
      </c>
      <c r="H40" s="19">
        <f>IF($A40="","",COUNTIFS(KEMATIAN!$C$2:$C$1001,$A40,KEMATIAN!$F$2:$F$1001,"&gt;="&amp;DATE(2026,1,1),KEMATIAN!$F$2:$F$1001,"&lt;="&amp;DATE(2026,12,31)))</f>
        <v/>
      </c>
      <c r="I40" s="19">
        <f>IF($A40="","",COUNTIFS(MUTASI!$C$2:$C$1001,$A40,MUTASI!$D$2:$D$1001,"Keluar",MUTASI!$F$2:$F$1001,"Paroki lain dalam keuskupan",MUTASI!$E$2:$E$1001,"&gt;="&amp;DATE(2026,1,1),MUTASI!$E$2:$E$1001,"&lt;="&amp;DATE(2026,12,31)))</f>
        <v/>
      </c>
      <c r="J40" s="19">
        <f>IF($A40="","",COUNTIFS(MUTASI!$C$2:$C$1001,$A40,MUTASI!$D$2:$D$1001,"Keluar",MUTASI!$F$2:$F$1001,"Keuskupan lain",MUTASI!$E$2:$E$1001,"&gt;="&amp;DATE(2026,1,1),MUTASI!$E$2:$E$1001,"&lt;="&amp;DATE(2026,12,31)))</f>
        <v/>
      </c>
      <c r="K40" s="19">
        <f>IF($A40="","",COUNTIFS('PINDAH AGAMA'!$C$2:$C$1001,$A40,'PINDAH AGAMA'!$D$2:$D$1001,"&gt;="&amp;DATE(2026,1,1),'PINDAH AGAMA'!$D$2:$D$1001,"&lt;="&amp;DATE(2026,12,31)))</f>
        <v/>
      </c>
      <c r="L40" s="19">
        <f>IF($A40="","",D40+E40+F40+G40-H40-I40-J40-K40)</f>
        <v/>
      </c>
      <c r="M40" s="19">
        <f>IF($A40="","",COUNTIFS('KOMUNI PERTAMA'!$C$2:$C$1001,$A40,'KOMUNI PERTAMA'!$E$2:$E$1001,"&gt;="&amp;DATE(2026,1,1),'KOMUNI PERTAMA'!$E$2:$E$1001,"&lt;="&amp;DATE(2026,12,31)))</f>
        <v/>
      </c>
      <c r="N40" s="19">
        <f>IF($A40="","",COUNTIFS('PERKAWINAN GEREJANI'!$C$2:$C$1001,$A40,'PERKAWINAN GEREJANI'!$D$2:$D$1001,"&gt;="&amp;DATE(2026,1,1),'PERKAWINAN GEREJANI'!$D$2:$D$1001,"&lt;="&amp;DATE(2026,12,31)))</f>
        <v/>
      </c>
      <c r="O40" s="19">
        <f>IF($A40="","",COUNTIFS(PEMBUBARAN!$C$2:$C$1001,$A40,PEMBUBARAN!$D$2:$D$1001,"&gt;="&amp;DATE(2026,1,1),PEMBUBARAN!$D$2:$D$1001,"&lt;="&amp;DATE(2026,12,31)))</f>
        <v/>
      </c>
      <c r="P40" s="19">
        <f>IF($A40="","",COUNTIFS('PERMINYAKAN SUCI'!$C$2:$C$1001,$A40,'PERMINYAKAN SUCI'!$E$2:$E$1001,"&gt;="&amp;DATE(2026,1,1),'PERMINYAKAN SUCI'!$E$2:$E$1001,"&lt;="&amp;DATE(2026,12,31)))</f>
        <v/>
      </c>
      <c r="Q40" s="19">
        <f>IF($A40="","",H40)</f>
        <v/>
      </c>
      <c r="R40" s="19">
        <f>IF($A40="","",COUNTIFS('SEMINARI BIARA'!$C$2:$C$1001,$A40,'SEMINARI BIARA'!$F$2:$F$1001,"Mulai masuk 2026",'SEMINARI BIARA'!$G$2:$G$1001,"&gt;="&amp;DATE(2026,1,1),'SEMINARI BIARA'!$G$2:$G$1001,"&lt;="&amp;DATE(2026,12,31)))</f>
        <v/>
      </c>
      <c r="S40" s="19">
        <f>IF($A40="","",COUNTIFS('SEMINARI BIARA'!$C$2:$C$1001,$A40,'SEMINARI BIARA'!$F$2:$F$1001,"Sedang belajar 2026"))</f>
        <v/>
      </c>
    </row>
    <row r="41" ht="14.25" customHeight="1" s="38">
      <c r="A41" s="18" t="n"/>
      <c r="B41" s="19">
        <f>IF($A41="","",COUNTIF('DATA KK'!$E$2:$E$501,$A41))</f>
        <v/>
      </c>
      <c r="C41" s="19">
        <f>IF($A41="","",COUNTIF('DATA UMAT'!$H$2:$H$2001,$A41))</f>
        <v/>
      </c>
      <c r="D41" s="19">
        <f>IF($A41="","",COUNTIFS(BAPTIS!$C$2:$C$1001,$A41,BAPTIS!$F$2:$F$1001,"&gt;="&amp;DATE(2026,1,1),BAPTIS!$F$2:$F$1001,"&lt;="&amp;DATE(2026,12,31)))</f>
        <v/>
      </c>
      <c r="E41" s="19">
        <f>IF($A41="","",COUNTIFS('DITERIMA MASUK'!$C$2:$C$1001,$A41,'DITERIMA MASUK'!$D$2:$D$1001,"&gt;="&amp;DATE(2026,1,1),'DITERIMA MASUK'!$D$2:$D$1001,"&lt;="&amp;DATE(2026,12,31)))</f>
        <v/>
      </c>
      <c r="F41" s="19">
        <f>IF($A41="","",COUNTIFS(MUTASI!$C$2:$C$1001,$A41,MUTASI!$D$2:$D$1001,"Masuk",MUTASI!$F$2:$F$1001,"Paroki lain dalam keuskupan",MUTASI!$E$2:$E$1001,"&gt;="&amp;DATE(2026,1,1),MUTASI!$E$2:$E$1001,"&lt;="&amp;DATE(2026,12,31)))</f>
        <v/>
      </c>
      <c r="G41" s="19">
        <f>IF($A41="","",COUNTIFS(MUTASI!$C$2:$C$1001,$A41,MUTASI!$D$2:$D$1001,"Masuk",MUTASI!$F$2:$F$1001,"Keuskupan lain",MUTASI!$E$2:$E$1001,"&gt;="&amp;DATE(2026,1,1),MUTASI!$E$2:$E$1001,"&lt;="&amp;DATE(2026,12,31)))</f>
        <v/>
      </c>
      <c r="H41" s="19">
        <f>IF($A41="","",COUNTIFS(KEMATIAN!$C$2:$C$1001,$A41,KEMATIAN!$F$2:$F$1001,"&gt;="&amp;DATE(2026,1,1),KEMATIAN!$F$2:$F$1001,"&lt;="&amp;DATE(2026,12,31)))</f>
        <v/>
      </c>
      <c r="I41" s="19">
        <f>IF($A41="","",COUNTIFS(MUTASI!$C$2:$C$1001,$A41,MUTASI!$D$2:$D$1001,"Keluar",MUTASI!$F$2:$F$1001,"Paroki lain dalam keuskupan",MUTASI!$E$2:$E$1001,"&gt;="&amp;DATE(2026,1,1),MUTASI!$E$2:$E$1001,"&lt;="&amp;DATE(2026,12,31)))</f>
        <v/>
      </c>
      <c r="J41" s="19">
        <f>IF($A41="","",COUNTIFS(MUTASI!$C$2:$C$1001,$A41,MUTASI!$D$2:$D$1001,"Keluar",MUTASI!$F$2:$F$1001,"Keuskupan lain",MUTASI!$E$2:$E$1001,"&gt;="&amp;DATE(2026,1,1),MUTASI!$E$2:$E$1001,"&lt;="&amp;DATE(2026,12,31)))</f>
        <v/>
      </c>
      <c r="K41" s="19">
        <f>IF($A41="","",COUNTIFS('PINDAH AGAMA'!$C$2:$C$1001,$A41,'PINDAH AGAMA'!$D$2:$D$1001,"&gt;="&amp;DATE(2026,1,1),'PINDAH AGAMA'!$D$2:$D$1001,"&lt;="&amp;DATE(2026,12,31)))</f>
        <v/>
      </c>
      <c r="L41" s="19">
        <f>IF($A41="","",D41+E41+F41+G41-H41-I41-J41-K41)</f>
        <v/>
      </c>
      <c r="M41" s="19">
        <f>IF($A41="","",COUNTIFS('KOMUNI PERTAMA'!$C$2:$C$1001,$A41,'KOMUNI PERTAMA'!$E$2:$E$1001,"&gt;="&amp;DATE(2026,1,1),'KOMUNI PERTAMA'!$E$2:$E$1001,"&lt;="&amp;DATE(2026,12,31)))</f>
        <v/>
      </c>
      <c r="N41" s="19">
        <f>IF($A41="","",COUNTIFS('PERKAWINAN GEREJANI'!$C$2:$C$1001,$A41,'PERKAWINAN GEREJANI'!$D$2:$D$1001,"&gt;="&amp;DATE(2026,1,1),'PERKAWINAN GEREJANI'!$D$2:$D$1001,"&lt;="&amp;DATE(2026,12,31)))</f>
        <v/>
      </c>
      <c r="O41" s="19">
        <f>IF($A41="","",COUNTIFS(PEMBUBARAN!$C$2:$C$1001,$A41,PEMBUBARAN!$D$2:$D$1001,"&gt;="&amp;DATE(2026,1,1),PEMBUBARAN!$D$2:$D$1001,"&lt;="&amp;DATE(2026,12,31)))</f>
        <v/>
      </c>
      <c r="P41" s="19">
        <f>IF($A41="","",COUNTIFS('PERMINYAKAN SUCI'!$C$2:$C$1001,$A41,'PERMINYAKAN SUCI'!$E$2:$E$1001,"&gt;="&amp;DATE(2026,1,1),'PERMINYAKAN SUCI'!$E$2:$E$1001,"&lt;="&amp;DATE(2026,12,31)))</f>
        <v/>
      </c>
      <c r="Q41" s="19">
        <f>IF($A41="","",H41)</f>
        <v/>
      </c>
      <c r="R41" s="19">
        <f>IF($A41="","",COUNTIFS('SEMINARI BIARA'!$C$2:$C$1001,$A41,'SEMINARI BIARA'!$F$2:$F$1001,"Mulai masuk 2026",'SEMINARI BIARA'!$G$2:$G$1001,"&gt;="&amp;DATE(2026,1,1),'SEMINARI BIARA'!$G$2:$G$1001,"&lt;="&amp;DATE(2026,12,31)))</f>
        <v/>
      </c>
      <c r="S41" s="19">
        <f>IF($A41="","",COUNTIFS('SEMINARI BIARA'!$C$2:$C$1001,$A41,'SEMINARI BIARA'!$F$2:$F$1001,"Sedang belajar 2026"))</f>
        <v/>
      </c>
    </row>
    <row r="42" ht="14.25" customHeight="1" s="38">
      <c r="A42" s="18" t="n"/>
      <c r="B42" s="19">
        <f>IF($A42="","",COUNTIF('DATA KK'!$E$2:$E$501,$A42))</f>
        <v/>
      </c>
      <c r="C42" s="19">
        <f>IF($A42="","",COUNTIF('DATA UMAT'!$H$2:$H$2001,$A42))</f>
        <v/>
      </c>
      <c r="D42" s="19">
        <f>IF($A42="","",COUNTIFS(BAPTIS!$C$2:$C$1001,$A42,BAPTIS!$F$2:$F$1001,"&gt;="&amp;DATE(2026,1,1),BAPTIS!$F$2:$F$1001,"&lt;="&amp;DATE(2026,12,31)))</f>
        <v/>
      </c>
      <c r="E42" s="19">
        <f>IF($A42="","",COUNTIFS('DITERIMA MASUK'!$C$2:$C$1001,$A42,'DITERIMA MASUK'!$D$2:$D$1001,"&gt;="&amp;DATE(2026,1,1),'DITERIMA MASUK'!$D$2:$D$1001,"&lt;="&amp;DATE(2026,12,31)))</f>
        <v/>
      </c>
      <c r="F42" s="19">
        <f>IF($A42="","",COUNTIFS(MUTASI!$C$2:$C$1001,$A42,MUTASI!$D$2:$D$1001,"Masuk",MUTASI!$F$2:$F$1001,"Paroki lain dalam keuskupan",MUTASI!$E$2:$E$1001,"&gt;="&amp;DATE(2026,1,1),MUTASI!$E$2:$E$1001,"&lt;="&amp;DATE(2026,12,31)))</f>
        <v/>
      </c>
      <c r="G42" s="19">
        <f>IF($A42="","",COUNTIFS(MUTASI!$C$2:$C$1001,$A42,MUTASI!$D$2:$D$1001,"Masuk",MUTASI!$F$2:$F$1001,"Keuskupan lain",MUTASI!$E$2:$E$1001,"&gt;="&amp;DATE(2026,1,1),MUTASI!$E$2:$E$1001,"&lt;="&amp;DATE(2026,12,31)))</f>
        <v/>
      </c>
      <c r="H42" s="19">
        <f>IF($A42="","",COUNTIFS(KEMATIAN!$C$2:$C$1001,$A42,KEMATIAN!$F$2:$F$1001,"&gt;="&amp;DATE(2026,1,1),KEMATIAN!$F$2:$F$1001,"&lt;="&amp;DATE(2026,12,31)))</f>
        <v/>
      </c>
      <c r="I42" s="19">
        <f>IF($A42="","",COUNTIFS(MUTASI!$C$2:$C$1001,$A42,MUTASI!$D$2:$D$1001,"Keluar",MUTASI!$F$2:$F$1001,"Paroki lain dalam keuskupan",MUTASI!$E$2:$E$1001,"&gt;="&amp;DATE(2026,1,1),MUTASI!$E$2:$E$1001,"&lt;="&amp;DATE(2026,12,31)))</f>
        <v/>
      </c>
      <c r="J42" s="19">
        <f>IF($A42="","",COUNTIFS(MUTASI!$C$2:$C$1001,$A42,MUTASI!$D$2:$D$1001,"Keluar",MUTASI!$F$2:$F$1001,"Keuskupan lain",MUTASI!$E$2:$E$1001,"&gt;="&amp;DATE(2026,1,1),MUTASI!$E$2:$E$1001,"&lt;="&amp;DATE(2026,12,31)))</f>
        <v/>
      </c>
      <c r="K42" s="19">
        <f>IF($A42="","",COUNTIFS('PINDAH AGAMA'!$C$2:$C$1001,$A42,'PINDAH AGAMA'!$D$2:$D$1001,"&gt;="&amp;DATE(2026,1,1),'PINDAH AGAMA'!$D$2:$D$1001,"&lt;="&amp;DATE(2026,12,31)))</f>
        <v/>
      </c>
      <c r="L42" s="19">
        <f>IF($A42="","",D42+E42+F42+G42-H42-I42-J42-K42)</f>
        <v/>
      </c>
      <c r="M42" s="19">
        <f>IF($A42="","",COUNTIFS('KOMUNI PERTAMA'!$C$2:$C$1001,$A42,'KOMUNI PERTAMA'!$E$2:$E$1001,"&gt;="&amp;DATE(2026,1,1),'KOMUNI PERTAMA'!$E$2:$E$1001,"&lt;="&amp;DATE(2026,12,31)))</f>
        <v/>
      </c>
      <c r="N42" s="19">
        <f>IF($A42="","",COUNTIFS('PERKAWINAN GEREJANI'!$C$2:$C$1001,$A42,'PERKAWINAN GEREJANI'!$D$2:$D$1001,"&gt;="&amp;DATE(2026,1,1),'PERKAWINAN GEREJANI'!$D$2:$D$1001,"&lt;="&amp;DATE(2026,12,31)))</f>
        <v/>
      </c>
      <c r="O42" s="19">
        <f>IF($A42="","",COUNTIFS(PEMBUBARAN!$C$2:$C$1001,$A42,PEMBUBARAN!$D$2:$D$1001,"&gt;="&amp;DATE(2026,1,1),PEMBUBARAN!$D$2:$D$1001,"&lt;="&amp;DATE(2026,12,31)))</f>
        <v/>
      </c>
      <c r="P42" s="19">
        <f>IF($A42="","",COUNTIFS('PERMINYAKAN SUCI'!$C$2:$C$1001,$A42,'PERMINYAKAN SUCI'!$E$2:$E$1001,"&gt;="&amp;DATE(2026,1,1),'PERMINYAKAN SUCI'!$E$2:$E$1001,"&lt;="&amp;DATE(2026,12,31)))</f>
        <v/>
      </c>
      <c r="Q42" s="19">
        <f>IF($A42="","",H42)</f>
        <v/>
      </c>
      <c r="R42" s="19">
        <f>IF($A42="","",COUNTIFS('SEMINARI BIARA'!$C$2:$C$1001,$A42,'SEMINARI BIARA'!$F$2:$F$1001,"Mulai masuk 2026",'SEMINARI BIARA'!$G$2:$G$1001,"&gt;="&amp;DATE(2026,1,1),'SEMINARI BIARA'!$G$2:$G$1001,"&lt;="&amp;DATE(2026,12,31)))</f>
        <v/>
      </c>
      <c r="S42" s="19">
        <f>IF($A42="","",COUNTIFS('SEMINARI BIARA'!$C$2:$C$1001,$A42,'SEMINARI BIARA'!$F$2:$F$1001,"Sedang belajar 2026"))</f>
        <v/>
      </c>
    </row>
    <row r="43" ht="14.25" customHeight="1" s="38">
      <c r="A43" s="18" t="n"/>
      <c r="B43" s="19">
        <f>IF($A43="","",COUNTIF('DATA KK'!$E$2:$E$501,$A43))</f>
        <v/>
      </c>
      <c r="C43" s="19">
        <f>IF($A43="","",COUNTIF('DATA UMAT'!$H$2:$H$2001,$A43))</f>
        <v/>
      </c>
      <c r="D43" s="19">
        <f>IF($A43="","",COUNTIFS(BAPTIS!$C$2:$C$1001,$A43,BAPTIS!$F$2:$F$1001,"&gt;="&amp;DATE(2026,1,1),BAPTIS!$F$2:$F$1001,"&lt;="&amp;DATE(2026,12,31)))</f>
        <v/>
      </c>
      <c r="E43" s="19">
        <f>IF($A43="","",COUNTIFS('DITERIMA MASUK'!$C$2:$C$1001,$A43,'DITERIMA MASUK'!$D$2:$D$1001,"&gt;="&amp;DATE(2026,1,1),'DITERIMA MASUK'!$D$2:$D$1001,"&lt;="&amp;DATE(2026,12,31)))</f>
        <v/>
      </c>
      <c r="F43" s="19">
        <f>IF($A43="","",COUNTIFS(MUTASI!$C$2:$C$1001,$A43,MUTASI!$D$2:$D$1001,"Masuk",MUTASI!$F$2:$F$1001,"Paroki lain dalam keuskupan",MUTASI!$E$2:$E$1001,"&gt;="&amp;DATE(2026,1,1),MUTASI!$E$2:$E$1001,"&lt;="&amp;DATE(2026,12,31)))</f>
        <v/>
      </c>
      <c r="G43" s="19">
        <f>IF($A43="","",COUNTIFS(MUTASI!$C$2:$C$1001,$A43,MUTASI!$D$2:$D$1001,"Masuk",MUTASI!$F$2:$F$1001,"Keuskupan lain",MUTASI!$E$2:$E$1001,"&gt;="&amp;DATE(2026,1,1),MUTASI!$E$2:$E$1001,"&lt;="&amp;DATE(2026,12,31)))</f>
        <v/>
      </c>
      <c r="H43" s="19">
        <f>IF($A43="","",COUNTIFS(KEMATIAN!$C$2:$C$1001,$A43,KEMATIAN!$F$2:$F$1001,"&gt;="&amp;DATE(2026,1,1),KEMATIAN!$F$2:$F$1001,"&lt;="&amp;DATE(2026,12,31)))</f>
        <v/>
      </c>
      <c r="I43" s="19">
        <f>IF($A43="","",COUNTIFS(MUTASI!$C$2:$C$1001,$A43,MUTASI!$D$2:$D$1001,"Keluar",MUTASI!$F$2:$F$1001,"Paroki lain dalam keuskupan",MUTASI!$E$2:$E$1001,"&gt;="&amp;DATE(2026,1,1),MUTASI!$E$2:$E$1001,"&lt;="&amp;DATE(2026,12,31)))</f>
        <v/>
      </c>
      <c r="J43" s="19">
        <f>IF($A43="","",COUNTIFS(MUTASI!$C$2:$C$1001,$A43,MUTASI!$D$2:$D$1001,"Keluar",MUTASI!$F$2:$F$1001,"Keuskupan lain",MUTASI!$E$2:$E$1001,"&gt;="&amp;DATE(2026,1,1),MUTASI!$E$2:$E$1001,"&lt;="&amp;DATE(2026,12,31)))</f>
        <v/>
      </c>
      <c r="K43" s="19">
        <f>IF($A43="","",COUNTIFS('PINDAH AGAMA'!$C$2:$C$1001,$A43,'PINDAH AGAMA'!$D$2:$D$1001,"&gt;="&amp;DATE(2026,1,1),'PINDAH AGAMA'!$D$2:$D$1001,"&lt;="&amp;DATE(2026,12,31)))</f>
        <v/>
      </c>
      <c r="L43" s="19">
        <f>IF($A43="","",D43+E43+F43+G43-H43-I43-J43-K43)</f>
        <v/>
      </c>
      <c r="M43" s="19">
        <f>IF($A43="","",COUNTIFS('KOMUNI PERTAMA'!$C$2:$C$1001,$A43,'KOMUNI PERTAMA'!$E$2:$E$1001,"&gt;="&amp;DATE(2026,1,1),'KOMUNI PERTAMA'!$E$2:$E$1001,"&lt;="&amp;DATE(2026,12,31)))</f>
        <v/>
      </c>
      <c r="N43" s="19">
        <f>IF($A43="","",COUNTIFS('PERKAWINAN GEREJANI'!$C$2:$C$1001,$A43,'PERKAWINAN GEREJANI'!$D$2:$D$1001,"&gt;="&amp;DATE(2026,1,1),'PERKAWINAN GEREJANI'!$D$2:$D$1001,"&lt;="&amp;DATE(2026,12,31)))</f>
        <v/>
      </c>
      <c r="O43" s="19">
        <f>IF($A43="","",COUNTIFS(PEMBUBARAN!$C$2:$C$1001,$A43,PEMBUBARAN!$D$2:$D$1001,"&gt;="&amp;DATE(2026,1,1),PEMBUBARAN!$D$2:$D$1001,"&lt;="&amp;DATE(2026,12,31)))</f>
        <v/>
      </c>
      <c r="P43" s="19">
        <f>IF($A43="","",COUNTIFS('PERMINYAKAN SUCI'!$C$2:$C$1001,$A43,'PERMINYAKAN SUCI'!$E$2:$E$1001,"&gt;="&amp;DATE(2026,1,1),'PERMINYAKAN SUCI'!$E$2:$E$1001,"&lt;="&amp;DATE(2026,12,31)))</f>
        <v/>
      </c>
      <c r="Q43" s="19">
        <f>IF($A43="","",H43)</f>
        <v/>
      </c>
      <c r="R43" s="19">
        <f>IF($A43="","",COUNTIFS('SEMINARI BIARA'!$C$2:$C$1001,$A43,'SEMINARI BIARA'!$F$2:$F$1001,"Mulai masuk 2026",'SEMINARI BIARA'!$G$2:$G$1001,"&gt;="&amp;DATE(2026,1,1),'SEMINARI BIARA'!$G$2:$G$1001,"&lt;="&amp;DATE(2026,12,31)))</f>
        <v/>
      </c>
      <c r="S43" s="19">
        <f>IF($A43="","",COUNTIFS('SEMINARI BIARA'!$C$2:$C$1001,$A43,'SEMINARI BIARA'!$F$2:$F$1001,"Sedang belajar 2026"))</f>
        <v/>
      </c>
    </row>
    <row r="44" ht="14.25" customHeight="1" s="38">
      <c r="A44" s="18" t="n"/>
      <c r="B44" s="19">
        <f>IF($A44="","",COUNTIF('DATA KK'!$E$2:$E$501,$A44))</f>
        <v/>
      </c>
      <c r="C44" s="19">
        <f>IF($A44="","",COUNTIF('DATA UMAT'!$H$2:$H$2001,$A44))</f>
        <v/>
      </c>
      <c r="D44" s="19">
        <f>IF($A44="","",COUNTIFS(BAPTIS!$C$2:$C$1001,$A44,BAPTIS!$F$2:$F$1001,"&gt;="&amp;DATE(2026,1,1),BAPTIS!$F$2:$F$1001,"&lt;="&amp;DATE(2026,12,31)))</f>
        <v/>
      </c>
      <c r="E44" s="19">
        <f>IF($A44="","",COUNTIFS('DITERIMA MASUK'!$C$2:$C$1001,$A44,'DITERIMA MASUK'!$D$2:$D$1001,"&gt;="&amp;DATE(2026,1,1),'DITERIMA MASUK'!$D$2:$D$1001,"&lt;="&amp;DATE(2026,12,31)))</f>
        <v/>
      </c>
      <c r="F44" s="19">
        <f>IF($A44="","",COUNTIFS(MUTASI!$C$2:$C$1001,$A44,MUTASI!$D$2:$D$1001,"Masuk",MUTASI!$F$2:$F$1001,"Paroki lain dalam keuskupan",MUTASI!$E$2:$E$1001,"&gt;="&amp;DATE(2026,1,1),MUTASI!$E$2:$E$1001,"&lt;="&amp;DATE(2026,12,31)))</f>
        <v/>
      </c>
      <c r="G44" s="19">
        <f>IF($A44="","",COUNTIFS(MUTASI!$C$2:$C$1001,$A44,MUTASI!$D$2:$D$1001,"Masuk",MUTASI!$F$2:$F$1001,"Keuskupan lain",MUTASI!$E$2:$E$1001,"&gt;="&amp;DATE(2026,1,1),MUTASI!$E$2:$E$1001,"&lt;="&amp;DATE(2026,12,31)))</f>
        <v/>
      </c>
      <c r="H44" s="19">
        <f>IF($A44="","",COUNTIFS(KEMATIAN!$C$2:$C$1001,$A44,KEMATIAN!$F$2:$F$1001,"&gt;="&amp;DATE(2026,1,1),KEMATIAN!$F$2:$F$1001,"&lt;="&amp;DATE(2026,12,31)))</f>
        <v/>
      </c>
      <c r="I44" s="19">
        <f>IF($A44="","",COUNTIFS(MUTASI!$C$2:$C$1001,$A44,MUTASI!$D$2:$D$1001,"Keluar",MUTASI!$F$2:$F$1001,"Paroki lain dalam keuskupan",MUTASI!$E$2:$E$1001,"&gt;="&amp;DATE(2026,1,1),MUTASI!$E$2:$E$1001,"&lt;="&amp;DATE(2026,12,31)))</f>
        <v/>
      </c>
      <c r="J44" s="19">
        <f>IF($A44="","",COUNTIFS(MUTASI!$C$2:$C$1001,$A44,MUTASI!$D$2:$D$1001,"Keluar",MUTASI!$F$2:$F$1001,"Keuskupan lain",MUTASI!$E$2:$E$1001,"&gt;="&amp;DATE(2026,1,1),MUTASI!$E$2:$E$1001,"&lt;="&amp;DATE(2026,12,31)))</f>
        <v/>
      </c>
      <c r="K44" s="19">
        <f>IF($A44="","",COUNTIFS('PINDAH AGAMA'!$C$2:$C$1001,$A44,'PINDAH AGAMA'!$D$2:$D$1001,"&gt;="&amp;DATE(2026,1,1),'PINDAH AGAMA'!$D$2:$D$1001,"&lt;="&amp;DATE(2026,12,31)))</f>
        <v/>
      </c>
      <c r="L44" s="19">
        <f>IF($A44="","",D44+E44+F44+G44-H44-I44-J44-K44)</f>
        <v/>
      </c>
      <c r="M44" s="19">
        <f>IF($A44="","",COUNTIFS('KOMUNI PERTAMA'!$C$2:$C$1001,$A44,'KOMUNI PERTAMA'!$E$2:$E$1001,"&gt;="&amp;DATE(2026,1,1),'KOMUNI PERTAMA'!$E$2:$E$1001,"&lt;="&amp;DATE(2026,12,31)))</f>
        <v/>
      </c>
      <c r="N44" s="19">
        <f>IF($A44="","",COUNTIFS('PERKAWINAN GEREJANI'!$C$2:$C$1001,$A44,'PERKAWINAN GEREJANI'!$D$2:$D$1001,"&gt;="&amp;DATE(2026,1,1),'PERKAWINAN GEREJANI'!$D$2:$D$1001,"&lt;="&amp;DATE(2026,12,31)))</f>
        <v/>
      </c>
      <c r="O44" s="19">
        <f>IF($A44="","",COUNTIFS(PEMBUBARAN!$C$2:$C$1001,$A44,PEMBUBARAN!$D$2:$D$1001,"&gt;="&amp;DATE(2026,1,1),PEMBUBARAN!$D$2:$D$1001,"&lt;="&amp;DATE(2026,12,31)))</f>
        <v/>
      </c>
      <c r="P44" s="19">
        <f>IF($A44="","",COUNTIFS('PERMINYAKAN SUCI'!$C$2:$C$1001,$A44,'PERMINYAKAN SUCI'!$E$2:$E$1001,"&gt;="&amp;DATE(2026,1,1),'PERMINYAKAN SUCI'!$E$2:$E$1001,"&lt;="&amp;DATE(2026,12,31)))</f>
        <v/>
      </c>
      <c r="Q44" s="19">
        <f>IF($A44="","",H44)</f>
        <v/>
      </c>
      <c r="R44" s="19">
        <f>IF($A44="","",COUNTIFS('SEMINARI BIARA'!$C$2:$C$1001,$A44,'SEMINARI BIARA'!$F$2:$F$1001,"Mulai masuk 2026",'SEMINARI BIARA'!$G$2:$G$1001,"&gt;="&amp;DATE(2026,1,1),'SEMINARI BIARA'!$G$2:$G$1001,"&lt;="&amp;DATE(2026,12,31)))</f>
        <v/>
      </c>
      <c r="S44" s="19">
        <f>IF($A44="","",COUNTIFS('SEMINARI BIARA'!$C$2:$C$1001,$A44,'SEMINARI BIARA'!$F$2:$F$1001,"Sedang belajar 2026"))</f>
        <v/>
      </c>
    </row>
    <row r="45" ht="14.25" customHeight="1" s="38">
      <c r="A45" s="18" t="n"/>
      <c r="B45" s="19">
        <f>IF($A45="","",COUNTIF('DATA KK'!$E$2:$E$501,$A45))</f>
        <v/>
      </c>
      <c r="C45" s="19">
        <f>IF($A45="","",COUNTIF('DATA UMAT'!$H$2:$H$2001,$A45))</f>
        <v/>
      </c>
      <c r="D45" s="19">
        <f>IF($A45="","",COUNTIFS(BAPTIS!$C$2:$C$1001,$A45,BAPTIS!$F$2:$F$1001,"&gt;="&amp;DATE(2026,1,1),BAPTIS!$F$2:$F$1001,"&lt;="&amp;DATE(2026,12,31)))</f>
        <v/>
      </c>
      <c r="E45" s="19">
        <f>IF($A45="","",COUNTIFS('DITERIMA MASUK'!$C$2:$C$1001,$A45,'DITERIMA MASUK'!$D$2:$D$1001,"&gt;="&amp;DATE(2026,1,1),'DITERIMA MASUK'!$D$2:$D$1001,"&lt;="&amp;DATE(2026,12,31)))</f>
        <v/>
      </c>
      <c r="F45" s="19">
        <f>IF($A45="","",COUNTIFS(MUTASI!$C$2:$C$1001,$A45,MUTASI!$D$2:$D$1001,"Masuk",MUTASI!$F$2:$F$1001,"Paroki lain dalam keuskupan",MUTASI!$E$2:$E$1001,"&gt;="&amp;DATE(2026,1,1),MUTASI!$E$2:$E$1001,"&lt;="&amp;DATE(2026,12,31)))</f>
        <v/>
      </c>
      <c r="G45" s="19">
        <f>IF($A45="","",COUNTIFS(MUTASI!$C$2:$C$1001,$A45,MUTASI!$D$2:$D$1001,"Masuk",MUTASI!$F$2:$F$1001,"Keuskupan lain",MUTASI!$E$2:$E$1001,"&gt;="&amp;DATE(2026,1,1),MUTASI!$E$2:$E$1001,"&lt;="&amp;DATE(2026,12,31)))</f>
        <v/>
      </c>
      <c r="H45" s="19">
        <f>IF($A45="","",COUNTIFS(KEMATIAN!$C$2:$C$1001,$A45,KEMATIAN!$F$2:$F$1001,"&gt;="&amp;DATE(2026,1,1),KEMATIAN!$F$2:$F$1001,"&lt;="&amp;DATE(2026,12,31)))</f>
        <v/>
      </c>
      <c r="I45" s="19">
        <f>IF($A45="","",COUNTIFS(MUTASI!$C$2:$C$1001,$A45,MUTASI!$D$2:$D$1001,"Keluar",MUTASI!$F$2:$F$1001,"Paroki lain dalam keuskupan",MUTASI!$E$2:$E$1001,"&gt;="&amp;DATE(2026,1,1),MUTASI!$E$2:$E$1001,"&lt;="&amp;DATE(2026,12,31)))</f>
        <v/>
      </c>
      <c r="J45" s="19">
        <f>IF($A45="","",COUNTIFS(MUTASI!$C$2:$C$1001,$A45,MUTASI!$D$2:$D$1001,"Keluar",MUTASI!$F$2:$F$1001,"Keuskupan lain",MUTASI!$E$2:$E$1001,"&gt;="&amp;DATE(2026,1,1),MUTASI!$E$2:$E$1001,"&lt;="&amp;DATE(2026,12,31)))</f>
        <v/>
      </c>
      <c r="K45" s="19">
        <f>IF($A45="","",COUNTIFS('PINDAH AGAMA'!$C$2:$C$1001,$A45,'PINDAH AGAMA'!$D$2:$D$1001,"&gt;="&amp;DATE(2026,1,1),'PINDAH AGAMA'!$D$2:$D$1001,"&lt;="&amp;DATE(2026,12,31)))</f>
        <v/>
      </c>
      <c r="L45" s="19">
        <f>IF($A45="","",D45+E45+F45+G45-H45-I45-J45-K45)</f>
        <v/>
      </c>
      <c r="M45" s="19">
        <f>IF($A45="","",COUNTIFS('KOMUNI PERTAMA'!$C$2:$C$1001,$A45,'KOMUNI PERTAMA'!$E$2:$E$1001,"&gt;="&amp;DATE(2026,1,1),'KOMUNI PERTAMA'!$E$2:$E$1001,"&lt;="&amp;DATE(2026,12,31)))</f>
        <v/>
      </c>
      <c r="N45" s="19">
        <f>IF($A45="","",COUNTIFS('PERKAWINAN GEREJANI'!$C$2:$C$1001,$A45,'PERKAWINAN GEREJANI'!$D$2:$D$1001,"&gt;="&amp;DATE(2026,1,1),'PERKAWINAN GEREJANI'!$D$2:$D$1001,"&lt;="&amp;DATE(2026,12,31)))</f>
        <v/>
      </c>
      <c r="O45" s="19">
        <f>IF($A45="","",COUNTIFS(PEMBUBARAN!$C$2:$C$1001,$A45,PEMBUBARAN!$D$2:$D$1001,"&gt;="&amp;DATE(2026,1,1),PEMBUBARAN!$D$2:$D$1001,"&lt;="&amp;DATE(2026,12,31)))</f>
        <v/>
      </c>
      <c r="P45" s="19">
        <f>IF($A45="","",COUNTIFS('PERMINYAKAN SUCI'!$C$2:$C$1001,$A45,'PERMINYAKAN SUCI'!$E$2:$E$1001,"&gt;="&amp;DATE(2026,1,1),'PERMINYAKAN SUCI'!$E$2:$E$1001,"&lt;="&amp;DATE(2026,12,31)))</f>
        <v/>
      </c>
      <c r="Q45" s="19">
        <f>IF($A45="","",H45)</f>
        <v/>
      </c>
      <c r="R45" s="19">
        <f>IF($A45="","",COUNTIFS('SEMINARI BIARA'!$C$2:$C$1001,$A45,'SEMINARI BIARA'!$F$2:$F$1001,"Mulai masuk 2026",'SEMINARI BIARA'!$G$2:$G$1001,"&gt;="&amp;DATE(2026,1,1),'SEMINARI BIARA'!$G$2:$G$1001,"&lt;="&amp;DATE(2026,12,31)))</f>
        <v/>
      </c>
      <c r="S45" s="19">
        <f>IF($A45="","",COUNTIFS('SEMINARI BIARA'!$C$2:$C$1001,$A45,'SEMINARI BIARA'!$F$2:$F$1001,"Sedang belajar 2026"))</f>
        <v/>
      </c>
    </row>
    <row r="46" ht="14.25" customHeight="1" s="38">
      <c r="A46" s="18" t="n"/>
      <c r="B46" s="19">
        <f>IF($A46="","",COUNTIF('DATA KK'!$E$2:$E$501,$A46))</f>
        <v/>
      </c>
      <c r="C46" s="19">
        <f>IF($A46="","",COUNTIF('DATA UMAT'!$H$2:$H$2001,$A46))</f>
        <v/>
      </c>
      <c r="D46" s="19">
        <f>IF($A46="","",COUNTIFS(BAPTIS!$C$2:$C$1001,$A46,BAPTIS!$F$2:$F$1001,"&gt;="&amp;DATE(2026,1,1),BAPTIS!$F$2:$F$1001,"&lt;="&amp;DATE(2026,12,31)))</f>
        <v/>
      </c>
      <c r="E46" s="19">
        <f>IF($A46="","",COUNTIFS('DITERIMA MASUK'!$C$2:$C$1001,$A46,'DITERIMA MASUK'!$D$2:$D$1001,"&gt;="&amp;DATE(2026,1,1),'DITERIMA MASUK'!$D$2:$D$1001,"&lt;="&amp;DATE(2026,12,31)))</f>
        <v/>
      </c>
      <c r="F46" s="19">
        <f>IF($A46="","",COUNTIFS(MUTASI!$C$2:$C$1001,$A46,MUTASI!$D$2:$D$1001,"Masuk",MUTASI!$F$2:$F$1001,"Paroki lain dalam keuskupan",MUTASI!$E$2:$E$1001,"&gt;="&amp;DATE(2026,1,1),MUTASI!$E$2:$E$1001,"&lt;="&amp;DATE(2026,12,31)))</f>
        <v/>
      </c>
      <c r="G46" s="19">
        <f>IF($A46="","",COUNTIFS(MUTASI!$C$2:$C$1001,$A46,MUTASI!$D$2:$D$1001,"Masuk",MUTASI!$F$2:$F$1001,"Keuskupan lain",MUTASI!$E$2:$E$1001,"&gt;="&amp;DATE(2026,1,1),MUTASI!$E$2:$E$1001,"&lt;="&amp;DATE(2026,12,31)))</f>
        <v/>
      </c>
      <c r="H46" s="19">
        <f>IF($A46="","",COUNTIFS(KEMATIAN!$C$2:$C$1001,$A46,KEMATIAN!$F$2:$F$1001,"&gt;="&amp;DATE(2026,1,1),KEMATIAN!$F$2:$F$1001,"&lt;="&amp;DATE(2026,12,31)))</f>
        <v/>
      </c>
      <c r="I46" s="19">
        <f>IF($A46="","",COUNTIFS(MUTASI!$C$2:$C$1001,$A46,MUTASI!$D$2:$D$1001,"Keluar",MUTASI!$F$2:$F$1001,"Paroki lain dalam keuskupan",MUTASI!$E$2:$E$1001,"&gt;="&amp;DATE(2026,1,1),MUTASI!$E$2:$E$1001,"&lt;="&amp;DATE(2026,12,31)))</f>
        <v/>
      </c>
      <c r="J46" s="19">
        <f>IF($A46="","",COUNTIFS(MUTASI!$C$2:$C$1001,$A46,MUTASI!$D$2:$D$1001,"Keluar",MUTASI!$F$2:$F$1001,"Keuskupan lain",MUTASI!$E$2:$E$1001,"&gt;="&amp;DATE(2026,1,1),MUTASI!$E$2:$E$1001,"&lt;="&amp;DATE(2026,12,31)))</f>
        <v/>
      </c>
      <c r="K46" s="19">
        <f>IF($A46="","",COUNTIFS('PINDAH AGAMA'!$C$2:$C$1001,$A46,'PINDAH AGAMA'!$D$2:$D$1001,"&gt;="&amp;DATE(2026,1,1),'PINDAH AGAMA'!$D$2:$D$1001,"&lt;="&amp;DATE(2026,12,31)))</f>
        <v/>
      </c>
      <c r="L46" s="19">
        <f>IF($A46="","",D46+E46+F46+G46-H46-I46-J46-K46)</f>
        <v/>
      </c>
      <c r="M46" s="19">
        <f>IF($A46="","",COUNTIFS('KOMUNI PERTAMA'!$C$2:$C$1001,$A46,'KOMUNI PERTAMA'!$E$2:$E$1001,"&gt;="&amp;DATE(2026,1,1),'KOMUNI PERTAMA'!$E$2:$E$1001,"&lt;="&amp;DATE(2026,12,31)))</f>
        <v/>
      </c>
      <c r="N46" s="19">
        <f>IF($A46="","",COUNTIFS('PERKAWINAN GEREJANI'!$C$2:$C$1001,$A46,'PERKAWINAN GEREJANI'!$D$2:$D$1001,"&gt;="&amp;DATE(2026,1,1),'PERKAWINAN GEREJANI'!$D$2:$D$1001,"&lt;="&amp;DATE(2026,12,31)))</f>
        <v/>
      </c>
      <c r="O46" s="19">
        <f>IF($A46="","",COUNTIFS(PEMBUBARAN!$C$2:$C$1001,$A46,PEMBUBARAN!$D$2:$D$1001,"&gt;="&amp;DATE(2026,1,1),PEMBUBARAN!$D$2:$D$1001,"&lt;="&amp;DATE(2026,12,31)))</f>
        <v/>
      </c>
      <c r="P46" s="19">
        <f>IF($A46="","",COUNTIFS('PERMINYAKAN SUCI'!$C$2:$C$1001,$A46,'PERMINYAKAN SUCI'!$E$2:$E$1001,"&gt;="&amp;DATE(2026,1,1),'PERMINYAKAN SUCI'!$E$2:$E$1001,"&lt;="&amp;DATE(2026,12,31)))</f>
        <v/>
      </c>
      <c r="Q46" s="19">
        <f>IF($A46="","",H46)</f>
        <v/>
      </c>
      <c r="R46" s="19">
        <f>IF($A46="","",COUNTIFS('SEMINARI BIARA'!$C$2:$C$1001,$A46,'SEMINARI BIARA'!$F$2:$F$1001,"Mulai masuk 2026",'SEMINARI BIARA'!$G$2:$G$1001,"&gt;="&amp;DATE(2026,1,1),'SEMINARI BIARA'!$G$2:$G$1001,"&lt;="&amp;DATE(2026,12,31)))</f>
        <v/>
      </c>
      <c r="S46" s="19">
        <f>IF($A46="","",COUNTIFS('SEMINARI BIARA'!$C$2:$C$1001,$A46,'SEMINARI BIARA'!$F$2:$F$1001,"Sedang belajar 2026"))</f>
        <v/>
      </c>
    </row>
    <row r="47" ht="14.25" customHeight="1" s="38">
      <c r="A47" s="18" t="n"/>
      <c r="B47" s="19">
        <f>IF($A47="","",COUNTIF('DATA KK'!$E$2:$E$501,$A47))</f>
        <v/>
      </c>
      <c r="C47" s="19">
        <f>IF($A47="","",COUNTIF('DATA UMAT'!$H$2:$H$2001,$A47))</f>
        <v/>
      </c>
      <c r="D47" s="19">
        <f>IF($A47="","",COUNTIFS(BAPTIS!$C$2:$C$1001,$A47,BAPTIS!$F$2:$F$1001,"&gt;="&amp;DATE(2026,1,1),BAPTIS!$F$2:$F$1001,"&lt;="&amp;DATE(2026,12,31)))</f>
        <v/>
      </c>
      <c r="E47" s="19">
        <f>IF($A47="","",COUNTIFS('DITERIMA MASUK'!$C$2:$C$1001,$A47,'DITERIMA MASUK'!$D$2:$D$1001,"&gt;="&amp;DATE(2026,1,1),'DITERIMA MASUK'!$D$2:$D$1001,"&lt;="&amp;DATE(2026,12,31)))</f>
        <v/>
      </c>
      <c r="F47" s="19">
        <f>IF($A47="","",COUNTIFS(MUTASI!$C$2:$C$1001,$A47,MUTASI!$D$2:$D$1001,"Masuk",MUTASI!$F$2:$F$1001,"Paroki lain dalam keuskupan",MUTASI!$E$2:$E$1001,"&gt;="&amp;DATE(2026,1,1),MUTASI!$E$2:$E$1001,"&lt;="&amp;DATE(2026,12,31)))</f>
        <v/>
      </c>
      <c r="G47" s="19">
        <f>IF($A47="","",COUNTIFS(MUTASI!$C$2:$C$1001,$A47,MUTASI!$D$2:$D$1001,"Masuk",MUTASI!$F$2:$F$1001,"Keuskupan lain",MUTASI!$E$2:$E$1001,"&gt;="&amp;DATE(2026,1,1),MUTASI!$E$2:$E$1001,"&lt;="&amp;DATE(2026,12,31)))</f>
        <v/>
      </c>
      <c r="H47" s="19">
        <f>IF($A47="","",COUNTIFS(KEMATIAN!$C$2:$C$1001,$A47,KEMATIAN!$F$2:$F$1001,"&gt;="&amp;DATE(2026,1,1),KEMATIAN!$F$2:$F$1001,"&lt;="&amp;DATE(2026,12,31)))</f>
        <v/>
      </c>
      <c r="I47" s="19">
        <f>IF($A47="","",COUNTIFS(MUTASI!$C$2:$C$1001,$A47,MUTASI!$D$2:$D$1001,"Keluar",MUTASI!$F$2:$F$1001,"Paroki lain dalam keuskupan",MUTASI!$E$2:$E$1001,"&gt;="&amp;DATE(2026,1,1),MUTASI!$E$2:$E$1001,"&lt;="&amp;DATE(2026,12,31)))</f>
        <v/>
      </c>
      <c r="J47" s="19">
        <f>IF($A47="","",COUNTIFS(MUTASI!$C$2:$C$1001,$A47,MUTASI!$D$2:$D$1001,"Keluar",MUTASI!$F$2:$F$1001,"Keuskupan lain",MUTASI!$E$2:$E$1001,"&gt;="&amp;DATE(2026,1,1),MUTASI!$E$2:$E$1001,"&lt;="&amp;DATE(2026,12,31)))</f>
        <v/>
      </c>
      <c r="K47" s="19">
        <f>IF($A47="","",COUNTIFS('PINDAH AGAMA'!$C$2:$C$1001,$A47,'PINDAH AGAMA'!$D$2:$D$1001,"&gt;="&amp;DATE(2026,1,1),'PINDAH AGAMA'!$D$2:$D$1001,"&lt;="&amp;DATE(2026,12,31)))</f>
        <v/>
      </c>
      <c r="L47" s="19">
        <f>IF($A47="","",D47+E47+F47+G47-H47-I47-J47-K47)</f>
        <v/>
      </c>
      <c r="M47" s="19">
        <f>IF($A47="","",COUNTIFS('KOMUNI PERTAMA'!$C$2:$C$1001,$A47,'KOMUNI PERTAMA'!$E$2:$E$1001,"&gt;="&amp;DATE(2026,1,1),'KOMUNI PERTAMA'!$E$2:$E$1001,"&lt;="&amp;DATE(2026,12,31)))</f>
        <v/>
      </c>
      <c r="N47" s="19">
        <f>IF($A47="","",COUNTIFS('PERKAWINAN GEREJANI'!$C$2:$C$1001,$A47,'PERKAWINAN GEREJANI'!$D$2:$D$1001,"&gt;="&amp;DATE(2026,1,1),'PERKAWINAN GEREJANI'!$D$2:$D$1001,"&lt;="&amp;DATE(2026,12,31)))</f>
        <v/>
      </c>
      <c r="O47" s="19">
        <f>IF($A47="","",COUNTIFS(PEMBUBARAN!$C$2:$C$1001,$A47,PEMBUBARAN!$D$2:$D$1001,"&gt;="&amp;DATE(2026,1,1),PEMBUBARAN!$D$2:$D$1001,"&lt;="&amp;DATE(2026,12,31)))</f>
        <v/>
      </c>
      <c r="P47" s="19">
        <f>IF($A47="","",COUNTIFS('PERMINYAKAN SUCI'!$C$2:$C$1001,$A47,'PERMINYAKAN SUCI'!$E$2:$E$1001,"&gt;="&amp;DATE(2026,1,1),'PERMINYAKAN SUCI'!$E$2:$E$1001,"&lt;="&amp;DATE(2026,12,31)))</f>
        <v/>
      </c>
      <c r="Q47" s="19">
        <f>IF($A47="","",H47)</f>
        <v/>
      </c>
      <c r="R47" s="19">
        <f>IF($A47="","",COUNTIFS('SEMINARI BIARA'!$C$2:$C$1001,$A47,'SEMINARI BIARA'!$F$2:$F$1001,"Mulai masuk 2026",'SEMINARI BIARA'!$G$2:$G$1001,"&gt;="&amp;DATE(2026,1,1),'SEMINARI BIARA'!$G$2:$G$1001,"&lt;="&amp;DATE(2026,12,31)))</f>
        <v/>
      </c>
      <c r="S47" s="19">
        <f>IF($A47="","",COUNTIFS('SEMINARI BIARA'!$C$2:$C$1001,$A47,'SEMINARI BIARA'!$F$2:$F$1001,"Sedang belajar 2026"))</f>
        <v/>
      </c>
    </row>
    <row r="48" ht="14.25" customHeight="1" s="38">
      <c r="A48" s="18" t="n"/>
      <c r="B48" s="19">
        <f>IF($A48="","",COUNTIF('DATA KK'!$E$2:$E$501,$A48))</f>
        <v/>
      </c>
      <c r="C48" s="19">
        <f>IF($A48="","",COUNTIF('DATA UMAT'!$H$2:$H$2001,$A48))</f>
        <v/>
      </c>
      <c r="D48" s="19">
        <f>IF($A48="","",COUNTIFS(BAPTIS!$C$2:$C$1001,$A48,BAPTIS!$F$2:$F$1001,"&gt;="&amp;DATE(2026,1,1),BAPTIS!$F$2:$F$1001,"&lt;="&amp;DATE(2026,12,31)))</f>
        <v/>
      </c>
      <c r="E48" s="19">
        <f>IF($A48="","",COUNTIFS('DITERIMA MASUK'!$C$2:$C$1001,$A48,'DITERIMA MASUK'!$D$2:$D$1001,"&gt;="&amp;DATE(2026,1,1),'DITERIMA MASUK'!$D$2:$D$1001,"&lt;="&amp;DATE(2026,12,31)))</f>
        <v/>
      </c>
      <c r="F48" s="19">
        <f>IF($A48="","",COUNTIFS(MUTASI!$C$2:$C$1001,$A48,MUTASI!$D$2:$D$1001,"Masuk",MUTASI!$F$2:$F$1001,"Paroki lain dalam keuskupan",MUTASI!$E$2:$E$1001,"&gt;="&amp;DATE(2026,1,1),MUTASI!$E$2:$E$1001,"&lt;="&amp;DATE(2026,12,31)))</f>
        <v/>
      </c>
      <c r="G48" s="19">
        <f>IF($A48="","",COUNTIFS(MUTASI!$C$2:$C$1001,$A48,MUTASI!$D$2:$D$1001,"Masuk",MUTASI!$F$2:$F$1001,"Keuskupan lain",MUTASI!$E$2:$E$1001,"&gt;="&amp;DATE(2026,1,1),MUTASI!$E$2:$E$1001,"&lt;="&amp;DATE(2026,12,31)))</f>
        <v/>
      </c>
      <c r="H48" s="19">
        <f>IF($A48="","",COUNTIFS(KEMATIAN!$C$2:$C$1001,$A48,KEMATIAN!$F$2:$F$1001,"&gt;="&amp;DATE(2026,1,1),KEMATIAN!$F$2:$F$1001,"&lt;="&amp;DATE(2026,12,31)))</f>
        <v/>
      </c>
      <c r="I48" s="19">
        <f>IF($A48="","",COUNTIFS(MUTASI!$C$2:$C$1001,$A48,MUTASI!$D$2:$D$1001,"Keluar",MUTASI!$F$2:$F$1001,"Paroki lain dalam keuskupan",MUTASI!$E$2:$E$1001,"&gt;="&amp;DATE(2026,1,1),MUTASI!$E$2:$E$1001,"&lt;="&amp;DATE(2026,12,31)))</f>
        <v/>
      </c>
      <c r="J48" s="19">
        <f>IF($A48="","",COUNTIFS(MUTASI!$C$2:$C$1001,$A48,MUTASI!$D$2:$D$1001,"Keluar",MUTASI!$F$2:$F$1001,"Keuskupan lain",MUTASI!$E$2:$E$1001,"&gt;="&amp;DATE(2026,1,1),MUTASI!$E$2:$E$1001,"&lt;="&amp;DATE(2026,12,31)))</f>
        <v/>
      </c>
      <c r="K48" s="19">
        <f>IF($A48="","",COUNTIFS('PINDAH AGAMA'!$C$2:$C$1001,$A48,'PINDAH AGAMA'!$D$2:$D$1001,"&gt;="&amp;DATE(2026,1,1),'PINDAH AGAMA'!$D$2:$D$1001,"&lt;="&amp;DATE(2026,12,31)))</f>
        <v/>
      </c>
      <c r="L48" s="19">
        <f>IF($A48="","",D48+E48+F48+G48-H48-I48-J48-K48)</f>
        <v/>
      </c>
      <c r="M48" s="19">
        <f>IF($A48="","",COUNTIFS('KOMUNI PERTAMA'!$C$2:$C$1001,$A48,'KOMUNI PERTAMA'!$E$2:$E$1001,"&gt;="&amp;DATE(2026,1,1),'KOMUNI PERTAMA'!$E$2:$E$1001,"&lt;="&amp;DATE(2026,12,31)))</f>
        <v/>
      </c>
      <c r="N48" s="19">
        <f>IF($A48="","",COUNTIFS('PERKAWINAN GEREJANI'!$C$2:$C$1001,$A48,'PERKAWINAN GEREJANI'!$D$2:$D$1001,"&gt;="&amp;DATE(2026,1,1),'PERKAWINAN GEREJANI'!$D$2:$D$1001,"&lt;="&amp;DATE(2026,12,31)))</f>
        <v/>
      </c>
      <c r="O48" s="19">
        <f>IF($A48="","",COUNTIFS(PEMBUBARAN!$C$2:$C$1001,$A48,PEMBUBARAN!$D$2:$D$1001,"&gt;="&amp;DATE(2026,1,1),PEMBUBARAN!$D$2:$D$1001,"&lt;="&amp;DATE(2026,12,31)))</f>
        <v/>
      </c>
      <c r="P48" s="19">
        <f>IF($A48="","",COUNTIFS('PERMINYAKAN SUCI'!$C$2:$C$1001,$A48,'PERMINYAKAN SUCI'!$E$2:$E$1001,"&gt;="&amp;DATE(2026,1,1),'PERMINYAKAN SUCI'!$E$2:$E$1001,"&lt;="&amp;DATE(2026,12,31)))</f>
        <v/>
      </c>
      <c r="Q48" s="19">
        <f>IF($A48="","",H48)</f>
        <v/>
      </c>
      <c r="R48" s="19">
        <f>IF($A48="","",COUNTIFS('SEMINARI BIARA'!$C$2:$C$1001,$A48,'SEMINARI BIARA'!$F$2:$F$1001,"Mulai masuk 2026",'SEMINARI BIARA'!$G$2:$G$1001,"&gt;="&amp;DATE(2026,1,1),'SEMINARI BIARA'!$G$2:$G$1001,"&lt;="&amp;DATE(2026,12,31)))</f>
        <v/>
      </c>
      <c r="S48" s="19">
        <f>IF($A48="","",COUNTIFS('SEMINARI BIARA'!$C$2:$C$1001,$A48,'SEMINARI BIARA'!$F$2:$F$1001,"Sedang belajar 2026"))</f>
        <v/>
      </c>
    </row>
    <row r="49" ht="14.25" customHeight="1" s="38">
      <c r="A49" s="18" t="n"/>
      <c r="B49" s="19">
        <f>IF($A49="","",COUNTIF('DATA KK'!$E$2:$E$501,$A49))</f>
        <v/>
      </c>
      <c r="C49" s="19">
        <f>IF($A49="","",COUNTIF('DATA UMAT'!$H$2:$H$2001,$A49))</f>
        <v/>
      </c>
      <c r="D49" s="19">
        <f>IF($A49="","",COUNTIFS(BAPTIS!$C$2:$C$1001,$A49,BAPTIS!$F$2:$F$1001,"&gt;="&amp;DATE(2026,1,1),BAPTIS!$F$2:$F$1001,"&lt;="&amp;DATE(2026,12,31)))</f>
        <v/>
      </c>
      <c r="E49" s="19">
        <f>IF($A49="","",COUNTIFS('DITERIMA MASUK'!$C$2:$C$1001,$A49,'DITERIMA MASUK'!$D$2:$D$1001,"&gt;="&amp;DATE(2026,1,1),'DITERIMA MASUK'!$D$2:$D$1001,"&lt;="&amp;DATE(2026,12,31)))</f>
        <v/>
      </c>
      <c r="F49" s="19">
        <f>IF($A49="","",COUNTIFS(MUTASI!$C$2:$C$1001,$A49,MUTASI!$D$2:$D$1001,"Masuk",MUTASI!$F$2:$F$1001,"Paroki lain dalam keuskupan",MUTASI!$E$2:$E$1001,"&gt;="&amp;DATE(2026,1,1),MUTASI!$E$2:$E$1001,"&lt;="&amp;DATE(2026,12,31)))</f>
        <v/>
      </c>
      <c r="G49" s="19">
        <f>IF($A49="","",COUNTIFS(MUTASI!$C$2:$C$1001,$A49,MUTASI!$D$2:$D$1001,"Masuk",MUTASI!$F$2:$F$1001,"Keuskupan lain",MUTASI!$E$2:$E$1001,"&gt;="&amp;DATE(2026,1,1),MUTASI!$E$2:$E$1001,"&lt;="&amp;DATE(2026,12,31)))</f>
        <v/>
      </c>
      <c r="H49" s="19">
        <f>IF($A49="","",COUNTIFS(KEMATIAN!$C$2:$C$1001,$A49,KEMATIAN!$F$2:$F$1001,"&gt;="&amp;DATE(2026,1,1),KEMATIAN!$F$2:$F$1001,"&lt;="&amp;DATE(2026,12,31)))</f>
        <v/>
      </c>
      <c r="I49" s="19">
        <f>IF($A49="","",COUNTIFS(MUTASI!$C$2:$C$1001,$A49,MUTASI!$D$2:$D$1001,"Keluar",MUTASI!$F$2:$F$1001,"Paroki lain dalam keuskupan",MUTASI!$E$2:$E$1001,"&gt;="&amp;DATE(2026,1,1),MUTASI!$E$2:$E$1001,"&lt;="&amp;DATE(2026,12,31)))</f>
        <v/>
      </c>
      <c r="J49" s="19">
        <f>IF($A49="","",COUNTIFS(MUTASI!$C$2:$C$1001,$A49,MUTASI!$D$2:$D$1001,"Keluar",MUTASI!$F$2:$F$1001,"Keuskupan lain",MUTASI!$E$2:$E$1001,"&gt;="&amp;DATE(2026,1,1),MUTASI!$E$2:$E$1001,"&lt;="&amp;DATE(2026,12,31)))</f>
        <v/>
      </c>
      <c r="K49" s="19">
        <f>IF($A49="","",COUNTIFS('PINDAH AGAMA'!$C$2:$C$1001,$A49,'PINDAH AGAMA'!$D$2:$D$1001,"&gt;="&amp;DATE(2026,1,1),'PINDAH AGAMA'!$D$2:$D$1001,"&lt;="&amp;DATE(2026,12,31)))</f>
        <v/>
      </c>
      <c r="L49" s="19">
        <f>IF($A49="","",D49+E49+F49+G49-H49-I49-J49-K49)</f>
        <v/>
      </c>
      <c r="M49" s="19">
        <f>IF($A49="","",COUNTIFS('KOMUNI PERTAMA'!$C$2:$C$1001,$A49,'KOMUNI PERTAMA'!$E$2:$E$1001,"&gt;="&amp;DATE(2026,1,1),'KOMUNI PERTAMA'!$E$2:$E$1001,"&lt;="&amp;DATE(2026,12,31)))</f>
        <v/>
      </c>
      <c r="N49" s="19">
        <f>IF($A49="","",COUNTIFS('PERKAWINAN GEREJANI'!$C$2:$C$1001,$A49,'PERKAWINAN GEREJANI'!$D$2:$D$1001,"&gt;="&amp;DATE(2026,1,1),'PERKAWINAN GEREJANI'!$D$2:$D$1001,"&lt;="&amp;DATE(2026,12,31)))</f>
        <v/>
      </c>
      <c r="O49" s="19">
        <f>IF($A49="","",COUNTIFS(PEMBUBARAN!$C$2:$C$1001,$A49,PEMBUBARAN!$D$2:$D$1001,"&gt;="&amp;DATE(2026,1,1),PEMBUBARAN!$D$2:$D$1001,"&lt;="&amp;DATE(2026,12,31)))</f>
        <v/>
      </c>
      <c r="P49" s="19">
        <f>IF($A49="","",COUNTIFS('PERMINYAKAN SUCI'!$C$2:$C$1001,$A49,'PERMINYAKAN SUCI'!$E$2:$E$1001,"&gt;="&amp;DATE(2026,1,1),'PERMINYAKAN SUCI'!$E$2:$E$1001,"&lt;="&amp;DATE(2026,12,31)))</f>
        <v/>
      </c>
      <c r="Q49" s="19">
        <f>IF($A49="","",H49)</f>
        <v/>
      </c>
      <c r="R49" s="19">
        <f>IF($A49="","",COUNTIFS('SEMINARI BIARA'!$C$2:$C$1001,$A49,'SEMINARI BIARA'!$F$2:$F$1001,"Mulai masuk 2026",'SEMINARI BIARA'!$G$2:$G$1001,"&gt;="&amp;DATE(2026,1,1),'SEMINARI BIARA'!$G$2:$G$1001,"&lt;="&amp;DATE(2026,12,31)))</f>
        <v/>
      </c>
      <c r="S49" s="19">
        <f>IF($A49="","",COUNTIFS('SEMINARI BIARA'!$C$2:$C$1001,$A49,'SEMINARI BIARA'!$F$2:$F$1001,"Sedang belajar 2026"))</f>
        <v/>
      </c>
    </row>
    <row r="50" ht="14.25" customHeight="1" s="38">
      <c r="A50" s="18" t="n"/>
      <c r="B50" s="19">
        <f>IF($A50="","",COUNTIF('DATA KK'!$E$2:$E$501,$A50))</f>
        <v/>
      </c>
      <c r="C50" s="19">
        <f>IF($A50="","",COUNTIF('DATA UMAT'!$H$2:$H$2001,$A50))</f>
        <v/>
      </c>
      <c r="D50" s="19">
        <f>IF($A50="","",COUNTIFS(BAPTIS!$C$2:$C$1001,$A50,BAPTIS!$F$2:$F$1001,"&gt;="&amp;DATE(2026,1,1),BAPTIS!$F$2:$F$1001,"&lt;="&amp;DATE(2026,12,31)))</f>
        <v/>
      </c>
      <c r="E50" s="19">
        <f>IF($A50="","",COUNTIFS('DITERIMA MASUK'!$C$2:$C$1001,$A50,'DITERIMA MASUK'!$D$2:$D$1001,"&gt;="&amp;DATE(2026,1,1),'DITERIMA MASUK'!$D$2:$D$1001,"&lt;="&amp;DATE(2026,12,31)))</f>
        <v/>
      </c>
      <c r="F50" s="19">
        <f>IF($A50="","",COUNTIFS(MUTASI!$C$2:$C$1001,$A50,MUTASI!$D$2:$D$1001,"Masuk",MUTASI!$F$2:$F$1001,"Paroki lain dalam keuskupan",MUTASI!$E$2:$E$1001,"&gt;="&amp;DATE(2026,1,1),MUTASI!$E$2:$E$1001,"&lt;="&amp;DATE(2026,12,31)))</f>
        <v/>
      </c>
      <c r="G50" s="19">
        <f>IF($A50="","",COUNTIFS(MUTASI!$C$2:$C$1001,$A50,MUTASI!$D$2:$D$1001,"Masuk",MUTASI!$F$2:$F$1001,"Keuskupan lain",MUTASI!$E$2:$E$1001,"&gt;="&amp;DATE(2026,1,1),MUTASI!$E$2:$E$1001,"&lt;="&amp;DATE(2026,12,31)))</f>
        <v/>
      </c>
      <c r="H50" s="19">
        <f>IF($A50="","",COUNTIFS(KEMATIAN!$C$2:$C$1001,$A50,KEMATIAN!$F$2:$F$1001,"&gt;="&amp;DATE(2026,1,1),KEMATIAN!$F$2:$F$1001,"&lt;="&amp;DATE(2026,12,31)))</f>
        <v/>
      </c>
      <c r="I50" s="19">
        <f>IF($A50="","",COUNTIFS(MUTASI!$C$2:$C$1001,$A50,MUTASI!$D$2:$D$1001,"Keluar",MUTASI!$F$2:$F$1001,"Paroki lain dalam keuskupan",MUTASI!$E$2:$E$1001,"&gt;="&amp;DATE(2026,1,1),MUTASI!$E$2:$E$1001,"&lt;="&amp;DATE(2026,12,31)))</f>
        <v/>
      </c>
      <c r="J50" s="19">
        <f>IF($A50="","",COUNTIFS(MUTASI!$C$2:$C$1001,$A50,MUTASI!$D$2:$D$1001,"Keluar",MUTASI!$F$2:$F$1001,"Keuskupan lain",MUTASI!$E$2:$E$1001,"&gt;="&amp;DATE(2026,1,1),MUTASI!$E$2:$E$1001,"&lt;="&amp;DATE(2026,12,31)))</f>
        <v/>
      </c>
      <c r="K50" s="19">
        <f>IF($A50="","",COUNTIFS('PINDAH AGAMA'!$C$2:$C$1001,$A50,'PINDAH AGAMA'!$D$2:$D$1001,"&gt;="&amp;DATE(2026,1,1),'PINDAH AGAMA'!$D$2:$D$1001,"&lt;="&amp;DATE(2026,12,31)))</f>
        <v/>
      </c>
      <c r="L50" s="19">
        <f>IF($A50="","",D50+E50+F50+G50-H50-I50-J50-K50)</f>
        <v/>
      </c>
      <c r="M50" s="19">
        <f>IF($A50="","",COUNTIFS('KOMUNI PERTAMA'!$C$2:$C$1001,$A50,'KOMUNI PERTAMA'!$E$2:$E$1001,"&gt;="&amp;DATE(2026,1,1),'KOMUNI PERTAMA'!$E$2:$E$1001,"&lt;="&amp;DATE(2026,12,31)))</f>
        <v/>
      </c>
      <c r="N50" s="19">
        <f>IF($A50="","",COUNTIFS('PERKAWINAN GEREJANI'!$C$2:$C$1001,$A50,'PERKAWINAN GEREJANI'!$D$2:$D$1001,"&gt;="&amp;DATE(2026,1,1),'PERKAWINAN GEREJANI'!$D$2:$D$1001,"&lt;="&amp;DATE(2026,12,31)))</f>
        <v/>
      </c>
      <c r="O50" s="19">
        <f>IF($A50="","",COUNTIFS(PEMBUBARAN!$C$2:$C$1001,$A50,PEMBUBARAN!$D$2:$D$1001,"&gt;="&amp;DATE(2026,1,1),PEMBUBARAN!$D$2:$D$1001,"&lt;="&amp;DATE(2026,12,31)))</f>
        <v/>
      </c>
      <c r="P50" s="19">
        <f>IF($A50="","",COUNTIFS('PERMINYAKAN SUCI'!$C$2:$C$1001,$A50,'PERMINYAKAN SUCI'!$E$2:$E$1001,"&gt;="&amp;DATE(2026,1,1),'PERMINYAKAN SUCI'!$E$2:$E$1001,"&lt;="&amp;DATE(2026,12,31)))</f>
        <v/>
      </c>
      <c r="Q50" s="19">
        <f>IF($A50="","",H50)</f>
        <v/>
      </c>
      <c r="R50" s="19">
        <f>IF($A50="","",COUNTIFS('SEMINARI BIARA'!$C$2:$C$1001,$A50,'SEMINARI BIARA'!$F$2:$F$1001,"Mulai masuk 2026",'SEMINARI BIARA'!$G$2:$G$1001,"&gt;="&amp;DATE(2026,1,1),'SEMINARI BIARA'!$G$2:$G$1001,"&lt;="&amp;DATE(2026,12,31)))</f>
        <v/>
      </c>
      <c r="S50" s="19">
        <f>IF($A50="","",COUNTIFS('SEMINARI BIARA'!$C$2:$C$1001,$A50,'SEMINARI BIARA'!$F$2:$F$1001,"Sedang belajar 2026"))</f>
        <v/>
      </c>
    </row>
    <row r="51" ht="14.25" customHeight="1" s="38">
      <c r="A51" s="18" t="n"/>
      <c r="B51" s="19">
        <f>IF($A51="","",COUNTIF('DATA KK'!$E$2:$E$501,$A51))</f>
        <v/>
      </c>
      <c r="C51" s="19">
        <f>IF($A51="","",COUNTIF('DATA UMAT'!$H$2:$H$2001,$A51))</f>
        <v/>
      </c>
      <c r="D51" s="19">
        <f>IF($A51="","",COUNTIFS(BAPTIS!$C$2:$C$1001,$A51,BAPTIS!$F$2:$F$1001,"&gt;="&amp;DATE(2026,1,1),BAPTIS!$F$2:$F$1001,"&lt;="&amp;DATE(2026,12,31)))</f>
        <v/>
      </c>
      <c r="E51" s="19">
        <f>IF($A51="","",COUNTIFS('DITERIMA MASUK'!$C$2:$C$1001,$A51,'DITERIMA MASUK'!$D$2:$D$1001,"&gt;="&amp;DATE(2026,1,1),'DITERIMA MASUK'!$D$2:$D$1001,"&lt;="&amp;DATE(2026,12,31)))</f>
        <v/>
      </c>
      <c r="F51" s="19">
        <f>IF($A51="","",COUNTIFS(MUTASI!$C$2:$C$1001,$A51,MUTASI!$D$2:$D$1001,"Masuk",MUTASI!$F$2:$F$1001,"Paroki lain dalam keuskupan",MUTASI!$E$2:$E$1001,"&gt;="&amp;DATE(2026,1,1),MUTASI!$E$2:$E$1001,"&lt;="&amp;DATE(2026,12,31)))</f>
        <v/>
      </c>
      <c r="G51" s="19">
        <f>IF($A51="","",COUNTIFS(MUTASI!$C$2:$C$1001,$A51,MUTASI!$D$2:$D$1001,"Masuk",MUTASI!$F$2:$F$1001,"Keuskupan lain",MUTASI!$E$2:$E$1001,"&gt;="&amp;DATE(2026,1,1),MUTASI!$E$2:$E$1001,"&lt;="&amp;DATE(2026,12,31)))</f>
        <v/>
      </c>
      <c r="H51" s="19">
        <f>IF($A51="","",COUNTIFS(KEMATIAN!$C$2:$C$1001,$A51,KEMATIAN!$F$2:$F$1001,"&gt;="&amp;DATE(2026,1,1),KEMATIAN!$F$2:$F$1001,"&lt;="&amp;DATE(2026,12,31)))</f>
        <v/>
      </c>
      <c r="I51" s="19">
        <f>IF($A51="","",COUNTIFS(MUTASI!$C$2:$C$1001,$A51,MUTASI!$D$2:$D$1001,"Keluar",MUTASI!$F$2:$F$1001,"Paroki lain dalam keuskupan",MUTASI!$E$2:$E$1001,"&gt;="&amp;DATE(2026,1,1),MUTASI!$E$2:$E$1001,"&lt;="&amp;DATE(2026,12,31)))</f>
        <v/>
      </c>
      <c r="J51" s="19">
        <f>IF($A51="","",COUNTIFS(MUTASI!$C$2:$C$1001,$A51,MUTASI!$D$2:$D$1001,"Keluar",MUTASI!$F$2:$F$1001,"Keuskupan lain",MUTASI!$E$2:$E$1001,"&gt;="&amp;DATE(2026,1,1),MUTASI!$E$2:$E$1001,"&lt;="&amp;DATE(2026,12,31)))</f>
        <v/>
      </c>
      <c r="K51" s="19">
        <f>IF($A51="","",COUNTIFS('PINDAH AGAMA'!$C$2:$C$1001,$A51,'PINDAH AGAMA'!$D$2:$D$1001,"&gt;="&amp;DATE(2026,1,1),'PINDAH AGAMA'!$D$2:$D$1001,"&lt;="&amp;DATE(2026,12,31)))</f>
        <v/>
      </c>
      <c r="L51" s="19">
        <f>IF($A51="","",D51+E51+F51+G51-H51-I51-J51-K51)</f>
        <v/>
      </c>
      <c r="M51" s="19">
        <f>IF($A51="","",COUNTIFS('KOMUNI PERTAMA'!$C$2:$C$1001,$A51,'KOMUNI PERTAMA'!$E$2:$E$1001,"&gt;="&amp;DATE(2026,1,1),'KOMUNI PERTAMA'!$E$2:$E$1001,"&lt;="&amp;DATE(2026,12,31)))</f>
        <v/>
      </c>
      <c r="N51" s="19">
        <f>IF($A51="","",COUNTIFS('PERKAWINAN GEREJANI'!$C$2:$C$1001,$A51,'PERKAWINAN GEREJANI'!$D$2:$D$1001,"&gt;="&amp;DATE(2026,1,1),'PERKAWINAN GEREJANI'!$D$2:$D$1001,"&lt;="&amp;DATE(2026,12,31)))</f>
        <v/>
      </c>
      <c r="O51" s="19">
        <f>IF($A51="","",COUNTIFS(PEMBUBARAN!$C$2:$C$1001,$A51,PEMBUBARAN!$D$2:$D$1001,"&gt;="&amp;DATE(2026,1,1),PEMBUBARAN!$D$2:$D$1001,"&lt;="&amp;DATE(2026,12,31)))</f>
        <v/>
      </c>
      <c r="P51" s="19">
        <f>IF($A51="","",COUNTIFS('PERMINYAKAN SUCI'!$C$2:$C$1001,$A51,'PERMINYAKAN SUCI'!$E$2:$E$1001,"&gt;="&amp;DATE(2026,1,1),'PERMINYAKAN SUCI'!$E$2:$E$1001,"&lt;="&amp;DATE(2026,12,31)))</f>
        <v/>
      </c>
      <c r="Q51" s="19">
        <f>IF($A51="","",H51)</f>
        <v/>
      </c>
      <c r="R51" s="19">
        <f>IF($A51="","",COUNTIFS('SEMINARI BIARA'!$C$2:$C$1001,$A51,'SEMINARI BIARA'!$F$2:$F$1001,"Mulai masuk 2026",'SEMINARI BIARA'!$G$2:$G$1001,"&gt;="&amp;DATE(2026,1,1),'SEMINARI BIARA'!$G$2:$G$1001,"&lt;="&amp;DATE(2026,12,31)))</f>
        <v/>
      </c>
      <c r="S51" s="19">
        <f>IF($A51="","",COUNTIFS('SEMINARI BIARA'!$C$2:$C$1001,$A51,'SEMINARI BIARA'!$F$2:$F$1001,"Sedang belajar 2026"))</f>
        <v/>
      </c>
    </row>
    <row r="52" ht="14.25" customHeight="1" s="38">
      <c r="A52" s="18" t="n"/>
      <c r="B52" s="19">
        <f>IF($A52="","",COUNTIF('DATA KK'!$E$2:$E$501,$A52))</f>
        <v/>
      </c>
      <c r="C52" s="19">
        <f>IF($A52="","",COUNTIF('DATA UMAT'!$H$2:$H$2001,$A52))</f>
        <v/>
      </c>
      <c r="D52" s="19">
        <f>IF($A52="","",COUNTIFS(BAPTIS!$C$2:$C$1001,$A52,BAPTIS!$F$2:$F$1001,"&gt;="&amp;DATE(2026,1,1),BAPTIS!$F$2:$F$1001,"&lt;="&amp;DATE(2026,12,31)))</f>
        <v/>
      </c>
      <c r="E52" s="19">
        <f>IF($A52="","",COUNTIFS('DITERIMA MASUK'!$C$2:$C$1001,$A52,'DITERIMA MASUK'!$D$2:$D$1001,"&gt;="&amp;DATE(2026,1,1),'DITERIMA MASUK'!$D$2:$D$1001,"&lt;="&amp;DATE(2026,12,31)))</f>
        <v/>
      </c>
      <c r="F52" s="19">
        <f>IF($A52="","",COUNTIFS(MUTASI!$C$2:$C$1001,$A52,MUTASI!$D$2:$D$1001,"Masuk",MUTASI!$F$2:$F$1001,"Paroki lain dalam keuskupan",MUTASI!$E$2:$E$1001,"&gt;="&amp;DATE(2026,1,1),MUTASI!$E$2:$E$1001,"&lt;="&amp;DATE(2026,12,31)))</f>
        <v/>
      </c>
      <c r="G52" s="19">
        <f>IF($A52="","",COUNTIFS(MUTASI!$C$2:$C$1001,$A52,MUTASI!$D$2:$D$1001,"Masuk",MUTASI!$F$2:$F$1001,"Keuskupan lain",MUTASI!$E$2:$E$1001,"&gt;="&amp;DATE(2026,1,1),MUTASI!$E$2:$E$1001,"&lt;="&amp;DATE(2026,12,31)))</f>
        <v/>
      </c>
      <c r="H52" s="19">
        <f>IF($A52="","",COUNTIFS(KEMATIAN!$C$2:$C$1001,$A52,KEMATIAN!$F$2:$F$1001,"&gt;="&amp;DATE(2026,1,1),KEMATIAN!$F$2:$F$1001,"&lt;="&amp;DATE(2026,12,31)))</f>
        <v/>
      </c>
      <c r="I52" s="19">
        <f>IF($A52="","",COUNTIFS(MUTASI!$C$2:$C$1001,$A52,MUTASI!$D$2:$D$1001,"Keluar",MUTASI!$F$2:$F$1001,"Paroki lain dalam keuskupan",MUTASI!$E$2:$E$1001,"&gt;="&amp;DATE(2026,1,1),MUTASI!$E$2:$E$1001,"&lt;="&amp;DATE(2026,12,31)))</f>
        <v/>
      </c>
      <c r="J52" s="19">
        <f>IF($A52="","",COUNTIFS(MUTASI!$C$2:$C$1001,$A52,MUTASI!$D$2:$D$1001,"Keluar",MUTASI!$F$2:$F$1001,"Keuskupan lain",MUTASI!$E$2:$E$1001,"&gt;="&amp;DATE(2026,1,1),MUTASI!$E$2:$E$1001,"&lt;="&amp;DATE(2026,12,31)))</f>
        <v/>
      </c>
      <c r="K52" s="19">
        <f>IF($A52="","",COUNTIFS('PINDAH AGAMA'!$C$2:$C$1001,$A52,'PINDAH AGAMA'!$D$2:$D$1001,"&gt;="&amp;DATE(2026,1,1),'PINDAH AGAMA'!$D$2:$D$1001,"&lt;="&amp;DATE(2026,12,31)))</f>
        <v/>
      </c>
      <c r="L52" s="19">
        <f>IF($A52="","",D52+E52+F52+G52-H52-I52-J52-K52)</f>
        <v/>
      </c>
      <c r="M52" s="19">
        <f>IF($A52="","",COUNTIFS('KOMUNI PERTAMA'!$C$2:$C$1001,$A52,'KOMUNI PERTAMA'!$E$2:$E$1001,"&gt;="&amp;DATE(2026,1,1),'KOMUNI PERTAMA'!$E$2:$E$1001,"&lt;="&amp;DATE(2026,12,31)))</f>
        <v/>
      </c>
      <c r="N52" s="19">
        <f>IF($A52="","",COUNTIFS('PERKAWINAN GEREJANI'!$C$2:$C$1001,$A52,'PERKAWINAN GEREJANI'!$D$2:$D$1001,"&gt;="&amp;DATE(2026,1,1),'PERKAWINAN GEREJANI'!$D$2:$D$1001,"&lt;="&amp;DATE(2026,12,31)))</f>
        <v/>
      </c>
      <c r="O52" s="19">
        <f>IF($A52="","",COUNTIFS(PEMBUBARAN!$C$2:$C$1001,$A52,PEMBUBARAN!$D$2:$D$1001,"&gt;="&amp;DATE(2026,1,1),PEMBUBARAN!$D$2:$D$1001,"&lt;="&amp;DATE(2026,12,31)))</f>
        <v/>
      </c>
      <c r="P52" s="19">
        <f>IF($A52="","",COUNTIFS('PERMINYAKAN SUCI'!$C$2:$C$1001,$A52,'PERMINYAKAN SUCI'!$E$2:$E$1001,"&gt;="&amp;DATE(2026,1,1),'PERMINYAKAN SUCI'!$E$2:$E$1001,"&lt;="&amp;DATE(2026,12,31)))</f>
        <v/>
      </c>
      <c r="Q52" s="19">
        <f>IF($A52="","",H52)</f>
        <v/>
      </c>
      <c r="R52" s="19">
        <f>IF($A52="","",COUNTIFS('SEMINARI BIARA'!$C$2:$C$1001,$A52,'SEMINARI BIARA'!$F$2:$F$1001,"Mulai masuk 2026",'SEMINARI BIARA'!$G$2:$G$1001,"&gt;="&amp;DATE(2026,1,1),'SEMINARI BIARA'!$G$2:$G$1001,"&lt;="&amp;DATE(2026,12,31)))</f>
        <v/>
      </c>
      <c r="S52" s="19">
        <f>IF($A52="","",COUNTIFS('SEMINARI BIARA'!$C$2:$C$1001,$A52,'SEMINARI BIARA'!$F$2:$F$1001,"Sedang belajar 2026"))</f>
        <v/>
      </c>
    </row>
    <row r="53" ht="14.25" customHeight="1" s="38">
      <c r="A53" s="18" t="n"/>
      <c r="B53" s="19">
        <f>IF($A53="","",COUNTIF('DATA KK'!$E$2:$E$501,$A53))</f>
        <v/>
      </c>
      <c r="C53" s="19">
        <f>IF($A53="","",COUNTIF('DATA UMAT'!$H$2:$H$2001,$A53))</f>
        <v/>
      </c>
      <c r="D53" s="19">
        <f>IF($A53="","",COUNTIFS(BAPTIS!$C$2:$C$1001,$A53,BAPTIS!$F$2:$F$1001,"&gt;="&amp;DATE(2026,1,1),BAPTIS!$F$2:$F$1001,"&lt;="&amp;DATE(2026,12,31)))</f>
        <v/>
      </c>
      <c r="E53" s="19">
        <f>IF($A53="","",COUNTIFS('DITERIMA MASUK'!$C$2:$C$1001,$A53,'DITERIMA MASUK'!$D$2:$D$1001,"&gt;="&amp;DATE(2026,1,1),'DITERIMA MASUK'!$D$2:$D$1001,"&lt;="&amp;DATE(2026,12,31)))</f>
        <v/>
      </c>
      <c r="F53" s="19">
        <f>IF($A53="","",COUNTIFS(MUTASI!$C$2:$C$1001,$A53,MUTASI!$D$2:$D$1001,"Masuk",MUTASI!$F$2:$F$1001,"Paroki lain dalam keuskupan",MUTASI!$E$2:$E$1001,"&gt;="&amp;DATE(2026,1,1),MUTASI!$E$2:$E$1001,"&lt;="&amp;DATE(2026,12,31)))</f>
        <v/>
      </c>
      <c r="G53" s="19">
        <f>IF($A53="","",COUNTIFS(MUTASI!$C$2:$C$1001,$A53,MUTASI!$D$2:$D$1001,"Masuk",MUTASI!$F$2:$F$1001,"Keuskupan lain",MUTASI!$E$2:$E$1001,"&gt;="&amp;DATE(2026,1,1),MUTASI!$E$2:$E$1001,"&lt;="&amp;DATE(2026,12,31)))</f>
        <v/>
      </c>
      <c r="H53" s="19">
        <f>IF($A53="","",COUNTIFS(KEMATIAN!$C$2:$C$1001,$A53,KEMATIAN!$F$2:$F$1001,"&gt;="&amp;DATE(2026,1,1),KEMATIAN!$F$2:$F$1001,"&lt;="&amp;DATE(2026,12,31)))</f>
        <v/>
      </c>
      <c r="I53" s="19">
        <f>IF($A53="","",COUNTIFS(MUTASI!$C$2:$C$1001,$A53,MUTASI!$D$2:$D$1001,"Keluar",MUTASI!$F$2:$F$1001,"Paroki lain dalam keuskupan",MUTASI!$E$2:$E$1001,"&gt;="&amp;DATE(2026,1,1),MUTASI!$E$2:$E$1001,"&lt;="&amp;DATE(2026,12,31)))</f>
        <v/>
      </c>
      <c r="J53" s="19">
        <f>IF($A53="","",COUNTIFS(MUTASI!$C$2:$C$1001,$A53,MUTASI!$D$2:$D$1001,"Keluar",MUTASI!$F$2:$F$1001,"Keuskupan lain",MUTASI!$E$2:$E$1001,"&gt;="&amp;DATE(2026,1,1),MUTASI!$E$2:$E$1001,"&lt;="&amp;DATE(2026,12,31)))</f>
        <v/>
      </c>
      <c r="K53" s="19">
        <f>IF($A53="","",COUNTIFS('PINDAH AGAMA'!$C$2:$C$1001,$A53,'PINDAH AGAMA'!$D$2:$D$1001,"&gt;="&amp;DATE(2026,1,1),'PINDAH AGAMA'!$D$2:$D$1001,"&lt;="&amp;DATE(2026,12,31)))</f>
        <v/>
      </c>
      <c r="L53" s="19">
        <f>IF($A53="","",D53+E53+F53+G53-H53-I53-J53-K53)</f>
        <v/>
      </c>
      <c r="M53" s="19">
        <f>IF($A53="","",COUNTIFS('KOMUNI PERTAMA'!$C$2:$C$1001,$A53,'KOMUNI PERTAMA'!$E$2:$E$1001,"&gt;="&amp;DATE(2026,1,1),'KOMUNI PERTAMA'!$E$2:$E$1001,"&lt;="&amp;DATE(2026,12,31)))</f>
        <v/>
      </c>
      <c r="N53" s="19">
        <f>IF($A53="","",COUNTIFS('PERKAWINAN GEREJANI'!$C$2:$C$1001,$A53,'PERKAWINAN GEREJANI'!$D$2:$D$1001,"&gt;="&amp;DATE(2026,1,1),'PERKAWINAN GEREJANI'!$D$2:$D$1001,"&lt;="&amp;DATE(2026,12,31)))</f>
        <v/>
      </c>
      <c r="O53" s="19">
        <f>IF($A53="","",COUNTIFS(PEMBUBARAN!$C$2:$C$1001,$A53,PEMBUBARAN!$D$2:$D$1001,"&gt;="&amp;DATE(2026,1,1),PEMBUBARAN!$D$2:$D$1001,"&lt;="&amp;DATE(2026,12,31)))</f>
        <v/>
      </c>
      <c r="P53" s="19">
        <f>IF($A53="","",COUNTIFS('PERMINYAKAN SUCI'!$C$2:$C$1001,$A53,'PERMINYAKAN SUCI'!$E$2:$E$1001,"&gt;="&amp;DATE(2026,1,1),'PERMINYAKAN SUCI'!$E$2:$E$1001,"&lt;="&amp;DATE(2026,12,31)))</f>
        <v/>
      </c>
      <c r="Q53" s="19">
        <f>IF($A53="","",H53)</f>
        <v/>
      </c>
      <c r="R53" s="19">
        <f>IF($A53="","",COUNTIFS('SEMINARI BIARA'!$C$2:$C$1001,$A53,'SEMINARI BIARA'!$F$2:$F$1001,"Mulai masuk 2026",'SEMINARI BIARA'!$G$2:$G$1001,"&gt;="&amp;DATE(2026,1,1),'SEMINARI BIARA'!$G$2:$G$1001,"&lt;="&amp;DATE(2026,12,31)))</f>
        <v/>
      </c>
      <c r="S53" s="19">
        <f>IF($A53="","",COUNTIFS('SEMINARI BIARA'!$C$2:$C$1001,$A53,'SEMINARI BIARA'!$F$2:$F$1001,"Sedang belajar 2026"))</f>
        <v/>
      </c>
    </row>
    <row r="54" ht="14.25" customHeight="1" s="38">
      <c r="A54" s="18" t="n"/>
      <c r="B54" s="19">
        <f>IF($A54="","",COUNTIF('DATA KK'!$E$2:$E$501,$A54))</f>
        <v/>
      </c>
      <c r="C54" s="19">
        <f>IF($A54="","",COUNTIF('DATA UMAT'!$H$2:$H$2001,$A54))</f>
        <v/>
      </c>
      <c r="D54" s="19">
        <f>IF($A54="","",COUNTIFS(BAPTIS!$C$2:$C$1001,$A54,BAPTIS!$F$2:$F$1001,"&gt;="&amp;DATE(2026,1,1),BAPTIS!$F$2:$F$1001,"&lt;="&amp;DATE(2026,12,31)))</f>
        <v/>
      </c>
      <c r="E54" s="19">
        <f>IF($A54="","",COUNTIFS('DITERIMA MASUK'!$C$2:$C$1001,$A54,'DITERIMA MASUK'!$D$2:$D$1001,"&gt;="&amp;DATE(2026,1,1),'DITERIMA MASUK'!$D$2:$D$1001,"&lt;="&amp;DATE(2026,12,31)))</f>
        <v/>
      </c>
      <c r="F54" s="19">
        <f>IF($A54="","",COUNTIFS(MUTASI!$C$2:$C$1001,$A54,MUTASI!$D$2:$D$1001,"Masuk",MUTASI!$F$2:$F$1001,"Paroki lain dalam keuskupan",MUTASI!$E$2:$E$1001,"&gt;="&amp;DATE(2026,1,1),MUTASI!$E$2:$E$1001,"&lt;="&amp;DATE(2026,12,31)))</f>
        <v/>
      </c>
      <c r="G54" s="19">
        <f>IF($A54="","",COUNTIFS(MUTASI!$C$2:$C$1001,$A54,MUTASI!$D$2:$D$1001,"Masuk",MUTASI!$F$2:$F$1001,"Keuskupan lain",MUTASI!$E$2:$E$1001,"&gt;="&amp;DATE(2026,1,1),MUTASI!$E$2:$E$1001,"&lt;="&amp;DATE(2026,12,31)))</f>
        <v/>
      </c>
      <c r="H54" s="19">
        <f>IF($A54="","",COUNTIFS(KEMATIAN!$C$2:$C$1001,$A54,KEMATIAN!$F$2:$F$1001,"&gt;="&amp;DATE(2026,1,1),KEMATIAN!$F$2:$F$1001,"&lt;="&amp;DATE(2026,12,31)))</f>
        <v/>
      </c>
      <c r="I54" s="19">
        <f>IF($A54="","",COUNTIFS(MUTASI!$C$2:$C$1001,$A54,MUTASI!$D$2:$D$1001,"Keluar",MUTASI!$F$2:$F$1001,"Paroki lain dalam keuskupan",MUTASI!$E$2:$E$1001,"&gt;="&amp;DATE(2026,1,1),MUTASI!$E$2:$E$1001,"&lt;="&amp;DATE(2026,12,31)))</f>
        <v/>
      </c>
      <c r="J54" s="19">
        <f>IF($A54="","",COUNTIFS(MUTASI!$C$2:$C$1001,$A54,MUTASI!$D$2:$D$1001,"Keluar",MUTASI!$F$2:$F$1001,"Keuskupan lain",MUTASI!$E$2:$E$1001,"&gt;="&amp;DATE(2026,1,1),MUTASI!$E$2:$E$1001,"&lt;="&amp;DATE(2026,12,31)))</f>
        <v/>
      </c>
      <c r="K54" s="19">
        <f>IF($A54="","",COUNTIFS('PINDAH AGAMA'!$C$2:$C$1001,$A54,'PINDAH AGAMA'!$D$2:$D$1001,"&gt;="&amp;DATE(2026,1,1),'PINDAH AGAMA'!$D$2:$D$1001,"&lt;="&amp;DATE(2026,12,31)))</f>
        <v/>
      </c>
      <c r="L54" s="19">
        <f>IF($A54="","",D54+E54+F54+G54-H54-I54-J54-K54)</f>
        <v/>
      </c>
      <c r="M54" s="19">
        <f>IF($A54="","",COUNTIFS('KOMUNI PERTAMA'!$C$2:$C$1001,$A54,'KOMUNI PERTAMA'!$E$2:$E$1001,"&gt;="&amp;DATE(2026,1,1),'KOMUNI PERTAMA'!$E$2:$E$1001,"&lt;="&amp;DATE(2026,12,31)))</f>
        <v/>
      </c>
      <c r="N54" s="19">
        <f>IF($A54="","",COUNTIFS('PERKAWINAN GEREJANI'!$C$2:$C$1001,$A54,'PERKAWINAN GEREJANI'!$D$2:$D$1001,"&gt;="&amp;DATE(2026,1,1),'PERKAWINAN GEREJANI'!$D$2:$D$1001,"&lt;="&amp;DATE(2026,12,31)))</f>
        <v/>
      </c>
      <c r="O54" s="19">
        <f>IF($A54="","",COUNTIFS(PEMBUBARAN!$C$2:$C$1001,$A54,PEMBUBARAN!$D$2:$D$1001,"&gt;="&amp;DATE(2026,1,1),PEMBUBARAN!$D$2:$D$1001,"&lt;="&amp;DATE(2026,12,31)))</f>
        <v/>
      </c>
      <c r="P54" s="19">
        <f>IF($A54="","",COUNTIFS('PERMINYAKAN SUCI'!$C$2:$C$1001,$A54,'PERMINYAKAN SUCI'!$E$2:$E$1001,"&gt;="&amp;DATE(2026,1,1),'PERMINYAKAN SUCI'!$E$2:$E$1001,"&lt;="&amp;DATE(2026,12,31)))</f>
        <v/>
      </c>
      <c r="Q54" s="19">
        <f>IF($A54="","",H54)</f>
        <v/>
      </c>
      <c r="R54" s="19">
        <f>IF($A54="","",COUNTIFS('SEMINARI BIARA'!$C$2:$C$1001,$A54,'SEMINARI BIARA'!$F$2:$F$1001,"Mulai masuk 2026",'SEMINARI BIARA'!$G$2:$G$1001,"&gt;="&amp;DATE(2026,1,1),'SEMINARI BIARA'!$G$2:$G$1001,"&lt;="&amp;DATE(2026,12,31)))</f>
        <v/>
      </c>
      <c r="S54" s="19">
        <f>IF($A54="","",COUNTIFS('SEMINARI BIARA'!$C$2:$C$1001,$A54,'SEMINARI BIARA'!$F$2:$F$1001,"Sedang belajar 2026"))</f>
        <v/>
      </c>
    </row>
    <row r="55" ht="14.25" customHeight="1" s="38">
      <c r="A55" s="18" t="n"/>
      <c r="B55" s="19">
        <f>IF($A55="","",COUNTIF('DATA KK'!$E$2:$E$501,$A55))</f>
        <v/>
      </c>
      <c r="C55" s="19">
        <f>IF($A55="","",COUNTIF('DATA UMAT'!$H$2:$H$2001,$A55))</f>
        <v/>
      </c>
      <c r="D55" s="19">
        <f>IF($A55="","",COUNTIFS(BAPTIS!$C$2:$C$1001,$A55,BAPTIS!$F$2:$F$1001,"&gt;="&amp;DATE(2026,1,1),BAPTIS!$F$2:$F$1001,"&lt;="&amp;DATE(2026,12,31)))</f>
        <v/>
      </c>
      <c r="E55" s="19">
        <f>IF($A55="","",COUNTIFS('DITERIMA MASUK'!$C$2:$C$1001,$A55,'DITERIMA MASUK'!$D$2:$D$1001,"&gt;="&amp;DATE(2026,1,1),'DITERIMA MASUK'!$D$2:$D$1001,"&lt;="&amp;DATE(2026,12,31)))</f>
        <v/>
      </c>
      <c r="F55" s="19">
        <f>IF($A55="","",COUNTIFS(MUTASI!$C$2:$C$1001,$A55,MUTASI!$D$2:$D$1001,"Masuk",MUTASI!$F$2:$F$1001,"Paroki lain dalam keuskupan",MUTASI!$E$2:$E$1001,"&gt;="&amp;DATE(2026,1,1),MUTASI!$E$2:$E$1001,"&lt;="&amp;DATE(2026,12,31)))</f>
        <v/>
      </c>
      <c r="G55" s="19">
        <f>IF($A55="","",COUNTIFS(MUTASI!$C$2:$C$1001,$A55,MUTASI!$D$2:$D$1001,"Masuk",MUTASI!$F$2:$F$1001,"Keuskupan lain",MUTASI!$E$2:$E$1001,"&gt;="&amp;DATE(2026,1,1),MUTASI!$E$2:$E$1001,"&lt;="&amp;DATE(2026,12,31)))</f>
        <v/>
      </c>
      <c r="H55" s="19">
        <f>IF($A55="","",COUNTIFS(KEMATIAN!$C$2:$C$1001,$A55,KEMATIAN!$F$2:$F$1001,"&gt;="&amp;DATE(2026,1,1),KEMATIAN!$F$2:$F$1001,"&lt;="&amp;DATE(2026,12,31)))</f>
        <v/>
      </c>
      <c r="I55" s="19">
        <f>IF($A55="","",COUNTIFS(MUTASI!$C$2:$C$1001,$A55,MUTASI!$D$2:$D$1001,"Keluar",MUTASI!$F$2:$F$1001,"Paroki lain dalam keuskupan",MUTASI!$E$2:$E$1001,"&gt;="&amp;DATE(2026,1,1),MUTASI!$E$2:$E$1001,"&lt;="&amp;DATE(2026,12,31)))</f>
        <v/>
      </c>
      <c r="J55" s="19">
        <f>IF($A55="","",COUNTIFS(MUTASI!$C$2:$C$1001,$A55,MUTASI!$D$2:$D$1001,"Keluar",MUTASI!$F$2:$F$1001,"Keuskupan lain",MUTASI!$E$2:$E$1001,"&gt;="&amp;DATE(2026,1,1),MUTASI!$E$2:$E$1001,"&lt;="&amp;DATE(2026,12,31)))</f>
        <v/>
      </c>
      <c r="K55" s="19">
        <f>IF($A55="","",COUNTIFS('PINDAH AGAMA'!$C$2:$C$1001,$A55,'PINDAH AGAMA'!$D$2:$D$1001,"&gt;="&amp;DATE(2026,1,1),'PINDAH AGAMA'!$D$2:$D$1001,"&lt;="&amp;DATE(2026,12,31)))</f>
        <v/>
      </c>
      <c r="L55" s="19">
        <f>IF($A55="","",D55+E55+F55+G55-H55-I55-J55-K55)</f>
        <v/>
      </c>
      <c r="M55" s="19">
        <f>IF($A55="","",COUNTIFS('KOMUNI PERTAMA'!$C$2:$C$1001,$A55,'KOMUNI PERTAMA'!$E$2:$E$1001,"&gt;="&amp;DATE(2026,1,1),'KOMUNI PERTAMA'!$E$2:$E$1001,"&lt;="&amp;DATE(2026,12,31)))</f>
        <v/>
      </c>
      <c r="N55" s="19">
        <f>IF($A55="","",COUNTIFS('PERKAWINAN GEREJANI'!$C$2:$C$1001,$A55,'PERKAWINAN GEREJANI'!$D$2:$D$1001,"&gt;="&amp;DATE(2026,1,1),'PERKAWINAN GEREJANI'!$D$2:$D$1001,"&lt;="&amp;DATE(2026,12,31)))</f>
        <v/>
      </c>
      <c r="O55" s="19">
        <f>IF($A55="","",COUNTIFS(PEMBUBARAN!$C$2:$C$1001,$A55,PEMBUBARAN!$D$2:$D$1001,"&gt;="&amp;DATE(2026,1,1),PEMBUBARAN!$D$2:$D$1001,"&lt;="&amp;DATE(2026,12,31)))</f>
        <v/>
      </c>
      <c r="P55" s="19">
        <f>IF($A55="","",COUNTIFS('PERMINYAKAN SUCI'!$C$2:$C$1001,$A55,'PERMINYAKAN SUCI'!$E$2:$E$1001,"&gt;="&amp;DATE(2026,1,1),'PERMINYAKAN SUCI'!$E$2:$E$1001,"&lt;="&amp;DATE(2026,12,31)))</f>
        <v/>
      </c>
      <c r="Q55" s="19">
        <f>IF($A55="","",H55)</f>
        <v/>
      </c>
      <c r="R55" s="19">
        <f>IF($A55="","",COUNTIFS('SEMINARI BIARA'!$C$2:$C$1001,$A55,'SEMINARI BIARA'!$F$2:$F$1001,"Mulai masuk 2026",'SEMINARI BIARA'!$G$2:$G$1001,"&gt;="&amp;DATE(2026,1,1),'SEMINARI BIARA'!$G$2:$G$1001,"&lt;="&amp;DATE(2026,12,31)))</f>
        <v/>
      </c>
      <c r="S55" s="19">
        <f>IF($A55="","",COUNTIFS('SEMINARI BIARA'!$C$2:$C$1001,$A55,'SEMINARI BIARA'!$F$2:$F$1001,"Sedang belajar 2026"))</f>
        <v/>
      </c>
    </row>
    <row r="56" ht="14.25" customHeight="1" s="38">
      <c r="A56" s="18" t="n"/>
      <c r="B56" s="19">
        <f>IF($A56="","",COUNTIF('DATA KK'!$E$2:$E$501,$A56))</f>
        <v/>
      </c>
      <c r="C56" s="19">
        <f>IF($A56="","",COUNTIF('DATA UMAT'!$H$2:$H$2001,$A56))</f>
        <v/>
      </c>
      <c r="D56" s="19">
        <f>IF($A56="","",COUNTIFS(BAPTIS!$C$2:$C$1001,$A56,BAPTIS!$F$2:$F$1001,"&gt;="&amp;DATE(2026,1,1),BAPTIS!$F$2:$F$1001,"&lt;="&amp;DATE(2026,12,31)))</f>
        <v/>
      </c>
      <c r="E56" s="19">
        <f>IF($A56="","",COUNTIFS('DITERIMA MASUK'!$C$2:$C$1001,$A56,'DITERIMA MASUK'!$D$2:$D$1001,"&gt;="&amp;DATE(2026,1,1),'DITERIMA MASUK'!$D$2:$D$1001,"&lt;="&amp;DATE(2026,12,31)))</f>
        <v/>
      </c>
      <c r="F56" s="19">
        <f>IF($A56="","",COUNTIFS(MUTASI!$C$2:$C$1001,$A56,MUTASI!$D$2:$D$1001,"Masuk",MUTASI!$F$2:$F$1001,"Paroki lain dalam keuskupan",MUTASI!$E$2:$E$1001,"&gt;="&amp;DATE(2026,1,1),MUTASI!$E$2:$E$1001,"&lt;="&amp;DATE(2026,12,31)))</f>
        <v/>
      </c>
      <c r="G56" s="19">
        <f>IF($A56="","",COUNTIFS(MUTASI!$C$2:$C$1001,$A56,MUTASI!$D$2:$D$1001,"Masuk",MUTASI!$F$2:$F$1001,"Keuskupan lain",MUTASI!$E$2:$E$1001,"&gt;="&amp;DATE(2026,1,1),MUTASI!$E$2:$E$1001,"&lt;="&amp;DATE(2026,12,31)))</f>
        <v/>
      </c>
      <c r="H56" s="19">
        <f>IF($A56="","",COUNTIFS(KEMATIAN!$C$2:$C$1001,$A56,KEMATIAN!$F$2:$F$1001,"&gt;="&amp;DATE(2026,1,1),KEMATIAN!$F$2:$F$1001,"&lt;="&amp;DATE(2026,12,31)))</f>
        <v/>
      </c>
      <c r="I56" s="19">
        <f>IF($A56="","",COUNTIFS(MUTASI!$C$2:$C$1001,$A56,MUTASI!$D$2:$D$1001,"Keluar",MUTASI!$F$2:$F$1001,"Paroki lain dalam keuskupan",MUTASI!$E$2:$E$1001,"&gt;="&amp;DATE(2026,1,1),MUTASI!$E$2:$E$1001,"&lt;="&amp;DATE(2026,12,31)))</f>
        <v/>
      </c>
      <c r="J56" s="19">
        <f>IF($A56="","",COUNTIFS(MUTASI!$C$2:$C$1001,$A56,MUTASI!$D$2:$D$1001,"Keluar",MUTASI!$F$2:$F$1001,"Keuskupan lain",MUTASI!$E$2:$E$1001,"&gt;="&amp;DATE(2026,1,1),MUTASI!$E$2:$E$1001,"&lt;="&amp;DATE(2026,12,31)))</f>
        <v/>
      </c>
      <c r="K56" s="19">
        <f>IF($A56="","",COUNTIFS('PINDAH AGAMA'!$C$2:$C$1001,$A56,'PINDAH AGAMA'!$D$2:$D$1001,"&gt;="&amp;DATE(2026,1,1),'PINDAH AGAMA'!$D$2:$D$1001,"&lt;="&amp;DATE(2026,12,31)))</f>
        <v/>
      </c>
      <c r="L56" s="19">
        <f>IF($A56="","",D56+E56+F56+G56-H56-I56-J56-K56)</f>
        <v/>
      </c>
      <c r="M56" s="19">
        <f>IF($A56="","",COUNTIFS('KOMUNI PERTAMA'!$C$2:$C$1001,$A56,'KOMUNI PERTAMA'!$E$2:$E$1001,"&gt;="&amp;DATE(2026,1,1),'KOMUNI PERTAMA'!$E$2:$E$1001,"&lt;="&amp;DATE(2026,12,31)))</f>
        <v/>
      </c>
      <c r="N56" s="19">
        <f>IF($A56="","",COUNTIFS('PERKAWINAN GEREJANI'!$C$2:$C$1001,$A56,'PERKAWINAN GEREJANI'!$D$2:$D$1001,"&gt;="&amp;DATE(2026,1,1),'PERKAWINAN GEREJANI'!$D$2:$D$1001,"&lt;="&amp;DATE(2026,12,31)))</f>
        <v/>
      </c>
      <c r="O56" s="19">
        <f>IF($A56="","",COUNTIFS(PEMBUBARAN!$C$2:$C$1001,$A56,PEMBUBARAN!$D$2:$D$1001,"&gt;="&amp;DATE(2026,1,1),PEMBUBARAN!$D$2:$D$1001,"&lt;="&amp;DATE(2026,12,31)))</f>
        <v/>
      </c>
      <c r="P56" s="19">
        <f>IF($A56="","",COUNTIFS('PERMINYAKAN SUCI'!$C$2:$C$1001,$A56,'PERMINYAKAN SUCI'!$E$2:$E$1001,"&gt;="&amp;DATE(2026,1,1),'PERMINYAKAN SUCI'!$E$2:$E$1001,"&lt;="&amp;DATE(2026,12,31)))</f>
        <v/>
      </c>
      <c r="Q56" s="19">
        <f>IF($A56="","",H56)</f>
        <v/>
      </c>
      <c r="R56" s="19">
        <f>IF($A56="","",COUNTIFS('SEMINARI BIARA'!$C$2:$C$1001,$A56,'SEMINARI BIARA'!$F$2:$F$1001,"Mulai masuk 2026",'SEMINARI BIARA'!$G$2:$G$1001,"&gt;="&amp;DATE(2026,1,1),'SEMINARI BIARA'!$G$2:$G$1001,"&lt;="&amp;DATE(2026,12,31)))</f>
        <v/>
      </c>
      <c r="S56" s="19">
        <f>IF($A56="","",COUNTIFS('SEMINARI BIARA'!$C$2:$C$1001,$A56,'SEMINARI BIARA'!$F$2:$F$1001,"Sedang belajar 2026"))</f>
        <v/>
      </c>
    </row>
    <row r="57" ht="14.25" customHeight="1" s="38">
      <c r="A57" s="18" t="n"/>
      <c r="B57" s="19">
        <f>IF($A57="","",COUNTIF('DATA KK'!$E$2:$E$501,$A57))</f>
        <v/>
      </c>
      <c r="C57" s="19">
        <f>IF($A57="","",COUNTIF('DATA UMAT'!$H$2:$H$2001,$A57))</f>
        <v/>
      </c>
      <c r="D57" s="19">
        <f>IF($A57="","",COUNTIFS(BAPTIS!$C$2:$C$1001,$A57,BAPTIS!$F$2:$F$1001,"&gt;="&amp;DATE(2026,1,1),BAPTIS!$F$2:$F$1001,"&lt;="&amp;DATE(2026,12,31)))</f>
        <v/>
      </c>
      <c r="E57" s="19">
        <f>IF($A57="","",COUNTIFS('DITERIMA MASUK'!$C$2:$C$1001,$A57,'DITERIMA MASUK'!$D$2:$D$1001,"&gt;="&amp;DATE(2026,1,1),'DITERIMA MASUK'!$D$2:$D$1001,"&lt;="&amp;DATE(2026,12,31)))</f>
        <v/>
      </c>
      <c r="F57" s="19">
        <f>IF($A57="","",COUNTIFS(MUTASI!$C$2:$C$1001,$A57,MUTASI!$D$2:$D$1001,"Masuk",MUTASI!$F$2:$F$1001,"Paroki lain dalam keuskupan",MUTASI!$E$2:$E$1001,"&gt;="&amp;DATE(2026,1,1),MUTASI!$E$2:$E$1001,"&lt;="&amp;DATE(2026,12,31)))</f>
        <v/>
      </c>
      <c r="G57" s="19">
        <f>IF($A57="","",COUNTIFS(MUTASI!$C$2:$C$1001,$A57,MUTASI!$D$2:$D$1001,"Masuk",MUTASI!$F$2:$F$1001,"Keuskupan lain",MUTASI!$E$2:$E$1001,"&gt;="&amp;DATE(2026,1,1),MUTASI!$E$2:$E$1001,"&lt;="&amp;DATE(2026,12,31)))</f>
        <v/>
      </c>
      <c r="H57" s="19">
        <f>IF($A57="","",COUNTIFS(KEMATIAN!$C$2:$C$1001,$A57,KEMATIAN!$F$2:$F$1001,"&gt;="&amp;DATE(2026,1,1),KEMATIAN!$F$2:$F$1001,"&lt;="&amp;DATE(2026,12,31)))</f>
        <v/>
      </c>
      <c r="I57" s="19">
        <f>IF($A57="","",COUNTIFS(MUTASI!$C$2:$C$1001,$A57,MUTASI!$D$2:$D$1001,"Keluar",MUTASI!$F$2:$F$1001,"Paroki lain dalam keuskupan",MUTASI!$E$2:$E$1001,"&gt;="&amp;DATE(2026,1,1),MUTASI!$E$2:$E$1001,"&lt;="&amp;DATE(2026,12,31)))</f>
        <v/>
      </c>
      <c r="J57" s="19">
        <f>IF($A57="","",COUNTIFS(MUTASI!$C$2:$C$1001,$A57,MUTASI!$D$2:$D$1001,"Keluar",MUTASI!$F$2:$F$1001,"Keuskupan lain",MUTASI!$E$2:$E$1001,"&gt;="&amp;DATE(2026,1,1),MUTASI!$E$2:$E$1001,"&lt;="&amp;DATE(2026,12,31)))</f>
        <v/>
      </c>
      <c r="K57" s="19">
        <f>IF($A57="","",COUNTIFS('PINDAH AGAMA'!$C$2:$C$1001,$A57,'PINDAH AGAMA'!$D$2:$D$1001,"&gt;="&amp;DATE(2026,1,1),'PINDAH AGAMA'!$D$2:$D$1001,"&lt;="&amp;DATE(2026,12,31)))</f>
        <v/>
      </c>
      <c r="L57" s="19">
        <f>IF($A57="","",D57+E57+F57+G57-H57-I57-J57-K57)</f>
        <v/>
      </c>
      <c r="M57" s="19">
        <f>IF($A57="","",COUNTIFS('KOMUNI PERTAMA'!$C$2:$C$1001,$A57,'KOMUNI PERTAMA'!$E$2:$E$1001,"&gt;="&amp;DATE(2026,1,1),'KOMUNI PERTAMA'!$E$2:$E$1001,"&lt;="&amp;DATE(2026,12,31)))</f>
        <v/>
      </c>
      <c r="N57" s="19">
        <f>IF($A57="","",COUNTIFS('PERKAWINAN GEREJANI'!$C$2:$C$1001,$A57,'PERKAWINAN GEREJANI'!$D$2:$D$1001,"&gt;="&amp;DATE(2026,1,1),'PERKAWINAN GEREJANI'!$D$2:$D$1001,"&lt;="&amp;DATE(2026,12,31)))</f>
        <v/>
      </c>
      <c r="O57" s="19">
        <f>IF($A57="","",COUNTIFS(PEMBUBARAN!$C$2:$C$1001,$A57,PEMBUBARAN!$D$2:$D$1001,"&gt;="&amp;DATE(2026,1,1),PEMBUBARAN!$D$2:$D$1001,"&lt;="&amp;DATE(2026,12,31)))</f>
        <v/>
      </c>
      <c r="P57" s="19">
        <f>IF($A57="","",COUNTIFS('PERMINYAKAN SUCI'!$C$2:$C$1001,$A57,'PERMINYAKAN SUCI'!$E$2:$E$1001,"&gt;="&amp;DATE(2026,1,1),'PERMINYAKAN SUCI'!$E$2:$E$1001,"&lt;="&amp;DATE(2026,12,31)))</f>
        <v/>
      </c>
      <c r="Q57" s="19">
        <f>IF($A57="","",H57)</f>
        <v/>
      </c>
      <c r="R57" s="19">
        <f>IF($A57="","",COUNTIFS('SEMINARI BIARA'!$C$2:$C$1001,$A57,'SEMINARI BIARA'!$F$2:$F$1001,"Mulai masuk 2026",'SEMINARI BIARA'!$G$2:$G$1001,"&gt;="&amp;DATE(2026,1,1),'SEMINARI BIARA'!$G$2:$G$1001,"&lt;="&amp;DATE(2026,12,31)))</f>
        <v/>
      </c>
      <c r="S57" s="19">
        <f>IF($A57="","",COUNTIFS('SEMINARI BIARA'!$C$2:$C$1001,$A57,'SEMINARI BIARA'!$F$2:$F$1001,"Sedang belajar 2026"))</f>
        <v/>
      </c>
    </row>
    <row r="58" ht="14.25" customHeight="1" s="38">
      <c r="A58" s="18" t="n"/>
      <c r="B58" s="19">
        <f>IF($A58="","",COUNTIF('DATA KK'!$E$2:$E$501,$A58))</f>
        <v/>
      </c>
      <c r="C58" s="19">
        <f>IF($A58="","",COUNTIF('DATA UMAT'!$H$2:$H$2001,$A58))</f>
        <v/>
      </c>
      <c r="D58" s="19">
        <f>IF($A58="","",COUNTIFS(BAPTIS!$C$2:$C$1001,$A58,BAPTIS!$F$2:$F$1001,"&gt;="&amp;DATE(2026,1,1),BAPTIS!$F$2:$F$1001,"&lt;="&amp;DATE(2026,12,31)))</f>
        <v/>
      </c>
      <c r="E58" s="19">
        <f>IF($A58="","",COUNTIFS('DITERIMA MASUK'!$C$2:$C$1001,$A58,'DITERIMA MASUK'!$D$2:$D$1001,"&gt;="&amp;DATE(2026,1,1),'DITERIMA MASUK'!$D$2:$D$1001,"&lt;="&amp;DATE(2026,12,31)))</f>
        <v/>
      </c>
      <c r="F58" s="19">
        <f>IF($A58="","",COUNTIFS(MUTASI!$C$2:$C$1001,$A58,MUTASI!$D$2:$D$1001,"Masuk",MUTASI!$F$2:$F$1001,"Paroki lain dalam keuskupan",MUTASI!$E$2:$E$1001,"&gt;="&amp;DATE(2026,1,1),MUTASI!$E$2:$E$1001,"&lt;="&amp;DATE(2026,12,31)))</f>
        <v/>
      </c>
      <c r="G58" s="19">
        <f>IF($A58="","",COUNTIFS(MUTASI!$C$2:$C$1001,$A58,MUTASI!$D$2:$D$1001,"Masuk",MUTASI!$F$2:$F$1001,"Keuskupan lain",MUTASI!$E$2:$E$1001,"&gt;="&amp;DATE(2026,1,1),MUTASI!$E$2:$E$1001,"&lt;="&amp;DATE(2026,12,31)))</f>
        <v/>
      </c>
      <c r="H58" s="19">
        <f>IF($A58="","",COUNTIFS(KEMATIAN!$C$2:$C$1001,$A58,KEMATIAN!$F$2:$F$1001,"&gt;="&amp;DATE(2026,1,1),KEMATIAN!$F$2:$F$1001,"&lt;="&amp;DATE(2026,12,31)))</f>
        <v/>
      </c>
      <c r="I58" s="19">
        <f>IF($A58="","",COUNTIFS(MUTASI!$C$2:$C$1001,$A58,MUTASI!$D$2:$D$1001,"Keluar",MUTASI!$F$2:$F$1001,"Paroki lain dalam keuskupan",MUTASI!$E$2:$E$1001,"&gt;="&amp;DATE(2026,1,1),MUTASI!$E$2:$E$1001,"&lt;="&amp;DATE(2026,12,31)))</f>
        <v/>
      </c>
      <c r="J58" s="19">
        <f>IF($A58="","",COUNTIFS(MUTASI!$C$2:$C$1001,$A58,MUTASI!$D$2:$D$1001,"Keluar",MUTASI!$F$2:$F$1001,"Keuskupan lain",MUTASI!$E$2:$E$1001,"&gt;="&amp;DATE(2026,1,1),MUTASI!$E$2:$E$1001,"&lt;="&amp;DATE(2026,12,31)))</f>
        <v/>
      </c>
      <c r="K58" s="19">
        <f>IF($A58="","",COUNTIFS('PINDAH AGAMA'!$C$2:$C$1001,$A58,'PINDAH AGAMA'!$D$2:$D$1001,"&gt;="&amp;DATE(2026,1,1),'PINDAH AGAMA'!$D$2:$D$1001,"&lt;="&amp;DATE(2026,12,31)))</f>
        <v/>
      </c>
      <c r="L58" s="19">
        <f>IF($A58="","",D58+E58+F58+G58-H58-I58-J58-K58)</f>
        <v/>
      </c>
      <c r="M58" s="19">
        <f>IF($A58="","",COUNTIFS('KOMUNI PERTAMA'!$C$2:$C$1001,$A58,'KOMUNI PERTAMA'!$E$2:$E$1001,"&gt;="&amp;DATE(2026,1,1),'KOMUNI PERTAMA'!$E$2:$E$1001,"&lt;="&amp;DATE(2026,12,31)))</f>
        <v/>
      </c>
      <c r="N58" s="19">
        <f>IF($A58="","",COUNTIFS('PERKAWINAN GEREJANI'!$C$2:$C$1001,$A58,'PERKAWINAN GEREJANI'!$D$2:$D$1001,"&gt;="&amp;DATE(2026,1,1),'PERKAWINAN GEREJANI'!$D$2:$D$1001,"&lt;="&amp;DATE(2026,12,31)))</f>
        <v/>
      </c>
      <c r="O58" s="19">
        <f>IF($A58="","",COUNTIFS(PEMBUBARAN!$C$2:$C$1001,$A58,PEMBUBARAN!$D$2:$D$1001,"&gt;="&amp;DATE(2026,1,1),PEMBUBARAN!$D$2:$D$1001,"&lt;="&amp;DATE(2026,12,31)))</f>
        <v/>
      </c>
      <c r="P58" s="19">
        <f>IF($A58="","",COUNTIFS('PERMINYAKAN SUCI'!$C$2:$C$1001,$A58,'PERMINYAKAN SUCI'!$E$2:$E$1001,"&gt;="&amp;DATE(2026,1,1),'PERMINYAKAN SUCI'!$E$2:$E$1001,"&lt;="&amp;DATE(2026,12,31)))</f>
        <v/>
      </c>
      <c r="Q58" s="19">
        <f>IF($A58="","",H58)</f>
        <v/>
      </c>
      <c r="R58" s="19">
        <f>IF($A58="","",COUNTIFS('SEMINARI BIARA'!$C$2:$C$1001,$A58,'SEMINARI BIARA'!$F$2:$F$1001,"Mulai masuk 2026",'SEMINARI BIARA'!$G$2:$G$1001,"&gt;="&amp;DATE(2026,1,1),'SEMINARI BIARA'!$G$2:$G$1001,"&lt;="&amp;DATE(2026,12,31)))</f>
        <v/>
      </c>
      <c r="S58" s="19">
        <f>IF($A58="","",COUNTIFS('SEMINARI BIARA'!$C$2:$C$1001,$A58,'SEMINARI BIARA'!$F$2:$F$1001,"Sedang belajar 2026"))</f>
        <v/>
      </c>
    </row>
    <row r="59" ht="14.25" customHeight="1" s="38">
      <c r="A59" s="18" t="n"/>
      <c r="B59" s="19">
        <f>IF($A59="","",COUNTIF('DATA KK'!$E$2:$E$501,$A59))</f>
        <v/>
      </c>
      <c r="C59" s="19">
        <f>IF($A59="","",COUNTIF('DATA UMAT'!$H$2:$H$2001,$A59))</f>
        <v/>
      </c>
      <c r="D59" s="19">
        <f>IF($A59="","",COUNTIFS(BAPTIS!$C$2:$C$1001,$A59,BAPTIS!$F$2:$F$1001,"&gt;="&amp;DATE(2026,1,1),BAPTIS!$F$2:$F$1001,"&lt;="&amp;DATE(2026,12,31)))</f>
        <v/>
      </c>
      <c r="E59" s="19">
        <f>IF($A59="","",COUNTIFS('DITERIMA MASUK'!$C$2:$C$1001,$A59,'DITERIMA MASUK'!$D$2:$D$1001,"&gt;="&amp;DATE(2026,1,1),'DITERIMA MASUK'!$D$2:$D$1001,"&lt;="&amp;DATE(2026,12,31)))</f>
        <v/>
      </c>
      <c r="F59" s="19">
        <f>IF($A59="","",COUNTIFS(MUTASI!$C$2:$C$1001,$A59,MUTASI!$D$2:$D$1001,"Masuk",MUTASI!$F$2:$F$1001,"Paroki lain dalam keuskupan",MUTASI!$E$2:$E$1001,"&gt;="&amp;DATE(2026,1,1),MUTASI!$E$2:$E$1001,"&lt;="&amp;DATE(2026,12,31)))</f>
        <v/>
      </c>
      <c r="G59" s="19">
        <f>IF($A59="","",COUNTIFS(MUTASI!$C$2:$C$1001,$A59,MUTASI!$D$2:$D$1001,"Masuk",MUTASI!$F$2:$F$1001,"Keuskupan lain",MUTASI!$E$2:$E$1001,"&gt;="&amp;DATE(2026,1,1),MUTASI!$E$2:$E$1001,"&lt;="&amp;DATE(2026,12,31)))</f>
        <v/>
      </c>
      <c r="H59" s="19">
        <f>IF($A59="","",COUNTIFS(KEMATIAN!$C$2:$C$1001,$A59,KEMATIAN!$F$2:$F$1001,"&gt;="&amp;DATE(2026,1,1),KEMATIAN!$F$2:$F$1001,"&lt;="&amp;DATE(2026,12,31)))</f>
        <v/>
      </c>
      <c r="I59" s="19">
        <f>IF($A59="","",COUNTIFS(MUTASI!$C$2:$C$1001,$A59,MUTASI!$D$2:$D$1001,"Keluar",MUTASI!$F$2:$F$1001,"Paroki lain dalam keuskupan",MUTASI!$E$2:$E$1001,"&gt;="&amp;DATE(2026,1,1),MUTASI!$E$2:$E$1001,"&lt;="&amp;DATE(2026,12,31)))</f>
        <v/>
      </c>
      <c r="J59" s="19">
        <f>IF($A59="","",COUNTIFS(MUTASI!$C$2:$C$1001,$A59,MUTASI!$D$2:$D$1001,"Keluar",MUTASI!$F$2:$F$1001,"Keuskupan lain",MUTASI!$E$2:$E$1001,"&gt;="&amp;DATE(2026,1,1),MUTASI!$E$2:$E$1001,"&lt;="&amp;DATE(2026,12,31)))</f>
        <v/>
      </c>
      <c r="K59" s="19">
        <f>IF($A59="","",COUNTIFS('PINDAH AGAMA'!$C$2:$C$1001,$A59,'PINDAH AGAMA'!$D$2:$D$1001,"&gt;="&amp;DATE(2026,1,1),'PINDAH AGAMA'!$D$2:$D$1001,"&lt;="&amp;DATE(2026,12,31)))</f>
        <v/>
      </c>
      <c r="L59" s="19">
        <f>IF($A59="","",D59+E59+F59+G59-H59-I59-J59-K59)</f>
        <v/>
      </c>
      <c r="M59" s="19">
        <f>IF($A59="","",COUNTIFS('KOMUNI PERTAMA'!$C$2:$C$1001,$A59,'KOMUNI PERTAMA'!$E$2:$E$1001,"&gt;="&amp;DATE(2026,1,1),'KOMUNI PERTAMA'!$E$2:$E$1001,"&lt;="&amp;DATE(2026,12,31)))</f>
        <v/>
      </c>
      <c r="N59" s="19">
        <f>IF($A59="","",COUNTIFS('PERKAWINAN GEREJANI'!$C$2:$C$1001,$A59,'PERKAWINAN GEREJANI'!$D$2:$D$1001,"&gt;="&amp;DATE(2026,1,1),'PERKAWINAN GEREJANI'!$D$2:$D$1001,"&lt;="&amp;DATE(2026,12,31)))</f>
        <v/>
      </c>
      <c r="O59" s="19">
        <f>IF($A59="","",COUNTIFS(PEMBUBARAN!$C$2:$C$1001,$A59,PEMBUBARAN!$D$2:$D$1001,"&gt;="&amp;DATE(2026,1,1),PEMBUBARAN!$D$2:$D$1001,"&lt;="&amp;DATE(2026,12,31)))</f>
        <v/>
      </c>
      <c r="P59" s="19">
        <f>IF($A59="","",COUNTIFS('PERMINYAKAN SUCI'!$C$2:$C$1001,$A59,'PERMINYAKAN SUCI'!$E$2:$E$1001,"&gt;="&amp;DATE(2026,1,1),'PERMINYAKAN SUCI'!$E$2:$E$1001,"&lt;="&amp;DATE(2026,12,31)))</f>
        <v/>
      </c>
      <c r="Q59" s="19">
        <f>IF($A59="","",H59)</f>
        <v/>
      </c>
      <c r="R59" s="19">
        <f>IF($A59="","",COUNTIFS('SEMINARI BIARA'!$C$2:$C$1001,$A59,'SEMINARI BIARA'!$F$2:$F$1001,"Mulai masuk 2026",'SEMINARI BIARA'!$G$2:$G$1001,"&gt;="&amp;DATE(2026,1,1),'SEMINARI BIARA'!$G$2:$G$1001,"&lt;="&amp;DATE(2026,12,31)))</f>
        <v/>
      </c>
      <c r="S59" s="19">
        <f>IF($A59="","",COUNTIFS('SEMINARI BIARA'!$C$2:$C$1001,$A59,'SEMINARI BIARA'!$F$2:$F$1001,"Sedang belajar 2026"))</f>
        <v/>
      </c>
    </row>
    <row r="60" ht="14.25" customHeight="1" s="38">
      <c r="A60" s="18" t="n"/>
      <c r="B60" s="19">
        <f>IF($A60="","",COUNTIF('DATA KK'!$E$2:$E$501,$A60))</f>
        <v/>
      </c>
      <c r="C60" s="19">
        <f>IF($A60="","",COUNTIF('DATA UMAT'!$H$2:$H$2001,$A60))</f>
        <v/>
      </c>
      <c r="D60" s="19">
        <f>IF($A60="","",COUNTIFS(BAPTIS!$C$2:$C$1001,$A60,BAPTIS!$F$2:$F$1001,"&gt;="&amp;DATE(2026,1,1),BAPTIS!$F$2:$F$1001,"&lt;="&amp;DATE(2026,12,31)))</f>
        <v/>
      </c>
      <c r="E60" s="19">
        <f>IF($A60="","",COUNTIFS('DITERIMA MASUK'!$C$2:$C$1001,$A60,'DITERIMA MASUK'!$D$2:$D$1001,"&gt;="&amp;DATE(2026,1,1),'DITERIMA MASUK'!$D$2:$D$1001,"&lt;="&amp;DATE(2026,12,31)))</f>
        <v/>
      </c>
      <c r="F60" s="19">
        <f>IF($A60="","",COUNTIFS(MUTASI!$C$2:$C$1001,$A60,MUTASI!$D$2:$D$1001,"Masuk",MUTASI!$F$2:$F$1001,"Paroki lain dalam keuskupan",MUTASI!$E$2:$E$1001,"&gt;="&amp;DATE(2026,1,1),MUTASI!$E$2:$E$1001,"&lt;="&amp;DATE(2026,12,31)))</f>
        <v/>
      </c>
      <c r="G60" s="19">
        <f>IF($A60="","",COUNTIFS(MUTASI!$C$2:$C$1001,$A60,MUTASI!$D$2:$D$1001,"Masuk",MUTASI!$F$2:$F$1001,"Keuskupan lain",MUTASI!$E$2:$E$1001,"&gt;="&amp;DATE(2026,1,1),MUTASI!$E$2:$E$1001,"&lt;="&amp;DATE(2026,12,31)))</f>
        <v/>
      </c>
      <c r="H60" s="19">
        <f>IF($A60="","",COUNTIFS(KEMATIAN!$C$2:$C$1001,$A60,KEMATIAN!$F$2:$F$1001,"&gt;="&amp;DATE(2026,1,1),KEMATIAN!$F$2:$F$1001,"&lt;="&amp;DATE(2026,12,31)))</f>
        <v/>
      </c>
      <c r="I60" s="19">
        <f>IF($A60="","",COUNTIFS(MUTASI!$C$2:$C$1001,$A60,MUTASI!$D$2:$D$1001,"Keluar",MUTASI!$F$2:$F$1001,"Paroki lain dalam keuskupan",MUTASI!$E$2:$E$1001,"&gt;="&amp;DATE(2026,1,1),MUTASI!$E$2:$E$1001,"&lt;="&amp;DATE(2026,12,31)))</f>
        <v/>
      </c>
      <c r="J60" s="19">
        <f>IF($A60="","",COUNTIFS(MUTASI!$C$2:$C$1001,$A60,MUTASI!$D$2:$D$1001,"Keluar",MUTASI!$F$2:$F$1001,"Keuskupan lain",MUTASI!$E$2:$E$1001,"&gt;="&amp;DATE(2026,1,1),MUTASI!$E$2:$E$1001,"&lt;="&amp;DATE(2026,12,31)))</f>
        <v/>
      </c>
      <c r="K60" s="19">
        <f>IF($A60="","",COUNTIFS('PINDAH AGAMA'!$C$2:$C$1001,$A60,'PINDAH AGAMA'!$D$2:$D$1001,"&gt;="&amp;DATE(2026,1,1),'PINDAH AGAMA'!$D$2:$D$1001,"&lt;="&amp;DATE(2026,12,31)))</f>
        <v/>
      </c>
      <c r="L60" s="19">
        <f>IF($A60="","",D60+E60+F60+G60-H60-I60-J60-K60)</f>
        <v/>
      </c>
      <c r="M60" s="19">
        <f>IF($A60="","",COUNTIFS('KOMUNI PERTAMA'!$C$2:$C$1001,$A60,'KOMUNI PERTAMA'!$E$2:$E$1001,"&gt;="&amp;DATE(2026,1,1),'KOMUNI PERTAMA'!$E$2:$E$1001,"&lt;="&amp;DATE(2026,12,31)))</f>
        <v/>
      </c>
      <c r="N60" s="19">
        <f>IF($A60="","",COUNTIFS('PERKAWINAN GEREJANI'!$C$2:$C$1001,$A60,'PERKAWINAN GEREJANI'!$D$2:$D$1001,"&gt;="&amp;DATE(2026,1,1),'PERKAWINAN GEREJANI'!$D$2:$D$1001,"&lt;="&amp;DATE(2026,12,31)))</f>
        <v/>
      </c>
      <c r="O60" s="19">
        <f>IF($A60="","",COUNTIFS(PEMBUBARAN!$C$2:$C$1001,$A60,PEMBUBARAN!$D$2:$D$1001,"&gt;="&amp;DATE(2026,1,1),PEMBUBARAN!$D$2:$D$1001,"&lt;="&amp;DATE(2026,12,31)))</f>
        <v/>
      </c>
      <c r="P60" s="19">
        <f>IF($A60="","",COUNTIFS('PERMINYAKAN SUCI'!$C$2:$C$1001,$A60,'PERMINYAKAN SUCI'!$E$2:$E$1001,"&gt;="&amp;DATE(2026,1,1),'PERMINYAKAN SUCI'!$E$2:$E$1001,"&lt;="&amp;DATE(2026,12,31)))</f>
        <v/>
      </c>
      <c r="Q60" s="19">
        <f>IF($A60="","",H60)</f>
        <v/>
      </c>
      <c r="R60" s="19">
        <f>IF($A60="","",COUNTIFS('SEMINARI BIARA'!$C$2:$C$1001,$A60,'SEMINARI BIARA'!$F$2:$F$1001,"Mulai masuk 2026",'SEMINARI BIARA'!$G$2:$G$1001,"&gt;="&amp;DATE(2026,1,1),'SEMINARI BIARA'!$G$2:$G$1001,"&lt;="&amp;DATE(2026,12,31)))</f>
        <v/>
      </c>
      <c r="S60" s="19">
        <f>IF($A60="","",COUNTIFS('SEMINARI BIARA'!$C$2:$C$1001,$A60,'SEMINARI BIARA'!$F$2:$F$1001,"Sedang belajar 2026"))</f>
        <v/>
      </c>
    </row>
    <row r="61" ht="14.25" customHeight="1" s="38">
      <c r="A61" s="18" t="n"/>
      <c r="B61" s="19">
        <f>IF($A61="","",COUNTIF('DATA KK'!$E$2:$E$501,$A61))</f>
        <v/>
      </c>
      <c r="C61" s="19">
        <f>IF($A61="","",COUNTIF('DATA UMAT'!$H$2:$H$2001,$A61))</f>
        <v/>
      </c>
      <c r="D61" s="19">
        <f>IF($A61="","",COUNTIFS(BAPTIS!$C$2:$C$1001,$A61,BAPTIS!$F$2:$F$1001,"&gt;="&amp;DATE(2026,1,1),BAPTIS!$F$2:$F$1001,"&lt;="&amp;DATE(2026,12,31)))</f>
        <v/>
      </c>
      <c r="E61" s="19">
        <f>IF($A61="","",COUNTIFS('DITERIMA MASUK'!$C$2:$C$1001,$A61,'DITERIMA MASUK'!$D$2:$D$1001,"&gt;="&amp;DATE(2026,1,1),'DITERIMA MASUK'!$D$2:$D$1001,"&lt;="&amp;DATE(2026,12,31)))</f>
        <v/>
      </c>
      <c r="F61" s="19">
        <f>IF($A61="","",COUNTIFS(MUTASI!$C$2:$C$1001,$A61,MUTASI!$D$2:$D$1001,"Masuk",MUTASI!$F$2:$F$1001,"Paroki lain dalam keuskupan",MUTASI!$E$2:$E$1001,"&gt;="&amp;DATE(2026,1,1),MUTASI!$E$2:$E$1001,"&lt;="&amp;DATE(2026,12,31)))</f>
        <v/>
      </c>
      <c r="G61" s="19">
        <f>IF($A61="","",COUNTIFS(MUTASI!$C$2:$C$1001,$A61,MUTASI!$D$2:$D$1001,"Masuk",MUTASI!$F$2:$F$1001,"Keuskupan lain",MUTASI!$E$2:$E$1001,"&gt;="&amp;DATE(2026,1,1),MUTASI!$E$2:$E$1001,"&lt;="&amp;DATE(2026,12,31)))</f>
        <v/>
      </c>
      <c r="H61" s="19">
        <f>IF($A61="","",COUNTIFS(KEMATIAN!$C$2:$C$1001,$A61,KEMATIAN!$F$2:$F$1001,"&gt;="&amp;DATE(2026,1,1),KEMATIAN!$F$2:$F$1001,"&lt;="&amp;DATE(2026,12,31)))</f>
        <v/>
      </c>
      <c r="I61" s="19">
        <f>IF($A61="","",COUNTIFS(MUTASI!$C$2:$C$1001,$A61,MUTASI!$D$2:$D$1001,"Keluar",MUTASI!$F$2:$F$1001,"Paroki lain dalam keuskupan",MUTASI!$E$2:$E$1001,"&gt;="&amp;DATE(2026,1,1),MUTASI!$E$2:$E$1001,"&lt;="&amp;DATE(2026,12,31)))</f>
        <v/>
      </c>
      <c r="J61" s="19">
        <f>IF($A61="","",COUNTIFS(MUTASI!$C$2:$C$1001,$A61,MUTASI!$D$2:$D$1001,"Keluar",MUTASI!$F$2:$F$1001,"Keuskupan lain",MUTASI!$E$2:$E$1001,"&gt;="&amp;DATE(2026,1,1),MUTASI!$E$2:$E$1001,"&lt;="&amp;DATE(2026,12,31)))</f>
        <v/>
      </c>
      <c r="K61" s="19">
        <f>IF($A61="","",COUNTIFS('PINDAH AGAMA'!$C$2:$C$1001,$A61,'PINDAH AGAMA'!$D$2:$D$1001,"&gt;="&amp;DATE(2026,1,1),'PINDAH AGAMA'!$D$2:$D$1001,"&lt;="&amp;DATE(2026,12,31)))</f>
        <v/>
      </c>
      <c r="L61" s="19">
        <f>IF($A61="","",D61+E61+F61+G61-H61-I61-J61-K61)</f>
        <v/>
      </c>
      <c r="M61" s="19">
        <f>IF($A61="","",COUNTIFS('KOMUNI PERTAMA'!$C$2:$C$1001,$A61,'KOMUNI PERTAMA'!$E$2:$E$1001,"&gt;="&amp;DATE(2026,1,1),'KOMUNI PERTAMA'!$E$2:$E$1001,"&lt;="&amp;DATE(2026,12,31)))</f>
        <v/>
      </c>
      <c r="N61" s="19">
        <f>IF($A61="","",COUNTIFS('PERKAWINAN GEREJANI'!$C$2:$C$1001,$A61,'PERKAWINAN GEREJANI'!$D$2:$D$1001,"&gt;="&amp;DATE(2026,1,1),'PERKAWINAN GEREJANI'!$D$2:$D$1001,"&lt;="&amp;DATE(2026,12,31)))</f>
        <v/>
      </c>
      <c r="O61" s="19">
        <f>IF($A61="","",COUNTIFS(PEMBUBARAN!$C$2:$C$1001,$A61,PEMBUBARAN!$D$2:$D$1001,"&gt;="&amp;DATE(2026,1,1),PEMBUBARAN!$D$2:$D$1001,"&lt;="&amp;DATE(2026,12,31)))</f>
        <v/>
      </c>
      <c r="P61" s="19">
        <f>IF($A61="","",COUNTIFS('PERMINYAKAN SUCI'!$C$2:$C$1001,$A61,'PERMINYAKAN SUCI'!$E$2:$E$1001,"&gt;="&amp;DATE(2026,1,1),'PERMINYAKAN SUCI'!$E$2:$E$1001,"&lt;="&amp;DATE(2026,12,31)))</f>
        <v/>
      </c>
      <c r="Q61" s="19">
        <f>IF($A61="","",H61)</f>
        <v/>
      </c>
      <c r="R61" s="19">
        <f>IF($A61="","",COUNTIFS('SEMINARI BIARA'!$C$2:$C$1001,$A61,'SEMINARI BIARA'!$F$2:$F$1001,"Mulai masuk 2026",'SEMINARI BIARA'!$G$2:$G$1001,"&gt;="&amp;DATE(2026,1,1),'SEMINARI BIARA'!$G$2:$G$1001,"&lt;="&amp;DATE(2026,12,31)))</f>
        <v/>
      </c>
      <c r="S61" s="19">
        <f>IF($A61="","",COUNTIFS('SEMINARI BIARA'!$C$2:$C$1001,$A61,'SEMINARI BIARA'!$F$2:$F$1001,"Sedang belajar 2026"))</f>
        <v/>
      </c>
    </row>
    <row r="62" ht="14.25" customHeight="1" s="38">
      <c r="A62" s="18" t="n"/>
      <c r="B62" s="19">
        <f>IF($A62="","",COUNTIF('DATA KK'!$E$2:$E$501,$A62))</f>
        <v/>
      </c>
      <c r="C62" s="19">
        <f>IF($A62="","",COUNTIF('DATA UMAT'!$H$2:$H$2001,$A62))</f>
        <v/>
      </c>
      <c r="D62" s="19">
        <f>IF($A62="","",COUNTIFS(BAPTIS!$C$2:$C$1001,$A62,BAPTIS!$F$2:$F$1001,"&gt;="&amp;DATE(2026,1,1),BAPTIS!$F$2:$F$1001,"&lt;="&amp;DATE(2026,12,31)))</f>
        <v/>
      </c>
      <c r="E62" s="19">
        <f>IF($A62="","",COUNTIFS('DITERIMA MASUK'!$C$2:$C$1001,$A62,'DITERIMA MASUK'!$D$2:$D$1001,"&gt;="&amp;DATE(2026,1,1),'DITERIMA MASUK'!$D$2:$D$1001,"&lt;="&amp;DATE(2026,12,31)))</f>
        <v/>
      </c>
      <c r="F62" s="19">
        <f>IF($A62="","",COUNTIFS(MUTASI!$C$2:$C$1001,$A62,MUTASI!$D$2:$D$1001,"Masuk",MUTASI!$F$2:$F$1001,"Paroki lain dalam keuskupan",MUTASI!$E$2:$E$1001,"&gt;="&amp;DATE(2026,1,1),MUTASI!$E$2:$E$1001,"&lt;="&amp;DATE(2026,12,31)))</f>
        <v/>
      </c>
      <c r="G62" s="19">
        <f>IF($A62="","",COUNTIFS(MUTASI!$C$2:$C$1001,$A62,MUTASI!$D$2:$D$1001,"Masuk",MUTASI!$F$2:$F$1001,"Keuskupan lain",MUTASI!$E$2:$E$1001,"&gt;="&amp;DATE(2026,1,1),MUTASI!$E$2:$E$1001,"&lt;="&amp;DATE(2026,12,31)))</f>
        <v/>
      </c>
      <c r="H62" s="19">
        <f>IF($A62="","",COUNTIFS(KEMATIAN!$C$2:$C$1001,$A62,KEMATIAN!$F$2:$F$1001,"&gt;="&amp;DATE(2026,1,1),KEMATIAN!$F$2:$F$1001,"&lt;="&amp;DATE(2026,12,31)))</f>
        <v/>
      </c>
      <c r="I62" s="19">
        <f>IF($A62="","",COUNTIFS(MUTASI!$C$2:$C$1001,$A62,MUTASI!$D$2:$D$1001,"Keluar",MUTASI!$F$2:$F$1001,"Paroki lain dalam keuskupan",MUTASI!$E$2:$E$1001,"&gt;="&amp;DATE(2026,1,1),MUTASI!$E$2:$E$1001,"&lt;="&amp;DATE(2026,12,31)))</f>
        <v/>
      </c>
      <c r="J62" s="19">
        <f>IF($A62="","",COUNTIFS(MUTASI!$C$2:$C$1001,$A62,MUTASI!$D$2:$D$1001,"Keluar",MUTASI!$F$2:$F$1001,"Keuskupan lain",MUTASI!$E$2:$E$1001,"&gt;="&amp;DATE(2026,1,1),MUTASI!$E$2:$E$1001,"&lt;="&amp;DATE(2026,12,31)))</f>
        <v/>
      </c>
      <c r="K62" s="19">
        <f>IF($A62="","",COUNTIFS('PINDAH AGAMA'!$C$2:$C$1001,$A62,'PINDAH AGAMA'!$D$2:$D$1001,"&gt;="&amp;DATE(2026,1,1),'PINDAH AGAMA'!$D$2:$D$1001,"&lt;="&amp;DATE(2026,12,31)))</f>
        <v/>
      </c>
      <c r="L62" s="19">
        <f>IF($A62="","",D62+E62+F62+G62-H62-I62-J62-K62)</f>
        <v/>
      </c>
      <c r="M62" s="19">
        <f>IF($A62="","",COUNTIFS('KOMUNI PERTAMA'!$C$2:$C$1001,$A62,'KOMUNI PERTAMA'!$E$2:$E$1001,"&gt;="&amp;DATE(2026,1,1),'KOMUNI PERTAMA'!$E$2:$E$1001,"&lt;="&amp;DATE(2026,12,31)))</f>
        <v/>
      </c>
      <c r="N62" s="19">
        <f>IF($A62="","",COUNTIFS('PERKAWINAN GEREJANI'!$C$2:$C$1001,$A62,'PERKAWINAN GEREJANI'!$D$2:$D$1001,"&gt;="&amp;DATE(2026,1,1),'PERKAWINAN GEREJANI'!$D$2:$D$1001,"&lt;="&amp;DATE(2026,12,31)))</f>
        <v/>
      </c>
      <c r="O62" s="19">
        <f>IF($A62="","",COUNTIFS(PEMBUBARAN!$C$2:$C$1001,$A62,PEMBUBARAN!$D$2:$D$1001,"&gt;="&amp;DATE(2026,1,1),PEMBUBARAN!$D$2:$D$1001,"&lt;="&amp;DATE(2026,12,31)))</f>
        <v/>
      </c>
      <c r="P62" s="19">
        <f>IF($A62="","",COUNTIFS('PERMINYAKAN SUCI'!$C$2:$C$1001,$A62,'PERMINYAKAN SUCI'!$E$2:$E$1001,"&gt;="&amp;DATE(2026,1,1),'PERMINYAKAN SUCI'!$E$2:$E$1001,"&lt;="&amp;DATE(2026,12,31)))</f>
        <v/>
      </c>
      <c r="Q62" s="19">
        <f>IF($A62="","",H62)</f>
        <v/>
      </c>
      <c r="R62" s="19">
        <f>IF($A62="","",COUNTIFS('SEMINARI BIARA'!$C$2:$C$1001,$A62,'SEMINARI BIARA'!$F$2:$F$1001,"Mulai masuk 2026",'SEMINARI BIARA'!$G$2:$G$1001,"&gt;="&amp;DATE(2026,1,1),'SEMINARI BIARA'!$G$2:$G$1001,"&lt;="&amp;DATE(2026,12,31)))</f>
        <v/>
      </c>
      <c r="S62" s="19">
        <f>IF($A62="","",COUNTIFS('SEMINARI BIARA'!$C$2:$C$1001,$A62,'SEMINARI BIARA'!$F$2:$F$1001,"Sedang belajar 2026"))</f>
        <v/>
      </c>
    </row>
    <row r="63" ht="14.25" customHeight="1" s="38">
      <c r="A63" s="18" t="n"/>
      <c r="B63" s="19">
        <f>IF($A63="","",COUNTIF('DATA KK'!$E$2:$E$501,$A63))</f>
        <v/>
      </c>
      <c r="C63" s="19">
        <f>IF($A63="","",COUNTIF('DATA UMAT'!$H$2:$H$2001,$A63))</f>
        <v/>
      </c>
      <c r="D63" s="19">
        <f>IF($A63="","",COUNTIFS(BAPTIS!$C$2:$C$1001,$A63,BAPTIS!$F$2:$F$1001,"&gt;="&amp;DATE(2026,1,1),BAPTIS!$F$2:$F$1001,"&lt;="&amp;DATE(2026,12,31)))</f>
        <v/>
      </c>
      <c r="E63" s="19">
        <f>IF($A63="","",COUNTIFS('DITERIMA MASUK'!$C$2:$C$1001,$A63,'DITERIMA MASUK'!$D$2:$D$1001,"&gt;="&amp;DATE(2026,1,1),'DITERIMA MASUK'!$D$2:$D$1001,"&lt;="&amp;DATE(2026,12,31)))</f>
        <v/>
      </c>
      <c r="F63" s="19">
        <f>IF($A63="","",COUNTIFS(MUTASI!$C$2:$C$1001,$A63,MUTASI!$D$2:$D$1001,"Masuk",MUTASI!$F$2:$F$1001,"Paroki lain dalam keuskupan",MUTASI!$E$2:$E$1001,"&gt;="&amp;DATE(2026,1,1),MUTASI!$E$2:$E$1001,"&lt;="&amp;DATE(2026,12,31)))</f>
        <v/>
      </c>
      <c r="G63" s="19">
        <f>IF($A63="","",COUNTIFS(MUTASI!$C$2:$C$1001,$A63,MUTASI!$D$2:$D$1001,"Masuk",MUTASI!$F$2:$F$1001,"Keuskupan lain",MUTASI!$E$2:$E$1001,"&gt;="&amp;DATE(2026,1,1),MUTASI!$E$2:$E$1001,"&lt;="&amp;DATE(2026,12,31)))</f>
        <v/>
      </c>
      <c r="H63" s="19">
        <f>IF($A63="","",COUNTIFS(KEMATIAN!$C$2:$C$1001,$A63,KEMATIAN!$F$2:$F$1001,"&gt;="&amp;DATE(2026,1,1),KEMATIAN!$F$2:$F$1001,"&lt;="&amp;DATE(2026,12,31)))</f>
        <v/>
      </c>
      <c r="I63" s="19">
        <f>IF($A63="","",COUNTIFS(MUTASI!$C$2:$C$1001,$A63,MUTASI!$D$2:$D$1001,"Keluar",MUTASI!$F$2:$F$1001,"Paroki lain dalam keuskupan",MUTASI!$E$2:$E$1001,"&gt;="&amp;DATE(2026,1,1),MUTASI!$E$2:$E$1001,"&lt;="&amp;DATE(2026,12,31)))</f>
        <v/>
      </c>
      <c r="J63" s="19">
        <f>IF($A63="","",COUNTIFS(MUTASI!$C$2:$C$1001,$A63,MUTASI!$D$2:$D$1001,"Keluar",MUTASI!$F$2:$F$1001,"Keuskupan lain",MUTASI!$E$2:$E$1001,"&gt;="&amp;DATE(2026,1,1),MUTASI!$E$2:$E$1001,"&lt;="&amp;DATE(2026,12,31)))</f>
        <v/>
      </c>
      <c r="K63" s="19">
        <f>IF($A63="","",COUNTIFS('PINDAH AGAMA'!$C$2:$C$1001,$A63,'PINDAH AGAMA'!$D$2:$D$1001,"&gt;="&amp;DATE(2026,1,1),'PINDAH AGAMA'!$D$2:$D$1001,"&lt;="&amp;DATE(2026,12,31)))</f>
        <v/>
      </c>
      <c r="L63" s="19">
        <f>IF($A63="","",D63+E63+F63+G63-H63-I63-J63-K63)</f>
        <v/>
      </c>
      <c r="M63" s="19">
        <f>IF($A63="","",COUNTIFS('KOMUNI PERTAMA'!$C$2:$C$1001,$A63,'KOMUNI PERTAMA'!$E$2:$E$1001,"&gt;="&amp;DATE(2026,1,1),'KOMUNI PERTAMA'!$E$2:$E$1001,"&lt;="&amp;DATE(2026,12,31)))</f>
        <v/>
      </c>
      <c r="N63" s="19">
        <f>IF($A63="","",COUNTIFS('PERKAWINAN GEREJANI'!$C$2:$C$1001,$A63,'PERKAWINAN GEREJANI'!$D$2:$D$1001,"&gt;="&amp;DATE(2026,1,1),'PERKAWINAN GEREJANI'!$D$2:$D$1001,"&lt;="&amp;DATE(2026,12,31)))</f>
        <v/>
      </c>
      <c r="O63" s="19">
        <f>IF($A63="","",COUNTIFS(PEMBUBARAN!$C$2:$C$1001,$A63,PEMBUBARAN!$D$2:$D$1001,"&gt;="&amp;DATE(2026,1,1),PEMBUBARAN!$D$2:$D$1001,"&lt;="&amp;DATE(2026,12,31)))</f>
        <v/>
      </c>
      <c r="P63" s="19">
        <f>IF($A63="","",COUNTIFS('PERMINYAKAN SUCI'!$C$2:$C$1001,$A63,'PERMINYAKAN SUCI'!$E$2:$E$1001,"&gt;="&amp;DATE(2026,1,1),'PERMINYAKAN SUCI'!$E$2:$E$1001,"&lt;="&amp;DATE(2026,12,31)))</f>
        <v/>
      </c>
      <c r="Q63" s="19">
        <f>IF($A63="","",H63)</f>
        <v/>
      </c>
      <c r="R63" s="19">
        <f>IF($A63="","",COUNTIFS('SEMINARI BIARA'!$C$2:$C$1001,$A63,'SEMINARI BIARA'!$F$2:$F$1001,"Mulai masuk 2026",'SEMINARI BIARA'!$G$2:$G$1001,"&gt;="&amp;DATE(2026,1,1),'SEMINARI BIARA'!$G$2:$G$1001,"&lt;="&amp;DATE(2026,12,31)))</f>
        <v/>
      </c>
      <c r="S63" s="19">
        <f>IF($A63="","",COUNTIFS('SEMINARI BIARA'!$C$2:$C$1001,$A63,'SEMINARI BIARA'!$F$2:$F$1001,"Sedang belajar 2026"))</f>
        <v/>
      </c>
    </row>
    <row r="64" ht="14.25" customHeight="1" s="38">
      <c r="A64" s="18" t="n"/>
      <c r="B64" s="19">
        <f>IF($A64="","",COUNTIF('DATA KK'!$E$2:$E$501,$A64))</f>
        <v/>
      </c>
      <c r="C64" s="19">
        <f>IF($A64="","",COUNTIF('DATA UMAT'!$H$2:$H$2001,$A64))</f>
        <v/>
      </c>
      <c r="D64" s="19">
        <f>IF($A64="","",COUNTIFS(BAPTIS!$C$2:$C$1001,$A64,BAPTIS!$F$2:$F$1001,"&gt;="&amp;DATE(2026,1,1),BAPTIS!$F$2:$F$1001,"&lt;="&amp;DATE(2026,12,31)))</f>
        <v/>
      </c>
      <c r="E64" s="19">
        <f>IF($A64="","",COUNTIFS('DITERIMA MASUK'!$C$2:$C$1001,$A64,'DITERIMA MASUK'!$D$2:$D$1001,"&gt;="&amp;DATE(2026,1,1),'DITERIMA MASUK'!$D$2:$D$1001,"&lt;="&amp;DATE(2026,12,31)))</f>
        <v/>
      </c>
      <c r="F64" s="19">
        <f>IF($A64="","",COUNTIFS(MUTASI!$C$2:$C$1001,$A64,MUTASI!$D$2:$D$1001,"Masuk",MUTASI!$F$2:$F$1001,"Paroki lain dalam keuskupan",MUTASI!$E$2:$E$1001,"&gt;="&amp;DATE(2026,1,1),MUTASI!$E$2:$E$1001,"&lt;="&amp;DATE(2026,12,31)))</f>
        <v/>
      </c>
      <c r="G64" s="19">
        <f>IF($A64="","",COUNTIFS(MUTASI!$C$2:$C$1001,$A64,MUTASI!$D$2:$D$1001,"Masuk",MUTASI!$F$2:$F$1001,"Keuskupan lain",MUTASI!$E$2:$E$1001,"&gt;="&amp;DATE(2026,1,1),MUTASI!$E$2:$E$1001,"&lt;="&amp;DATE(2026,12,31)))</f>
        <v/>
      </c>
      <c r="H64" s="19">
        <f>IF($A64="","",COUNTIFS(KEMATIAN!$C$2:$C$1001,$A64,KEMATIAN!$F$2:$F$1001,"&gt;="&amp;DATE(2026,1,1),KEMATIAN!$F$2:$F$1001,"&lt;="&amp;DATE(2026,12,31)))</f>
        <v/>
      </c>
      <c r="I64" s="19">
        <f>IF($A64="","",COUNTIFS(MUTASI!$C$2:$C$1001,$A64,MUTASI!$D$2:$D$1001,"Keluar",MUTASI!$F$2:$F$1001,"Paroki lain dalam keuskupan",MUTASI!$E$2:$E$1001,"&gt;="&amp;DATE(2026,1,1),MUTASI!$E$2:$E$1001,"&lt;="&amp;DATE(2026,12,31)))</f>
        <v/>
      </c>
      <c r="J64" s="19">
        <f>IF($A64="","",COUNTIFS(MUTASI!$C$2:$C$1001,$A64,MUTASI!$D$2:$D$1001,"Keluar",MUTASI!$F$2:$F$1001,"Keuskupan lain",MUTASI!$E$2:$E$1001,"&gt;="&amp;DATE(2026,1,1),MUTASI!$E$2:$E$1001,"&lt;="&amp;DATE(2026,12,31)))</f>
        <v/>
      </c>
      <c r="K64" s="19">
        <f>IF($A64="","",COUNTIFS('PINDAH AGAMA'!$C$2:$C$1001,$A64,'PINDAH AGAMA'!$D$2:$D$1001,"&gt;="&amp;DATE(2026,1,1),'PINDAH AGAMA'!$D$2:$D$1001,"&lt;="&amp;DATE(2026,12,31)))</f>
        <v/>
      </c>
      <c r="L64" s="19">
        <f>IF($A64="","",D64+E64+F64+G64-H64-I64-J64-K64)</f>
        <v/>
      </c>
      <c r="M64" s="19">
        <f>IF($A64="","",COUNTIFS('KOMUNI PERTAMA'!$C$2:$C$1001,$A64,'KOMUNI PERTAMA'!$E$2:$E$1001,"&gt;="&amp;DATE(2026,1,1),'KOMUNI PERTAMA'!$E$2:$E$1001,"&lt;="&amp;DATE(2026,12,31)))</f>
        <v/>
      </c>
      <c r="N64" s="19">
        <f>IF($A64="","",COUNTIFS('PERKAWINAN GEREJANI'!$C$2:$C$1001,$A64,'PERKAWINAN GEREJANI'!$D$2:$D$1001,"&gt;="&amp;DATE(2026,1,1),'PERKAWINAN GEREJANI'!$D$2:$D$1001,"&lt;="&amp;DATE(2026,12,31)))</f>
        <v/>
      </c>
      <c r="O64" s="19">
        <f>IF($A64="","",COUNTIFS(PEMBUBARAN!$C$2:$C$1001,$A64,PEMBUBARAN!$D$2:$D$1001,"&gt;="&amp;DATE(2026,1,1),PEMBUBARAN!$D$2:$D$1001,"&lt;="&amp;DATE(2026,12,31)))</f>
        <v/>
      </c>
      <c r="P64" s="19">
        <f>IF($A64="","",COUNTIFS('PERMINYAKAN SUCI'!$C$2:$C$1001,$A64,'PERMINYAKAN SUCI'!$E$2:$E$1001,"&gt;="&amp;DATE(2026,1,1),'PERMINYAKAN SUCI'!$E$2:$E$1001,"&lt;="&amp;DATE(2026,12,31)))</f>
        <v/>
      </c>
      <c r="Q64" s="19">
        <f>IF($A64="","",H64)</f>
        <v/>
      </c>
      <c r="R64" s="19">
        <f>IF($A64="","",COUNTIFS('SEMINARI BIARA'!$C$2:$C$1001,$A64,'SEMINARI BIARA'!$F$2:$F$1001,"Mulai masuk 2026",'SEMINARI BIARA'!$G$2:$G$1001,"&gt;="&amp;DATE(2026,1,1),'SEMINARI BIARA'!$G$2:$G$1001,"&lt;="&amp;DATE(2026,12,31)))</f>
        <v/>
      </c>
      <c r="S64" s="19">
        <f>IF($A64="","",COUNTIFS('SEMINARI BIARA'!$C$2:$C$1001,$A64,'SEMINARI BIARA'!$F$2:$F$1001,"Sedang belajar 2026"))</f>
        <v/>
      </c>
    </row>
    <row r="65" ht="14.25" customHeight="1" s="38">
      <c r="A65" s="18" t="n"/>
      <c r="B65" s="19">
        <f>IF($A65="","",COUNTIF('DATA KK'!$E$2:$E$501,$A65))</f>
        <v/>
      </c>
      <c r="C65" s="19">
        <f>IF($A65="","",COUNTIF('DATA UMAT'!$H$2:$H$2001,$A65))</f>
        <v/>
      </c>
      <c r="D65" s="19">
        <f>IF($A65="","",COUNTIFS(BAPTIS!$C$2:$C$1001,$A65,BAPTIS!$F$2:$F$1001,"&gt;="&amp;DATE(2026,1,1),BAPTIS!$F$2:$F$1001,"&lt;="&amp;DATE(2026,12,31)))</f>
        <v/>
      </c>
      <c r="E65" s="19">
        <f>IF($A65="","",COUNTIFS('DITERIMA MASUK'!$C$2:$C$1001,$A65,'DITERIMA MASUK'!$D$2:$D$1001,"&gt;="&amp;DATE(2026,1,1),'DITERIMA MASUK'!$D$2:$D$1001,"&lt;="&amp;DATE(2026,12,31)))</f>
        <v/>
      </c>
      <c r="F65" s="19">
        <f>IF($A65="","",COUNTIFS(MUTASI!$C$2:$C$1001,$A65,MUTASI!$D$2:$D$1001,"Masuk",MUTASI!$F$2:$F$1001,"Paroki lain dalam keuskupan",MUTASI!$E$2:$E$1001,"&gt;="&amp;DATE(2026,1,1),MUTASI!$E$2:$E$1001,"&lt;="&amp;DATE(2026,12,31)))</f>
        <v/>
      </c>
      <c r="G65" s="19">
        <f>IF($A65="","",COUNTIFS(MUTASI!$C$2:$C$1001,$A65,MUTASI!$D$2:$D$1001,"Masuk",MUTASI!$F$2:$F$1001,"Keuskupan lain",MUTASI!$E$2:$E$1001,"&gt;="&amp;DATE(2026,1,1),MUTASI!$E$2:$E$1001,"&lt;="&amp;DATE(2026,12,31)))</f>
        <v/>
      </c>
      <c r="H65" s="19">
        <f>IF($A65="","",COUNTIFS(KEMATIAN!$C$2:$C$1001,$A65,KEMATIAN!$F$2:$F$1001,"&gt;="&amp;DATE(2026,1,1),KEMATIAN!$F$2:$F$1001,"&lt;="&amp;DATE(2026,12,31)))</f>
        <v/>
      </c>
      <c r="I65" s="19">
        <f>IF($A65="","",COUNTIFS(MUTASI!$C$2:$C$1001,$A65,MUTASI!$D$2:$D$1001,"Keluar",MUTASI!$F$2:$F$1001,"Paroki lain dalam keuskupan",MUTASI!$E$2:$E$1001,"&gt;="&amp;DATE(2026,1,1),MUTASI!$E$2:$E$1001,"&lt;="&amp;DATE(2026,12,31)))</f>
        <v/>
      </c>
      <c r="J65" s="19">
        <f>IF($A65="","",COUNTIFS(MUTASI!$C$2:$C$1001,$A65,MUTASI!$D$2:$D$1001,"Keluar",MUTASI!$F$2:$F$1001,"Keuskupan lain",MUTASI!$E$2:$E$1001,"&gt;="&amp;DATE(2026,1,1),MUTASI!$E$2:$E$1001,"&lt;="&amp;DATE(2026,12,31)))</f>
        <v/>
      </c>
      <c r="K65" s="19">
        <f>IF($A65="","",COUNTIFS('PINDAH AGAMA'!$C$2:$C$1001,$A65,'PINDAH AGAMA'!$D$2:$D$1001,"&gt;="&amp;DATE(2026,1,1),'PINDAH AGAMA'!$D$2:$D$1001,"&lt;="&amp;DATE(2026,12,31)))</f>
        <v/>
      </c>
      <c r="L65" s="19">
        <f>IF($A65="","",D65+E65+F65+G65-H65-I65-J65-K65)</f>
        <v/>
      </c>
      <c r="M65" s="19">
        <f>IF($A65="","",COUNTIFS('KOMUNI PERTAMA'!$C$2:$C$1001,$A65,'KOMUNI PERTAMA'!$E$2:$E$1001,"&gt;="&amp;DATE(2026,1,1),'KOMUNI PERTAMA'!$E$2:$E$1001,"&lt;="&amp;DATE(2026,12,31)))</f>
        <v/>
      </c>
      <c r="N65" s="19">
        <f>IF($A65="","",COUNTIFS('PERKAWINAN GEREJANI'!$C$2:$C$1001,$A65,'PERKAWINAN GEREJANI'!$D$2:$D$1001,"&gt;="&amp;DATE(2026,1,1),'PERKAWINAN GEREJANI'!$D$2:$D$1001,"&lt;="&amp;DATE(2026,12,31)))</f>
        <v/>
      </c>
      <c r="O65" s="19">
        <f>IF($A65="","",COUNTIFS(PEMBUBARAN!$C$2:$C$1001,$A65,PEMBUBARAN!$D$2:$D$1001,"&gt;="&amp;DATE(2026,1,1),PEMBUBARAN!$D$2:$D$1001,"&lt;="&amp;DATE(2026,12,31)))</f>
        <v/>
      </c>
      <c r="P65" s="19">
        <f>IF($A65="","",COUNTIFS('PERMINYAKAN SUCI'!$C$2:$C$1001,$A65,'PERMINYAKAN SUCI'!$E$2:$E$1001,"&gt;="&amp;DATE(2026,1,1),'PERMINYAKAN SUCI'!$E$2:$E$1001,"&lt;="&amp;DATE(2026,12,31)))</f>
        <v/>
      </c>
      <c r="Q65" s="19">
        <f>IF($A65="","",H65)</f>
        <v/>
      </c>
      <c r="R65" s="19">
        <f>IF($A65="","",COUNTIFS('SEMINARI BIARA'!$C$2:$C$1001,$A65,'SEMINARI BIARA'!$F$2:$F$1001,"Mulai masuk 2026",'SEMINARI BIARA'!$G$2:$G$1001,"&gt;="&amp;DATE(2026,1,1),'SEMINARI BIARA'!$G$2:$G$1001,"&lt;="&amp;DATE(2026,12,31)))</f>
        <v/>
      </c>
      <c r="S65" s="19">
        <f>IF($A65="","",COUNTIFS('SEMINARI BIARA'!$C$2:$C$1001,$A65,'SEMINARI BIARA'!$F$2:$F$1001,"Sedang belajar 2026"))</f>
        <v/>
      </c>
    </row>
    <row r="66" ht="14.25" customHeight="1" s="38">
      <c r="A66" s="18" t="n"/>
      <c r="B66" s="19">
        <f>IF($A66="","",COUNTIF('DATA KK'!$E$2:$E$501,$A66))</f>
        <v/>
      </c>
      <c r="C66" s="19">
        <f>IF($A66="","",COUNTIF('DATA UMAT'!$H$2:$H$2001,$A66))</f>
        <v/>
      </c>
      <c r="D66" s="19">
        <f>IF($A66="","",COUNTIFS(BAPTIS!$C$2:$C$1001,$A66,BAPTIS!$F$2:$F$1001,"&gt;="&amp;DATE(2026,1,1),BAPTIS!$F$2:$F$1001,"&lt;="&amp;DATE(2026,12,31)))</f>
        <v/>
      </c>
      <c r="E66" s="19">
        <f>IF($A66="","",COUNTIFS('DITERIMA MASUK'!$C$2:$C$1001,$A66,'DITERIMA MASUK'!$D$2:$D$1001,"&gt;="&amp;DATE(2026,1,1),'DITERIMA MASUK'!$D$2:$D$1001,"&lt;="&amp;DATE(2026,12,31)))</f>
        <v/>
      </c>
      <c r="F66" s="19">
        <f>IF($A66="","",COUNTIFS(MUTASI!$C$2:$C$1001,$A66,MUTASI!$D$2:$D$1001,"Masuk",MUTASI!$F$2:$F$1001,"Paroki lain dalam keuskupan",MUTASI!$E$2:$E$1001,"&gt;="&amp;DATE(2026,1,1),MUTASI!$E$2:$E$1001,"&lt;="&amp;DATE(2026,12,31)))</f>
        <v/>
      </c>
      <c r="G66" s="19">
        <f>IF($A66="","",COUNTIFS(MUTASI!$C$2:$C$1001,$A66,MUTASI!$D$2:$D$1001,"Masuk",MUTASI!$F$2:$F$1001,"Keuskupan lain",MUTASI!$E$2:$E$1001,"&gt;="&amp;DATE(2026,1,1),MUTASI!$E$2:$E$1001,"&lt;="&amp;DATE(2026,12,31)))</f>
        <v/>
      </c>
      <c r="H66" s="19">
        <f>IF($A66="","",COUNTIFS(KEMATIAN!$C$2:$C$1001,$A66,KEMATIAN!$F$2:$F$1001,"&gt;="&amp;DATE(2026,1,1),KEMATIAN!$F$2:$F$1001,"&lt;="&amp;DATE(2026,12,31)))</f>
        <v/>
      </c>
      <c r="I66" s="19">
        <f>IF($A66="","",COUNTIFS(MUTASI!$C$2:$C$1001,$A66,MUTASI!$D$2:$D$1001,"Keluar",MUTASI!$F$2:$F$1001,"Paroki lain dalam keuskupan",MUTASI!$E$2:$E$1001,"&gt;="&amp;DATE(2026,1,1),MUTASI!$E$2:$E$1001,"&lt;="&amp;DATE(2026,12,31)))</f>
        <v/>
      </c>
      <c r="J66" s="19">
        <f>IF($A66="","",COUNTIFS(MUTASI!$C$2:$C$1001,$A66,MUTASI!$D$2:$D$1001,"Keluar",MUTASI!$F$2:$F$1001,"Keuskupan lain",MUTASI!$E$2:$E$1001,"&gt;="&amp;DATE(2026,1,1),MUTASI!$E$2:$E$1001,"&lt;="&amp;DATE(2026,12,31)))</f>
        <v/>
      </c>
      <c r="K66" s="19">
        <f>IF($A66="","",COUNTIFS('PINDAH AGAMA'!$C$2:$C$1001,$A66,'PINDAH AGAMA'!$D$2:$D$1001,"&gt;="&amp;DATE(2026,1,1),'PINDAH AGAMA'!$D$2:$D$1001,"&lt;="&amp;DATE(2026,12,31)))</f>
        <v/>
      </c>
      <c r="L66" s="19">
        <f>IF($A66="","",D66+E66+F66+G66-H66-I66-J66-K66)</f>
        <v/>
      </c>
      <c r="M66" s="19">
        <f>IF($A66="","",COUNTIFS('KOMUNI PERTAMA'!$C$2:$C$1001,$A66,'KOMUNI PERTAMA'!$E$2:$E$1001,"&gt;="&amp;DATE(2026,1,1),'KOMUNI PERTAMA'!$E$2:$E$1001,"&lt;="&amp;DATE(2026,12,31)))</f>
        <v/>
      </c>
      <c r="N66" s="19">
        <f>IF($A66="","",COUNTIFS('PERKAWINAN GEREJANI'!$C$2:$C$1001,$A66,'PERKAWINAN GEREJANI'!$D$2:$D$1001,"&gt;="&amp;DATE(2026,1,1),'PERKAWINAN GEREJANI'!$D$2:$D$1001,"&lt;="&amp;DATE(2026,12,31)))</f>
        <v/>
      </c>
      <c r="O66" s="19">
        <f>IF($A66="","",COUNTIFS(PEMBUBARAN!$C$2:$C$1001,$A66,PEMBUBARAN!$D$2:$D$1001,"&gt;="&amp;DATE(2026,1,1),PEMBUBARAN!$D$2:$D$1001,"&lt;="&amp;DATE(2026,12,31)))</f>
        <v/>
      </c>
      <c r="P66" s="19">
        <f>IF($A66="","",COUNTIFS('PERMINYAKAN SUCI'!$C$2:$C$1001,$A66,'PERMINYAKAN SUCI'!$E$2:$E$1001,"&gt;="&amp;DATE(2026,1,1),'PERMINYAKAN SUCI'!$E$2:$E$1001,"&lt;="&amp;DATE(2026,12,31)))</f>
        <v/>
      </c>
      <c r="Q66" s="19">
        <f>IF($A66="","",H66)</f>
        <v/>
      </c>
      <c r="R66" s="19">
        <f>IF($A66="","",COUNTIFS('SEMINARI BIARA'!$C$2:$C$1001,$A66,'SEMINARI BIARA'!$F$2:$F$1001,"Mulai masuk 2026",'SEMINARI BIARA'!$G$2:$G$1001,"&gt;="&amp;DATE(2026,1,1),'SEMINARI BIARA'!$G$2:$G$1001,"&lt;="&amp;DATE(2026,12,31)))</f>
        <v/>
      </c>
      <c r="S66" s="19">
        <f>IF($A66="","",COUNTIFS('SEMINARI BIARA'!$C$2:$C$1001,$A66,'SEMINARI BIARA'!$F$2:$F$1001,"Sedang belajar 2026"))</f>
        <v/>
      </c>
    </row>
    <row r="67" ht="14.25" customHeight="1" s="38">
      <c r="A67" s="18" t="n"/>
      <c r="B67" s="19">
        <f>IF($A67="","",COUNTIF('DATA KK'!$E$2:$E$501,$A67))</f>
        <v/>
      </c>
      <c r="C67" s="19">
        <f>IF($A67="","",COUNTIF('DATA UMAT'!$H$2:$H$2001,$A67))</f>
        <v/>
      </c>
      <c r="D67" s="19">
        <f>IF($A67="","",COUNTIFS(BAPTIS!$C$2:$C$1001,$A67,BAPTIS!$F$2:$F$1001,"&gt;="&amp;DATE(2026,1,1),BAPTIS!$F$2:$F$1001,"&lt;="&amp;DATE(2026,12,31)))</f>
        <v/>
      </c>
      <c r="E67" s="19">
        <f>IF($A67="","",COUNTIFS('DITERIMA MASUK'!$C$2:$C$1001,$A67,'DITERIMA MASUK'!$D$2:$D$1001,"&gt;="&amp;DATE(2026,1,1),'DITERIMA MASUK'!$D$2:$D$1001,"&lt;="&amp;DATE(2026,12,31)))</f>
        <v/>
      </c>
      <c r="F67" s="19">
        <f>IF($A67="","",COUNTIFS(MUTASI!$C$2:$C$1001,$A67,MUTASI!$D$2:$D$1001,"Masuk",MUTASI!$F$2:$F$1001,"Paroki lain dalam keuskupan",MUTASI!$E$2:$E$1001,"&gt;="&amp;DATE(2026,1,1),MUTASI!$E$2:$E$1001,"&lt;="&amp;DATE(2026,12,31)))</f>
        <v/>
      </c>
      <c r="G67" s="19">
        <f>IF($A67="","",COUNTIFS(MUTASI!$C$2:$C$1001,$A67,MUTASI!$D$2:$D$1001,"Masuk",MUTASI!$F$2:$F$1001,"Keuskupan lain",MUTASI!$E$2:$E$1001,"&gt;="&amp;DATE(2026,1,1),MUTASI!$E$2:$E$1001,"&lt;="&amp;DATE(2026,12,31)))</f>
        <v/>
      </c>
      <c r="H67" s="19">
        <f>IF($A67="","",COUNTIFS(KEMATIAN!$C$2:$C$1001,$A67,KEMATIAN!$F$2:$F$1001,"&gt;="&amp;DATE(2026,1,1),KEMATIAN!$F$2:$F$1001,"&lt;="&amp;DATE(2026,12,31)))</f>
        <v/>
      </c>
      <c r="I67" s="19">
        <f>IF($A67="","",COUNTIFS(MUTASI!$C$2:$C$1001,$A67,MUTASI!$D$2:$D$1001,"Keluar",MUTASI!$F$2:$F$1001,"Paroki lain dalam keuskupan",MUTASI!$E$2:$E$1001,"&gt;="&amp;DATE(2026,1,1),MUTASI!$E$2:$E$1001,"&lt;="&amp;DATE(2026,12,31)))</f>
        <v/>
      </c>
      <c r="J67" s="19">
        <f>IF($A67="","",COUNTIFS(MUTASI!$C$2:$C$1001,$A67,MUTASI!$D$2:$D$1001,"Keluar",MUTASI!$F$2:$F$1001,"Keuskupan lain",MUTASI!$E$2:$E$1001,"&gt;="&amp;DATE(2026,1,1),MUTASI!$E$2:$E$1001,"&lt;="&amp;DATE(2026,12,31)))</f>
        <v/>
      </c>
      <c r="K67" s="19">
        <f>IF($A67="","",COUNTIFS('PINDAH AGAMA'!$C$2:$C$1001,$A67,'PINDAH AGAMA'!$D$2:$D$1001,"&gt;="&amp;DATE(2026,1,1),'PINDAH AGAMA'!$D$2:$D$1001,"&lt;="&amp;DATE(2026,12,31)))</f>
        <v/>
      </c>
      <c r="L67" s="19">
        <f>IF($A67="","",D67+E67+F67+G67-H67-I67-J67-K67)</f>
        <v/>
      </c>
      <c r="M67" s="19">
        <f>IF($A67="","",COUNTIFS('KOMUNI PERTAMA'!$C$2:$C$1001,$A67,'KOMUNI PERTAMA'!$E$2:$E$1001,"&gt;="&amp;DATE(2026,1,1),'KOMUNI PERTAMA'!$E$2:$E$1001,"&lt;="&amp;DATE(2026,12,31)))</f>
        <v/>
      </c>
      <c r="N67" s="19">
        <f>IF($A67="","",COUNTIFS('PERKAWINAN GEREJANI'!$C$2:$C$1001,$A67,'PERKAWINAN GEREJANI'!$D$2:$D$1001,"&gt;="&amp;DATE(2026,1,1),'PERKAWINAN GEREJANI'!$D$2:$D$1001,"&lt;="&amp;DATE(2026,12,31)))</f>
        <v/>
      </c>
      <c r="O67" s="19">
        <f>IF($A67="","",COUNTIFS(PEMBUBARAN!$C$2:$C$1001,$A67,PEMBUBARAN!$D$2:$D$1001,"&gt;="&amp;DATE(2026,1,1),PEMBUBARAN!$D$2:$D$1001,"&lt;="&amp;DATE(2026,12,31)))</f>
        <v/>
      </c>
      <c r="P67" s="19">
        <f>IF($A67="","",COUNTIFS('PERMINYAKAN SUCI'!$C$2:$C$1001,$A67,'PERMINYAKAN SUCI'!$E$2:$E$1001,"&gt;="&amp;DATE(2026,1,1),'PERMINYAKAN SUCI'!$E$2:$E$1001,"&lt;="&amp;DATE(2026,12,31)))</f>
        <v/>
      </c>
      <c r="Q67" s="19">
        <f>IF($A67="","",H67)</f>
        <v/>
      </c>
      <c r="R67" s="19">
        <f>IF($A67="","",COUNTIFS('SEMINARI BIARA'!$C$2:$C$1001,$A67,'SEMINARI BIARA'!$F$2:$F$1001,"Mulai masuk 2026",'SEMINARI BIARA'!$G$2:$G$1001,"&gt;="&amp;DATE(2026,1,1),'SEMINARI BIARA'!$G$2:$G$1001,"&lt;="&amp;DATE(2026,12,31)))</f>
        <v/>
      </c>
      <c r="S67" s="19">
        <f>IF($A67="","",COUNTIFS('SEMINARI BIARA'!$C$2:$C$1001,$A67,'SEMINARI BIARA'!$F$2:$F$1001,"Sedang belajar 2026"))</f>
        <v/>
      </c>
    </row>
    <row r="68" ht="14.25" customHeight="1" s="38">
      <c r="A68" s="18" t="n"/>
      <c r="B68" s="19">
        <f>IF($A68="","",COUNTIF('DATA KK'!$E$2:$E$501,$A68))</f>
        <v/>
      </c>
      <c r="C68" s="19">
        <f>IF($A68="","",COUNTIF('DATA UMAT'!$H$2:$H$2001,$A68))</f>
        <v/>
      </c>
      <c r="D68" s="19">
        <f>IF($A68="","",COUNTIFS(BAPTIS!$C$2:$C$1001,$A68,BAPTIS!$F$2:$F$1001,"&gt;="&amp;DATE(2026,1,1),BAPTIS!$F$2:$F$1001,"&lt;="&amp;DATE(2026,12,31)))</f>
        <v/>
      </c>
      <c r="E68" s="19">
        <f>IF($A68="","",COUNTIFS('DITERIMA MASUK'!$C$2:$C$1001,$A68,'DITERIMA MASUK'!$D$2:$D$1001,"&gt;="&amp;DATE(2026,1,1),'DITERIMA MASUK'!$D$2:$D$1001,"&lt;="&amp;DATE(2026,12,31)))</f>
        <v/>
      </c>
      <c r="F68" s="19">
        <f>IF($A68="","",COUNTIFS(MUTASI!$C$2:$C$1001,$A68,MUTASI!$D$2:$D$1001,"Masuk",MUTASI!$F$2:$F$1001,"Paroki lain dalam keuskupan",MUTASI!$E$2:$E$1001,"&gt;="&amp;DATE(2026,1,1),MUTASI!$E$2:$E$1001,"&lt;="&amp;DATE(2026,12,31)))</f>
        <v/>
      </c>
      <c r="G68" s="19">
        <f>IF($A68="","",COUNTIFS(MUTASI!$C$2:$C$1001,$A68,MUTASI!$D$2:$D$1001,"Masuk",MUTASI!$F$2:$F$1001,"Keuskupan lain",MUTASI!$E$2:$E$1001,"&gt;="&amp;DATE(2026,1,1),MUTASI!$E$2:$E$1001,"&lt;="&amp;DATE(2026,12,31)))</f>
        <v/>
      </c>
      <c r="H68" s="19">
        <f>IF($A68="","",COUNTIFS(KEMATIAN!$C$2:$C$1001,$A68,KEMATIAN!$F$2:$F$1001,"&gt;="&amp;DATE(2026,1,1),KEMATIAN!$F$2:$F$1001,"&lt;="&amp;DATE(2026,12,31)))</f>
        <v/>
      </c>
      <c r="I68" s="19">
        <f>IF($A68="","",COUNTIFS(MUTASI!$C$2:$C$1001,$A68,MUTASI!$D$2:$D$1001,"Keluar",MUTASI!$F$2:$F$1001,"Paroki lain dalam keuskupan",MUTASI!$E$2:$E$1001,"&gt;="&amp;DATE(2026,1,1),MUTASI!$E$2:$E$1001,"&lt;="&amp;DATE(2026,12,31)))</f>
        <v/>
      </c>
      <c r="J68" s="19">
        <f>IF($A68="","",COUNTIFS(MUTASI!$C$2:$C$1001,$A68,MUTASI!$D$2:$D$1001,"Keluar",MUTASI!$F$2:$F$1001,"Keuskupan lain",MUTASI!$E$2:$E$1001,"&gt;="&amp;DATE(2026,1,1),MUTASI!$E$2:$E$1001,"&lt;="&amp;DATE(2026,12,31)))</f>
        <v/>
      </c>
      <c r="K68" s="19">
        <f>IF($A68="","",COUNTIFS('PINDAH AGAMA'!$C$2:$C$1001,$A68,'PINDAH AGAMA'!$D$2:$D$1001,"&gt;="&amp;DATE(2026,1,1),'PINDAH AGAMA'!$D$2:$D$1001,"&lt;="&amp;DATE(2026,12,31)))</f>
        <v/>
      </c>
      <c r="L68" s="19">
        <f>IF($A68="","",D68+E68+F68+G68-H68-I68-J68-K68)</f>
        <v/>
      </c>
      <c r="M68" s="19">
        <f>IF($A68="","",COUNTIFS('KOMUNI PERTAMA'!$C$2:$C$1001,$A68,'KOMUNI PERTAMA'!$E$2:$E$1001,"&gt;="&amp;DATE(2026,1,1),'KOMUNI PERTAMA'!$E$2:$E$1001,"&lt;="&amp;DATE(2026,12,31)))</f>
        <v/>
      </c>
      <c r="N68" s="19">
        <f>IF($A68="","",COUNTIFS('PERKAWINAN GEREJANI'!$C$2:$C$1001,$A68,'PERKAWINAN GEREJANI'!$D$2:$D$1001,"&gt;="&amp;DATE(2026,1,1),'PERKAWINAN GEREJANI'!$D$2:$D$1001,"&lt;="&amp;DATE(2026,12,31)))</f>
        <v/>
      </c>
      <c r="O68" s="19">
        <f>IF($A68="","",COUNTIFS(PEMBUBARAN!$C$2:$C$1001,$A68,PEMBUBARAN!$D$2:$D$1001,"&gt;="&amp;DATE(2026,1,1),PEMBUBARAN!$D$2:$D$1001,"&lt;="&amp;DATE(2026,12,31)))</f>
        <v/>
      </c>
      <c r="P68" s="19">
        <f>IF($A68="","",COUNTIFS('PERMINYAKAN SUCI'!$C$2:$C$1001,$A68,'PERMINYAKAN SUCI'!$E$2:$E$1001,"&gt;="&amp;DATE(2026,1,1),'PERMINYAKAN SUCI'!$E$2:$E$1001,"&lt;="&amp;DATE(2026,12,31)))</f>
        <v/>
      </c>
      <c r="Q68" s="19">
        <f>IF($A68="","",H68)</f>
        <v/>
      </c>
      <c r="R68" s="19">
        <f>IF($A68="","",COUNTIFS('SEMINARI BIARA'!$C$2:$C$1001,$A68,'SEMINARI BIARA'!$F$2:$F$1001,"Mulai masuk 2026",'SEMINARI BIARA'!$G$2:$G$1001,"&gt;="&amp;DATE(2026,1,1),'SEMINARI BIARA'!$G$2:$G$1001,"&lt;="&amp;DATE(2026,12,31)))</f>
        <v/>
      </c>
      <c r="S68" s="19">
        <f>IF($A68="","",COUNTIFS('SEMINARI BIARA'!$C$2:$C$1001,$A68,'SEMINARI BIARA'!$F$2:$F$1001,"Sedang belajar 2026"))</f>
        <v/>
      </c>
    </row>
    <row r="69" ht="14.25" customHeight="1" s="38">
      <c r="A69" s="18" t="n"/>
      <c r="B69" s="19">
        <f>IF($A69="","",COUNTIF('DATA KK'!$E$2:$E$501,$A69))</f>
        <v/>
      </c>
      <c r="C69" s="19">
        <f>IF($A69="","",COUNTIF('DATA UMAT'!$H$2:$H$2001,$A69))</f>
        <v/>
      </c>
      <c r="D69" s="19">
        <f>IF($A69="","",COUNTIFS(BAPTIS!$C$2:$C$1001,$A69,BAPTIS!$F$2:$F$1001,"&gt;="&amp;DATE(2026,1,1),BAPTIS!$F$2:$F$1001,"&lt;="&amp;DATE(2026,12,31)))</f>
        <v/>
      </c>
      <c r="E69" s="19">
        <f>IF($A69="","",COUNTIFS('DITERIMA MASUK'!$C$2:$C$1001,$A69,'DITERIMA MASUK'!$D$2:$D$1001,"&gt;="&amp;DATE(2026,1,1),'DITERIMA MASUK'!$D$2:$D$1001,"&lt;="&amp;DATE(2026,12,31)))</f>
        <v/>
      </c>
      <c r="F69" s="19">
        <f>IF($A69="","",COUNTIFS(MUTASI!$C$2:$C$1001,$A69,MUTASI!$D$2:$D$1001,"Masuk",MUTASI!$F$2:$F$1001,"Paroki lain dalam keuskupan",MUTASI!$E$2:$E$1001,"&gt;="&amp;DATE(2026,1,1),MUTASI!$E$2:$E$1001,"&lt;="&amp;DATE(2026,12,31)))</f>
        <v/>
      </c>
      <c r="G69" s="19">
        <f>IF($A69="","",COUNTIFS(MUTASI!$C$2:$C$1001,$A69,MUTASI!$D$2:$D$1001,"Masuk",MUTASI!$F$2:$F$1001,"Keuskupan lain",MUTASI!$E$2:$E$1001,"&gt;="&amp;DATE(2026,1,1),MUTASI!$E$2:$E$1001,"&lt;="&amp;DATE(2026,12,31)))</f>
        <v/>
      </c>
      <c r="H69" s="19">
        <f>IF($A69="","",COUNTIFS(KEMATIAN!$C$2:$C$1001,$A69,KEMATIAN!$F$2:$F$1001,"&gt;="&amp;DATE(2026,1,1),KEMATIAN!$F$2:$F$1001,"&lt;="&amp;DATE(2026,12,31)))</f>
        <v/>
      </c>
      <c r="I69" s="19">
        <f>IF($A69="","",COUNTIFS(MUTASI!$C$2:$C$1001,$A69,MUTASI!$D$2:$D$1001,"Keluar",MUTASI!$F$2:$F$1001,"Paroki lain dalam keuskupan",MUTASI!$E$2:$E$1001,"&gt;="&amp;DATE(2026,1,1),MUTASI!$E$2:$E$1001,"&lt;="&amp;DATE(2026,12,31)))</f>
        <v/>
      </c>
      <c r="J69" s="19">
        <f>IF($A69="","",COUNTIFS(MUTASI!$C$2:$C$1001,$A69,MUTASI!$D$2:$D$1001,"Keluar",MUTASI!$F$2:$F$1001,"Keuskupan lain",MUTASI!$E$2:$E$1001,"&gt;="&amp;DATE(2026,1,1),MUTASI!$E$2:$E$1001,"&lt;="&amp;DATE(2026,12,31)))</f>
        <v/>
      </c>
      <c r="K69" s="19">
        <f>IF($A69="","",COUNTIFS('PINDAH AGAMA'!$C$2:$C$1001,$A69,'PINDAH AGAMA'!$D$2:$D$1001,"&gt;="&amp;DATE(2026,1,1),'PINDAH AGAMA'!$D$2:$D$1001,"&lt;="&amp;DATE(2026,12,31)))</f>
        <v/>
      </c>
      <c r="L69" s="19">
        <f>IF($A69="","",D69+E69+F69+G69-H69-I69-J69-K69)</f>
        <v/>
      </c>
      <c r="M69" s="19">
        <f>IF($A69="","",COUNTIFS('KOMUNI PERTAMA'!$C$2:$C$1001,$A69,'KOMUNI PERTAMA'!$E$2:$E$1001,"&gt;="&amp;DATE(2026,1,1),'KOMUNI PERTAMA'!$E$2:$E$1001,"&lt;="&amp;DATE(2026,12,31)))</f>
        <v/>
      </c>
      <c r="N69" s="19">
        <f>IF($A69="","",COUNTIFS('PERKAWINAN GEREJANI'!$C$2:$C$1001,$A69,'PERKAWINAN GEREJANI'!$D$2:$D$1001,"&gt;="&amp;DATE(2026,1,1),'PERKAWINAN GEREJANI'!$D$2:$D$1001,"&lt;="&amp;DATE(2026,12,31)))</f>
        <v/>
      </c>
      <c r="O69" s="19">
        <f>IF($A69="","",COUNTIFS(PEMBUBARAN!$C$2:$C$1001,$A69,PEMBUBARAN!$D$2:$D$1001,"&gt;="&amp;DATE(2026,1,1),PEMBUBARAN!$D$2:$D$1001,"&lt;="&amp;DATE(2026,12,31)))</f>
        <v/>
      </c>
      <c r="P69" s="19">
        <f>IF($A69="","",COUNTIFS('PERMINYAKAN SUCI'!$C$2:$C$1001,$A69,'PERMINYAKAN SUCI'!$E$2:$E$1001,"&gt;="&amp;DATE(2026,1,1),'PERMINYAKAN SUCI'!$E$2:$E$1001,"&lt;="&amp;DATE(2026,12,31)))</f>
        <v/>
      </c>
      <c r="Q69" s="19">
        <f>IF($A69="","",H69)</f>
        <v/>
      </c>
      <c r="R69" s="19">
        <f>IF($A69="","",COUNTIFS('SEMINARI BIARA'!$C$2:$C$1001,$A69,'SEMINARI BIARA'!$F$2:$F$1001,"Mulai masuk 2026",'SEMINARI BIARA'!$G$2:$G$1001,"&gt;="&amp;DATE(2026,1,1),'SEMINARI BIARA'!$G$2:$G$1001,"&lt;="&amp;DATE(2026,12,31)))</f>
        <v/>
      </c>
      <c r="S69" s="19">
        <f>IF($A69="","",COUNTIFS('SEMINARI BIARA'!$C$2:$C$1001,$A69,'SEMINARI BIARA'!$F$2:$F$1001,"Sedang belajar 2026"))</f>
        <v/>
      </c>
    </row>
    <row r="70" ht="14.25" customHeight="1" s="38">
      <c r="A70" s="18" t="n"/>
      <c r="B70" s="19">
        <f>IF($A70="","",COUNTIF('DATA KK'!$E$2:$E$501,$A70))</f>
        <v/>
      </c>
      <c r="C70" s="19">
        <f>IF($A70="","",COUNTIF('DATA UMAT'!$H$2:$H$2001,$A70))</f>
        <v/>
      </c>
      <c r="D70" s="19">
        <f>IF($A70="","",COUNTIFS(BAPTIS!$C$2:$C$1001,$A70,BAPTIS!$F$2:$F$1001,"&gt;="&amp;DATE(2026,1,1),BAPTIS!$F$2:$F$1001,"&lt;="&amp;DATE(2026,12,31)))</f>
        <v/>
      </c>
      <c r="E70" s="19">
        <f>IF($A70="","",COUNTIFS('DITERIMA MASUK'!$C$2:$C$1001,$A70,'DITERIMA MASUK'!$D$2:$D$1001,"&gt;="&amp;DATE(2026,1,1),'DITERIMA MASUK'!$D$2:$D$1001,"&lt;="&amp;DATE(2026,12,31)))</f>
        <v/>
      </c>
      <c r="F70" s="19">
        <f>IF($A70="","",COUNTIFS(MUTASI!$C$2:$C$1001,$A70,MUTASI!$D$2:$D$1001,"Masuk",MUTASI!$F$2:$F$1001,"Paroki lain dalam keuskupan",MUTASI!$E$2:$E$1001,"&gt;="&amp;DATE(2026,1,1),MUTASI!$E$2:$E$1001,"&lt;="&amp;DATE(2026,12,31)))</f>
        <v/>
      </c>
      <c r="G70" s="19">
        <f>IF($A70="","",COUNTIFS(MUTASI!$C$2:$C$1001,$A70,MUTASI!$D$2:$D$1001,"Masuk",MUTASI!$F$2:$F$1001,"Keuskupan lain",MUTASI!$E$2:$E$1001,"&gt;="&amp;DATE(2026,1,1),MUTASI!$E$2:$E$1001,"&lt;="&amp;DATE(2026,12,31)))</f>
        <v/>
      </c>
      <c r="H70" s="19">
        <f>IF($A70="","",COUNTIFS(KEMATIAN!$C$2:$C$1001,$A70,KEMATIAN!$F$2:$F$1001,"&gt;="&amp;DATE(2026,1,1),KEMATIAN!$F$2:$F$1001,"&lt;="&amp;DATE(2026,12,31)))</f>
        <v/>
      </c>
      <c r="I70" s="19">
        <f>IF($A70="","",COUNTIFS(MUTASI!$C$2:$C$1001,$A70,MUTASI!$D$2:$D$1001,"Keluar",MUTASI!$F$2:$F$1001,"Paroki lain dalam keuskupan",MUTASI!$E$2:$E$1001,"&gt;="&amp;DATE(2026,1,1),MUTASI!$E$2:$E$1001,"&lt;="&amp;DATE(2026,12,31)))</f>
        <v/>
      </c>
      <c r="J70" s="19">
        <f>IF($A70="","",COUNTIFS(MUTASI!$C$2:$C$1001,$A70,MUTASI!$D$2:$D$1001,"Keluar",MUTASI!$F$2:$F$1001,"Keuskupan lain",MUTASI!$E$2:$E$1001,"&gt;="&amp;DATE(2026,1,1),MUTASI!$E$2:$E$1001,"&lt;="&amp;DATE(2026,12,31)))</f>
        <v/>
      </c>
      <c r="K70" s="19">
        <f>IF($A70="","",COUNTIFS('PINDAH AGAMA'!$C$2:$C$1001,$A70,'PINDAH AGAMA'!$D$2:$D$1001,"&gt;="&amp;DATE(2026,1,1),'PINDAH AGAMA'!$D$2:$D$1001,"&lt;="&amp;DATE(2026,12,31)))</f>
        <v/>
      </c>
      <c r="L70" s="19">
        <f>IF($A70="","",D70+E70+F70+G70-H70-I70-J70-K70)</f>
        <v/>
      </c>
      <c r="M70" s="19">
        <f>IF($A70="","",COUNTIFS('KOMUNI PERTAMA'!$C$2:$C$1001,$A70,'KOMUNI PERTAMA'!$E$2:$E$1001,"&gt;="&amp;DATE(2026,1,1),'KOMUNI PERTAMA'!$E$2:$E$1001,"&lt;="&amp;DATE(2026,12,31)))</f>
        <v/>
      </c>
      <c r="N70" s="19">
        <f>IF($A70="","",COUNTIFS('PERKAWINAN GEREJANI'!$C$2:$C$1001,$A70,'PERKAWINAN GEREJANI'!$D$2:$D$1001,"&gt;="&amp;DATE(2026,1,1),'PERKAWINAN GEREJANI'!$D$2:$D$1001,"&lt;="&amp;DATE(2026,12,31)))</f>
        <v/>
      </c>
      <c r="O70" s="19">
        <f>IF($A70="","",COUNTIFS(PEMBUBARAN!$C$2:$C$1001,$A70,PEMBUBARAN!$D$2:$D$1001,"&gt;="&amp;DATE(2026,1,1),PEMBUBARAN!$D$2:$D$1001,"&lt;="&amp;DATE(2026,12,31)))</f>
        <v/>
      </c>
      <c r="P70" s="19">
        <f>IF($A70="","",COUNTIFS('PERMINYAKAN SUCI'!$C$2:$C$1001,$A70,'PERMINYAKAN SUCI'!$E$2:$E$1001,"&gt;="&amp;DATE(2026,1,1),'PERMINYAKAN SUCI'!$E$2:$E$1001,"&lt;="&amp;DATE(2026,12,31)))</f>
        <v/>
      </c>
      <c r="Q70" s="19">
        <f>IF($A70="","",H70)</f>
        <v/>
      </c>
      <c r="R70" s="19">
        <f>IF($A70="","",COUNTIFS('SEMINARI BIARA'!$C$2:$C$1001,$A70,'SEMINARI BIARA'!$F$2:$F$1001,"Mulai masuk 2026",'SEMINARI BIARA'!$G$2:$G$1001,"&gt;="&amp;DATE(2026,1,1),'SEMINARI BIARA'!$G$2:$G$1001,"&lt;="&amp;DATE(2026,12,31)))</f>
        <v/>
      </c>
      <c r="S70" s="19">
        <f>IF($A70="","",COUNTIFS('SEMINARI BIARA'!$C$2:$C$1001,$A70,'SEMINARI BIARA'!$F$2:$F$1001,"Sedang belajar 2026"))</f>
        <v/>
      </c>
    </row>
    <row r="71" ht="14.25" customHeight="1" s="38">
      <c r="A71" s="18" t="n"/>
      <c r="B71" s="19">
        <f>IF($A71="","",COUNTIF('DATA KK'!$E$2:$E$501,$A71))</f>
        <v/>
      </c>
      <c r="C71" s="19">
        <f>IF($A71="","",COUNTIF('DATA UMAT'!$H$2:$H$2001,$A71))</f>
        <v/>
      </c>
      <c r="D71" s="19">
        <f>IF($A71="","",COUNTIFS(BAPTIS!$C$2:$C$1001,$A71,BAPTIS!$F$2:$F$1001,"&gt;="&amp;DATE(2026,1,1),BAPTIS!$F$2:$F$1001,"&lt;="&amp;DATE(2026,12,31)))</f>
        <v/>
      </c>
      <c r="E71" s="19">
        <f>IF($A71="","",COUNTIFS('DITERIMA MASUK'!$C$2:$C$1001,$A71,'DITERIMA MASUK'!$D$2:$D$1001,"&gt;="&amp;DATE(2026,1,1),'DITERIMA MASUK'!$D$2:$D$1001,"&lt;="&amp;DATE(2026,12,31)))</f>
        <v/>
      </c>
      <c r="F71" s="19">
        <f>IF($A71="","",COUNTIFS(MUTASI!$C$2:$C$1001,$A71,MUTASI!$D$2:$D$1001,"Masuk",MUTASI!$F$2:$F$1001,"Paroki lain dalam keuskupan",MUTASI!$E$2:$E$1001,"&gt;="&amp;DATE(2026,1,1),MUTASI!$E$2:$E$1001,"&lt;="&amp;DATE(2026,12,31)))</f>
        <v/>
      </c>
      <c r="G71" s="19">
        <f>IF($A71="","",COUNTIFS(MUTASI!$C$2:$C$1001,$A71,MUTASI!$D$2:$D$1001,"Masuk",MUTASI!$F$2:$F$1001,"Keuskupan lain",MUTASI!$E$2:$E$1001,"&gt;="&amp;DATE(2026,1,1),MUTASI!$E$2:$E$1001,"&lt;="&amp;DATE(2026,12,31)))</f>
        <v/>
      </c>
      <c r="H71" s="19">
        <f>IF($A71="","",COUNTIFS(KEMATIAN!$C$2:$C$1001,$A71,KEMATIAN!$F$2:$F$1001,"&gt;="&amp;DATE(2026,1,1),KEMATIAN!$F$2:$F$1001,"&lt;="&amp;DATE(2026,12,31)))</f>
        <v/>
      </c>
      <c r="I71" s="19">
        <f>IF($A71="","",COUNTIFS(MUTASI!$C$2:$C$1001,$A71,MUTASI!$D$2:$D$1001,"Keluar",MUTASI!$F$2:$F$1001,"Paroki lain dalam keuskupan",MUTASI!$E$2:$E$1001,"&gt;="&amp;DATE(2026,1,1),MUTASI!$E$2:$E$1001,"&lt;="&amp;DATE(2026,12,31)))</f>
        <v/>
      </c>
      <c r="J71" s="19">
        <f>IF($A71="","",COUNTIFS(MUTASI!$C$2:$C$1001,$A71,MUTASI!$D$2:$D$1001,"Keluar",MUTASI!$F$2:$F$1001,"Keuskupan lain",MUTASI!$E$2:$E$1001,"&gt;="&amp;DATE(2026,1,1),MUTASI!$E$2:$E$1001,"&lt;="&amp;DATE(2026,12,31)))</f>
        <v/>
      </c>
      <c r="K71" s="19">
        <f>IF($A71="","",COUNTIFS('PINDAH AGAMA'!$C$2:$C$1001,$A71,'PINDAH AGAMA'!$D$2:$D$1001,"&gt;="&amp;DATE(2026,1,1),'PINDAH AGAMA'!$D$2:$D$1001,"&lt;="&amp;DATE(2026,12,31)))</f>
        <v/>
      </c>
      <c r="L71" s="19">
        <f>IF($A71="","",D71+E71+F71+G71-H71-I71-J71-K71)</f>
        <v/>
      </c>
      <c r="M71" s="19">
        <f>IF($A71="","",COUNTIFS('KOMUNI PERTAMA'!$C$2:$C$1001,$A71,'KOMUNI PERTAMA'!$E$2:$E$1001,"&gt;="&amp;DATE(2026,1,1),'KOMUNI PERTAMA'!$E$2:$E$1001,"&lt;="&amp;DATE(2026,12,31)))</f>
        <v/>
      </c>
      <c r="N71" s="19">
        <f>IF($A71="","",COUNTIFS('PERKAWINAN GEREJANI'!$C$2:$C$1001,$A71,'PERKAWINAN GEREJANI'!$D$2:$D$1001,"&gt;="&amp;DATE(2026,1,1),'PERKAWINAN GEREJANI'!$D$2:$D$1001,"&lt;="&amp;DATE(2026,12,31)))</f>
        <v/>
      </c>
      <c r="O71" s="19">
        <f>IF($A71="","",COUNTIFS(PEMBUBARAN!$C$2:$C$1001,$A71,PEMBUBARAN!$D$2:$D$1001,"&gt;="&amp;DATE(2026,1,1),PEMBUBARAN!$D$2:$D$1001,"&lt;="&amp;DATE(2026,12,31)))</f>
        <v/>
      </c>
      <c r="P71" s="19">
        <f>IF($A71="","",COUNTIFS('PERMINYAKAN SUCI'!$C$2:$C$1001,$A71,'PERMINYAKAN SUCI'!$E$2:$E$1001,"&gt;="&amp;DATE(2026,1,1),'PERMINYAKAN SUCI'!$E$2:$E$1001,"&lt;="&amp;DATE(2026,12,31)))</f>
        <v/>
      </c>
      <c r="Q71" s="19">
        <f>IF($A71="","",H71)</f>
        <v/>
      </c>
      <c r="R71" s="19">
        <f>IF($A71="","",COUNTIFS('SEMINARI BIARA'!$C$2:$C$1001,$A71,'SEMINARI BIARA'!$F$2:$F$1001,"Mulai masuk 2026",'SEMINARI BIARA'!$G$2:$G$1001,"&gt;="&amp;DATE(2026,1,1),'SEMINARI BIARA'!$G$2:$G$1001,"&lt;="&amp;DATE(2026,12,31)))</f>
        <v/>
      </c>
      <c r="S71" s="19">
        <f>IF($A71="","",COUNTIFS('SEMINARI BIARA'!$C$2:$C$1001,$A71,'SEMINARI BIARA'!$F$2:$F$1001,"Sedang belajar 2026"))</f>
        <v/>
      </c>
    </row>
    <row r="72" ht="14.25" customHeight="1" s="38">
      <c r="A72" s="18" t="n"/>
      <c r="B72" s="19">
        <f>IF($A72="","",COUNTIF('DATA KK'!$E$2:$E$501,$A72))</f>
        <v/>
      </c>
      <c r="C72" s="19">
        <f>IF($A72="","",COUNTIF('DATA UMAT'!$H$2:$H$2001,$A72))</f>
        <v/>
      </c>
      <c r="D72" s="19">
        <f>IF($A72="","",COUNTIFS(BAPTIS!$C$2:$C$1001,$A72,BAPTIS!$F$2:$F$1001,"&gt;="&amp;DATE(2026,1,1),BAPTIS!$F$2:$F$1001,"&lt;="&amp;DATE(2026,12,31)))</f>
        <v/>
      </c>
      <c r="E72" s="19">
        <f>IF($A72="","",COUNTIFS('DITERIMA MASUK'!$C$2:$C$1001,$A72,'DITERIMA MASUK'!$D$2:$D$1001,"&gt;="&amp;DATE(2026,1,1),'DITERIMA MASUK'!$D$2:$D$1001,"&lt;="&amp;DATE(2026,12,31)))</f>
        <v/>
      </c>
      <c r="F72" s="19">
        <f>IF($A72="","",COUNTIFS(MUTASI!$C$2:$C$1001,$A72,MUTASI!$D$2:$D$1001,"Masuk",MUTASI!$F$2:$F$1001,"Paroki lain dalam keuskupan",MUTASI!$E$2:$E$1001,"&gt;="&amp;DATE(2026,1,1),MUTASI!$E$2:$E$1001,"&lt;="&amp;DATE(2026,12,31)))</f>
        <v/>
      </c>
      <c r="G72" s="19">
        <f>IF($A72="","",COUNTIFS(MUTASI!$C$2:$C$1001,$A72,MUTASI!$D$2:$D$1001,"Masuk",MUTASI!$F$2:$F$1001,"Keuskupan lain",MUTASI!$E$2:$E$1001,"&gt;="&amp;DATE(2026,1,1),MUTASI!$E$2:$E$1001,"&lt;="&amp;DATE(2026,12,31)))</f>
        <v/>
      </c>
      <c r="H72" s="19">
        <f>IF($A72="","",COUNTIFS(KEMATIAN!$C$2:$C$1001,$A72,KEMATIAN!$F$2:$F$1001,"&gt;="&amp;DATE(2026,1,1),KEMATIAN!$F$2:$F$1001,"&lt;="&amp;DATE(2026,12,31)))</f>
        <v/>
      </c>
      <c r="I72" s="19">
        <f>IF($A72="","",COUNTIFS(MUTASI!$C$2:$C$1001,$A72,MUTASI!$D$2:$D$1001,"Keluar",MUTASI!$F$2:$F$1001,"Paroki lain dalam keuskupan",MUTASI!$E$2:$E$1001,"&gt;="&amp;DATE(2026,1,1),MUTASI!$E$2:$E$1001,"&lt;="&amp;DATE(2026,12,31)))</f>
        <v/>
      </c>
      <c r="J72" s="19">
        <f>IF($A72="","",COUNTIFS(MUTASI!$C$2:$C$1001,$A72,MUTASI!$D$2:$D$1001,"Keluar",MUTASI!$F$2:$F$1001,"Keuskupan lain",MUTASI!$E$2:$E$1001,"&gt;="&amp;DATE(2026,1,1),MUTASI!$E$2:$E$1001,"&lt;="&amp;DATE(2026,12,31)))</f>
        <v/>
      </c>
      <c r="K72" s="19">
        <f>IF($A72="","",COUNTIFS('PINDAH AGAMA'!$C$2:$C$1001,$A72,'PINDAH AGAMA'!$D$2:$D$1001,"&gt;="&amp;DATE(2026,1,1),'PINDAH AGAMA'!$D$2:$D$1001,"&lt;="&amp;DATE(2026,12,31)))</f>
        <v/>
      </c>
      <c r="L72" s="19">
        <f>IF($A72="","",D72+E72+F72+G72-H72-I72-J72-K72)</f>
        <v/>
      </c>
      <c r="M72" s="19">
        <f>IF($A72="","",COUNTIFS('KOMUNI PERTAMA'!$C$2:$C$1001,$A72,'KOMUNI PERTAMA'!$E$2:$E$1001,"&gt;="&amp;DATE(2026,1,1),'KOMUNI PERTAMA'!$E$2:$E$1001,"&lt;="&amp;DATE(2026,12,31)))</f>
        <v/>
      </c>
      <c r="N72" s="19">
        <f>IF($A72="","",COUNTIFS('PERKAWINAN GEREJANI'!$C$2:$C$1001,$A72,'PERKAWINAN GEREJANI'!$D$2:$D$1001,"&gt;="&amp;DATE(2026,1,1),'PERKAWINAN GEREJANI'!$D$2:$D$1001,"&lt;="&amp;DATE(2026,12,31)))</f>
        <v/>
      </c>
      <c r="O72" s="19">
        <f>IF($A72="","",COUNTIFS(PEMBUBARAN!$C$2:$C$1001,$A72,PEMBUBARAN!$D$2:$D$1001,"&gt;="&amp;DATE(2026,1,1),PEMBUBARAN!$D$2:$D$1001,"&lt;="&amp;DATE(2026,12,31)))</f>
        <v/>
      </c>
      <c r="P72" s="19">
        <f>IF($A72="","",COUNTIFS('PERMINYAKAN SUCI'!$C$2:$C$1001,$A72,'PERMINYAKAN SUCI'!$E$2:$E$1001,"&gt;="&amp;DATE(2026,1,1),'PERMINYAKAN SUCI'!$E$2:$E$1001,"&lt;="&amp;DATE(2026,12,31)))</f>
        <v/>
      </c>
      <c r="Q72" s="19">
        <f>IF($A72="","",H72)</f>
        <v/>
      </c>
      <c r="R72" s="19">
        <f>IF($A72="","",COUNTIFS('SEMINARI BIARA'!$C$2:$C$1001,$A72,'SEMINARI BIARA'!$F$2:$F$1001,"Mulai masuk 2026",'SEMINARI BIARA'!$G$2:$G$1001,"&gt;="&amp;DATE(2026,1,1),'SEMINARI BIARA'!$G$2:$G$1001,"&lt;="&amp;DATE(2026,12,31)))</f>
        <v/>
      </c>
      <c r="S72" s="19">
        <f>IF($A72="","",COUNTIFS('SEMINARI BIARA'!$C$2:$C$1001,$A72,'SEMINARI BIARA'!$F$2:$F$1001,"Sedang belajar 2026"))</f>
        <v/>
      </c>
    </row>
    <row r="73" ht="14.25" customHeight="1" s="38">
      <c r="A73" s="18" t="n"/>
      <c r="B73" s="19">
        <f>IF($A73="","",COUNTIF('DATA KK'!$E$2:$E$501,$A73))</f>
        <v/>
      </c>
      <c r="C73" s="19">
        <f>IF($A73="","",COUNTIF('DATA UMAT'!$H$2:$H$2001,$A73))</f>
        <v/>
      </c>
      <c r="D73" s="19">
        <f>IF($A73="","",COUNTIFS(BAPTIS!$C$2:$C$1001,$A73,BAPTIS!$F$2:$F$1001,"&gt;="&amp;DATE(2026,1,1),BAPTIS!$F$2:$F$1001,"&lt;="&amp;DATE(2026,12,31)))</f>
        <v/>
      </c>
      <c r="E73" s="19">
        <f>IF($A73="","",COUNTIFS('DITERIMA MASUK'!$C$2:$C$1001,$A73,'DITERIMA MASUK'!$D$2:$D$1001,"&gt;="&amp;DATE(2026,1,1),'DITERIMA MASUK'!$D$2:$D$1001,"&lt;="&amp;DATE(2026,12,31)))</f>
        <v/>
      </c>
      <c r="F73" s="19">
        <f>IF($A73="","",COUNTIFS(MUTASI!$C$2:$C$1001,$A73,MUTASI!$D$2:$D$1001,"Masuk",MUTASI!$F$2:$F$1001,"Paroki lain dalam keuskupan",MUTASI!$E$2:$E$1001,"&gt;="&amp;DATE(2026,1,1),MUTASI!$E$2:$E$1001,"&lt;="&amp;DATE(2026,12,31)))</f>
        <v/>
      </c>
      <c r="G73" s="19">
        <f>IF($A73="","",COUNTIFS(MUTASI!$C$2:$C$1001,$A73,MUTASI!$D$2:$D$1001,"Masuk",MUTASI!$F$2:$F$1001,"Keuskupan lain",MUTASI!$E$2:$E$1001,"&gt;="&amp;DATE(2026,1,1),MUTASI!$E$2:$E$1001,"&lt;="&amp;DATE(2026,12,31)))</f>
        <v/>
      </c>
      <c r="H73" s="19">
        <f>IF($A73="","",COUNTIFS(KEMATIAN!$C$2:$C$1001,$A73,KEMATIAN!$F$2:$F$1001,"&gt;="&amp;DATE(2026,1,1),KEMATIAN!$F$2:$F$1001,"&lt;="&amp;DATE(2026,12,31)))</f>
        <v/>
      </c>
      <c r="I73" s="19">
        <f>IF($A73="","",COUNTIFS(MUTASI!$C$2:$C$1001,$A73,MUTASI!$D$2:$D$1001,"Keluar",MUTASI!$F$2:$F$1001,"Paroki lain dalam keuskupan",MUTASI!$E$2:$E$1001,"&gt;="&amp;DATE(2026,1,1),MUTASI!$E$2:$E$1001,"&lt;="&amp;DATE(2026,12,31)))</f>
        <v/>
      </c>
      <c r="J73" s="19">
        <f>IF($A73="","",COUNTIFS(MUTASI!$C$2:$C$1001,$A73,MUTASI!$D$2:$D$1001,"Keluar",MUTASI!$F$2:$F$1001,"Keuskupan lain",MUTASI!$E$2:$E$1001,"&gt;="&amp;DATE(2026,1,1),MUTASI!$E$2:$E$1001,"&lt;="&amp;DATE(2026,12,31)))</f>
        <v/>
      </c>
      <c r="K73" s="19">
        <f>IF($A73="","",COUNTIFS('PINDAH AGAMA'!$C$2:$C$1001,$A73,'PINDAH AGAMA'!$D$2:$D$1001,"&gt;="&amp;DATE(2026,1,1),'PINDAH AGAMA'!$D$2:$D$1001,"&lt;="&amp;DATE(2026,12,31)))</f>
        <v/>
      </c>
      <c r="L73" s="19">
        <f>IF($A73="","",D73+E73+F73+G73-H73-I73-J73-K73)</f>
        <v/>
      </c>
      <c r="M73" s="19">
        <f>IF($A73="","",COUNTIFS('KOMUNI PERTAMA'!$C$2:$C$1001,$A73,'KOMUNI PERTAMA'!$E$2:$E$1001,"&gt;="&amp;DATE(2026,1,1),'KOMUNI PERTAMA'!$E$2:$E$1001,"&lt;="&amp;DATE(2026,12,31)))</f>
        <v/>
      </c>
      <c r="N73" s="19">
        <f>IF($A73="","",COUNTIFS('PERKAWINAN GEREJANI'!$C$2:$C$1001,$A73,'PERKAWINAN GEREJANI'!$D$2:$D$1001,"&gt;="&amp;DATE(2026,1,1),'PERKAWINAN GEREJANI'!$D$2:$D$1001,"&lt;="&amp;DATE(2026,12,31)))</f>
        <v/>
      </c>
      <c r="O73" s="19">
        <f>IF($A73="","",COUNTIFS(PEMBUBARAN!$C$2:$C$1001,$A73,PEMBUBARAN!$D$2:$D$1001,"&gt;="&amp;DATE(2026,1,1),PEMBUBARAN!$D$2:$D$1001,"&lt;="&amp;DATE(2026,12,31)))</f>
        <v/>
      </c>
      <c r="P73" s="19">
        <f>IF($A73="","",COUNTIFS('PERMINYAKAN SUCI'!$C$2:$C$1001,$A73,'PERMINYAKAN SUCI'!$E$2:$E$1001,"&gt;="&amp;DATE(2026,1,1),'PERMINYAKAN SUCI'!$E$2:$E$1001,"&lt;="&amp;DATE(2026,12,31)))</f>
        <v/>
      </c>
      <c r="Q73" s="19">
        <f>IF($A73="","",H73)</f>
        <v/>
      </c>
      <c r="R73" s="19">
        <f>IF($A73="","",COUNTIFS('SEMINARI BIARA'!$C$2:$C$1001,$A73,'SEMINARI BIARA'!$F$2:$F$1001,"Mulai masuk 2026",'SEMINARI BIARA'!$G$2:$G$1001,"&gt;="&amp;DATE(2026,1,1),'SEMINARI BIARA'!$G$2:$G$1001,"&lt;="&amp;DATE(2026,12,31)))</f>
        <v/>
      </c>
      <c r="S73" s="19">
        <f>IF($A73="","",COUNTIFS('SEMINARI BIARA'!$C$2:$C$1001,$A73,'SEMINARI BIARA'!$F$2:$F$1001,"Sedang belajar 2026"))</f>
        <v/>
      </c>
    </row>
    <row r="74" ht="14.25" customHeight="1" s="38">
      <c r="A74" s="18" t="n"/>
      <c r="B74" s="19">
        <f>IF($A74="","",COUNTIF('DATA KK'!$E$2:$E$501,$A74))</f>
        <v/>
      </c>
      <c r="C74" s="19">
        <f>IF($A74="","",COUNTIF('DATA UMAT'!$H$2:$H$2001,$A74))</f>
        <v/>
      </c>
      <c r="D74" s="19">
        <f>IF($A74="","",COUNTIFS(BAPTIS!$C$2:$C$1001,$A74,BAPTIS!$F$2:$F$1001,"&gt;="&amp;DATE(2026,1,1),BAPTIS!$F$2:$F$1001,"&lt;="&amp;DATE(2026,12,31)))</f>
        <v/>
      </c>
      <c r="E74" s="19">
        <f>IF($A74="","",COUNTIFS('DITERIMA MASUK'!$C$2:$C$1001,$A74,'DITERIMA MASUK'!$D$2:$D$1001,"&gt;="&amp;DATE(2026,1,1),'DITERIMA MASUK'!$D$2:$D$1001,"&lt;="&amp;DATE(2026,12,31)))</f>
        <v/>
      </c>
      <c r="F74" s="19">
        <f>IF($A74="","",COUNTIFS(MUTASI!$C$2:$C$1001,$A74,MUTASI!$D$2:$D$1001,"Masuk",MUTASI!$F$2:$F$1001,"Paroki lain dalam keuskupan",MUTASI!$E$2:$E$1001,"&gt;="&amp;DATE(2026,1,1),MUTASI!$E$2:$E$1001,"&lt;="&amp;DATE(2026,12,31)))</f>
        <v/>
      </c>
      <c r="G74" s="19">
        <f>IF($A74="","",COUNTIFS(MUTASI!$C$2:$C$1001,$A74,MUTASI!$D$2:$D$1001,"Masuk",MUTASI!$F$2:$F$1001,"Keuskupan lain",MUTASI!$E$2:$E$1001,"&gt;="&amp;DATE(2026,1,1),MUTASI!$E$2:$E$1001,"&lt;="&amp;DATE(2026,12,31)))</f>
        <v/>
      </c>
      <c r="H74" s="19">
        <f>IF($A74="","",COUNTIFS(KEMATIAN!$C$2:$C$1001,$A74,KEMATIAN!$F$2:$F$1001,"&gt;="&amp;DATE(2026,1,1),KEMATIAN!$F$2:$F$1001,"&lt;="&amp;DATE(2026,12,31)))</f>
        <v/>
      </c>
      <c r="I74" s="19">
        <f>IF($A74="","",COUNTIFS(MUTASI!$C$2:$C$1001,$A74,MUTASI!$D$2:$D$1001,"Keluar",MUTASI!$F$2:$F$1001,"Paroki lain dalam keuskupan",MUTASI!$E$2:$E$1001,"&gt;="&amp;DATE(2026,1,1),MUTASI!$E$2:$E$1001,"&lt;="&amp;DATE(2026,12,31)))</f>
        <v/>
      </c>
      <c r="J74" s="19">
        <f>IF($A74="","",COUNTIFS(MUTASI!$C$2:$C$1001,$A74,MUTASI!$D$2:$D$1001,"Keluar",MUTASI!$F$2:$F$1001,"Keuskupan lain",MUTASI!$E$2:$E$1001,"&gt;="&amp;DATE(2026,1,1),MUTASI!$E$2:$E$1001,"&lt;="&amp;DATE(2026,12,31)))</f>
        <v/>
      </c>
      <c r="K74" s="19">
        <f>IF($A74="","",COUNTIFS('PINDAH AGAMA'!$C$2:$C$1001,$A74,'PINDAH AGAMA'!$D$2:$D$1001,"&gt;="&amp;DATE(2026,1,1),'PINDAH AGAMA'!$D$2:$D$1001,"&lt;="&amp;DATE(2026,12,31)))</f>
        <v/>
      </c>
      <c r="L74" s="19">
        <f>IF($A74="","",D74+E74+F74+G74-H74-I74-J74-K74)</f>
        <v/>
      </c>
      <c r="M74" s="19">
        <f>IF($A74="","",COUNTIFS('KOMUNI PERTAMA'!$C$2:$C$1001,$A74,'KOMUNI PERTAMA'!$E$2:$E$1001,"&gt;="&amp;DATE(2026,1,1),'KOMUNI PERTAMA'!$E$2:$E$1001,"&lt;="&amp;DATE(2026,12,31)))</f>
        <v/>
      </c>
      <c r="N74" s="19">
        <f>IF($A74="","",COUNTIFS('PERKAWINAN GEREJANI'!$C$2:$C$1001,$A74,'PERKAWINAN GEREJANI'!$D$2:$D$1001,"&gt;="&amp;DATE(2026,1,1),'PERKAWINAN GEREJANI'!$D$2:$D$1001,"&lt;="&amp;DATE(2026,12,31)))</f>
        <v/>
      </c>
      <c r="O74" s="19">
        <f>IF($A74="","",COUNTIFS(PEMBUBARAN!$C$2:$C$1001,$A74,PEMBUBARAN!$D$2:$D$1001,"&gt;="&amp;DATE(2026,1,1),PEMBUBARAN!$D$2:$D$1001,"&lt;="&amp;DATE(2026,12,31)))</f>
        <v/>
      </c>
      <c r="P74" s="19">
        <f>IF($A74="","",COUNTIFS('PERMINYAKAN SUCI'!$C$2:$C$1001,$A74,'PERMINYAKAN SUCI'!$E$2:$E$1001,"&gt;="&amp;DATE(2026,1,1),'PERMINYAKAN SUCI'!$E$2:$E$1001,"&lt;="&amp;DATE(2026,12,31)))</f>
        <v/>
      </c>
      <c r="Q74" s="19">
        <f>IF($A74="","",H74)</f>
        <v/>
      </c>
      <c r="R74" s="19">
        <f>IF($A74="","",COUNTIFS('SEMINARI BIARA'!$C$2:$C$1001,$A74,'SEMINARI BIARA'!$F$2:$F$1001,"Mulai masuk 2026",'SEMINARI BIARA'!$G$2:$G$1001,"&gt;="&amp;DATE(2026,1,1),'SEMINARI BIARA'!$G$2:$G$1001,"&lt;="&amp;DATE(2026,12,31)))</f>
        <v/>
      </c>
      <c r="S74" s="19">
        <f>IF($A74="","",COUNTIFS('SEMINARI BIARA'!$C$2:$C$1001,$A74,'SEMINARI BIARA'!$F$2:$F$1001,"Sedang belajar 2026"))</f>
        <v/>
      </c>
    </row>
    <row r="75" ht="14.25" customHeight="1" s="38">
      <c r="A75" s="18" t="n"/>
      <c r="B75" s="19">
        <f>IF($A75="","",COUNTIF('DATA KK'!$E$2:$E$501,$A75))</f>
        <v/>
      </c>
      <c r="C75" s="19">
        <f>IF($A75="","",COUNTIF('DATA UMAT'!$H$2:$H$2001,$A75))</f>
        <v/>
      </c>
      <c r="D75" s="19">
        <f>IF($A75="","",COUNTIFS(BAPTIS!$C$2:$C$1001,$A75,BAPTIS!$F$2:$F$1001,"&gt;="&amp;DATE(2026,1,1),BAPTIS!$F$2:$F$1001,"&lt;="&amp;DATE(2026,12,31)))</f>
        <v/>
      </c>
      <c r="E75" s="19">
        <f>IF($A75="","",COUNTIFS('DITERIMA MASUK'!$C$2:$C$1001,$A75,'DITERIMA MASUK'!$D$2:$D$1001,"&gt;="&amp;DATE(2026,1,1),'DITERIMA MASUK'!$D$2:$D$1001,"&lt;="&amp;DATE(2026,12,31)))</f>
        <v/>
      </c>
      <c r="F75" s="19">
        <f>IF($A75="","",COUNTIFS(MUTASI!$C$2:$C$1001,$A75,MUTASI!$D$2:$D$1001,"Masuk",MUTASI!$F$2:$F$1001,"Paroki lain dalam keuskupan",MUTASI!$E$2:$E$1001,"&gt;="&amp;DATE(2026,1,1),MUTASI!$E$2:$E$1001,"&lt;="&amp;DATE(2026,12,31)))</f>
        <v/>
      </c>
      <c r="G75" s="19">
        <f>IF($A75="","",COUNTIFS(MUTASI!$C$2:$C$1001,$A75,MUTASI!$D$2:$D$1001,"Masuk",MUTASI!$F$2:$F$1001,"Keuskupan lain",MUTASI!$E$2:$E$1001,"&gt;="&amp;DATE(2026,1,1),MUTASI!$E$2:$E$1001,"&lt;="&amp;DATE(2026,12,31)))</f>
        <v/>
      </c>
      <c r="H75" s="19">
        <f>IF($A75="","",COUNTIFS(KEMATIAN!$C$2:$C$1001,$A75,KEMATIAN!$F$2:$F$1001,"&gt;="&amp;DATE(2026,1,1),KEMATIAN!$F$2:$F$1001,"&lt;="&amp;DATE(2026,12,31)))</f>
        <v/>
      </c>
      <c r="I75" s="19">
        <f>IF($A75="","",COUNTIFS(MUTASI!$C$2:$C$1001,$A75,MUTASI!$D$2:$D$1001,"Keluar",MUTASI!$F$2:$F$1001,"Paroki lain dalam keuskupan",MUTASI!$E$2:$E$1001,"&gt;="&amp;DATE(2026,1,1),MUTASI!$E$2:$E$1001,"&lt;="&amp;DATE(2026,12,31)))</f>
        <v/>
      </c>
      <c r="J75" s="19">
        <f>IF($A75="","",COUNTIFS(MUTASI!$C$2:$C$1001,$A75,MUTASI!$D$2:$D$1001,"Keluar",MUTASI!$F$2:$F$1001,"Keuskupan lain",MUTASI!$E$2:$E$1001,"&gt;="&amp;DATE(2026,1,1),MUTASI!$E$2:$E$1001,"&lt;="&amp;DATE(2026,12,31)))</f>
        <v/>
      </c>
      <c r="K75" s="19">
        <f>IF($A75="","",COUNTIFS('PINDAH AGAMA'!$C$2:$C$1001,$A75,'PINDAH AGAMA'!$D$2:$D$1001,"&gt;="&amp;DATE(2026,1,1),'PINDAH AGAMA'!$D$2:$D$1001,"&lt;="&amp;DATE(2026,12,31)))</f>
        <v/>
      </c>
      <c r="L75" s="19">
        <f>IF($A75="","",D75+E75+F75+G75-H75-I75-J75-K75)</f>
        <v/>
      </c>
      <c r="M75" s="19">
        <f>IF($A75="","",COUNTIFS('KOMUNI PERTAMA'!$C$2:$C$1001,$A75,'KOMUNI PERTAMA'!$E$2:$E$1001,"&gt;="&amp;DATE(2026,1,1),'KOMUNI PERTAMA'!$E$2:$E$1001,"&lt;="&amp;DATE(2026,12,31)))</f>
        <v/>
      </c>
      <c r="N75" s="19">
        <f>IF($A75="","",COUNTIFS('PERKAWINAN GEREJANI'!$C$2:$C$1001,$A75,'PERKAWINAN GEREJANI'!$D$2:$D$1001,"&gt;="&amp;DATE(2026,1,1),'PERKAWINAN GEREJANI'!$D$2:$D$1001,"&lt;="&amp;DATE(2026,12,31)))</f>
        <v/>
      </c>
      <c r="O75" s="19">
        <f>IF($A75="","",COUNTIFS(PEMBUBARAN!$C$2:$C$1001,$A75,PEMBUBARAN!$D$2:$D$1001,"&gt;="&amp;DATE(2026,1,1),PEMBUBARAN!$D$2:$D$1001,"&lt;="&amp;DATE(2026,12,31)))</f>
        <v/>
      </c>
      <c r="P75" s="19">
        <f>IF($A75="","",COUNTIFS('PERMINYAKAN SUCI'!$C$2:$C$1001,$A75,'PERMINYAKAN SUCI'!$E$2:$E$1001,"&gt;="&amp;DATE(2026,1,1),'PERMINYAKAN SUCI'!$E$2:$E$1001,"&lt;="&amp;DATE(2026,12,31)))</f>
        <v/>
      </c>
      <c r="Q75" s="19">
        <f>IF($A75="","",H75)</f>
        <v/>
      </c>
      <c r="R75" s="19">
        <f>IF($A75="","",COUNTIFS('SEMINARI BIARA'!$C$2:$C$1001,$A75,'SEMINARI BIARA'!$F$2:$F$1001,"Mulai masuk 2026",'SEMINARI BIARA'!$G$2:$G$1001,"&gt;="&amp;DATE(2026,1,1),'SEMINARI BIARA'!$G$2:$G$1001,"&lt;="&amp;DATE(2026,12,31)))</f>
        <v/>
      </c>
      <c r="S75" s="19">
        <f>IF($A75="","",COUNTIFS('SEMINARI BIARA'!$C$2:$C$1001,$A75,'SEMINARI BIARA'!$F$2:$F$1001,"Sedang belajar 2026"))</f>
        <v/>
      </c>
    </row>
    <row r="76" ht="14.25" customHeight="1" s="38">
      <c r="A76" s="18" t="n"/>
      <c r="B76" s="19">
        <f>IF($A76="","",COUNTIF('DATA KK'!$E$2:$E$501,$A76))</f>
        <v/>
      </c>
      <c r="C76" s="19">
        <f>IF($A76="","",COUNTIF('DATA UMAT'!$H$2:$H$2001,$A76))</f>
        <v/>
      </c>
      <c r="D76" s="19">
        <f>IF($A76="","",COUNTIFS(BAPTIS!$C$2:$C$1001,$A76,BAPTIS!$F$2:$F$1001,"&gt;="&amp;DATE(2026,1,1),BAPTIS!$F$2:$F$1001,"&lt;="&amp;DATE(2026,12,31)))</f>
        <v/>
      </c>
      <c r="E76" s="19">
        <f>IF($A76="","",COUNTIFS('DITERIMA MASUK'!$C$2:$C$1001,$A76,'DITERIMA MASUK'!$D$2:$D$1001,"&gt;="&amp;DATE(2026,1,1),'DITERIMA MASUK'!$D$2:$D$1001,"&lt;="&amp;DATE(2026,12,31)))</f>
        <v/>
      </c>
      <c r="F76" s="19">
        <f>IF($A76="","",COUNTIFS(MUTASI!$C$2:$C$1001,$A76,MUTASI!$D$2:$D$1001,"Masuk",MUTASI!$F$2:$F$1001,"Paroki lain dalam keuskupan",MUTASI!$E$2:$E$1001,"&gt;="&amp;DATE(2026,1,1),MUTASI!$E$2:$E$1001,"&lt;="&amp;DATE(2026,12,31)))</f>
        <v/>
      </c>
      <c r="G76" s="19">
        <f>IF($A76="","",COUNTIFS(MUTASI!$C$2:$C$1001,$A76,MUTASI!$D$2:$D$1001,"Masuk",MUTASI!$F$2:$F$1001,"Keuskupan lain",MUTASI!$E$2:$E$1001,"&gt;="&amp;DATE(2026,1,1),MUTASI!$E$2:$E$1001,"&lt;="&amp;DATE(2026,12,31)))</f>
        <v/>
      </c>
      <c r="H76" s="19">
        <f>IF($A76="","",COUNTIFS(KEMATIAN!$C$2:$C$1001,$A76,KEMATIAN!$F$2:$F$1001,"&gt;="&amp;DATE(2026,1,1),KEMATIAN!$F$2:$F$1001,"&lt;="&amp;DATE(2026,12,31)))</f>
        <v/>
      </c>
      <c r="I76" s="19">
        <f>IF($A76="","",COUNTIFS(MUTASI!$C$2:$C$1001,$A76,MUTASI!$D$2:$D$1001,"Keluar",MUTASI!$F$2:$F$1001,"Paroki lain dalam keuskupan",MUTASI!$E$2:$E$1001,"&gt;="&amp;DATE(2026,1,1),MUTASI!$E$2:$E$1001,"&lt;="&amp;DATE(2026,12,31)))</f>
        <v/>
      </c>
      <c r="J76" s="19">
        <f>IF($A76="","",COUNTIFS(MUTASI!$C$2:$C$1001,$A76,MUTASI!$D$2:$D$1001,"Keluar",MUTASI!$F$2:$F$1001,"Keuskupan lain",MUTASI!$E$2:$E$1001,"&gt;="&amp;DATE(2026,1,1),MUTASI!$E$2:$E$1001,"&lt;="&amp;DATE(2026,12,31)))</f>
        <v/>
      </c>
      <c r="K76" s="19">
        <f>IF($A76="","",COUNTIFS('PINDAH AGAMA'!$C$2:$C$1001,$A76,'PINDAH AGAMA'!$D$2:$D$1001,"&gt;="&amp;DATE(2026,1,1),'PINDAH AGAMA'!$D$2:$D$1001,"&lt;="&amp;DATE(2026,12,31)))</f>
        <v/>
      </c>
      <c r="L76" s="19">
        <f>IF($A76="","",D76+E76+F76+G76-H76-I76-J76-K76)</f>
        <v/>
      </c>
      <c r="M76" s="19">
        <f>IF($A76="","",COUNTIFS('KOMUNI PERTAMA'!$C$2:$C$1001,$A76,'KOMUNI PERTAMA'!$E$2:$E$1001,"&gt;="&amp;DATE(2026,1,1),'KOMUNI PERTAMA'!$E$2:$E$1001,"&lt;="&amp;DATE(2026,12,31)))</f>
        <v/>
      </c>
      <c r="N76" s="19">
        <f>IF($A76="","",COUNTIFS('PERKAWINAN GEREJANI'!$C$2:$C$1001,$A76,'PERKAWINAN GEREJANI'!$D$2:$D$1001,"&gt;="&amp;DATE(2026,1,1),'PERKAWINAN GEREJANI'!$D$2:$D$1001,"&lt;="&amp;DATE(2026,12,31)))</f>
        <v/>
      </c>
      <c r="O76" s="19">
        <f>IF($A76="","",COUNTIFS(PEMBUBARAN!$C$2:$C$1001,$A76,PEMBUBARAN!$D$2:$D$1001,"&gt;="&amp;DATE(2026,1,1),PEMBUBARAN!$D$2:$D$1001,"&lt;="&amp;DATE(2026,12,31)))</f>
        <v/>
      </c>
      <c r="P76" s="19">
        <f>IF($A76="","",COUNTIFS('PERMINYAKAN SUCI'!$C$2:$C$1001,$A76,'PERMINYAKAN SUCI'!$E$2:$E$1001,"&gt;="&amp;DATE(2026,1,1),'PERMINYAKAN SUCI'!$E$2:$E$1001,"&lt;="&amp;DATE(2026,12,31)))</f>
        <v/>
      </c>
      <c r="Q76" s="19">
        <f>IF($A76="","",H76)</f>
        <v/>
      </c>
      <c r="R76" s="19">
        <f>IF($A76="","",COUNTIFS('SEMINARI BIARA'!$C$2:$C$1001,$A76,'SEMINARI BIARA'!$F$2:$F$1001,"Mulai masuk 2026",'SEMINARI BIARA'!$G$2:$G$1001,"&gt;="&amp;DATE(2026,1,1),'SEMINARI BIARA'!$G$2:$G$1001,"&lt;="&amp;DATE(2026,12,31)))</f>
        <v/>
      </c>
      <c r="S76" s="19">
        <f>IF($A76="","",COUNTIFS('SEMINARI BIARA'!$C$2:$C$1001,$A76,'SEMINARI BIARA'!$F$2:$F$1001,"Sedang belajar 2026"))</f>
        <v/>
      </c>
    </row>
    <row r="77" ht="14.25" customHeight="1" s="38">
      <c r="A77" s="18" t="n"/>
      <c r="B77" s="19">
        <f>IF($A77="","",COUNTIF('DATA KK'!$E$2:$E$501,$A77))</f>
        <v/>
      </c>
      <c r="C77" s="19">
        <f>IF($A77="","",COUNTIF('DATA UMAT'!$H$2:$H$2001,$A77))</f>
        <v/>
      </c>
      <c r="D77" s="19">
        <f>IF($A77="","",COUNTIFS(BAPTIS!$C$2:$C$1001,$A77,BAPTIS!$F$2:$F$1001,"&gt;="&amp;DATE(2026,1,1),BAPTIS!$F$2:$F$1001,"&lt;="&amp;DATE(2026,12,31)))</f>
        <v/>
      </c>
      <c r="E77" s="19">
        <f>IF($A77="","",COUNTIFS('DITERIMA MASUK'!$C$2:$C$1001,$A77,'DITERIMA MASUK'!$D$2:$D$1001,"&gt;="&amp;DATE(2026,1,1),'DITERIMA MASUK'!$D$2:$D$1001,"&lt;="&amp;DATE(2026,12,31)))</f>
        <v/>
      </c>
      <c r="F77" s="19">
        <f>IF($A77="","",COUNTIFS(MUTASI!$C$2:$C$1001,$A77,MUTASI!$D$2:$D$1001,"Masuk",MUTASI!$F$2:$F$1001,"Paroki lain dalam keuskupan",MUTASI!$E$2:$E$1001,"&gt;="&amp;DATE(2026,1,1),MUTASI!$E$2:$E$1001,"&lt;="&amp;DATE(2026,12,31)))</f>
        <v/>
      </c>
      <c r="G77" s="19">
        <f>IF($A77="","",COUNTIFS(MUTASI!$C$2:$C$1001,$A77,MUTASI!$D$2:$D$1001,"Masuk",MUTASI!$F$2:$F$1001,"Keuskupan lain",MUTASI!$E$2:$E$1001,"&gt;="&amp;DATE(2026,1,1),MUTASI!$E$2:$E$1001,"&lt;="&amp;DATE(2026,12,31)))</f>
        <v/>
      </c>
      <c r="H77" s="19">
        <f>IF($A77="","",COUNTIFS(KEMATIAN!$C$2:$C$1001,$A77,KEMATIAN!$F$2:$F$1001,"&gt;="&amp;DATE(2026,1,1),KEMATIAN!$F$2:$F$1001,"&lt;="&amp;DATE(2026,12,31)))</f>
        <v/>
      </c>
      <c r="I77" s="19">
        <f>IF($A77="","",COUNTIFS(MUTASI!$C$2:$C$1001,$A77,MUTASI!$D$2:$D$1001,"Keluar",MUTASI!$F$2:$F$1001,"Paroki lain dalam keuskupan",MUTASI!$E$2:$E$1001,"&gt;="&amp;DATE(2026,1,1),MUTASI!$E$2:$E$1001,"&lt;="&amp;DATE(2026,12,31)))</f>
        <v/>
      </c>
      <c r="J77" s="19">
        <f>IF($A77="","",COUNTIFS(MUTASI!$C$2:$C$1001,$A77,MUTASI!$D$2:$D$1001,"Keluar",MUTASI!$F$2:$F$1001,"Keuskupan lain",MUTASI!$E$2:$E$1001,"&gt;="&amp;DATE(2026,1,1),MUTASI!$E$2:$E$1001,"&lt;="&amp;DATE(2026,12,31)))</f>
        <v/>
      </c>
      <c r="K77" s="19">
        <f>IF($A77="","",COUNTIFS('PINDAH AGAMA'!$C$2:$C$1001,$A77,'PINDAH AGAMA'!$D$2:$D$1001,"&gt;="&amp;DATE(2026,1,1),'PINDAH AGAMA'!$D$2:$D$1001,"&lt;="&amp;DATE(2026,12,31)))</f>
        <v/>
      </c>
      <c r="L77" s="19">
        <f>IF($A77="","",D77+E77+F77+G77-H77-I77-J77-K77)</f>
        <v/>
      </c>
      <c r="M77" s="19">
        <f>IF($A77="","",COUNTIFS('KOMUNI PERTAMA'!$C$2:$C$1001,$A77,'KOMUNI PERTAMA'!$E$2:$E$1001,"&gt;="&amp;DATE(2026,1,1),'KOMUNI PERTAMA'!$E$2:$E$1001,"&lt;="&amp;DATE(2026,12,31)))</f>
        <v/>
      </c>
      <c r="N77" s="19">
        <f>IF($A77="","",COUNTIFS('PERKAWINAN GEREJANI'!$C$2:$C$1001,$A77,'PERKAWINAN GEREJANI'!$D$2:$D$1001,"&gt;="&amp;DATE(2026,1,1),'PERKAWINAN GEREJANI'!$D$2:$D$1001,"&lt;="&amp;DATE(2026,12,31)))</f>
        <v/>
      </c>
      <c r="O77" s="19">
        <f>IF($A77="","",COUNTIFS(PEMBUBARAN!$C$2:$C$1001,$A77,PEMBUBARAN!$D$2:$D$1001,"&gt;="&amp;DATE(2026,1,1),PEMBUBARAN!$D$2:$D$1001,"&lt;="&amp;DATE(2026,12,31)))</f>
        <v/>
      </c>
      <c r="P77" s="19">
        <f>IF($A77="","",COUNTIFS('PERMINYAKAN SUCI'!$C$2:$C$1001,$A77,'PERMINYAKAN SUCI'!$E$2:$E$1001,"&gt;="&amp;DATE(2026,1,1),'PERMINYAKAN SUCI'!$E$2:$E$1001,"&lt;="&amp;DATE(2026,12,31)))</f>
        <v/>
      </c>
      <c r="Q77" s="19">
        <f>IF($A77="","",H77)</f>
        <v/>
      </c>
      <c r="R77" s="19">
        <f>IF($A77="","",COUNTIFS('SEMINARI BIARA'!$C$2:$C$1001,$A77,'SEMINARI BIARA'!$F$2:$F$1001,"Mulai masuk 2026",'SEMINARI BIARA'!$G$2:$G$1001,"&gt;="&amp;DATE(2026,1,1),'SEMINARI BIARA'!$G$2:$G$1001,"&lt;="&amp;DATE(2026,12,31)))</f>
        <v/>
      </c>
      <c r="S77" s="19">
        <f>IF($A77="","",COUNTIFS('SEMINARI BIARA'!$C$2:$C$1001,$A77,'SEMINARI BIARA'!$F$2:$F$1001,"Sedang belajar 2026"))</f>
        <v/>
      </c>
    </row>
    <row r="78" ht="14.25" customHeight="1" s="38">
      <c r="A78" s="18" t="n"/>
      <c r="B78" s="19">
        <f>IF($A78="","",COUNTIF('DATA KK'!$E$2:$E$501,$A78))</f>
        <v/>
      </c>
      <c r="C78" s="19">
        <f>IF($A78="","",COUNTIF('DATA UMAT'!$H$2:$H$2001,$A78))</f>
        <v/>
      </c>
      <c r="D78" s="19">
        <f>IF($A78="","",COUNTIFS(BAPTIS!$C$2:$C$1001,$A78,BAPTIS!$F$2:$F$1001,"&gt;="&amp;DATE(2026,1,1),BAPTIS!$F$2:$F$1001,"&lt;="&amp;DATE(2026,12,31)))</f>
        <v/>
      </c>
      <c r="E78" s="19">
        <f>IF($A78="","",COUNTIFS('DITERIMA MASUK'!$C$2:$C$1001,$A78,'DITERIMA MASUK'!$D$2:$D$1001,"&gt;="&amp;DATE(2026,1,1),'DITERIMA MASUK'!$D$2:$D$1001,"&lt;="&amp;DATE(2026,12,31)))</f>
        <v/>
      </c>
      <c r="F78" s="19">
        <f>IF($A78="","",COUNTIFS(MUTASI!$C$2:$C$1001,$A78,MUTASI!$D$2:$D$1001,"Masuk",MUTASI!$F$2:$F$1001,"Paroki lain dalam keuskupan",MUTASI!$E$2:$E$1001,"&gt;="&amp;DATE(2026,1,1),MUTASI!$E$2:$E$1001,"&lt;="&amp;DATE(2026,12,31)))</f>
        <v/>
      </c>
      <c r="G78" s="19">
        <f>IF($A78="","",COUNTIFS(MUTASI!$C$2:$C$1001,$A78,MUTASI!$D$2:$D$1001,"Masuk",MUTASI!$F$2:$F$1001,"Keuskupan lain",MUTASI!$E$2:$E$1001,"&gt;="&amp;DATE(2026,1,1),MUTASI!$E$2:$E$1001,"&lt;="&amp;DATE(2026,12,31)))</f>
        <v/>
      </c>
      <c r="H78" s="19">
        <f>IF($A78="","",COUNTIFS(KEMATIAN!$C$2:$C$1001,$A78,KEMATIAN!$F$2:$F$1001,"&gt;="&amp;DATE(2026,1,1),KEMATIAN!$F$2:$F$1001,"&lt;="&amp;DATE(2026,12,31)))</f>
        <v/>
      </c>
      <c r="I78" s="19">
        <f>IF($A78="","",COUNTIFS(MUTASI!$C$2:$C$1001,$A78,MUTASI!$D$2:$D$1001,"Keluar",MUTASI!$F$2:$F$1001,"Paroki lain dalam keuskupan",MUTASI!$E$2:$E$1001,"&gt;="&amp;DATE(2026,1,1),MUTASI!$E$2:$E$1001,"&lt;="&amp;DATE(2026,12,31)))</f>
        <v/>
      </c>
      <c r="J78" s="19">
        <f>IF($A78="","",COUNTIFS(MUTASI!$C$2:$C$1001,$A78,MUTASI!$D$2:$D$1001,"Keluar",MUTASI!$F$2:$F$1001,"Keuskupan lain",MUTASI!$E$2:$E$1001,"&gt;="&amp;DATE(2026,1,1),MUTASI!$E$2:$E$1001,"&lt;="&amp;DATE(2026,12,31)))</f>
        <v/>
      </c>
      <c r="K78" s="19">
        <f>IF($A78="","",COUNTIFS('PINDAH AGAMA'!$C$2:$C$1001,$A78,'PINDAH AGAMA'!$D$2:$D$1001,"&gt;="&amp;DATE(2026,1,1),'PINDAH AGAMA'!$D$2:$D$1001,"&lt;="&amp;DATE(2026,12,31)))</f>
        <v/>
      </c>
      <c r="L78" s="19">
        <f>IF($A78="","",D78+E78+F78+G78-H78-I78-J78-K78)</f>
        <v/>
      </c>
      <c r="M78" s="19">
        <f>IF($A78="","",COUNTIFS('KOMUNI PERTAMA'!$C$2:$C$1001,$A78,'KOMUNI PERTAMA'!$E$2:$E$1001,"&gt;="&amp;DATE(2026,1,1),'KOMUNI PERTAMA'!$E$2:$E$1001,"&lt;="&amp;DATE(2026,12,31)))</f>
        <v/>
      </c>
      <c r="N78" s="19">
        <f>IF($A78="","",COUNTIFS('PERKAWINAN GEREJANI'!$C$2:$C$1001,$A78,'PERKAWINAN GEREJANI'!$D$2:$D$1001,"&gt;="&amp;DATE(2026,1,1),'PERKAWINAN GEREJANI'!$D$2:$D$1001,"&lt;="&amp;DATE(2026,12,31)))</f>
        <v/>
      </c>
      <c r="O78" s="19">
        <f>IF($A78="","",COUNTIFS(PEMBUBARAN!$C$2:$C$1001,$A78,PEMBUBARAN!$D$2:$D$1001,"&gt;="&amp;DATE(2026,1,1),PEMBUBARAN!$D$2:$D$1001,"&lt;="&amp;DATE(2026,12,31)))</f>
        <v/>
      </c>
      <c r="P78" s="19">
        <f>IF($A78="","",COUNTIFS('PERMINYAKAN SUCI'!$C$2:$C$1001,$A78,'PERMINYAKAN SUCI'!$E$2:$E$1001,"&gt;="&amp;DATE(2026,1,1),'PERMINYAKAN SUCI'!$E$2:$E$1001,"&lt;="&amp;DATE(2026,12,31)))</f>
        <v/>
      </c>
      <c r="Q78" s="19">
        <f>IF($A78="","",H78)</f>
        <v/>
      </c>
      <c r="R78" s="19">
        <f>IF($A78="","",COUNTIFS('SEMINARI BIARA'!$C$2:$C$1001,$A78,'SEMINARI BIARA'!$F$2:$F$1001,"Mulai masuk 2026",'SEMINARI BIARA'!$G$2:$G$1001,"&gt;="&amp;DATE(2026,1,1),'SEMINARI BIARA'!$G$2:$G$1001,"&lt;="&amp;DATE(2026,12,31)))</f>
        <v/>
      </c>
      <c r="S78" s="19">
        <f>IF($A78="","",COUNTIFS('SEMINARI BIARA'!$C$2:$C$1001,$A78,'SEMINARI BIARA'!$F$2:$F$1001,"Sedang belajar 2026"))</f>
        <v/>
      </c>
    </row>
    <row r="79" ht="14.25" customHeight="1" s="38">
      <c r="A79" s="18" t="n"/>
      <c r="B79" s="19">
        <f>IF($A79="","",COUNTIF('DATA KK'!$E$2:$E$501,$A79))</f>
        <v/>
      </c>
      <c r="C79" s="19">
        <f>IF($A79="","",COUNTIF('DATA UMAT'!$H$2:$H$2001,$A79))</f>
        <v/>
      </c>
      <c r="D79" s="19">
        <f>IF($A79="","",COUNTIFS(BAPTIS!$C$2:$C$1001,$A79,BAPTIS!$F$2:$F$1001,"&gt;="&amp;DATE(2026,1,1),BAPTIS!$F$2:$F$1001,"&lt;="&amp;DATE(2026,12,31)))</f>
        <v/>
      </c>
      <c r="E79" s="19">
        <f>IF($A79="","",COUNTIFS('DITERIMA MASUK'!$C$2:$C$1001,$A79,'DITERIMA MASUK'!$D$2:$D$1001,"&gt;="&amp;DATE(2026,1,1),'DITERIMA MASUK'!$D$2:$D$1001,"&lt;="&amp;DATE(2026,12,31)))</f>
        <v/>
      </c>
      <c r="F79" s="19">
        <f>IF($A79="","",COUNTIFS(MUTASI!$C$2:$C$1001,$A79,MUTASI!$D$2:$D$1001,"Masuk",MUTASI!$F$2:$F$1001,"Paroki lain dalam keuskupan",MUTASI!$E$2:$E$1001,"&gt;="&amp;DATE(2026,1,1),MUTASI!$E$2:$E$1001,"&lt;="&amp;DATE(2026,12,31)))</f>
        <v/>
      </c>
      <c r="G79" s="19">
        <f>IF($A79="","",COUNTIFS(MUTASI!$C$2:$C$1001,$A79,MUTASI!$D$2:$D$1001,"Masuk",MUTASI!$F$2:$F$1001,"Keuskupan lain",MUTASI!$E$2:$E$1001,"&gt;="&amp;DATE(2026,1,1),MUTASI!$E$2:$E$1001,"&lt;="&amp;DATE(2026,12,31)))</f>
        <v/>
      </c>
      <c r="H79" s="19">
        <f>IF($A79="","",COUNTIFS(KEMATIAN!$C$2:$C$1001,$A79,KEMATIAN!$F$2:$F$1001,"&gt;="&amp;DATE(2026,1,1),KEMATIAN!$F$2:$F$1001,"&lt;="&amp;DATE(2026,12,31)))</f>
        <v/>
      </c>
      <c r="I79" s="19">
        <f>IF($A79="","",COUNTIFS(MUTASI!$C$2:$C$1001,$A79,MUTASI!$D$2:$D$1001,"Keluar",MUTASI!$F$2:$F$1001,"Paroki lain dalam keuskupan",MUTASI!$E$2:$E$1001,"&gt;="&amp;DATE(2026,1,1),MUTASI!$E$2:$E$1001,"&lt;="&amp;DATE(2026,12,31)))</f>
        <v/>
      </c>
      <c r="J79" s="19">
        <f>IF($A79="","",COUNTIFS(MUTASI!$C$2:$C$1001,$A79,MUTASI!$D$2:$D$1001,"Keluar",MUTASI!$F$2:$F$1001,"Keuskupan lain",MUTASI!$E$2:$E$1001,"&gt;="&amp;DATE(2026,1,1),MUTASI!$E$2:$E$1001,"&lt;="&amp;DATE(2026,12,31)))</f>
        <v/>
      </c>
      <c r="K79" s="19">
        <f>IF($A79="","",COUNTIFS('PINDAH AGAMA'!$C$2:$C$1001,$A79,'PINDAH AGAMA'!$D$2:$D$1001,"&gt;="&amp;DATE(2026,1,1),'PINDAH AGAMA'!$D$2:$D$1001,"&lt;="&amp;DATE(2026,12,31)))</f>
        <v/>
      </c>
      <c r="L79" s="19">
        <f>IF($A79="","",D79+E79+F79+G79-H79-I79-J79-K79)</f>
        <v/>
      </c>
      <c r="M79" s="19">
        <f>IF($A79="","",COUNTIFS('KOMUNI PERTAMA'!$C$2:$C$1001,$A79,'KOMUNI PERTAMA'!$E$2:$E$1001,"&gt;="&amp;DATE(2026,1,1),'KOMUNI PERTAMA'!$E$2:$E$1001,"&lt;="&amp;DATE(2026,12,31)))</f>
        <v/>
      </c>
      <c r="N79" s="19">
        <f>IF($A79="","",COUNTIFS('PERKAWINAN GEREJANI'!$C$2:$C$1001,$A79,'PERKAWINAN GEREJANI'!$D$2:$D$1001,"&gt;="&amp;DATE(2026,1,1),'PERKAWINAN GEREJANI'!$D$2:$D$1001,"&lt;="&amp;DATE(2026,12,31)))</f>
        <v/>
      </c>
      <c r="O79" s="19">
        <f>IF($A79="","",COUNTIFS(PEMBUBARAN!$C$2:$C$1001,$A79,PEMBUBARAN!$D$2:$D$1001,"&gt;="&amp;DATE(2026,1,1),PEMBUBARAN!$D$2:$D$1001,"&lt;="&amp;DATE(2026,12,31)))</f>
        <v/>
      </c>
      <c r="P79" s="19">
        <f>IF($A79="","",COUNTIFS('PERMINYAKAN SUCI'!$C$2:$C$1001,$A79,'PERMINYAKAN SUCI'!$E$2:$E$1001,"&gt;="&amp;DATE(2026,1,1),'PERMINYAKAN SUCI'!$E$2:$E$1001,"&lt;="&amp;DATE(2026,12,31)))</f>
        <v/>
      </c>
      <c r="Q79" s="19">
        <f>IF($A79="","",H79)</f>
        <v/>
      </c>
      <c r="R79" s="19">
        <f>IF($A79="","",COUNTIFS('SEMINARI BIARA'!$C$2:$C$1001,$A79,'SEMINARI BIARA'!$F$2:$F$1001,"Mulai masuk 2026",'SEMINARI BIARA'!$G$2:$G$1001,"&gt;="&amp;DATE(2026,1,1),'SEMINARI BIARA'!$G$2:$G$1001,"&lt;="&amp;DATE(2026,12,31)))</f>
        <v/>
      </c>
      <c r="S79" s="19">
        <f>IF($A79="","",COUNTIFS('SEMINARI BIARA'!$C$2:$C$1001,$A79,'SEMINARI BIARA'!$F$2:$F$1001,"Sedang belajar 2026"))</f>
        <v/>
      </c>
    </row>
    <row r="80" ht="14.25" customHeight="1" s="38">
      <c r="A80" s="18" t="n"/>
      <c r="B80" s="19">
        <f>IF($A80="","",COUNTIF('DATA KK'!$E$2:$E$501,$A80))</f>
        <v/>
      </c>
      <c r="C80" s="19">
        <f>IF($A80="","",COUNTIF('DATA UMAT'!$H$2:$H$2001,$A80))</f>
        <v/>
      </c>
      <c r="D80" s="19">
        <f>IF($A80="","",COUNTIFS(BAPTIS!$C$2:$C$1001,$A80,BAPTIS!$F$2:$F$1001,"&gt;="&amp;DATE(2026,1,1),BAPTIS!$F$2:$F$1001,"&lt;="&amp;DATE(2026,12,31)))</f>
        <v/>
      </c>
      <c r="E80" s="19">
        <f>IF($A80="","",COUNTIFS('DITERIMA MASUK'!$C$2:$C$1001,$A80,'DITERIMA MASUK'!$D$2:$D$1001,"&gt;="&amp;DATE(2026,1,1),'DITERIMA MASUK'!$D$2:$D$1001,"&lt;="&amp;DATE(2026,12,31)))</f>
        <v/>
      </c>
      <c r="F80" s="19">
        <f>IF($A80="","",COUNTIFS(MUTASI!$C$2:$C$1001,$A80,MUTASI!$D$2:$D$1001,"Masuk",MUTASI!$F$2:$F$1001,"Paroki lain dalam keuskupan",MUTASI!$E$2:$E$1001,"&gt;="&amp;DATE(2026,1,1),MUTASI!$E$2:$E$1001,"&lt;="&amp;DATE(2026,12,31)))</f>
        <v/>
      </c>
      <c r="G80" s="19">
        <f>IF($A80="","",COUNTIFS(MUTASI!$C$2:$C$1001,$A80,MUTASI!$D$2:$D$1001,"Masuk",MUTASI!$F$2:$F$1001,"Keuskupan lain",MUTASI!$E$2:$E$1001,"&gt;="&amp;DATE(2026,1,1),MUTASI!$E$2:$E$1001,"&lt;="&amp;DATE(2026,12,31)))</f>
        <v/>
      </c>
      <c r="H80" s="19">
        <f>IF($A80="","",COUNTIFS(KEMATIAN!$C$2:$C$1001,$A80,KEMATIAN!$F$2:$F$1001,"&gt;="&amp;DATE(2026,1,1),KEMATIAN!$F$2:$F$1001,"&lt;="&amp;DATE(2026,12,31)))</f>
        <v/>
      </c>
      <c r="I80" s="19">
        <f>IF($A80="","",COUNTIFS(MUTASI!$C$2:$C$1001,$A80,MUTASI!$D$2:$D$1001,"Keluar",MUTASI!$F$2:$F$1001,"Paroki lain dalam keuskupan",MUTASI!$E$2:$E$1001,"&gt;="&amp;DATE(2026,1,1),MUTASI!$E$2:$E$1001,"&lt;="&amp;DATE(2026,12,31)))</f>
        <v/>
      </c>
      <c r="J80" s="19">
        <f>IF($A80="","",COUNTIFS(MUTASI!$C$2:$C$1001,$A80,MUTASI!$D$2:$D$1001,"Keluar",MUTASI!$F$2:$F$1001,"Keuskupan lain",MUTASI!$E$2:$E$1001,"&gt;="&amp;DATE(2026,1,1),MUTASI!$E$2:$E$1001,"&lt;="&amp;DATE(2026,12,31)))</f>
        <v/>
      </c>
      <c r="K80" s="19">
        <f>IF($A80="","",COUNTIFS('PINDAH AGAMA'!$C$2:$C$1001,$A80,'PINDAH AGAMA'!$D$2:$D$1001,"&gt;="&amp;DATE(2026,1,1),'PINDAH AGAMA'!$D$2:$D$1001,"&lt;="&amp;DATE(2026,12,31)))</f>
        <v/>
      </c>
      <c r="L80" s="19">
        <f>IF($A80="","",D80+E80+F80+G80-H80-I80-J80-K80)</f>
        <v/>
      </c>
      <c r="M80" s="19">
        <f>IF($A80="","",COUNTIFS('KOMUNI PERTAMA'!$C$2:$C$1001,$A80,'KOMUNI PERTAMA'!$E$2:$E$1001,"&gt;="&amp;DATE(2026,1,1),'KOMUNI PERTAMA'!$E$2:$E$1001,"&lt;="&amp;DATE(2026,12,31)))</f>
        <v/>
      </c>
      <c r="N80" s="19">
        <f>IF($A80="","",COUNTIFS('PERKAWINAN GEREJANI'!$C$2:$C$1001,$A80,'PERKAWINAN GEREJANI'!$D$2:$D$1001,"&gt;="&amp;DATE(2026,1,1),'PERKAWINAN GEREJANI'!$D$2:$D$1001,"&lt;="&amp;DATE(2026,12,31)))</f>
        <v/>
      </c>
      <c r="O80" s="19">
        <f>IF($A80="","",COUNTIFS(PEMBUBARAN!$C$2:$C$1001,$A80,PEMBUBARAN!$D$2:$D$1001,"&gt;="&amp;DATE(2026,1,1),PEMBUBARAN!$D$2:$D$1001,"&lt;="&amp;DATE(2026,12,31)))</f>
        <v/>
      </c>
      <c r="P80" s="19">
        <f>IF($A80="","",COUNTIFS('PERMINYAKAN SUCI'!$C$2:$C$1001,$A80,'PERMINYAKAN SUCI'!$E$2:$E$1001,"&gt;="&amp;DATE(2026,1,1),'PERMINYAKAN SUCI'!$E$2:$E$1001,"&lt;="&amp;DATE(2026,12,31)))</f>
        <v/>
      </c>
      <c r="Q80" s="19">
        <f>IF($A80="","",H80)</f>
        <v/>
      </c>
      <c r="R80" s="19">
        <f>IF($A80="","",COUNTIFS('SEMINARI BIARA'!$C$2:$C$1001,$A80,'SEMINARI BIARA'!$F$2:$F$1001,"Mulai masuk 2026",'SEMINARI BIARA'!$G$2:$G$1001,"&gt;="&amp;DATE(2026,1,1),'SEMINARI BIARA'!$G$2:$G$1001,"&lt;="&amp;DATE(2026,12,31)))</f>
        <v/>
      </c>
      <c r="S80" s="19">
        <f>IF($A80="","",COUNTIFS('SEMINARI BIARA'!$C$2:$C$1001,$A80,'SEMINARI BIARA'!$F$2:$F$1001,"Sedang belajar 2026"))</f>
        <v/>
      </c>
    </row>
    <row r="81" ht="14.25" customHeight="1" s="38">
      <c r="A81" s="18" t="n"/>
      <c r="B81" s="19">
        <f>IF($A81="","",COUNTIF('DATA KK'!$E$2:$E$501,$A81))</f>
        <v/>
      </c>
      <c r="C81" s="19">
        <f>IF($A81="","",COUNTIF('DATA UMAT'!$H$2:$H$2001,$A81))</f>
        <v/>
      </c>
      <c r="D81" s="19">
        <f>IF($A81="","",COUNTIFS(BAPTIS!$C$2:$C$1001,$A81,BAPTIS!$F$2:$F$1001,"&gt;="&amp;DATE(2026,1,1),BAPTIS!$F$2:$F$1001,"&lt;="&amp;DATE(2026,12,31)))</f>
        <v/>
      </c>
      <c r="E81" s="19">
        <f>IF($A81="","",COUNTIFS('DITERIMA MASUK'!$C$2:$C$1001,$A81,'DITERIMA MASUK'!$D$2:$D$1001,"&gt;="&amp;DATE(2026,1,1),'DITERIMA MASUK'!$D$2:$D$1001,"&lt;="&amp;DATE(2026,12,31)))</f>
        <v/>
      </c>
      <c r="F81" s="19">
        <f>IF($A81="","",COUNTIFS(MUTASI!$C$2:$C$1001,$A81,MUTASI!$D$2:$D$1001,"Masuk",MUTASI!$F$2:$F$1001,"Paroki lain dalam keuskupan",MUTASI!$E$2:$E$1001,"&gt;="&amp;DATE(2026,1,1),MUTASI!$E$2:$E$1001,"&lt;="&amp;DATE(2026,12,31)))</f>
        <v/>
      </c>
      <c r="G81" s="19">
        <f>IF($A81="","",COUNTIFS(MUTASI!$C$2:$C$1001,$A81,MUTASI!$D$2:$D$1001,"Masuk",MUTASI!$F$2:$F$1001,"Keuskupan lain",MUTASI!$E$2:$E$1001,"&gt;="&amp;DATE(2026,1,1),MUTASI!$E$2:$E$1001,"&lt;="&amp;DATE(2026,12,31)))</f>
        <v/>
      </c>
      <c r="H81" s="19">
        <f>IF($A81="","",COUNTIFS(KEMATIAN!$C$2:$C$1001,$A81,KEMATIAN!$F$2:$F$1001,"&gt;="&amp;DATE(2026,1,1),KEMATIAN!$F$2:$F$1001,"&lt;="&amp;DATE(2026,12,31)))</f>
        <v/>
      </c>
      <c r="I81" s="19">
        <f>IF($A81="","",COUNTIFS(MUTASI!$C$2:$C$1001,$A81,MUTASI!$D$2:$D$1001,"Keluar",MUTASI!$F$2:$F$1001,"Paroki lain dalam keuskupan",MUTASI!$E$2:$E$1001,"&gt;="&amp;DATE(2026,1,1),MUTASI!$E$2:$E$1001,"&lt;="&amp;DATE(2026,12,31)))</f>
        <v/>
      </c>
      <c r="J81" s="19">
        <f>IF($A81="","",COUNTIFS(MUTASI!$C$2:$C$1001,$A81,MUTASI!$D$2:$D$1001,"Keluar",MUTASI!$F$2:$F$1001,"Keuskupan lain",MUTASI!$E$2:$E$1001,"&gt;="&amp;DATE(2026,1,1),MUTASI!$E$2:$E$1001,"&lt;="&amp;DATE(2026,12,31)))</f>
        <v/>
      </c>
      <c r="K81" s="19">
        <f>IF($A81="","",COUNTIFS('PINDAH AGAMA'!$C$2:$C$1001,$A81,'PINDAH AGAMA'!$D$2:$D$1001,"&gt;="&amp;DATE(2026,1,1),'PINDAH AGAMA'!$D$2:$D$1001,"&lt;="&amp;DATE(2026,12,31)))</f>
        <v/>
      </c>
      <c r="L81" s="19">
        <f>IF($A81="","",D81+E81+F81+G81-H81-I81-J81-K81)</f>
        <v/>
      </c>
      <c r="M81" s="19">
        <f>IF($A81="","",COUNTIFS('KOMUNI PERTAMA'!$C$2:$C$1001,$A81,'KOMUNI PERTAMA'!$E$2:$E$1001,"&gt;="&amp;DATE(2026,1,1),'KOMUNI PERTAMA'!$E$2:$E$1001,"&lt;="&amp;DATE(2026,12,31)))</f>
        <v/>
      </c>
      <c r="N81" s="19">
        <f>IF($A81="","",COUNTIFS('PERKAWINAN GEREJANI'!$C$2:$C$1001,$A81,'PERKAWINAN GEREJANI'!$D$2:$D$1001,"&gt;="&amp;DATE(2026,1,1),'PERKAWINAN GEREJANI'!$D$2:$D$1001,"&lt;="&amp;DATE(2026,12,31)))</f>
        <v/>
      </c>
      <c r="O81" s="19">
        <f>IF($A81="","",COUNTIFS(PEMBUBARAN!$C$2:$C$1001,$A81,PEMBUBARAN!$D$2:$D$1001,"&gt;="&amp;DATE(2026,1,1),PEMBUBARAN!$D$2:$D$1001,"&lt;="&amp;DATE(2026,12,31)))</f>
        <v/>
      </c>
      <c r="P81" s="19">
        <f>IF($A81="","",COUNTIFS('PERMINYAKAN SUCI'!$C$2:$C$1001,$A81,'PERMINYAKAN SUCI'!$E$2:$E$1001,"&gt;="&amp;DATE(2026,1,1),'PERMINYAKAN SUCI'!$E$2:$E$1001,"&lt;="&amp;DATE(2026,12,31)))</f>
        <v/>
      </c>
      <c r="Q81" s="19">
        <f>IF($A81="","",H81)</f>
        <v/>
      </c>
      <c r="R81" s="19">
        <f>IF($A81="","",COUNTIFS('SEMINARI BIARA'!$C$2:$C$1001,$A81,'SEMINARI BIARA'!$F$2:$F$1001,"Mulai masuk 2026",'SEMINARI BIARA'!$G$2:$G$1001,"&gt;="&amp;DATE(2026,1,1),'SEMINARI BIARA'!$G$2:$G$1001,"&lt;="&amp;DATE(2026,12,31)))</f>
        <v/>
      </c>
      <c r="S81" s="19">
        <f>IF($A81="","",COUNTIFS('SEMINARI BIARA'!$C$2:$C$1001,$A81,'SEMINARI BIARA'!$F$2:$F$1001,"Sedang belajar 2026"))</f>
        <v/>
      </c>
    </row>
    <row r="82" ht="14.25" customHeight="1" s="38">
      <c r="A82" s="18" t="n"/>
      <c r="B82" s="19">
        <f>IF($A82="","",COUNTIF('DATA KK'!$E$2:$E$501,$A82))</f>
        <v/>
      </c>
      <c r="C82" s="19">
        <f>IF($A82="","",COUNTIF('DATA UMAT'!$H$2:$H$2001,$A82))</f>
        <v/>
      </c>
      <c r="D82" s="19">
        <f>IF($A82="","",COUNTIFS(BAPTIS!$C$2:$C$1001,$A82,BAPTIS!$F$2:$F$1001,"&gt;="&amp;DATE(2026,1,1),BAPTIS!$F$2:$F$1001,"&lt;="&amp;DATE(2026,12,31)))</f>
        <v/>
      </c>
      <c r="E82" s="19">
        <f>IF($A82="","",COUNTIFS('DITERIMA MASUK'!$C$2:$C$1001,$A82,'DITERIMA MASUK'!$D$2:$D$1001,"&gt;="&amp;DATE(2026,1,1),'DITERIMA MASUK'!$D$2:$D$1001,"&lt;="&amp;DATE(2026,12,31)))</f>
        <v/>
      </c>
      <c r="F82" s="19">
        <f>IF($A82="","",COUNTIFS(MUTASI!$C$2:$C$1001,$A82,MUTASI!$D$2:$D$1001,"Masuk",MUTASI!$F$2:$F$1001,"Paroki lain dalam keuskupan",MUTASI!$E$2:$E$1001,"&gt;="&amp;DATE(2026,1,1),MUTASI!$E$2:$E$1001,"&lt;="&amp;DATE(2026,12,31)))</f>
        <v/>
      </c>
      <c r="G82" s="19">
        <f>IF($A82="","",COUNTIFS(MUTASI!$C$2:$C$1001,$A82,MUTASI!$D$2:$D$1001,"Masuk",MUTASI!$F$2:$F$1001,"Keuskupan lain",MUTASI!$E$2:$E$1001,"&gt;="&amp;DATE(2026,1,1),MUTASI!$E$2:$E$1001,"&lt;="&amp;DATE(2026,12,31)))</f>
        <v/>
      </c>
      <c r="H82" s="19">
        <f>IF($A82="","",COUNTIFS(KEMATIAN!$C$2:$C$1001,$A82,KEMATIAN!$F$2:$F$1001,"&gt;="&amp;DATE(2026,1,1),KEMATIAN!$F$2:$F$1001,"&lt;="&amp;DATE(2026,12,31)))</f>
        <v/>
      </c>
      <c r="I82" s="19">
        <f>IF($A82="","",COUNTIFS(MUTASI!$C$2:$C$1001,$A82,MUTASI!$D$2:$D$1001,"Keluar",MUTASI!$F$2:$F$1001,"Paroki lain dalam keuskupan",MUTASI!$E$2:$E$1001,"&gt;="&amp;DATE(2026,1,1),MUTASI!$E$2:$E$1001,"&lt;="&amp;DATE(2026,12,31)))</f>
        <v/>
      </c>
      <c r="J82" s="19">
        <f>IF($A82="","",COUNTIFS(MUTASI!$C$2:$C$1001,$A82,MUTASI!$D$2:$D$1001,"Keluar",MUTASI!$F$2:$F$1001,"Keuskupan lain",MUTASI!$E$2:$E$1001,"&gt;="&amp;DATE(2026,1,1),MUTASI!$E$2:$E$1001,"&lt;="&amp;DATE(2026,12,31)))</f>
        <v/>
      </c>
      <c r="K82" s="19">
        <f>IF($A82="","",COUNTIFS('PINDAH AGAMA'!$C$2:$C$1001,$A82,'PINDAH AGAMA'!$D$2:$D$1001,"&gt;="&amp;DATE(2026,1,1),'PINDAH AGAMA'!$D$2:$D$1001,"&lt;="&amp;DATE(2026,12,31)))</f>
        <v/>
      </c>
      <c r="L82" s="19">
        <f>IF($A82="","",D82+E82+F82+G82-H82-I82-J82-K82)</f>
        <v/>
      </c>
      <c r="M82" s="19">
        <f>IF($A82="","",COUNTIFS('KOMUNI PERTAMA'!$C$2:$C$1001,$A82,'KOMUNI PERTAMA'!$E$2:$E$1001,"&gt;="&amp;DATE(2026,1,1),'KOMUNI PERTAMA'!$E$2:$E$1001,"&lt;="&amp;DATE(2026,12,31)))</f>
        <v/>
      </c>
      <c r="N82" s="19">
        <f>IF($A82="","",COUNTIFS('PERKAWINAN GEREJANI'!$C$2:$C$1001,$A82,'PERKAWINAN GEREJANI'!$D$2:$D$1001,"&gt;="&amp;DATE(2026,1,1),'PERKAWINAN GEREJANI'!$D$2:$D$1001,"&lt;="&amp;DATE(2026,12,31)))</f>
        <v/>
      </c>
      <c r="O82" s="19">
        <f>IF($A82="","",COUNTIFS(PEMBUBARAN!$C$2:$C$1001,$A82,PEMBUBARAN!$D$2:$D$1001,"&gt;="&amp;DATE(2026,1,1),PEMBUBARAN!$D$2:$D$1001,"&lt;="&amp;DATE(2026,12,31)))</f>
        <v/>
      </c>
      <c r="P82" s="19">
        <f>IF($A82="","",COUNTIFS('PERMINYAKAN SUCI'!$C$2:$C$1001,$A82,'PERMINYAKAN SUCI'!$E$2:$E$1001,"&gt;="&amp;DATE(2026,1,1),'PERMINYAKAN SUCI'!$E$2:$E$1001,"&lt;="&amp;DATE(2026,12,31)))</f>
        <v/>
      </c>
      <c r="Q82" s="19">
        <f>IF($A82="","",H82)</f>
        <v/>
      </c>
      <c r="R82" s="19">
        <f>IF($A82="","",COUNTIFS('SEMINARI BIARA'!$C$2:$C$1001,$A82,'SEMINARI BIARA'!$F$2:$F$1001,"Mulai masuk 2026",'SEMINARI BIARA'!$G$2:$G$1001,"&gt;="&amp;DATE(2026,1,1),'SEMINARI BIARA'!$G$2:$G$1001,"&lt;="&amp;DATE(2026,12,31)))</f>
        <v/>
      </c>
      <c r="S82" s="19">
        <f>IF($A82="","",COUNTIFS('SEMINARI BIARA'!$C$2:$C$1001,$A82,'SEMINARI BIARA'!$F$2:$F$1001,"Sedang belajar 2026"))</f>
        <v/>
      </c>
    </row>
    <row r="83" ht="14.25" customHeight="1" s="38">
      <c r="A83" s="18" t="n"/>
      <c r="B83" s="19">
        <f>IF($A83="","",COUNTIF('DATA KK'!$E$2:$E$501,$A83))</f>
        <v/>
      </c>
      <c r="C83" s="19">
        <f>IF($A83="","",COUNTIF('DATA UMAT'!$H$2:$H$2001,$A83))</f>
        <v/>
      </c>
      <c r="D83" s="19">
        <f>IF($A83="","",COUNTIFS(BAPTIS!$C$2:$C$1001,$A83,BAPTIS!$F$2:$F$1001,"&gt;="&amp;DATE(2026,1,1),BAPTIS!$F$2:$F$1001,"&lt;="&amp;DATE(2026,12,31)))</f>
        <v/>
      </c>
      <c r="E83" s="19">
        <f>IF($A83="","",COUNTIFS('DITERIMA MASUK'!$C$2:$C$1001,$A83,'DITERIMA MASUK'!$D$2:$D$1001,"&gt;="&amp;DATE(2026,1,1),'DITERIMA MASUK'!$D$2:$D$1001,"&lt;="&amp;DATE(2026,12,31)))</f>
        <v/>
      </c>
      <c r="F83" s="19">
        <f>IF($A83="","",COUNTIFS(MUTASI!$C$2:$C$1001,$A83,MUTASI!$D$2:$D$1001,"Masuk",MUTASI!$F$2:$F$1001,"Paroki lain dalam keuskupan",MUTASI!$E$2:$E$1001,"&gt;="&amp;DATE(2026,1,1),MUTASI!$E$2:$E$1001,"&lt;="&amp;DATE(2026,12,31)))</f>
        <v/>
      </c>
      <c r="G83" s="19">
        <f>IF($A83="","",COUNTIFS(MUTASI!$C$2:$C$1001,$A83,MUTASI!$D$2:$D$1001,"Masuk",MUTASI!$F$2:$F$1001,"Keuskupan lain",MUTASI!$E$2:$E$1001,"&gt;="&amp;DATE(2026,1,1),MUTASI!$E$2:$E$1001,"&lt;="&amp;DATE(2026,12,31)))</f>
        <v/>
      </c>
      <c r="H83" s="19">
        <f>IF($A83="","",COUNTIFS(KEMATIAN!$C$2:$C$1001,$A83,KEMATIAN!$F$2:$F$1001,"&gt;="&amp;DATE(2026,1,1),KEMATIAN!$F$2:$F$1001,"&lt;="&amp;DATE(2026,12,31)))</f>
        <v/>
      </c>
      <c r="I83" s="19">
        <f>IF($A83="","",COUNTIFS(MUTASI!$C$2:$C$1001,$A83,MUTASI!$D$2:$D$1001,"Keluar",MUTASI!$F$2:$F$1001,"Paroki lain dalam keuskupan",MUTASI!$E$2:$E$1001,"&gt;="&amp;DATE(2026,1,1),MUTASI!$E$2:$E$1001,"&lt;="&amp;DATE(2026,12,31)))</f>
        <v/>
      </c>
      <c r="J83" s="19">
        <f>IF($A83="","",COUNTIFS(MUTASI!$C$2:$C$1001,$A83,MUTASI!$D$2:$D$1001,"Keluar",MUTASI!$F$2:$F$1001,"Keuskupan lain",MUTASI!$E$2:$E$1001,"&gt;="&amp;DATE(2026,1,1),MUTASI!$E$2:$E$1001,"&lt;="&amp;DATE(2026,12,31)))</f>
        <v/>
      </c>
      <c r="K83" s="19">
        <f>IF($A83="","",COUNTIFS('PINDAH AGAMA'!$C$2:$C$1001,$A83,'PINDAH AGAMA'!$D$2:$D$1001,"&gt;="&amp;DATE(2026,1,1),'PINDAH AGAMA'!$D$2:$D$1001,"&lt;="&amp;DATE(2026,12,31)))</f>
        <v/>
      </c>
      <c r="L83" s="19">
        <f>IF($A83="","",D83+E83+F83+G83-H83-I83-J83-K83)</f>
        <v/>
      </c>
      <c r="M83" s="19">
        <f>IF($A83="","",COUNTIFS('KOMUNI PERTAMA'!$C$2:$C$1001,$A83,'KOMUNI PERTAMA'!$E$2:$E$1001,"&gt;="&amp;DATE(2026,1,1),'KOMUNI PERTAMA'!$E$2:$E$1001,"&lt;="&amp;DATE(2026,12,31)))</f>
        <v/>
      </c>
      <c r="N83" s="19">
        <f>IF($A83="","",COUNTIFS('PERKAWINAN GEREJANI'!$C$2:$C$1001,$A83,'PERKAWINAN GEREJANI'!$D$2:$D$1001,"&gt;="&amp;DATE(2026,1,1),'PERKAWINAN GEREJANI'!$D$2:$D$1001,"&lt;="&amp;DATE(2026,12,31)))</f>
        <v/>
      </c>
      <c r="O83" s="19">
        <f>IF($A83="","",COUNTIFS(PEMBUBARAN!$C$2:$C$1001,$A83,PEMBUBARAN!$D$2:$D$1001,"&gt;="&amp;DATE(2026,1,1),PEMBUBARAN!$D$2:$D$1001,"&lt;="&amp;DATE(2026,12,31)))</f>
        <v/>
      </c>
      <c r="P83" s="19">
        <f>IF($A83="","",COUNTIFS('PERMINYAKAN SUCI'!$C$2:$C$1001,$A83,'PERMINYAKAN SUCI'!$E$2:$E$1001,"&gt;="&amp;DATE(2026,1,1),'PERMINYAKAN SUCI'!$E$2:$E$1001,"&lt;="&amp;DATE(2026,12,31)))</f>
        <v/>
      </c>
      <c r="Q83" s="19">
        <f>IF($A83="","",H83)</f>
        <v/>
      </c>
      <c r="R83" s="19">
        <f>IF($A83="","",COUNTIFS('SEMINARI BIARA'!$C$2:$C$1001,$A83,'SEMINARI BIARA'!$F$2:$F$1001,"Mulai masuk 2026",'SEMINARI BIARA'!$G$2:$G$1001,"&gt;="&amp;DATE(2026,1,1),'SEMINARI BIARA'!$G$2:$G$1001,"&lt;="&amp;DATE(2026,12,31)))</f>
        <v/>
      </c>
      <c r="S83" s="19">
        <f>IF($A83="","",COUNTIFS('SEMINARI BIARA'!$C$2:$C$1001,$A83,'SEMINARI BIARA'!$F$2:$F$1001,"Sedang belajar 2026"))</f>
        <v/>
      </c>
    </row>
    <row r="84" ht="14.25" customHeight="1" s="38">
      <c r="A84" s="18" t="n"/>
      <c r="B84" s="19">
        <f>IF($A84="","",COUNTIF('DATA KK'!$E$2:$E$501,$A84))</f>
        <v/>
      </c>
      <c r="C84" s="19">
        <f>IF($A84="","",COUNTIF('DATA UMAT'!$H$2:$H$2001,$A84))</f>
        <v/>
      </c>
      <c r="D84" s="19">
        <f>IF($A84="","",COUNTIFS(BAPTIS!$C$2:$C$1001,$A84,BAPTIS!$F$2:$F$1001,"&gt;="&amp;DATE(2026,1,1),BAPTIS!$F$2:$F$1001,"&lt;="&amp;DATE(2026,12,31)))</f>
        <v/>
      </c>
      <c r="E84" s="19">
        <f>IF($A84="","",COUNTIFS('DITERIMA MASUK'!$C$2:$C$1001,$A84,'DITERIMA MASUK'!$D$2:$D$1001,"&gt;="&amp;DATE(2026,1,1),'DITERIMA MASUK'!$D$2:$D$1001,"&lt;="&amp;DATE(2026,12,31)))</f>
        <v/>
      </c>
      <c r="F84" s="19">
        <f>IF($A84="","",COUNTIFS(MUTASI!$C$2:$C$1001,$A84,MUTASI!$D$2:$D$1001,"Masuk",MUTASI!$F$2:$F$1001,"Paroki lain dalam keuskupan",MUTASI!$E$2:$E$1001,"&gt;="&amp;DATE(2026,1,1),MUTASI!$E$2:$E$1001,"&lt;="&amp;DATE(2026,12,31)))</f>
        <v/>
      </c>
      <c r="G84" s="19">
        <f>IF($A84="","",COUNTIFS(MUTASI!$C$2:$C$1001,$A84,MUTASI!$D$2:$D$1001,"Masuk",MUTASI!$F$2:$F$1001,"Keuskupan lain",MUTASI!$E$2:$E$1001,"&gt;="&amp;DATE(2026,1,1),MUTASI!$E$2:$E$1001,"&lt;="&amp;DATE(2026,12,31)))</f>
        <v/>
      </c>
      <c r="H84" s="19">
        <f>IF($A84="","",COUNTIFS(KEMATIAN!$C$2:$C$1001,$A84,KEMATIAN!$F$2:$F$1001,"&gt;="&amp;DATE(2026,1,1),KEMATIAN!$F$2:$F$1001,"&lt;="&amp;DATE(2026,12,31)))</f>
        <v/>
      </c>
      <c r="I84" s="19">
        <f>IF($A84="","",COUNTIFS(MUTASI!$C$2:$C$1001,$A84,MUTASI!$D$2:$D$1001,"Keluar",MUTASI!$F$2:$F$1001,"Paroki lain dalam keuskupan",MUTASI!$E$2:$E$1001,"&gt;="&amp;DATE(2026,1,1),MUTASI!$E$2:$E$1001,"&lt;="&amp;DATE(2026,12,31)))</f>
        <v/>
      </c>
      <c r="J84" s="19">
        <f>IF($A84="","",COUNTIFS(MUTASI!$C$2:$C$1001,$A84,MUTASI!$D$2:$D$1001,"Keluar",MUTASI!$F$2:$F$1001,"Keuskupan lain",MUTASI!$E$2:$E$1001,"&gt;="&amp;DATE(2026,1,1),MUTASI!$E$2:$E$1001,"&lt;="&amp;DATE(2026,12,31)))</f>
        <v/>
      </c>
      <c r="K84" s="19">
        <f>IF($A84="","",COUNTIFS('PINDAH AGAMA'!$C$2:$C$1001,$A84,'PINDAH AGAMA'!$D$2:$D$1001,"&gt;="&amp;DATE(2026,1,1),'PINDAH AGAMA'!$D$2:$D$1001,"&lt;="&amp;DATE(2026,12,31)))</f>
        <v/>
      </c>
      <c r="L84" s="19">
        <f>IF($A84="","",D84+E84+F84+G84-H84-I84-J84-K84)</f>
        <v/>
      </c>
      <c r="M84" s="19">
        <f>IF($A84="","",COUNTIFS('KOMUNI PERTAMA'!$C$2:$C$1001,$A84,'KOMUNI PERTAMA'!$E$2:$E$1001,"&gt;="&amp;DATE(2026,1,1),'KOMUNI PERTAMA'!$E$2:$E$1001,"&lt;="&amp;DATE(2026,12,31)))</f>
        <v/>
      </c>
      <c r="N84" s="19">
        <f>IF($A84="","",COUNTIFS('PERKAWINAN GEREJANI'!$C$2:$C$1001,$A84,'PERKAWINAN GEREJANI'!$D$2:$D$1001,"&gt;="&amp;DATE(2026,1,1),'PERKAWINAN GEREJANI'!$D$2:$D$1001,"&lt;="&amp;DATE(2026,12,31)))</f>
        <v/>
      </c>
      <c r="O84" s="19">
        <f>IF($A84="","",COUNTIFS(PEMBUBARAN!$C$2:$C$1001,$A84,PEMBUBARAN!$D$2:$D$1001,"&gt;="&amp;DATE(2026,1,1),PEMBUBARAN!$D$2:$D$1001,"&lt;="&amp;DATE(2026,12,31)))</f>
        <v/>
      </c>
      <c r="P84" s="19">
        <f>IF($A84="","",COUNTIFS('PERMINYAKAN SUCI'!$C$2:$C$1001,$A84,'PERMINYAKAN SUCI'!$E$2:$E$1001,"&gt;="&amp;DATE(2026,1,1),'PERMINYAKAN SUCI'!$E$2:$E$1001,"&lt;="&amp;DATE(2026,12,31)))</f>
        <v/>
      </c>
      <c r="Q84" s="19">
        <f>IF($A84="","",H84)</f>
        <v/>
      </c>
      <c r="R84" s="19">
        <f>IF($A84="","",COUNTIFS('SEMINARI BIARA'!$C$2:$C$1001,$A84,'SEMINARI BIARA'!$F$2:$F$1001,"Mulai masuk 2026",'SEMINARI BIARA'!$G$2:$G$1001,"&gt;="&amp;DATE(2026,1,1),'SEMINARI BIARA'!$G$2:$G$1001,"&lt;="&amp;DATE(2026,12,31)))</f>
        <v/>
      </c>
      <c r="S84" s="19">
        <f>IF($A84="","",COUNTIFS('SEMINARI BIARA'!$C$2:$C$1001,$A84,'SEMINARI BIARA'!$F$2:$F$1001,"Sedang belajar 2026"))</f>
        <v/>
      </c>
    </row>
    <row r="85" ht="14.25" customHeight="1" s="38">
      <c r="A85" s="18" t="n"/>
      <c r="B85" s="19">
        <f>IF($A85="","",COUNTIF('DATA KK'!$E$2:$E$501,$A85))</f>
        <v/>
      </c>
      <c r="C85" s="19">
        <f>IF($A85="","",COUNTIF('DATA UMAT'!$H$2:$H$2001,$A85))</f>
        <v/>
      </c>
      <c r="D85" s="19">
        <f>IF($A85="","",COUNTIFS(BAPTIS!$C$2:$C$1001,$A85,BAPTIS!$F$2:$F$1001,"&gt;="&amp;DATE(2026,1,1),BAPTIS!$F$2:$F$1001,"&lt;="&amp;DATE(2026,12,31)))</f>
        <v/>
      </c>
      <c r="E85" s="19">
        <f>IF($A85="","",COUNTIFS('DITERIMA MASUK'!$C$2:$C$1001,$A85,'DITERIMA MASUK'!$D$2:$D$1001,"&gt;="&amp;DATE(2026,1,1),'DITERIMA MASUK'!$D$2:$D$1001,"&lt;="&amp;DATE(2026,12,31)))</f>
        <v/>
      </c>
      <c r="F85" s="19">
        <f>IF($A85="","",COUNTIFS(MUTASI!$C$2:$C$1001,$A85,MUTASI!$D$2:$D$1001,"Masuk",MUTASI!$F$2:$F$1001,"Paroki lain dalam keuskupan",MUTASI!$E$2:$E$1001,"&gt;="&amp;DATE(2026,1,1),MUTASI!$E$2:$E$1001,"&lt;="&amp;DATE(2026,12,31)))</f>
        <v/>
      </c>
      <c r="G85" s="19">
        <f>IF($A85="","",COUNTIFS(MUTASI!$C$2:$C$1001,$A85,MUTASI!$D$2:$D$1001,"Masuk",MUTASI!$F$2:$F$1001,"Keuskupan lain",MUTASI!$E$2:$E$1001,"&gt;="&amp;DATE(2026,1,1),MUTASI!$E$2:$E$1001,"&lt;="&amp;DATE(2026,12,31)))</f>
        <v/>
      </c>
      <c r="H85" s="19">
        <f>IF($A85="","",COUNTIFS(KEMATIAN!$C$2:$C$1001,$A85,KEMATIAN!$F$2:$F$1001,"&gt;="&amp;DATE(2026,1,1),KEMATIAN!$F$2:$F$1001,"&lt;="&amp;DATE(2026,12,31)))</f>
        <v/>
      </c>
      <c r="I85" s="19">
        <f>IF($A85="","",COUNTIFS(MUTASI!$C$2:$C$1001,$A85,MUTASI!$D$2:$D$1001,"Keluar",MUTASI!$F$2:$F$1001,"Paroki lain dalam keuskupan",MUTASI!$E$2:$E$1001,"&gt;="&amp;DATE(2026,1,1),MUTASI!$E$2:$E$1001,"&lt;="&amp;DATE(2026,12,31)))</f>
        <v/>
      </c>
      <c r="J85" s="19">
        <f>IF($A85="","",COUNTIFS(MUTASI!$C$2:$C$1001,$A85,MUTASI!$D$2:$D$1001,"Keluar",MUTASI!$F$2:$F$1001,"Keuskupan lain",MUTASI!$E$2:$E$1001,"&gt;="&amp;DATE(2026,1,1),MUTASI!$E$2:$E$1001,"&lt;="&amp;DATE(2026,12,31)))</f>
        <v/>
      </c>
      <c r="K85" s="19">
        <f>IF($A85="","",COUNTIFS('PINDAH AGAMA'!$C$2:$C$1001,$A85,'PINDAH AGAMA'!$D$2:$D$1001,"&gt;="&amp;DATE(2026,1,1),'PINDAH AGAMA'!$D$2:$D$1001,"&lt;="&amp;DATE(2026,12,31)))</f>
        <v/>
      </c>
      <c r="L85" s="19">
        <f>IF($A85="","",D85+E85+F85+G85-H85-I85-J85-K85)</f>
        <v/>
      </c>
      <c r="M85" s="19">
        <f>IF($A85="","",COUNTIFS('KOMUNI PERTAMA'!$C$2:$C$1001,$A85,'KOMUNI PERTAMA'!$E$2:$E$1001,"&gt;="&amp;DATE(2026,1,1),'KOMUNI PERTAMA'!$E$2:$E$1001,"&lt;="&amp;DATE(2026,12,31)))</f>
        <v/>
      </c>
      <c r="N85" s="19">
        <f>IF($A85="","",COUNTIFS('PERKAWINAN GEREJANI'!$C$2:$C$1001,$A85,'PERKAWINAN GEREJANI'!$D$2:$D$1001,"&gt;="&amp;DATE(2026,1,1),'PERKAWINAN GEREJANI'!$D$2:$D$1001,"&lt;="&amp;DATE(2026,12,31)))</f>
        <v/>
      </c>
      <c r="O85" s="19">
        <f>IF($A85="","",COUNTIFS(PEMBUBARAN!$C$2:$C$1001,$A85,PEMBUBARAN!$D$2:$D$1001,"&gt;="&amp;DATE(2026,1,1),PEMBUBARAN!$D$2:$D$1001,"&lt;="&amp;DATE(2026,12,31)))</f>
        <v/>
      </c>
      <c r="P85" s="19">
        <f>IF($A85="","",COUNTIFS('PERMINYAKAN SUCI'!$C$2:$C$1001,$A85,'PERMINYAKAN SUCI'!$E$2:$E$1001,"&gt;="&amp;DATE(2026,1,1),'PERMINYAKAN SUCI'!$E$2:$E$1001,"&lt;="&amp;DATE(2026,12,31)))</f>
        <v/>
      </c>
      <c r="Q85" s="19">
        <f>IF($A85="","",H85)</f>
        <v/>
      </c>
      <c r="R85" s="19">
        <f>IF($A85="","",COUNTIFS('SEMINARI BIARA'!$C$2:$C$1001,$A85,'SEMINARI BIARA'!$F$2:$F$1001,"Mulai masuk 2026",'SEMINARI BIARA'!$G$2:$G$1001,"&gt;="&amp;DATE(2026,1,1),'SEMINARI BIARA'!$G$2:$G$1001,"&lt;="&amp;DATE(2026,12,31)))</f>
        <v/>
      </c>
      <c r="S85" s="19">
        <f>IF($A85="","",COUNTIFS('SEMINARI BIARA'!$C$2:$C$1001,$A85,'SEMINARI BIARA'!$F$2:$F$1001,"Sedang belajar 2026"))</f>
        <v/>
      </c>
    </row>
    <row r="86" ht="14.25" customHeight="1" s="38">
      <c r="A86" s="18" t="n"/>
      <c r="B86" s="19">
        <f>IF($A86="","",COUNTIF('DATA KK'!$E$2:$E$501,$A86))</f>
        <v/>
      </c>
      <c r="C86" s="19">
        <f>IF($A86="","",COUNTIF('DATA UMAT'!$H$2:$H$2001,$A86))</f>
        <v/>
      </c>
      <c r="D86" s="19">
        <f>IF($A86="","",COUNTIFS(BAPTIS!$C$2:$C$1001,$A86,BAPTIS!$F$2:$F$1001,"&gt;="&amp;DATE(2026,1,1),BAPTIS!$F$2:$F$1001,"&lt;="&amp;DATE(2026,12,31)))</f>
        <v/>
      </c>
      <c r="E86" s="19">
        <f>IF($A86="","",COUNTIFS('DITERIMA MASUK'!$C$2:$C$1001,$A86,'DITERIMA MASUK'!$D$2:$D$1001,"&gt;="&amp;DATE(2026,1,1),'DITERIMA MASUK'!$D$2:$D$1001,"&lt;="&amp;DATE(2026,12,31)))</f>
        <v/>
      </c>
      <c r="F86" s="19">
        <f>IF($A86="","",COUNTIFS(MUTASI!$C$2:$C$1001,$A86,MUTASI!$D$2:$D$1001,"Masuk",MUTASI!$F$2:$F$1001,"Paroki lain dalam keuskupan",MUTASI!$E$2:$E$1001,"&gt;="&amp;DATE(2026,1,1),MUTASI!$E$2:$E$1001,"&lt;="&amp;DATE(2026,12,31)))</f>
        <v/>
      </c>
      <c r="G86" s="19">
        <f>IF($A86="","",COUNTIFS(MUTASI!$C$2:$C$1001,$A86,MUTASI!$D$2:$D$1001,"Masuk",MUTASI!$F$2:$F$1001,"Keuskupan lain",MUTASI!$E$2:$E$1001,"&gt;="&amp;DATE(2026,1,1),MUTASI!$E$2:$E$1001,"&lt;="&amp;DATE(2026,12,31)))</f>
        <v/>
      </c>
      <c r="H86" s="19">
        <f>IF($A86="","",COUNTIFS(KEMATIAN!$C$2:$C$1001,$A86,KEMATIAN!$F$2:$F$1001,"&gt;="&amp;DATE(2026,1,1),KEMATIAN!$F$2:$F$1001,"&lt;="&amp;DATE(2026,12,31)))</f>
        <v/>
      </c>
      <c r="I86" s="19">
        <f>IF($A86="","",COUNTIFS(MUTASI!$C$2:$C$1001,$A86,MUTASI!$D$2:$D$1001,"Keluar",MUTASI!$F$2:$F$1001,"Paroki lain dalam keuskupan",MUTASI!$E$2:$E$1001,"&gt;="&amp;DATE(2026,1,1),MUTASI!$E$2:$E$1001,"&lt;="&amp;DATE(2026,12,31)))</f>
        <v/>
      </c>
      <c r="J86" s="19">
        <f>IF($A86="","",COUNTIFS(MUTASI!$C$2:$C$1001,$A86,MUTASI!$D$2:$D$1001,"Keluar",MUTASI!$F$2:$F$1001,"Keuskupan lain",MUTASI!$E$2:$E$1001,"&gt;="&amp;DATE(2026,1,1),MUTASI!$E$2:$E$1001,"&lt;="&amp;DATE(2026,12,31)))</f>
        <v/>
      </c>
      <c r="K86" s="19">
        <f>IF($A86="","",COUNTIFS('PINDAH AGAMA'!$C$2:$C$1001,$A86,'PINDAH AGAMA'!$D$2:$D$1001,"&gt;="&amp;DATE(2026,1,1),'PINDAH AGAMA'!$D$2:$D$1001,"&lt;="&amp;DATE(2026,12,31)))</f>
        <v/>
      </c>
      <c r="L86" s="19">
        <f>IF($A86="","",D86+E86+F86+G86-H86-I86-J86-K86)</f>
        <v/>
      </c>
      <c r="M86" s="19">
        <f>IF($A86="","",COUNTIFS('KOMUNI PERTAMA'!$C$2:$C$1001,$A86,'KOMUNI PERTAMA'!$E$2:$E$1001,"&gt;="&amp;DATE(2026,1,1),'KOMUNI PERTAMA'!$E$2:$E$1001,"&lt;="&amp;DATE(2026,12,31)))</f>
        <v/>
      </c>
      <c r="N86" s="19">
        <f>IF($A86="","",COUNTIFS('PERKAWINAN GEREJANI'!$C$2:$C$1001,$A86,'PERKAWINAN GEREJANI'!$D$2:$D$1001,"&gt;="&amp;DATE(2026,1,1),'PERKAWINAN GEREJANI'!$D$2:$D$1001,"&lt;="&amp;DATE(2026,12,31)))</f>
        <v/>
      </c>
      <c r="O86" s="19">
        <f>IF($A86="","",COUNTIFS(PEMBUBARAN!$C$2:$C$1001,$A86,PEMBUBARAN!$D$2:$D$1001,"&gt;="&amp;DATE(2026,1,1),PEMBUBARAN!$D$2:$D$1001,"&lt;="&amp;DATE(2026,12,31)))</f>
        <v/>
      </c>
      <c r="P86" s="19">
        <f>IF($A86="","",COUNTIFS('PERMINYAKAN SUCI'!$C$2:$C$1001,$A86,'PERMINYAKAN SUCI'!$E$2:$E$1001,"&gt;="&amp;DATE(2026,1,1),'PERMINYAKAN SUCI'!$E$2:$E$1001,"&lt;="&amp;DATE(2026,12,31)))</f>
        <v/>
      </c>
      <c r="Q86" s="19">
        <f>IF($A86="","",H86)</f>
        <v/>
      </c>
      <c r="R86" s="19">
        <f>IF($A86="","",COUNTIFS('SEMINARI BIARA'!$C$2:$C$1001,$A86,'SEMINARI BIARA'!$F$2:$F$1001,"Mulai masuk 2026",'SEMINARI BIARA'!$G$2:$G$1001,"&gt;="&amp;DATE(2026,1,1),'SEMINARI BIARA'!$G$2:$G$1001,"&lt;="&amp;DATE(2026,12,31)))</f>
        <v/>
      </c>
      <c r="S86" s="19">
        <f>IF($A86="","",COUNTIFS('SEMINARI BIARA'!$C$2:$C$1001,$A86,'SEMINARI BIARA'!$F$2:$F$1001,"Sedang belajar 2026"))</f>
        <v/>
      </c>
    </row>
    <row r="87" ht="14.25" customHeight="1" s="38">
      <c r="A87" s="18" t="n"/>
      <c r="B87" s="19">
        <f>IF($A87="","",COUNTIF('DATA KK'!$E$2:$E$501,$A87))</f>
        <v/>
      </c>
      <c r="C87" s="19">
        <f>IF($A87="","",COUNTIF('DATA UMAT'!$H$2:$H$2001,$A87))</f>
        <v/>
      </c>
      <c r="D87" s="19">
        <f>IF($A87="","",COUNTIFS(BAPTIS!$C$2:$C$1001,$A87,BAPTIS!$F$2:$F$1001,"&gt;="&amp;DATE(2026,1,1),BAPTIS!$F$2:$F$1001,"&lt;="&amp;DATE(2026,12,31)))</f>
        <v/>
      </c>
      <c r="E87" s="19">
        <f>IF($A87="","",COUNTIFS('DITERIMA MASUK'!$C$2:$C$1001,$A87,'DITERIMA MASUK'!$D$2:$D$1001,"&gt;="&amp;DATE(2026,1,1),'DITERIMA MASUK'!$D$2:$D$1001,"&lt;="&amp;DATE(2026,12,31)))</f>
        <v/>
      </c>
      <c r="F87" s="19">
        <f>IF($A87="","",COUNTIFS(MUTASI!$C$2:$C$1001,$A87,MUTASI!$D$2:$D$1001,"Masuk",MUTASI!$F$2:$F$1001,"Paroki lain dalam keuskupan",MUTASI!$E$2:$E$1001,"&gt;="&amp;DATE(2026,1,1),MUTASI!$E$2:$E$1001,"&lt;="&amp;DATE(2026,12,31)))</f>
        <v/>
      </c>
      <c r="G87" s="19">
        <f>IF($A87="","",COUNTIFS(MUTASI!$C$2:$C$1001,$A87,MUTASI!$D$2:$D$1001,"Masuk",MUTASI!$F$2:$F$1001,"Keuskupan lain",MUTASI!$E$2:$E$1001,"&gt;="&amp;DATE(2026,1,1),MUTASI!$E$2:$E$1001,"&lt;="&amp;DATE(2026,12,31)))</f>
        <v/>
      </c>
      <c r="H87" s="19">
        <f>IF($A87="","",COUNTIFS(KEMATIAN!$C$2:$C$1001,$A87,KEMATIAN!$F$2:$F$1001,"&gt;="&amp;DATE(2026,1,1),KEMATIAN!$F$2:$F$1001,"&lt;="&amp;DATE(2026,12,31)))</f>
        <v/>
      </c>
      <c r="I87" s="19">
        <f>IF($A87="","",COUNTIFS(MUTASI!$C$2:$C$1001,$A87,MUTASI!$D$2:$D$1001,"Keluar",MUTASI!$F$2:$F$1001,"Paroki lain dalam keuskupan",MUTASI!$E$2:$E$1001,"&gt;="&amp;DATE(2026,1,1),MUTASI!$E$2:$E$1001,"&lt;="&amp;DATE(2026,12,31)))</f>
        <v/>
      </c>
      <c r="J87" s="19">
        <f>IF($A87="","",COUNTIFS(MUTASI!$C$2:$C$1001,$A87,MUTASI!$D$2:$D$1001,"Keluar",MUTASI!$F$2:$F$1001,"Keuskupan lain",MUTASI!$E$2:$E$1001,"&gt;="&amp;DATE(2026,1,1),MUTASI!$E$2:$E$1001,"&lt;="&amp;DATE(2026,12,31)))</f>
        <v/>
      </c>
      <c r="K87" s="19">
        <f>IF($A87="","",COUNTIFS('PINDAH AGAMA'!$C$2:$C$1001,$A87,'PINDAH AGAMA'!$D$2:$D$1001,"&gt;="&amp;DATE(2026,1,1),'PINDAH AGAMA'!$D$2:$D$1001,"&lt;="&amp;DATE(2026,12,31)))</f>
        <v/>
      </c>
      <c r="L87" s="19">
        <f>IF($A87="","",D87+E87+F87+G87-H87-I87-J87-K87)</f>
        <v/>
      </c>
      <c r="M87" s="19">
        <f>IF($A87="","",COUNTIFS('KOMUNI PERTAMA'!$C$2:$C$1001,$A87,'KOMUNI PERTAMA'!$E$2:$E$1001,"&gt;="&amp;DATE(2026,1,1),'KOMUNI PERTAMA'!$E$2:$E$1001,"&lt;="&amp;DATE(2026,12,31)))</f>
        <v/>
      </c>
      <c r="N87" s="19">
        <f>IF($A87="","",COUNTIFS('PERKAWINAN GEREJANI'!$C$2:$C$1001,$A87,'PERKAWINAN GEREJANI'!$D$2:$D$1001,"&gt;="&amp;DATE(2026,1,1),'PERKAWINAN GEREJANI'!$D$2:$D$1001,"&lt;="&amp;DATE(2026,12,31)))</f>
        <v/>
      </c>
      <c r="O87" s="19">
        <f>IF($A87="","",COUNTIFS(PEMBUBARAN!$C$2:$C$1001,$A87,PEMBUBARAN!$D$2:$D$1001,"&gt;="&amp;DATE(2026,1,1),PEMBUBARAN!$D$2:$D$1001,"&lt;="&amp;DATE(2026,12,31)))</f>
        <v/>
      </c>
      <c r="P87" s="19">
        <f>IF($A87="","",COUNTIFS('PERMINYAKAN SUCI'!$C$2:$C$1001,$A87,'PERMINYAKAN SUCI'!$E$2:$E$1001,"&gt;="&amp;DATE(2026,1,1),'PERMINYAKAN SUCI'!$E$2:$E$1001,"&lt;="&amp;DATE(2026,12,31)))</f>
        <v/>
      </c>
      <c r="Q87" s="19">
        <f>IF($A87="","",H87)</f>
        <v/>
      </c>
      <c r="R87" s="19">
        <f>IF($A87="","",COUNTIFS('SEMINARI BIARA'!$C$2:$C$1001,$A87,'SEMINARI BIARA'!$F$2:$F$1001,"Mulai masuk 2026",'SEMINARI BIARA'!$G$2:$G$1001,"&gt;="&amp;DATE(2026,1,1),'SEMINARI BIARA'!$G$2:$G$1001,"&lt;="&amp;DATE(2026,12,31)))</f>
        <v/>
      </c>
      <c r="S87" s="19">
        <f>IF($A87="","",COUNTIFS('SEMINARI BIARA'!$C$2:$C$1001,$A87,'SEMINARI BIARA'!$F$2:$F$1001,"Sedang belajar 2026"))</f>
        <v/>
      </c>
    </row>
    <row r="88" ht="14.25" customHeight="1" s="38">
      <c r="A88" s="18" t="n"/>
      <c r="B88" s="19">
        <f>IF($A88="","",COUNTIF('DATA KK'!$E$2:$E$501,$A88))</f>
        <v/>
      </c>
      <c r="C88" s="19">
        <f>IF($A88="","",COUNTIF('DATA UMAT'!$H$2:$H$2001,$A88))</f>
        <v/>
      </c>
      <c r="D88" s="19">
        <f>IF($A88="","",COUNTIFS(BAPTIS!$C$2:$C$1001,$A88,BAPTIS!$F$2:$F$1001,"&gt;="&amp;DATE(2026,1,1),BAPTIS!$F$2:$F$1001,"&lt;="&amp;DATE(2026,12,31)))</f>
        <v/>
      </c>
      <c r="E88" s="19">
        <f>IF($A88="","",COUNTIFS('DITERIMA MASUK'!$C$2:$C$1001,$A88,'DITERIMA MASUK'!$D$2:$D$1001,"&gt;="&amp;DATE(2026,1,1),'DITERIMA MASUK'!$D$2:$D$1001,"&lt;="&amp;DATE(2026,12,31)))</f>
        <v/>
      </c>
      <c r="F88" s="19">
        <f>IF($A88="","",COUNTIFS(MUTASI!$C$2:$C$1001,$A88,MUTASI!$D$2:$D$1001,"Masuk",MUTASI!$F$2:$F$1001,"Paroki lain dalam keuskupan",MUTASI!$E$2:$E$1001,"&gt;="&amp;DATE(2026,1,1),MUTASI!$E$2:$E$1001,"&lt;="&amp;DATE(2026,12,31)))</f>
        <v/>
      </c>
      <c r="G88" s="19">
        <f>IF($A88="","",COUNTIFS(MUTASI!$C$2:$C$1001,$A88,MUTASI!$D$2:$D$1001,"Masuk",MUTASI!$F$2:$F$1001,"Keuskupan lain",MUTASI!$E$2:$E$1001,"&gt;="&amp;DATE(2026,1,1),MUTASI!$E$2:$E$1001,"&lt;="&amp;DATE(2026,12,31)))</f>
        <v/>
      </c>
      <c r="H88" s="19">
        <f>IF($A88="","",COUNTIFS(KEMATIAN!$C$2:$C$1001,$A88,KEMATIAN!$F$2:$F$1001,"&gt;="&amp;DATE(2026,1,1),KEMATIAN!$F$2:$F$1001,"&lt;="&amp;DATE(2026,12,31)))</f>
        <v/>
      </c>
      <c r="I88" s="19">
        <f>IF($A88="","",COUNTIFS(MUTASI!$C$2:$C$1001,$A88,MUTASI!$D$2:$D$1001,"Keluar",MUTASI!$F$2:$F$1001,"Paroki lain dalam keuskupan",MUTASI!$E$2:$E$1001,"&gt;="&amp;DATE(2026,1,1),MUTASI!$E$2:$E$1001,"&lt;="&amp;DATE(2026,12,31)))</f>
        <v/>
      </c>
      <c r="J88" s="19">
        <f>IF($A88="","",COUNTIFS(MUTASI!$C$2:$C$1001,$A88,MUTASI!$D$2:$D$1001,"Keluar",MUTASI!$F$2:$F$1001,"Keuskupan lain",MUTASI!$E$2:$E$1001,"&gt;="&amp;DATE(2026,1,1),MUTASI!$E$2:$E$1001,"&lt;="&amp;DATE(2026,12,31)))</f>
        <v/>
      </c>
      <c r="K88" s="19">
        <f>IF($A88="","",COUNTIFS('PINDAH AGAMA'!$C$2:$C$1001,$A88,'PINDAH AGAMA'!$D$2:$D$1001,"&gt;="&amp;DATE(2026,1,1),'PINDAH AGAMA'!$D$2:$D$1001,"&lt;="&amp;DATE(2026,12,31)))</f>
        <v/>
      </c>
      <c r="L88" s="19">
        <f>IF($A88="","",D88+E88+F88+G88-H88-I88-J88-K88)</f>
        <v/>
      </c>
      <c r="M88" s="19">
        <f>IF($A88="","",COUNTIFS('KOMUNI PERTAMA'!$C$2:$C$1001,$A88,'KOMUNI PERTAMA'!$E$2:$E$1001,"&gt;="&amp;DATE(2026,1,1),'KOMUNI PERTAMA'!$E$2:$E$1001,"&lt;="&amp;DATE(2026,12,31)))</f>
        <v/>
      </c>
      <c r="N88" s="19">
        <f>IF($A88="","",COUNTIFS('PERKAWINAN GEREJANI'!$C$2:$C$1001,$A88,'PERKAWINAN GEREJANI'!$D$2:$D$1001,"&gt;="&amp;DATE(2026,1,1),'PERKAWINAN GEREJANI'!$D$2:$D$1001,"&lt;="&amp;DATE(2026,12,31)))</f>
        <v/>
      </c>
      <c r="O88" s="19">
        <f>IF($A88="","",COUNTIFS(PEMBUBARAN!$C$2:$C$1001,$A88,PEMBUBARAN!$D$2:$D$1001,"&gt;="&amp;DATE(2026,1,1),PEMBUBARAN!$D$2:$D$1001,"&lt;="&amp;DATE(2026,12,31)))</f>
        <v/>
      </c>
      <c r="P88" s="19">
        <f>IF($A88="","",COUNTIFS('PERMINYAKAN SUCI'!$C$2:$C$1001,$A88,'PERMINYAKAN SUCI'!$E$2:$E$1001,"&gt;="&amp;DATE(2026,1,1),'PERMINYAKAN SUCI'!$E$2:$E$1001,"&lt;="&amp;DATE(2026,12,31)))</f>
        <v/>
      </c>
      <c r="Q88" s="19">
        <f>IF($A88="","",H88)</f>
        <v/>
      </c>
      <c r="R88" s="19">
        <f>IF($A88="","",COUNTIFS('SEMINARI BIARA'!$C$2:$C$1001,$A88,'SEMINARI BIARA'!$F$2:$F$1001,"Mulai masuk 2026",'SEMINARI BIARA'!$G$2:$G$1001,"&gt;="&amp;DATE(2026,1,1),'SEMINARI BIARA'!$G$2:$G$1001,"&lt;="&amp;DATE(2026,12,31)))</f>
        <v/>
      </c>
      <c r="S88" s="19">
        <f>IF($A88="","",COUNTIFS('SEMINARI BIARA'!$C$2:$C$1001,$A88,'SEMINARI BIARA'!$F$2:$F$1001,"Sedang belajar 2026"))</f>
        <v/>
      </c>
    </row>
    <row r="89" ht="14.25" customHeight="1" s="38">
      <c r="A89" s="18" t="n"/>
      <c r="B89" s="19">
        <f>IF($A89="","",COUNTIF('DATA KK'!$E$2:$E$501,$A89))</f>
        <v/>
      </c>
      <c r="C89" s="19">
        <f>IF($A89="","",COUNTIF('DATA UMAT'!$H$2:$H$2001,$A89))</f>
        <v/>
      </c>
      <c r="D89" s="19">
        <f>IF($A89="","",COUNTIFS(BAPTIS!$C$2:$C$1001,$A89,BAPTIS!$F$2:$F$1001,"&gt;="&amp;DATE(2026,1,1),BAPTIS!$F$2:$F$1001,"&lt;="&amp;DATE(2026,12,31)))</f>
        <v/>
      </c>
      <c r="E89" s="19">
        <f>IF($A89="","",COUNTIFS('DITERIMA MASUK'!$C$2:$C$1001,$A89,'DITERIMA MASUK'!$D$2:$D$1001,"&gt;="&amp;DATE(2026,1,1),'DITERIMA MASUK'!$D$2:$D$1001,"&lt;="&amp;DATE(2026,12,31)))</f>
        <v/>
      </c>
      <c r="F89" s="19">
        <f>IF($A89="","",COUNTIFS(MUTASI!$C$2:$C$1001,$A89,MUTASI!$D$2:$D$1001,"Masuk",MUTASI!$F$2:$F$1001,"Paroki lain dalam keuskupan",MUTASI!$E$2:$E$1001,"&gt;="&amp;DATE(2026,1,1),MUTASI!$E$2:$E$1001,"&lt;="&amp;DATE(2026,12,31)))</f>
        <v/>
      </c>
      <c r="G89" s="19">
        <f>IF($A89="","",COUNTIFS(MUTASI!$C$2:$C$1001,$A89,MUTASI!$D$2:$D$1001,"Masuk",MUTASI!$F$2:$F$1001,"Keuskupan lain",MUTASI!$E$2:$E$1001,"&gt;="&amp;DATE(2026,1,1),MUTASI!$E$2:$E$1001,"&lt;="&amp;DATE(2026,12,31)))</f>
        <v/>
      </c>
      <c r="H89" s="19">
        <f>IF($A89="","",COUNTIFS(KEMATIAN!$C$2:$C$1001,$A89,KEMATIAN!$F$2:$F$1001,"&gt;="&amp;DATE(2026,1,1),KEMATIAN!$F$2:$F$1001,"&lt;="&amp;DATE(2026,12,31)))</f>
        <v/>
      </c>
      <c r="I89" s="19">
        <f>IF($A89="","",COUNTIFS(MUTASI!$C$2:$C$1001,$A89,MUTASI!$D$2:$D$1001,"Keluar",MUTASI!$F$2:$F$1001,"Paroki lain dalam keuskupan",MUTASI!$E$2:$E$1001,"&gt;="&amp;DATE(2026,1,1),MUTASI!$E$2:$E$1001,"&lt;="&amp;DATE(2026,12,31)))</f>
        <v/>
      </c>
      <c r="J89" s="19">
        <f>IF($A89="","",COUNTIFS(MUTASI!$C$2:$C$1001,$A89,MUTASI!$D$2:$D$1001,"Keluar",MUTASI!$F$2:$F$1001,"Keuskupan lain",MUTASI!$E$2:$E$1001,"&gt;="&amp;DATE(2026,1,1),MUTASI!$E$2:$E$1001,"&lt;="&amp;DATE(2026,12,31)))</f>
        <v/>
      </c>
      <c r="K89" s="19">
        <f>IF($A89="","",COUNTIFS('PINDAH AGAMA'!$C$2:$C$1001,$A89,'PINDAH AGAMA'!$D$2:$D$1001,"&gt;="&amp;DATE(2026,1,1),'PINDAH AGAMA'!$D$2:$D$1001,"&lt;="&amp;DATE(2026,12,31)))</f>
        <v/>
      </c>
      <c r="L89" s="19">
        <f>IF($A89="","",D89+E89+F89+G89-H89-I89-J89-K89)</f>
        <v/>
      </c>
      <c r="M89" s="19">
        <f>IF($A89="","",COUNTIFS('KOMUNI PERTAMA'!$C$2:$C$1001,$A89,'KOMUNI PERTAMA'!$E$2:$E$1001,"&gt;="&amp;DATE(2026,1,1),'KOMUNI PERTAMA'!$E$2:$E$1001,"&lt;="&amp;DATE(2026,12,31)))</f>
        <v/>
      </c>
      <c r="N89" s="19">
        <f>IF($A89="","",COUNTIFS('PERKAWINAN GEREJANI'!$C$2:$C$1001,$A89,'PERKAWINAN GEREJANI'!$D$2:$D$1001,"&gt;="&amp;DATE(2026,1,1),'PERKAWINAN GEREJANI'!$D$2:$D$1001,"&lt;="&amp;DATE(2026,12,31)))</f>
        <v/>
      </c>
      <c r="O89" s="19">
        <f>IF($A89="","",COUNTIFS(PEMBUBARAN!$C$2:$C$1001,$A89,PEMBUBARAN!$D$2:$D$1001,"&gt;="&amp;DATE(2026,1,1),PEMBUBARAN!$D$2:$D$1001,"&lt;="&amp;DATE(2026,12,31)))</f>
        <v/>
      </c>
      <c r="P89" s="19">
        <f>IF($A89="","",COUNTIFS('PERMINYAKAN SUCI'!$C$2:$C$1001,$A89,'PERMINYAKAN SUCI'!$E$2:$E$1001,"&gt;="&amp;DATE(2026,1,1),'PERMINYAKAN SUCI'!$E$2:$E$1001,"&lt;="&amp;DATE(2026,12,31)))</f>
        <v/>
      </c>
      <c r="Q89" s="19">
        <f>IF($A89="","",H89)</f>
        <v/>
      </c>
      <c r="R89" s="19">
        <f>IF($A89="","",COUNTIFS('SEMINARI BIARA'!$C$2:$C$1001,$A89,'SEMINARI BIARA'!$F$2:$F$1001,"Mulai masuk 2026",'SEMINARI BIARA'!$G$2:$G$1001,"&gt;="&amp;DATE(2026,1,1),'SEMINARI BIARA'!$G$2:$G$1001,"&lt;="&amp;DATE(2026,12,31)))</f>
        <v/>
      </c>
      <c r="S89" s="19">
        <f>IF($A89="","",COUNTIFS('SEMINARI BIARA'!$C$2:$C$1001,$A89,'SEMINARI BIARA'!$F$2:$F$1001,"Sedang belajar 2026"))</f>
        <v/>
      </c>
    </row>
    <row r="90" ht="14.25" customHeight="1" s="38">
      <c r="A90" s="18" t="n"/>
      <c r="B90" s="19">
        <f>IF($A90="","",COUNTIF('DATA KK'!$E$2:$E$501,$A90))</f>
        <v/>
      </c>
      <c r="C90" s="19">
        <f>IF($A90="","",COUNTIF('DATA UMAT'!$H$2:$H$2001,$A90))</f>
        <v/>
      </c>
      <c r="D90" s="19">
        <f>IF($A90="","",COUNTIFS(BAPTIS!$C$2:$C$1001,$A90,BAPTIS!$F$2:$F$1001,"&gt;="&amp;DATE(2026,1,1),BAPTIS!$F$2:$F$1001,"&lt;="&amp;DATE(2026,12,31)))</f>
        <v/>
      </c>
      <c r="E90" s="19">
        <f>IF($A90="","",COUNTIFS('DITERIMA MASUK'!$C$2:$C$1001,$A90,'DITERIMA MASUK'!$D$2:$D$1001,"&gt;="&amp;DATE(2026,1,1),'DITERIMA MASUK'!$D$2:$D$1001,"&lt;="&amp;DATE(2026,12,31)))</f>
        <v/>
      </c>
      <c r="F90" s="19">
        <f>IF($A90="","",COUNTIFS(MUTASI!$C$2:$C$1001,$A90,MUTASI!$D$2:$D$1001,"Masuk",MUTASI!$F$2:$F$1001,"Paroki lain dalam keuskupan",MUTASI!$E$2:$E$1001,"&gt;="&amp;DATE(2026,1,1),MUTASI!$E$2:$E$1001,"&lt;="&amp;DATE(2026,12,31)))</f>
        <v/>
      </c>
      <c r="G90" s="19">
        <f>IF($A90="","",COUNTIFS(MUTASI!$C$2:$C$1001,$A90,MUTASI!$D$2:$D$1001,"Masuk",MUTASI!$F$2:$F$1001,"Keuskupan lain",MUTASI!$E$2:$E$1001,"&gt;="&amp;DATE(2026,1,1),MUTASI!$E$2:$E$1001,"&lt;="&amp;DATE(2026,12,31)))</f>
        <v/>
      </c>
      <c r="H90" s="19">
        <f>IF($A90="","",COUNTIFS(KEMATIAN!$C$2:$C$1001,$A90,KEMATIAN!$F$2:$F$1001,"&gt;="&amp;DATE(2026,1,1),KEMATIAN!$F$2:$F$1001,"&lt;="&amp;DATE(2026,12,31)))</f>
        <v/>
      </c>
      <c r="I90" s="19">
        <f>IF($A90="","",COUNTIFS(MUTASI!$C$2:$C$1001,$A90,MUTASI!$D$2:$D$1001,"Keluar",MUTASI!$F$2:$F$1001,"Paroki lain dalam keuskupan",MUTASI!$E$2:$E$1001,"&gt;="&amp;DATE(2026,1,1),MUTASI!$E$2:$E$1001,"&lt;="&amp;DATE(2026,12,31)))</f>
        <v/>
      </c>
      <c r="J90" s="19">
        <f>IF($A90="","",COUNTIFS(MUTASI!$C$2:$C$1001,$A90,MUTASI!$D$2:$D$1001,"Keluar",MUTASI!$F$2:$F$1001,"Keuskupan lain",MUTASI!$E$2:$E$1001,"&gt;="&amp;DATE(2026,1,1),MUTASI!$E$2:$E$1001,"&lt;="&amp;DATE(2026,12,31)))</f>
        <v/>
      </c>
      <c r="K90" s="19">
        <f>IF($A90="","",COUNTIFS('PINDAH AGAMA'!$C$2:$C$1001,$A90,'PINDAH AGAMA'!$D$2:$D$1001,"&gt;="&amp;DATE(2026,1,1),'PINDAH AGAMA'!$D$2:$D$1001,"&lt;="&amp;DATE(2026,12,31)))</f>
        <v/>
      </c>
      <c r="L90" s="19">
        <f>IF($A90="","",D90+E90+F90+G90-H90-I90-J90-K90)</f>
        <v/>
      </c>
      <c r="M90" s="19">
        <f>IF($A90="","",COUNTIFS('KOMUNI PERTAMA'!$C$2:$C$1001,$A90,'KOMUNI PERTAMA'!$E$2:$E$1001,"&gt;="&amp;DATE(2026,1,1),'KOMUNI PERTAMA'!$E$2:$E$1001,"&lt;="&amp;DATE(2026,12,31)))</f>
        <v/>
      </c>
      <c r="N90" s="19">
        <f>IF($A90="","",COUNTIFS('PERKAWINAN GEREJANI'!$C$2:$C$1001,$A90,'PERKAWINAN GEREJANI'!$D$2:$D$1001,"&gt;="&amp;DATE(2026,1,1),'PERKAWINAN GEREJANI'!$D$2:$D$1001,"&lt;="&amp;DATE(2026,12,31)))</f>
        <v/>
      </c>
      <c r="O90" s="19">
        <f>IF($A90="","",COUNTIFS(PEMBUBARAN!$C$2:$C$1001,$A90,PEMBUBARAN!$D$2:$D$1001,"&gt;="&amp;DATE(2026,1,1),PEMBUBARAN!$D$2:$D$1001,"&lt;="&amp;DATE(2026,12,31)))</f>
        <v/>
      </c>
      <c r="P90" s="19">
        <f>IF($A90="","",COUNTIFS('PERMINYAKAN SUCI'!$C$2:$C$1001,$A90,'PERMINYAKAN SUCI'!$E$2:$E$1001,"&gt;="&amp;DATE(2026,1,1),'PERMINYAKAN SUCI'!$E$2:$E$1001,"&lt;="&amp;DATE(2026,12,31)))</f>
        <v/>
      </c>
      <c r="Q90" s="19">
        <f>IF($A90="","",H90)</f>
        <v/>
      </c>
      <c r="R90" s="19">
        <f>IF($A90="","",COUNTIFS('SEMINARI BIARA'!$C$2:$C$1001,$A90,'SEMINARI BIARA'!$F$2:$F$1001,"Mulai masuk 2026",'SEMINARI BIARA'!$G$2:$G$1001,"&gt;="&amp;DATE(2026,1,1),'SEMINARI BIARA'!$G$2:$G$1001,"&lt;="&amp;DATE(2026,12,31)))</f>
        <v/>
      </c>
      <c r="S90" s="19">
        <f>IF($A90="","",COUNTIFS('SEMINARI BIARA'!$C$2:$C$1001,$A90,'SEMINARI BIARA'!$F$2:$F$1001,"Sedang belajar 2026"))</f>
        <v/>
      </c>
    </row>
    <row r="91" ht="14.25" customHeight="1" s="38">
      <c r="A91" s="18" t="n"/>
      <c r="B91" s="19">
        <f>IF($A91="","",COUNTIF('DATA KK'!$E$2:$E$501,$A91))</f>
        <v/>
      </c>
      <c r="C91" s="19">
        <f>IF($A91="","",COUNTIF('DATA UMAT'!$H$2:$H$2001,$A91))</f>
        <v/>
      </c>
      <c r="D91" s="19">
        <f>IF($A91="","",COUNTIFS(BAPTIS!$C$2:$C$1001,$A91,BAPTIS!$F$2:$F$1001,"&gt;="&amp;DATE(2026,1,1),BAPTIS!$F$2:$F$1001,"&lt;="&amp;DATE(2026,12,31)))</f>
        <v/>
      </c>
      <c r="E91" s="19">
        <f>IF($A91="","",COUNTIFS('DITERIMA MASUK'!$C$2:$C$1001,$A91,'DITERIMA MASUK'!$D$2:$D$1001,"&gt;="&amp;DATE(2026,1,1),'DITERIMA MASUK'!$D$2:$D$1001,"&lt;="&amp;DATE(2026,12,31)))</f>
        <v/>
      </c>
      <c r="F91" s="19">
        <f>IF($A91="","",COUNTIFS(MUTASI!$C$2:$C$1001,$A91,MUTASI!$D$2:$D$1001,"Masuk",MUTASI!$F$2:$F$1001,"Paroki lain dalam keuskupan",MUTASI!$E$2:$E$1001,"&gt;="&amp;DATE(2026,1,1),MUTASI!$E$2:$E$1001,"&lt;="&amp;DATE(2026,12,31)))</f>
        <v/>
      </c>
      <c r="G91" s="19">
        <f>IF($A91="","",COUNTIFS(MUTASI!$C$2:$C$1001,$A91,MUTASI!$D$2:$D$1001,"Masuk",MUTASI!$F$2:$F$1001,"Keuskupan lain",MUTASI!$E$2:$E$1001,"&gt;="&amp;DATE(2026,1,1),MUTASI!$E$2:$E$1001,"&lt;="&amp;DATE(2026,12,31)))</f>
        <v/>
      </c>
      <c r="H91" s="19">
        <f>IF($A91="","",COUNTIFS(KEMATIAN!$C$2:$C$1001,$A91,KEMATIAN!$F$2:$F$1001,"&gt;="&amp;DATE(2026,1,1),KEMATIAN!$F$2:$F$1001,"&lt;="&amp;DATE(2026,12,31)))</f>
        <v/>
      </c>
      <c r="I91" s="19">
        <f>IF($A91="","",COUNTIFS(MUTASI!$C$2:$C$1001,$A91,MUTASI!$D$2:$D$1001,"Keluar",MUTASI!$F$2:$F$1001,"Paroki lain dalam keuskupan",MUTASI!$E$2:$E$1001,"&gt;="&amp;DATE(2026,1,1),MUTASI!$E$2:$E$1001,"&lt;="&amp;DATE(2026,12,31)))</f>
        <v/>
      </c>
      <c r="J91" s="19">
        <f>IF($A91="","",COUNTIFS(MUTASI!$C$2:$C$1001,$A91,MUTASI!$D$2:$D$1001,"Keluar",MUTASI!$F$2:$F$1001,"Keuskupan lain",MUTASI!$E$2:$E$1001,"&gt;="&amp;DATE(2026,1,1),MUTASI!$E$2:$E$1001,"&lt;="&amp;DATE(2026,12,31)))</f>
        <v/>
      </c>
      <c r="K91" s="19">
        <f>IF($A91="","",COUNTIFS('PINDAH AGAMA'!$C$2:$C$1001,$A91,'PINDAH AGAMA'!$D$2:$D$1001,"&gt;="&amp;DATE(2026,1,1),'PINDAH AGAMA'!$D$2:$D$1001,"&lt;="&amp;DATE(2026,12,31)))</f>
        <v/>
      </c>
      <c r="L91" s="19">
        <f>IF($A91="","",D91+E91+F91+G91-H91-I91-J91-K91)</f>
        <v/>
      </c>
      <c r="M91" s="19">
        <f>IF($A91="","",COUNTIFS('KOMUNI PERTAMA'!$C$2:$C$1001,$A91,'KOMUNI PERTAMA'!$E$2:$E$1001,"&gt;="&amp;DATE(2026,1,1),'KOMUNI PERTAMA'!$E$2:$E$1001,"&lt;="&amp;DATE(2026,12,31)))</f>
        <v/>
      </c>
      <c r="N91" s="19">
        <f>IF($A91="","",COUNTIFS('PERKAWINAN GEREJANI'!$C$2:$C$1001,$A91,'PERKAWINAN GEREJANI'!$D$2:$D$1001,"&gt;="&amp;DATE(2026,1,1),'PERKAWINAN GEREJANI'!$D$2:$D$1001,"&lt;="&amp;DATE(2026,12,31)))</f>
        <v/>
      </c>
      <c r="O91" s="19">
        <f>IF($A91="","",COUNTIFS(PEMBUBARAN!$C$2:$C$1001,$A91,PEMBUBARAN!$D$2:$D$1001,"&gt;="&amp;DATE(2026,1,1),PEMBUBARAN!$D$2:$D$1001,"&lt;="&amp;DATE(2026,12,31)))</f>
        <v/>
      </c>
      <c r="P91" s="19">
        <f>IF($A91="","",COUNTIFS('PERMINYAKAN SUCI'!$C$2:$C$1001,$A91,'PERMINYAKAN SUCI'!$E$2:$E$1001,"&gt;="&amp;DATE(2026,1,1),'PERMINYAKAN SUCI'!$E$2:$E$1001,"&lt;="&amp;DATE(2026,12,31)))</f>
        <v/>
      </c>
      <c r="Q91" s="19">
        <f>IF($A91="","",H91)</f>
        <v/>
      </c>
      <c r="R91" s="19">
        <f>IF($A91="","",COUNTIFS('SEMINARI BIARA'!$C$2:$C$1001,$A91,'SEMINARI BIARA'!$F$2:$F$1001,"Mulai masuk 2026",'SEMINARI BIARA'!$G$2:$G$1001,"&gt;="&amp;DATE(2026,1,1),'SEMINARI BIARA'!$G$2:$G$1001,"&lt;="&amp;DATE(2026,12,31)))</f>
        <v/>
      </c>
      <c r="S91" s="19">
        <f>IF($A91="","",COUNTIFS('SEMINARI BIARA'!$C$2:$C$1001,$A91,'SEMINARI BIARA'!$F$2:$F$1001,"Sedang belajar 2026"))</f>
        <v/>
      </c>
    </row>
    <row r="92" ht="14.25" customHeight="1" s="38">
      <c r="A92" s="18" t="n"/>
      <c r="B92" s="19">
        <f>IF($A92="","",COUNTIF('DATA KK'!$E$2:$E$501,$A92))</f>
        <v/>
      </c>
      <c r="C92" s="19">
        <f>IF($A92="","",COUNTIF('DATA UMAT'!$H$2:$H$2001,$A92))</f>
        <v/>
      </c>
      <c r="D92" s="19">
        <f>IF($A92="","",COUNTIFS(BAPTIS!$C$2:$C$1001,$A92,BAPTIS!$F$2:$F$1001,"&gt;="&amp;DATE(2026,1,1),BAPTIS!$F$2:$F$1001,"&lt;="&amp;DATE(2026,12,31)))</f>
        <v/>
      </c>
      <c r="E92" s="19">
        <f>IF($A92="","",COUNTIFS('DITERIMA MASUK'!$C$2:$C$1001,$A92,'DITERIMA MASUK'!$D$2:$D$1001,"&gt;="&amp;DATE(2026,1,1),'DITERIMA MASUK'!$D$2:$D$1001,"&lt;="&amp;DATE(2026,12,31)))</f>
        <v/>
      </c>
      <c r="F92" s="19">
        <f>IF($A92="","",COUNTIFS(MUTASI!$C$2:$C$1001,$A92,MUTASI!$D$2:$D$1001,"Masuk",MUTASI!$F$2:$F$1001,"Paroki lain dalam keuskupan",MUTASI!$E$2:$E$1001,"&gt;="&amp;DATE(2026,1,1),MUTASI!$E$2:$E$1001,"&lt;="&amp;DATE(2026,12,31)))</f>
        <v/>
      </c>
      <c r="G92" s="19">
        <f>IF($A92="","",COUNTIFS(MUTASI!$C$2:$C$1001,$A92,MUTASI!$D$2:$D$1001,"Masuk",MUTASI!$F$2:$F$1001,"Keuskupan lain",MUTASI!$E$2:$E$1001,"&gt;="&amp;DATE(2026,1,1),MUTASI!$E$2:$E$1001,"&lt;="&amp;DATE(2026,12,31)))</f>
        <v/>
      </c>
      <c r="H92" s="19">
        <f>IF($A92="","",COUNTIFS(KEMATIAN!$C$2:$C$1001,$A92,KEMATIAN!$F$2:$F$1001,"&gt;="&amp;DATE(2026,1,1),KEMATIAN!$F$2:$F$1001,"&lt;="&amp;DATE(2026,12,31)))</f>
        <v/>
      </c>
      <c r="I92" s="19">
        <f>IF($A92="","",COUNTIFS(MUTASI!$C$2:$C$1001,$A92,MUTASI!$D$2:$D$1001,"Keluar",MUTASI!$F$2:$F$1001,"Paroki lain dalam keuskupan",MUTASI!$E$2:$E$1001,"&gt;="&amp;DATE(2026,1,1),MUTASI!$E$2:$E$1001,"&lt;="&amp;DATE(2026,12,31)))</f>
        <v/>
      </c>
      <c r="J92" s="19">
        <f>IF($A92="","",COUNTIFS(MUTASI!$C$2:$C$1001,$A92,MUTASI!$D$2:$D$1001,"Keluar",MUTASI!$F$2:$F$1001,"Keuskupan lain",MUTASI!$E$2:$E$1001,"&gt;="&amp;DATE(2026,1,1),MUTASI!$E$2:$E$1001,"&lt;="&amp;DATE(2026,12,31)))</f>
        <v/>
      </c>
      <c r="K92" s="19">
        <f>IF($A92="","",COUNTIFS('PINDAH AGAMA'!$C$2:$C$1001,$A92,'PINDAH AGAMA'!$D$2:$D$1001,"&gt;="&amp;DATE(2026,1,1),'PINDAH AGAMA'!$D$2:$D$1001,"&lt;="&amp;DATE(2026,12,31)))</f>
        <v/>
      </c>
      <c r="L92" s="19">
        <f>IF($A92="","",D92+E92+F92+G92-H92-I92-J92-K92)</f>
        <v/>
      </c>
      <c r="M92" s="19">
        <f>IF($A92="","",COUNTIFS('KOMUNI PERTAMA'!$C$2:$C$1001,$A92,'KOMUNI PERTAMA'!$E$2:$E$1001,"&gt;="&amp;DATE(2026,1,1),'KOMUNI PERTAMA'!$E$2:$E$1001,"&lt;="&amp;DATE(2026,12,31)))</f>
        <v/>
      </c>
      <c r="N92" s="19">
        <f>IF($A92="","",COUNTIFS('PERKAWINAN GEREJANI'!$C$2:$C$1001,$A92,'PERKAWINAN GEREJANI'!$D$2:$D$1001,"&gt;="&amp;DATE(2026,1,1),'PERKAWINAN GEREJANI'!$D$2:$D$1001,"&lt;="&amp;DATE(2026,12,31)))</f>
        <v/>
      </c>
      <c r="O92" s="19">
        <f>IF($A92="","",COUNTIFS(PEMBUBARAN!$C$2:$C$1001,$A92,PEMBUBARAN!$D$2:$D$1001,"&gt;="&amp;DATE(2026,1,1),PEMBUBARAN!$D$2:$D$1001,"&lt;="&amp;DATE(2026,12,31)))</f>
        <v/>
      </c>
      <c r="P92" s="19">
        <f>IF($A92="","",COUNTIFS('PERMINYAKAN SUCI'!$C$2:$C$1001,$A92,'PERMINYAKAN SUCI'!$E$2:$E$1001,"&gt;="&amp;DATE(2026,1,1),'PERMINYAKAN SUCI'!$E$2:$E$1001,"&lt;="&amp;DATE(2026,12,31)))</f>
        <v/>
      </c>
      <c r="Q92" s="19">
        <f>IF($A92="","",H92)</f>
        <v/>
      </c>
      <c r="R92" s="19">
        <f>IF($A92="","",COUNTIFS('SEMINARI BIARA'!$C$2:$C$1001,$A92,'SEMINARI BIARA'!$F$2:$F$1001,"Mulai masuk 2026",'SEMINARI BIARA'!$G$2:$G$1001,"&gt;="&amp;DATE(2026,1,1),'SEMINARI BIARA'!$G$2:$G$1001,"&lt;="&amp;DATE(2026,12,31)))</f>
        <v/>
      </c>
      <c r="S92" s="19">
        <f>IF($A92="","",COUNTIFS('SEMINARI BIARA'!$C$2:$C$1001,$A92,'SEMINARI BIARA'!$F$2:$F$1001,"Sedang belajar 2026"))</f>
        <v/>
      </c>
    </row>
    <row r="93" ht="14.25" customHeight="1" s="38">
      <c r="A93" s="18" t="n"/>
      <c r="B93" s="19">
        <f>IF($A93="","",COUNTIF('DATA KK'!$E$2:$E$501,$A93))</f>
        <v/>
      </c>
      <c r="C93" s="19">
        <f>IF($A93="","",COUNTIF('DATA UMAT'!$H$2:$H$2001,$A93))</f>
        <v/>
      </c>
      <c r="D93" s="19">
        <f>IF($A93="","",COUNTIFS(BAPTIS!$C$2:$C$1001,$A93,BAPTIS!$F$2:$F$1001,"&gt;="&amp;DATE(2026,1,1),BAPTIS!$F$2:$F$1001,"&lt;="&amp;DATE(2026,12,31)))</f>
        <v/>
      </c>
      <c r="E93" s="19">
        <f>IF($A93="","",COUNTIFS('DITERIMA MASUK'!$C$2:$C$1001,$A93,'DITERIMA MASUK'!$D$2:$D$1001,"&gt;="&amp;DATE(2026,1,1),'DITERIMA MASUK'!$D$2:$D$1001,"&lt;="&amp;DATE(2026,12,31)))</f>
        <v/>
      </c>
      <c r="F93" s="19">
        <f>IF($A93="","",COUNTIFS(MUTASI!$C$2:$C$1001,$A93,MUTASI!$D$2:$D$1001,"Masuk",MUTASI!$F$2:$F$1001,"Paroki lain dalam keuskupan",MUTASI!$E$2:$E$1001,"&gt;="&amp;DATE(2026,1,1),MUTASI!$E$2:$E$1001,"&lt;="&amp;DATE(2026,12,31)))</f>
        <v/>
      </c>
      <c r="G93" s="19">
        <f>IF($A93="","",COUNTIFS(MUTASI!$C$2:$C$1001,$A93,MUTASI!$D$2:$D$1001,"Masuk",MUTASI!$F$2:$F$1001,"Keuskupan lain",MUTASI!$E$2:$E$1001,"&gt;="&amp;DATE(2026,1,1),MUTASI!$E$2:$E$1001,"&lt;="&amp;DATE(2026,12,31)))</f>
        <v/>
      </c>
      <c r="H93" s="19">
        <f>IF($A93="","",COUNTIFS(KEMATIAN!$C$2:$C$1001,$A93,KEMATIAN!$F$2:$F$1001,"&gt;="&amp;DATE(2026,1,1),KEMATIAN!$F$2:$F$1001,"&lt;="&amp;DATE(2026,12,31)))</f>
        <v/>
      </c>
      <c r="I93" s="19">
        <f>IF($A93="","",COUNTIFS(MUTASI!$C$2:$C$1001,$A93,MUTASI!$D$2:$D$1001,"Keluar",MUTASI!$F$2:$F$1001,"Paroki lain dalam keuskupan",MUTASI!$E$2:$E$1001,"&gt;="&amp;DATE(2026,1,1),MUTASI!$E$2:$E$1001,"&lt;="&amp;DATE(2026,12,31)))</f>
        <v/>
      </c>
      <c r="J93" s="19">
        <f>IF($A93="","",COUNTIFS(MUTASI!$C$2:$C$1001,$A93,MUTASI!$D$2:$D$1001,"Keluar",MUTASI!$F$2:$F$1001,"Keuskupan lain",MUTASI!$E$2:$E$1001,"&gt;="&amp;DATE(2026,1,1),MUTASI!$E$2:$E$1001,"&lt;="&amp;DATE(2026,12,31)))</f>
        <v/>
      </c>
      <c r="K93" s="19">
        <f>IF($A93="","",COUNTIFS('PINDAH AGAMA'!$C$2:$C$1001,$A93,'PINDAH AGAMA'!$D$2:$D$1001,"&gt;="&amp;DATE(2026,1,1),'PINDAH AGAMA'!$D$2:$D$1001,"&lt;="&amp;DATE(2026,12,31)))</f>
        <v/>
      </c>
      <c r="L93" s="19">
        <f>IF($A93="","",D93+E93+F93+G93-H93-I93-J93-K93)</f>
        <v/>
      </c>
      <c r="M93" s="19">
        <f>IF($A93="","",COUNTIFS('KOMUNI PERTAMA'!$C$2:$C$1001,$A93,'KOMUNI PERTAMA'!$E$2:$E$1001,"&gt;="&amp;DATE(2026,1,1),'KOMUNI PERTAMA'!$E$2:$E$1001,"&lt;="&amp;DATE(2026,12,31)))</f>
        <v/>
      </c>
      <c r="N93" s="19">
        <f>IF($A93="","",COUNTIFS('PERKAWINAN GEREJANI'!$C$2:$C$1001,$A93,'PERKAWINAN GEREJANI'!$D$2:$D$1001,"&gt;="&amp;DATE(2026,1,1),'PERKAWINAN GEREJANI'!$D$2:$D$1001,"&lt;="&amp;DATE(2026,12,31)))</f>
        <v/>
      </c>
      <c r="O93" s="19">
        <f>IF($A93="","",COUNTIFS(PEMBUBARAN!$C$2:$C$1001,$A93,PEMBUBARAN!$D$2:$D$1001,"&gt;="&amp;DATE(2026,1,1),PEMBUBARAN!$D$2:$D$1001,"&lt;="&amp;DATE(2026,12,31)))</f>
        <v/>
      </c>
      <c r="P93" s="19">
        <f>IF($A93="","",COUNTIFS('PERMINYAKAN SUCI'!$C$2:$C$1001,$A93,'PERMINYAKAN SUCI'!$E$2:$E$1001,"&gt;="&amp;DATE(2026,1,1),'PERMINYAKAN SUCI'!$E$2:$E$1001,"&lt;="&amp;DATE(2026,12,31)))</f>
        <v/>
      </c>
      <c r="Q93" s="19">
        <f>IF($A93="","",H93)</f>
        <v/>
      </c>
      <c r="R93" s="19">
        <f>IF($A93="","",COUNTIFS('SEMINARI BIARA'!$C$2:$C$1001,$A93,'SEMINARI BIARA'!$F$2:$F$1001,"Mulai masuk 2026",'SEMINARI BIARA'!$G$2:$G$1001,"&gt;="&amp;DATE(2026,1,1),'SEMINARI BIARA'!$G$2:$G$1001,"&lt;="&amp;DATE(2026,12,31)))</f>
        <v/>
      </c>
      <c r="S93" s="19">
        <f>IF($A93="","",COUNTIFS('SEMINARI BIARA'!$C$2:$C$1001,$A93,'SEMINARI BIARA'!$F$2:$F$1001,"Sedang belajar 2026"))</f>
        <v/>
      </c>
    </row>
    <row r="94" ht="14.25" customHeight="1" s="38">
      <c r="A94" s="18" t="n"/>
      <c r="B94" s="19">
        <f>IF($A94="","",COUNTIF('DATA KK'!$E$2:$E$501,$A94))</f>
        <v/>
      </c>
      <c r="C94" s="19">
        <f>IF($A94="","",COUNTIF('DATA UMAT'!$H$2:$H$2001,$A94))</f>
        <v/>
      </c>
      <c r="D94" s="19">
        <f>IF($A94="","",COUNTIFS(BAPTIS!$C$2:$C$1001,$A94,BAPTIS!$F$2:$F$1001,"&gt;="&amp;DATE(2026,1,1),BAPTIS!$F$2:$F$1001,"&lt;="&amp;DATE(2026,12,31)))</f>
        <v/>
      </c>
      <c r="E94" s="19">
        <f>IF($A94="","",COUNTIFS('DITERIMA MASUK'!$C$2:$C$1001,$A94,'DITERIMA MASUK'!$D$2:$D$1001,"&gt;="&amp;DATE(2026,1,1),'DITERIMA MASUK'!$D$2:$D$1001,"&lt;="&amp;DATE(2026,12,31)))</f>
        <v/>
      </c>
      <c r="F94" s="19">
        <f>IF($A94="","",COUNTIFS(MUTASI!$C$2:$C$1001,$A94,MUTASI!$D$2:$D$1001,"Masuk",MUTASI!$F$2:$F$1001,"Paroki lain dalam keuskupan",MUTASI!$E$2:$E$1001,"&gt;="&amp;DATE(2026,1,1),MUTASI!$E$2:$E$1001,"&lt;="&amp;DATE(2026,12,31)))</f>
        <v/>
      </c>
      <c r="G94" s="19">
        <f>IF($A94="","",COUNTIFS(MUTASI!$C$2:$C$1001,$A94,MUTASI!$D$2:$D$1001,"Masuk",MUTASI!$F$2:$F$1001,"Keuskupan lain",MUTASI!$E$2:$E$1001,"&gt;="&amp;DATE(2026,1,1),MUTASI!$E$2:$E$1001,"&lt;="&amp;DATE(2026,12,31)))</f>
        <v/>
      </c>
      <c r="H94" s="19">
        <f>IF($A94="","",COUNTIFS(KEMATIAN!$C$2:$C$1001,$A94,KEMATIAN!$F$2:$F$1001,"&gt;="&amp;DATE(2026,1,1),KEMATIAN!$F$2:$F$1001,"&lt;="&amp;DATE(2026,12,31)))</f>
        <v/>
      </c>
      <c r="I94" s="19">
        <f>IF($A94="","",COUNTIFS(MUTASI!$C$2:$C$1001,$A94,MUTASI!$D$2:$D$1001,"Keluar",MUTASI!$F$2:$F$1001,"Paroki lain dalam keuskupan",MUTASI!$E$2:$E$1001,"&gt;="&amp;DATE(2026,1,1),MUTASI!$E$2:$E$1001,"&lt;="&amp;DATE(2026,12,31)))</f>
        <v/>
      </c>
      <c r="J94" s="19">
        <f>IF($A94="","",COUNTIFS(MUTASI!$C$2:$C$1001,$A94,MUTASI!$D$2:$D$1001,"Keluar",MUTASI!$F$2:$F$1001,"Keuskupan lain",MUTASI!$E$2:$E$1001,"&gt;="&amp;DATE(2026,1,1),MUTASI!$E$2:$E$1001,"&lt;="&amp;DATE(2026,12,31)))</f>
        <v/>
      </c>
      <c r="K94" s="19">
        <f>IF($A94="","",COUNTIFS('PINDAH AGAMA'!$C$2:$C$1001,$A94,'PINDAH AGAMA'!$D$2:$D$1001,"&gt;="&amp;DATE(2026,1,1),'PINDAH AGAMA'!$D$2:$D$1001,"&lt;="&amp;DATE(2026,12,31)))</f>
        <v/>
      </c>
      <c r="L94" s="19">
        <f>IF($A94="","",D94+E94+F94+G94-H94-I94-J94-K94)</f>
        <v/>
      </c>
      <c r="M94" s="19">
        <f>IF($A94="","",COUNTIFS('KOMUNI PERTAMA'!$C$2:$C$1001,$A94,'KOMUNI PERTAMA'!$E$2:$E$1001,"&gt;="&amp;DATE(2026,1,1),'KOMUNI PERTAMA'!$E$2:$E$1001,"&lt;="&amp;DATE(2026,12,31)))</f>
        <v/>
      </c>
      <c r="N94" s="19">
        <f>IF($A94="","",COUNTIFS('PERKAWINAN GEREJANI'!$C$2:$C$1001,$A94,'PERKAWINAN GEREJANI'!$D$2:$D$1001,"&gt;="&amp;DATE(2026,1,1),'PERKAWINAN GEREJANI'!$D$2:$D$1001,"&lt;="&amp;DATE(2026,12,31)))</f>
        <v/>
      </c>
      <c r="O94" s="19">
        <f>IF($A94="","",COUNTIFS(PEMBUBARAN!$C$2:$C$1001,$A94,PEMBUBARAN!$D$2:$D$1001,"&gt;="&amp;DATE(2026,1,1),PEMBUBARAN!$D$2:$D$1001,"&lt;="&amp;DATE(2026,12,31)))</f>
        <v/>
      </c>
      <c r="P94" s="19">
        <f>IF($A94="","",COUNTIFS('PERMINYAKAN SUCI'!$C$2:$C$1001,$A94,'PERMINYAKAN SUCI'!$E$2:$E$1001,"&gt;="&amp;DATE(2026,1,1),'PERMINYAKAN SUCI'!$E$2:$E$1001,"&lt;="&amp;DATE(2026,12,31)))</f>
        <v/>
      </c>
      <c r="Q94" s="19">
        <f>IF($A94="","",H94)</f>
        <v/>
      </c>
      <c r="R94" s="19">
        <f>IF($A94="","",COUNTIFS('SEMINARI BIARA'!$C$2:$C$1001,$A94,'SEMINARI BIARA'!$F$2:$F$1001,"Mulai masuk 2026",'SEMINARI BIARA'!$G$2:$G$1001,"&gt;="&amp;DATE(2026,1,1),'SEMINARI BIARA'!$G$2:$G$1001,"&lt;="&amp;DATE(2026,12,31)))</f>
        <v/>
      </c>
      <c r="S94" s="19">
        <f>IF($A94="","",COUNTIFS('SEMINARI BIARA'!$C$2:$C$1001,$A94,'SEMINARI BIARA'!$F$2:$F$1001,"Sedang belajar 2026"))</f>
        <v/>
      </c>
    </row>
    <row r="95" ht="14.25" customHeight="1" s="38">
      <c r="A95" s="18" t="n"/>
      <c r="B95" s="19">
        <f>IF($A95="","",COUNTIF('DATA KK'!$E$2:$E$501,$A95))</f>
        <v/>
      </c>
      <c r="C95" s="19">
        <f>IF($A95="","",COUNTIF('DATA UMAT'!$H$2:$H$2001,$A95))</f>
        <v/>
      </c>
      <c r="D95" s="19">
        <f>IF($A95="","",COUNTIFS(BAPTIS!$C$2:$C$1001,$A95,BAPTIS!$F$2:$F$1001,"&gt;="&amp;DATE(2026,1,1),BAPTIS!$F$2:$F$1001,"&lt;="&amp;DATE(2026,12,31)))</f>
        <v/>
      </c>
      <c r="E95" s="19">
        <f>IF($A95="","",COUNTIFS('DITERIMA MASUK'!$C$2:$C$1001,$A95,'DITERIMA MASUK'!$D$2:$D$1001,"&gt;="&amp;DATE(2026,1,1),'DITERIMA MASUK'!$D$2:$D$1001,"&lt;="&amp;DATE(2026,12,31)))</f>
        <v/>
      </c>
      <c r="F95" s="19">
        <f>IF($A95="","",COUNTIFS(MUTASI!$C$2:$C$1001,$A95,MUTASI!$D$2:$D$1001,"Masuk",MUTASI!$F$2:$F$1001,"Paroki lain dalam keuskupan",MUTASI!$E$2:$E$1001,"&gt;="&amp;DATE(2026,1,1),MUTASI!$E$2:$E$1001,"&lt;="&amp;DATE(2026,12,31)))</f>
        <v/>
      </c>
      <c r="G95" s="19">
        <f>IF($A95="","",COUNTIFS(MUTASI!$C$2:$C$1001,$A95,MUTASI!$D$2:$D$1001,"Masuk",MUTASI!$F$2:$F$1001,"Keuskupan lain",MUTASI!$E$2:$E$1001,"&gt;="&amp;DATE(2026,1,1),MUTASI!$E$2:$E$1001,"&lt;="&amp;DATE(2026,12,31)))</f>
        <v/>
      </c>
      <c r="H95" s="19">
        <f>IF($A95="","",COUNTIFS(KEMATIAN!$C$2:$C$1001,$A95,KEMATIAN!$F$2:$F$1001,"&gt;="&amp;DATE(2026,1,1),KEMATIAN!$F$2:$F$1001,"&lt;="&amp;DATE(2026,12,31)))</f>
        <v/>
      </c>
      <c r="I95" s="19">
        <f>IF($A95="","",COUNTIFS(MUTASI!$C$2:$C$1001,$A95,MUTASI!$D$2:$D$1001,"Keluar",MUTASI!$F$2:$F$1001,"Paroki lain dalam keuskupan",MUTASI!$E$2:$E$1001,"&gt;="&amp;DATE(2026,1,1),MUTASI!$E$2:$E$1001,"&lt;="&amp;DATE(2026,12,31)))</f>
        <v/>
      </c>
      <c r="J95" s="19">
        <f>IF($A95="","",COUNTIFS(MUTASI!$C$2:$C$1001,$A95,MUTASI!$D$2:$D$1001,"Keluar",MUTASI!$F$2:$F$1001,"Keuskupan lain",MUTASI!$E$2:$E$1001,"&gt;="&amp;DATE(2026,1,1),MUTASI!$E$2:$E$1001,"&lt;="&amp;DATE(2026,12,31)))</f>
        <v/>
      </c>
      <c r="K95" s="19">
        <f>IF($A95="","",COUNTIFS('PINDAH AGAMA'!$C$2:$C$1001,$A95,'PINDAH AGAMA'!$D$2:$D$1001,"&gt;="&amp;DATE(2026,1,1),'PINDAH AGAMA'!$D$2:$D$1001,"&lt;="&amp;DATE(2026,12,31)))</f>
        <v/>
      </c>
      <c r="L95" s="19">
        <f>IF($A95="","",D95+E95+F95+G95-H95-I95-J95-K95)</f>
        <v/>
      </c>
      <c r="M95" s="19">
        <f>IF($A95="","",COUNTIFS('KOMUNI PERTAMA'!$C$2:$C$1001,$A95,'KOMUNI PERTAMA'!$E$2:$E$1001,"&gt;="&amp;DATE(2026,1,1),'KOMUNI PERTAMA'!$E$2:$E$1001,"&lt;="&amp;DATE(2026,12,31)))</f>
        <v/>
      </c>
      <c r="N95" s="19">
        <f>IF($A95="","",COUNTIFS('PERKAWINAN GEREJANI'!$C$2:$C$1001,$A95,'PERKAWINAN GEREJANI'!$D$2:$D$1001,"&gt;="&amp;DATE(2026,1,1),'PERKAWINAN GEREJANI'!$D$2:$D$1001,"&lt;="&amp;DATE(2026,12,31)))</f>
        <v/>
      </c>
      <c r="O95" s="19">
        <f>IF($A95="","",COUNTIFS(PEMBUBARAN!$C$2:$C$1001,$A95,PEMBUBARAN!$D$2:$D$1001,"&gt;="&amp;DATE(2026,1,1),PEMBUBARAN!$D$2:$D$1001,"&lt;="&amp;DATE(2026,12,31)))</f>
        <v/>
      </c>
      <c r="P95" s="19">
        <f>IF($A95="","",COUNTIFS('PERMINYAKAN SUCI'!$C$2:$C$1001,$A95,'PERMINYAKAN SUCI'!$E$2:$E$1001,"&gt;="&amp;DATE(2026,1,1),'PERMINYAKAN SUCI'!$E$2:$E$1001,"&lt;="&amp;DATE(2026,12,31)))</f>
        <v/>
      </c>
      <c r="Q95" s="19">
        <f>IF($A95="","",H95)</f>
        <v/>
      </c>
      <c r="R95" s="19">
        <f>IF($A95="","",COUNTIFS('SEMINARI BIARA'!$C$2:$C$1001,$A95,'SEMINARI BIARA'!$F$2:$F$1001,"Mulai masuk 2026",'SEMINARI BIARA'!$G$2:$G$1001,"&gt;="&amp;DATE(2026,1,1),'SEMINARI BIARA'!$G$2:$G$1001,"&lt;="&amp;DATE(2026,12,31)))</f>
        <v/>
      </c>
      <c r="S95" s="19">
        <f>IF($A95="","",COUNTIFS('SEMINARI BIARA'!$C$2:$C$1001,$A95,'SEMINARI BIARA'!$F$2:$F$1001,"Sedang belajar 2026"))</f>
        <v/>
      </c>
    </row>
    <row r="96" ht="14.25" customHeight="1" s="38">
      <c r="A96" s="18" t="n"/>
      <c r="B96" s="19">
        <f>IF($A96="","",COUNTIF('DATA KK'!$E$2:$E$501,$A96))</f>
        <v/>
      </c>
      <c r="C96" s="19">
        <f>IF($A96="","",COUNTIF('DATA UMAT'!$H$2:$H$2001,$A96))</f>
        <v/>
      </c>
      <c r="D96" s="19">
        <f>IF($A96="","",COUNTIFS(BAPTIS!$C$2:$C$1001,$A96,BAPTIS!$F$2:$F$1001,"&gt;="&amp;DATE(2026,1,1),BAPTIS!$F$2:$F$1001,"&lt;="&amp;DATE(2026,12,31)))</f>
        <v/>
      </c>
      <c r="E96" s="19">
        <f>IF($A96="","",COUNTIFS('DITERIMA MASUK'!$C$2:$C$1001,$A96,'DITERIMA MASUK'!$D$2:$D$1001,"&gt;="&amp;DATE(2026,1,1),'DITERIMA MASUK'!$D$2:$D$1001,"&lt;="&amp;DATE(2026,12,31)))</f>
        <v/>
      </c>
      <c r="F96" s="19">
        <f>IF($A96="","",COUNTIFS(MUTASI!$C$2:$C$1001,$A96,MUTASI!$D$2:$D$1001,"Masuk",MUTASI!$F$2:$F$1001,"Paroki lain dalam keuskupan",MUTASI!$E$2:$E$1001,"&gt;="&amp;DATE(2026,1,1),MUTASI!$E$2:$E$1001,"&lt;="&amp;DATE(2026,12,31)))</f>
        <v/>
      </c>
      <c r="G96" s="19">
        <f>IF($A96="","",COUNTIFS(MUTASI!$C$2:$C$1001,$A96,MUTASI!$D$2:$D$1001,"Masuk",MUTASI!$F$2:$F$1001,"Keuskupan lain",MUTASI!$E$2:$E$1001,"&gt;="&amp;DATE(2026,1,1),MUTASI!$E$2:$E$1001,"&lt;="&amp;DATE(2026,12,31)))</f>
        <v/>
      </c>
      <c r="H96" s="19">
        <f>IF($A96="","",COUNTIFS(KEMATIAN!$C$2:$C$1001,$A96,KEMATIAN!$F$2:$F$1001,"&gt;="&amp;DATE(2026,1,1),KEMATIAN!$F$2:$F$1001,"&lt;="&amp;DATE(2026,12,31)))</f>
        <v/>
      </c>
      <c r="I96" s="19">
        <f>IF($A96="","",COUNTIFS(MUTASI!$C$2:$C$1001,$A96,MUTASI!$D$2:$D$1001,"Keluar",MUTASI!$F$2:$F$1001,"Paroki lain dalam keuskupan",MUTASI!$E$2:$E$1001,"&gt;="&amp;DATE(2026,1,1),MUTASI!$E$2:$E$1001,"&lt;="&amp;DATE(2026,12,31)))</f>
        <v/>
      </c>
      <c r="J96" s="19">
        <f>IF($A96="","",COUNTIFS(MUTASI!$C$2:$C$1001,$A96,MUTASI!$D$2:$D$1001,"Keluar",MUTASI!$F$2:$F$1001,"Keuskupan lain",MUTASI!$E$2:$E$1001,"&gt;="&amp;DATE(2026,1,1),MUTASI!$E$2:$E$1001,"&lt;="&amp;DATE(2026,12,31)))</f>
        <v/>
      </c>
      <c r="K96" s="19">
        <f>IF($A96="","",COUNTIFS('PINDAH AGAMA'!$C$2:$C$1001,$A96,'PINDAH AGAMA'!$D$2:$D$1001,"&gt;="&amp;DATE(2026,1,1),'PINDAH AGAMA'!$D$2:$D$1001,"&lt;="&amp;DATE(2026,12,31)))</f>
        <v/>
      </c>
      <c r="L96" s="19">
        <f>IF($A96="","",D96+E96+F96+G96-H96-I96-J96-K96)</f>
        <v/>
      </c>
      <c r="M96" s="19">
        <f>IF($A96="","",COUNTIFS('KOMUNI PERTAMA'!$C$2:$C$1001,$A96,'KOMUNI PERTAMA'!$E$2:$E$1001,"&gt;="&amp;DATE(2026,1,1),'KOMUNI PERTAMA'!$E$2:$E$1001,"&lt;="&amp;DATE(2026,12,31)))</f>
        <v/>
      </c>
      <c r="N96" s="19">
        <f>IF($A96="","",COUNTIFS('PERKAWINAN GEREJANI'!$C$2:$C$1001,$A96,'PERKAWINAN GEREJANI'!$D$2:$D$1001,"&gt;="&amp;DATE(2026,1,1),'PERKAWINAN GEREJANI'!$D$2:$D$1001,"&lt;="&amp;DATE(2026,12,31)))</f>
        <v/>
      </c>
      <c r="O96" s="19">
        <f>IF($A96="","",COUNTIFS(PEMBUBARAN!$C$2:$C$1001,$A96,PEMBUBARAN!$D$2:$D$1001,"&gt;="&amp;DATE(2026,1,1),PEMBUBARAN!$D$2:$D$1001,"&lt;="&amp;DATE(2026,12,31)))</f>
        <v/>
      </c>
      <c r="P96" s="19">
        <f>IF($A96="","",COUNTIFS('PERMINYAKAN SUCI'!$C$2:$C$1001,$A96,'PERMINYAKAN SUCI'!$E$2:$E$1001,"&gt;="&amp;DATE(2026,1,1),'PERMINYAKAN SUCI'!$E$2:$E$1001,"&lt;="&amp;DATE(2026,12,31)))</f>
        <v/>
      </c>
      <c r="Q96" s="19">
        <f>IF($A96="","",H96)</f>
        <v/>
      </c>
      <c r="R96" s="19">
        <f>IF($A96="","",COUNTIFS('SEMINARI BIARA'!$C$2:$C$1001,$A96,'SEMINARI BIARA'!$F$2:$F$1001,"Mulai masuk 2026",'SEMINARI BIARA'!$G$2:$G$1001,"&gt;="&amp;DATE(2026,1,1),'SEMINARI BIARA'!$G$2:$G$1001,"&lt;="&amp;DATE(2026,12,31)))</f>
        <v/>
      </c>
      <c r="S96" s="19">
        <f>IF($A96="","",COUNTIFS('SEMINARI BIARA'!$C$2:$C$1001,$A96,'SEMINARI BIARA'!$F$2:$F$1001,"Sedang belajar 2026"))</f>
        <v/>
      </c>
    </row>
    <row r="97" ht="14.25" customHeight="1" s="38">
      <c r="A97" s="18" t="n"/>
      <c r="B97" s="19">
        <f>IF($A97="","",COUNTIF('DATA KK'!$E$2:$E$501,$A97))</f>
        <v/>
      </c>
      <c r="C97" s="19">
        <f>IF($A97="","",COUNTIF('DATA UMAT'!$H$2:$H$2001,$A97))</f>
        <v/>
      </c>
      <c r="D97" s="19">
        <f>IF($A97="","",COUNTIFS(BAPTIS!$C$2:$C$1001,$A97,BAPTIS!$F$2:$F$1001,"&gt;="&amp;DATE(2026,1,1),BAPTIS!$F$2:$F$1001,"&lt;="&amp;DATE(2026,12,31)))</f>
        <v/>
      </c>
      <c r="E97" s="19">
        <f>IF($A97="","",COUNTIFS('DITERIMA MASUK'!$C$2:$C$1001,$A97,'DITERIMA MASUK'!$D$2:$D$1001,"&gt;="&amp;DATE(2026,1,1),'DITERIMA MASUK'!$D$2:$D$1001,"&lt;="&amp;DATE(2026,12,31)))</f>
        <v/>
      </c>
      <c r="F97" s="19">
        <f>IF($A97="","",COUNTIFS(MUTASI!$C$2:$C$1001,$A97,MUTASI!$D$2:$D$1001,"Masuk",MUTASI!$F$2:$F$1001,"Paroki lain dalam keuskupan",MUTASI!$E$2:$E$1001,"&gt;="&amp;DATE(2026,1,1),MUTASI!$E$2:$E$1001,"&lt;="&amp;DATE(2026,12,31)))</f>
        <v/>
      </c>
      <c r="G97" s="19">
        <f>IF($A97="","",COUNTIFS(MUTASI!$C$2:$C$1001,$A97,MUTASI!$D$2:$D$1001,"Masuk",MUTASI!$F$2:$F$1001,"Keuskupan lain",MUTASI!$E$2:$E$1001,"&gt;="&amp;DATE(2026,1,1),MUTASI!$E$2:$E$1001,"&lt;="&amp;DATE(2026,12,31)))</f>
        <v/>
      </c>
      <c r="H97" s="19">
        <f>IF($A97="","",COUNTIFS(KEMATIAN!$C$2:$C$1001,$A97,KEMATIAN!$F$2:$F$1001,"&gt;="&amp;DATE(2026,1,1),KEMATIAN!$F$2:$F$1001,"&lt;="&amp;DATE(2026,12,31)))</f>
        <v/>
      </c>
      <c r="I97" s="19">
        <f>IF($A97="","",COUNTIFS(MUTASI!$C$2:$C$1001,$A97,MUTASI!$D$2:$D$1001,"Keluar",MUTASI!$F$2:$F$1001,"Paroki lain dalam keuskupan",MUTASI!$E$2:$E$1001,"&gt;="&amp;DATE(2026,1,1),MUTASI!$E$2:$E$1001,"&lt;="&amp;DATE(2026,12,31)))</f>
        <v/>
      </c>
      <c r="J97" s="19">
        <f>IF($A97="","",COUNTIFS(MUTASI!$C$2:$C$1001,$A97,MUTASI!$D$2:$D$1001,"Keluar",MUTASI!$F$2:$F$1001,"Keuskupan lain",MUTASI!$E$2:$E$1001,"&gt;="&amp;DATE(2026,1,1),MUTASI!$E$2:$E$1001,"&lt;="&amp;DATE(2026,12,31)))</f>
        <v/>
      </c>
      <c r="K97" s="19">
        <f>IF($A97="","",COUNTIFS('PINDAH AGAMA'!$C$2:$C$1001,$A97,'PINDAH AGAMA'!$D$2:$D$1001,"&gt;="&amp;DATE(2026,1,1),'PINDAH AGAMA'!$D$2:$D$1001,"&lt;="&amp;DATE(2026,12,31)))</f>
        <v/>
      </c>
      <c r="L97" s="19">
        <f>IF($A97="","",D97+E97+F97+G97-H97-I97-J97-K97)</f>
        <v/>
      </c>
      <c r="M97" s="19">
        <f>IF($A97="","",COUNTIFS('KOMUNI PERTAMA'!$C$2:$C$1001,$A97,'KOMUNI PERTAMA'!$E$2:$E$1001,"&gt;="&amp;DATE(2026,1,1),'KOMUNI PERTAMA'!$E$2:$E$1001,"&lt;="&amp;DATE(2026,12,31)))</f>
        <v/>
      </c>
      <c r="N97" s="19">
        <f>IF($A97="","",COUNTIFS('PERKAWINAN GEREJANI'!$C$2:$C$1001,$A97,'PERKAWINAN GEREJANI'!$D$2:$D$1001,"&gt;="&amp;DATE(2026,1,1),'PERKAWINAN GEREJANI'!$D$2:$D$1001,"&lt;="&amp;DATE(2026,12,31)))</f>
        <v/>
      </c>
      <c r="O97" s="19">
        <f>IF($A97="","",COUNTIFS(PEMBUBARAN!$C$2:$C$1001,$A97,PEMBUBARAN!$D$2:$D$1001,"&gt;="&amp;DATE(2026,1,1),PEMBUBARAN!$D$2:$D$1001,"&lt;="&amp;DATE(2026,12,31)))</f>
        <v/>
      </c>
      <c r="P97" s="19">
        <f>IF($A97="","",COUNTIFS('PERMINYAKAN SUCI'!$C$2:$C$1001,$A97,'PERMINYAKAN SUCI'!$E$2:$E$1001,"&gt;="&amp;DATE(2026,1,1),'PERMINYAKAN SUCI'!$E$2:$E$1001,"&lt;="&amp;DATE(2026,12,31)))</f>
        <v/>
      </c>
      <c r="Q97" s="19">
        <f>IF($A97="","",H97)</f>
        <v/>
      </c>
      <c r="R97" s="19">
        <f>IF($A97="","",COUNTIFS('SEMINARI BIARA'!$C$2:$C$1001,$A97,'SEMINARI BIARA'!$F$2:$F$1001,"Mulai masuk 2026",'SEMINARI BIARA'!$G$2:$G$1001,"&gt;="&amp;DATE(2026,1,1),'SEMINARI BIARA'!$G$2:$G$1001,"&lt;="&amp;DATE(2026,12,31)))</f>
        <v/>
      </c>
      <c r="S97" s="19">
        <f>IF($A97="","",COUNTIFS('SEMINARI BIARA'!$C$2:$C$1001,$A97,'SEMINARI BIARA'!$F$2:$F$1001,"Sedang belajar 2026"))</f>
        <v/>
      </c>
    </row>
    <row r="98" ht="14.25" customHeight="1" s="38">
      <c r="A98" s="18" t="n"/>
      <c r="B98" s="19">
        <f>IF($A98="","",COUNTIF('DATA KK'!$E$2:$E$501,$A98))</f>
        <v/>
      </c>
      <c r="C98" s="19">
        <f>IF($A98="","",COUNTIF('DATA UMAT'!$H$2:$H$2001,$A98))</f>
        <v/>
      </c>
      <c r="D98" s="19">
        <f>IF($A98="","",COUNTIFS(BAPTIS!$C$2:$C$1001,$A98,BAPTIS!$F$2:$F$1001,"&gt;="&amp;DATE(2026,1,1),BAPTIS!$F$2:$F$1001,"&lt;="&amp;DATE(2026,12,31)))</f>
        <v/>
      </c>
      <c r="E98" s="19">
        <f>IF($A98="","",COUNTIFS('DITERIMA MASUK'!$C$2:$C$1001,$A98,'DITERIMA MASUK'!$D$2:$D$1001,"&gt;="&amp;DATE(2026,1,1),'DITERIMA MASUK'!$D$2:$D$1001,"&lt;="&amp;DATE(2026,12,31)))</f>
        <v/>
      </c>
      <c r="F98" s="19">
        <f>IF($A98="","",COUNTIFS(MUTASI!$C$2:$C$1001,$A98,MUTASI!$D$2:$D$1001,"Masuk",MUTASI!$F$2:$F$1001,"Paroki lain dalam keuskupan",MUTASI!$E$2:$E$1001,"&gt;="&amp;DATE(2026,1,1),MUTASI!$E$2:$E$1001,"&lt;="&amp;DATE(2026,12,31)))</f>
        <v/>
      </c>
      <c r="G98" s="19">
        <f>IF($A98="","",COUNTIFS(MUTASI!$C$2:$C$1001,$A98,MUTASI!$D$2:$D$1001,"Masuk",MUTASI!$F$2:$F$1001,"Keuskupan lain",MUTASI!$E$2:$E$1001,"&gt;="&amp;DATE(2026,1,1),MUTASI!$E$2:$E$1001,"&lt;="&amp;DATE(2026,12,31)))</f>
        <v/>
      </c>
      <c r="H98" s="19">
        <f>IF($A98="","",COUNTIFS(KEMATIAN!$C$2:$C$1001,$A98,KEMATIAN!$F$2:$F$1001,"&gt;="&amp;DATE(2026,1,1),KEMATIAN!$F$2:$F$1001,"&lt;="&amp;DATE(2026,12,31)))</f>
        <v/>
      </c>
      <c r="I98" s="19">
        <f>IF($A98="","",COUNTIFS(MUTASI!$C$2:$C$1001,$A98,MUTASI!$D$2:$D$1001,"Keluar",MUTASI!$F$2:$F$1001,"Paroki lain dalam keuskupan",MUTASI!$E$2:$E$1001,"&gt;="&amp;DATE(2026,1,1),MUTASI!$E$2:$E$1001,"&lt;="&amp;DATE(2026,12,31)))</f>
        <v/>
      </c>
      <c r="J98" s="19">
        <f>IF($A98="","",COUNTIFS(MUTASI!$C$2:$C$1001,$A98,MUTASI!$D$2:$D$1001,"Keluar",MUTASI!$F$2:$F$1001,"Keuskupan lain",MUTASI!$E$2:$E$1001,"&gt;="&amp;DATE(2026,1,1),MUTASI!$E$2:$E$1001,"&lt;="&amp;DATE(2026,12,31)))</f>
        <v/>
      </c>
      <c r="K98" s="19">
        <f>IF($A98="","",COUNTIFS('PINDAH AGAMA'!$C$2:$C$1001,$A98,'PINDAH AGAMA'!$D$2:$D$1001,"&gt;="&amp;DATE(2026,1,1),'PINDAH AGAMA'!$D$2:$D$1001,"&lt;="&amp;DATE(2026,12,31)))</f>
        <v/>
      </c>
      <c r="L98" s="19">
        <f>IF($A98="","",D98+E98+F98+G98-H98-I98-J98-K98)</f>
        <v/>
      </c>
      <c r="M98" s="19">
        <f>IF($A98="","",COUNTIFS('KOMUNI PERTAMA'!$C$2:$C$1001,$A98,'KOMUNI PERTAMA'!$E$2:$E$1001,"&gt;="&amp;DATE(2026,1,1),'KOMUNI PERTAMA'!$E$2:$E$1001,"&lt;="&amp;DATE(2026,12,31)))</f>
        <v/>
      </c>
      <c r="N98" s="19">
        <f>IF($A98="","",COUNTIFS('PERKAWINAN GEREJANI'!$C$2:$C$1001,$A98,'PERKAWINAN GEREJANI'!$D$2:$D$1001,"&gt;="&amp;DATE(2026,1,1),'PERKAWINAN GEREJANI'!$D$2:$D$1001,"&lt;="&amp;DATE(2026,12,31)))</f>
        <v/>
      </c>
      <c r="O98" s="19">
        <f>IF($A98="","",COUNTIFS(PEMBUBARAN!$C$2:$C$1001,$A98,PEMBUBARAN!$D$2:$D$1001,"&gt;="&amp;DATE(2026,1,1),PEMBUBARAN!$D$2:$D$1001,"&lt;="&amp;DATE(2026,12,31)))</f>
        <v/>
      </c>
      <c r="P98" s="19">
        <f>IF($A98="","",COUNTIFS('PERMINYAKAN SUCI'!$C$2:$C$1001,$A98,'PERMINYAKAN SUCI'!$E$2:$E$1001,"&gt;="&amp;DATE(2026,1,1),'PERMINYAKAN SUCI'!$E$2:$E$1001,"&lt;="&amp;DATE(2026,12,31)))</f>
        <v/>
      </c>
      <c r="Q98" s="19">
        <f>IF($A98="","",H98)</f>
        <v/>
      </c>
      <c r="R98" s="19">
        <f>IF($A98="","",COUNTIFS('SEMINARI BIARA'!$C$2:$C$1001,$A98,'SEMINARI BIARA'!$F$2:$F$1001,"Mulai masuk 2026",'SEMINARI BIARA'!$G$2:$G$1001,"&gt;="&amp;DATE(2026,1,1),'SEMINARI BIARA'!$G$2:$G$1001,"&lt;="&amp;DATE(2026,12,31)))</f>
        <v/>
      </c>
      <c r="S98" s="19">
        <f>IF($A98="","",COUNTIFS('SEMINARI BIARA'!$C$2:$C$1001,$A98,'SEMINARI BIARA'!$F$2:$F$1001,"Sedang belajar 2026"))</f>
        <v/>
      </c>
    </row>
    <row r="99" ht="14.25" customHeight="1" s="38">
      <c r="A99" s="18" t="n"/>
      <c r="B99" s="19">
        <f>IF($A99="","",COUNTIF('DATA KK'!$E$2:$E$501,$A99))</f>
        <v/>
      </c>
      <c r="C99" s="19">
        <f>IF($A99="","",COUNTIF('DATA UMAT'!$H$2:$H$2001,$A99))</f>
        <v/>
      </c>
      <c r="D99" s="19">
        <f>IF($A99="","",COUNTIFS(BAPTIS!$C$2:$C$1001,$A99,BAPTIS!$F$2:$F$1001,"&gt;="&amp;DATE(2026,1,1),BAPTIS!$F$2:$F$1001,"&lt;="&amp;DATE(2026,12,31)))</f>
        <v/>
      </c>
      <c r="E99" s="19">
        <f>IF($A99="","",COUNTIFS('DITERIMA MASUK'!$C$2:$C$1001,$A99,'DITERIMA MASUK'!$D$2:$D$1001,"&gt;="&amp;DATE(2026,1,1),'DITERIMA MASUK'!$D$2:$D$1001,"&lt;="&amp;DATE(2026,12,31)))</f>
        <v/>
      </c>
      <c r="F99" s="19">
        <f>IF($A99="","",COUNTIFS(MUTASI!$C$2:$C$1001,$A99,MUTASI!$D$2:$D$1001,"Masuk",MUTASI!$F$2:$F$1001,"Paroki lain dalam keuskupan",MUTASI!$E$2:$E$1001,"&gt;="&amp;DATE(2026,1,1),MUTASI!$E$2:$E$1001,"&lt;="&amp;DATE(2026,12,31)))</f>
        <v/>
      </c>
      <c r="G99" s="19">
        <f>IF($A99="","",COUNTIFS(MUTASI!$C$2:$C$1001,$A99,MUTASI!$D$2:$D$1001,"Masuk",MUTASI!$F$2:$F$1001,"Keuskupan lain",MUTASI!$E$2:$E$1001,"&gt;="&amp;DATE(2026,1,1),MUTASI!$E$2:$E$1001,"&lt;="&amp;DATE(2026,12,31)))</f>
        <v/>
      </c>
      <c r="H99" s="19">
        <f>IF($A99="","",COUNTIFS(KEMATIAN!$C$2:$C$1001,$A99,KEMATIAN!$F$2:$F$1001,"&gt;="&amp;DATE(2026,1,1),KEMATIAN!$F$2:$F$1001,"&lt;="&amp;DATE(2026,12,31)))</f>
        <v/>
      </c>
      <c r="I99" s="19">
        <f>IF($A99="","",COUNTIFS(MUTASI!$C$2:$C$1001,$A99,MUTASI!$D$2:$D$1001,"Keluar",MUTASI!$F$2:$F$1001,"Paroki lain dalam keuskupan",MUTASI!$E$2:$E$1001,"&gt;="&amp;DATE(2026,1,1),MUTASI!$E$2:$E$1001,"&lt;="&amp;DATE(2026,12,31)))</f>
        <v/>
      </c>
      <c r="J99" s="19">
        <f>IF($A99="","",COUNTIFS(MUTASI!$C$2:$C$1001,$A99,MUTASI!$D$2:$D$1001,"Keluar",MUTASI!$F$2:$F$1001,"Keuskupan lain",MUTASI!$E$2:$E$1001,"&gt;="&amp;DATE(2026,1,1),MUTASI!$E$2:$E$1001,"&lt;="&amp;DATE(2026,12,31)))</f>
        <v/>
      </c>
      <c r="K99" s="19">
        <f>IF($A99="","",COUNTIFS('PINDAH AGAMA'!$C$2:$C$1001,$A99,'PINDAH AGAMA'!$D$2:$D$1001,"&gt;="&amp;DATE(2026,1,1),'PINDAH AGAMA'!$D$2:$D$1001,"&lt;="&amp;DATE(2026,12,31)))</f>
        <v/>
      </c>
      <c r="L99" s="19">
        <f>IF($A99="","",D99+E99+F99+G99-H99-I99-J99-K99)</f>
        <v/>
      </c>
      <c r="M99" s="19">
        <f>IF($A99="","",COUNTIFS('KOMUNI PERTAMA'!$C$2:$C$1001,$A99,'KOMUNI PERTAMA'!$E$2:$E$1001,"&gt;="&amp;DATE(2026,1,1),'KOMUNI PERTAMA'!$E$2:$E$1001,"&lt;="&amp;DATE(2026,12,31)))</f>
        <v/>
      </c>
      <c r="N99" s="19">
        <f>IF($A99="","",COUNTIFS('PERKAWINAN GEREJANI'!$C$2:$C$1001,$A99,'PERKAWINAN GEREJANI'!$D$2:$D$1001,"&gt;="&amp;DATE(2026,1,1),'PERKAWINAN GEREJANI'!$D$2:$D$1001,"&lt;="&amp;DATE(2026,12,31)))</f>
        <v/>
      </c>
      <c r="O99" s="19">
        <f>IF($A99="","",COUNTIFS(PEMBUBARAN!$C$2:$C$1001,$A99,PEMBUBARAN!$D$2:$D$1001,"&gt;="&amp;DATE(2026,1,1),PEMBUBARAN!$D$2:$D$1001,"&lt;="&amp;DATE(2026,12,31)))</f>
        <v/>
      </c>
      <c r="P99" s="19">
        <f>IF($A99="","",COUNTIFS('PERMINYAKAN SUCI'!$C$2:$C$1001,$A99,'PERMINYAKAN SUCI'!$E$2:$E$1001,"&gt;="&amp;DATE(2026,1,1),'PERMINYAKAN SUCI'!$E$2:$E$1001,"&lt;="&amp;DATE(2026,12,31)))</f>
        <v/>
      </c>
      <c r="Q99" s="19">
        <f>IF($A99="","",H99)</f>
        <v/>
      </c>
      <c r="R99" s="19">
        <f>IF($A99="","",COUNTIFS('SEMINARI BIARA'!$C$2:$C$1001,$A99,'SEMINARI BIARA'!$F$2:$F$1001,"Mulai masuk 2026",'SEMINARI BIARA'!$G$2:$G$1001,"&gt;="&amp;DATE(2026,1,1),'SEMINARI BIARA'!$G$2:$G$1001,"&lt;="&amp;DATE(2026,12,31)))</f>
        <v/>
      </c>
      <c r="S99" s="19">
        <f>IF($A99="","",COUNTIFS('SEMINARI BIARA'!$C$2:$C$1001,$A99,'SEMINARI BIARA'!$F$2:$F$1001,"Sedang belajar 2026"))</f>
        <v/>
      </c>
    </row>
    <row r="100" ht="14.25" customHeight="1" s="38">
      <c r="A100" s="18" t="n"/>
      <c r="B100" s="19">
        <f>IF($A100="","",COUNTIF('DATA KK'!$E$2:$E$501,$A100))</f>
        <v/>
      </c>
      <c r="C100" s="19">
        <f>IF($A100="","",COUNTIF('DATA UMAT'!$H$2:$H$2001,$A100))</f>
        <v/>
      </c>
      <c r="D100" s="19">
        <f>IF($A100="","",COUNTIFS(BAPTIS!$C$2:$C$1001,$A100,BAPTIS!$F$2:$F$1001,"&gt;="&amp;DATE(2026,1,1),BAPTIS!$F$2:$F$1001,"&lt;="&amp;DATE(2026,12,31)))</f>
        <v/>
      </c>
      <c r="E100" s="19">
        <f>IF($A100="","",COUNTIFS('DITERIMA MASUK'!$C$2:$C$1001,$A100,'DITERIMA MASUK'!$D$2:$D$1001,"&gt;="&amp;DATE(2026,1,1),'DITERIMA MASUK'!$D$2:$D$1001,"&lt;="&amp;DATE(2026,12,31)))</f>
        <v/>
      </c>
      <c r="F100" s="19">
        <f>IF($A100="","",COUNTIFS(MUTASI!$C$2:$C$1001,$A100,MUTASI!$D$2:$D$1001,"Masuk",MUTASI!$F$2:$F$1001,"Paroki lain dalam keuskupan",MUTASI!$E$2:$E$1001,"&gt;="&amp;DATE(2026,1,1),MUTASI!$E$2:$E$1001,"&lt;="&amp;DATE(2026,12,31)))</f>
        <v/>
      </c>
      <c r="G100" s="19">
        <f>IF($A100="","",COUNTIFS(MUTASI!$C$2:$C$1001,$A100,MUTASI!$D$2:$D$1001,"Masuk",MUTASI!$F$2:$F$1001,"Keuskupan lain",MUTASI!$E$2:$E$1001,"&gt;="&amp;DATE(2026,1,1),MUTASI!$E$2:$E$1001,"&lt;="&amp;DATE(2026,12,31)))</f>
        <v/>
      </c>
      <c r="H100" s="19">
        <f>IF($A100="","",COUNTIFS(KEMATIAN!$C$2:$C$1001,$A100,KEMATIAN!$F$2:$F$1001,"&gt;="&amp;DATE(2026,1,1),KEMATIAN!$F$2:$F$1001,"&lt;="&amp;DATE(2026,12,31)))</f>
        <v/>
      </c>
      <c r="I100" s="19">
        <f>IF($A100="","",COUNTIFS(MUTASI!$C$2:$C$1001,$A100,MUTASI!$D$2:$D$1001,"Keluar",MUTASI!$F$2:$F$1001,"Paroki lain dalam keuskupan",MUTASI!$E$2:$E$1001,"&gt;="&amp;DATE(2026,1,1),MUTASI!$E$2:$E$1001,"&lt;="&amp;DATE(2026,12,31)))</f>
        <v/>
      </c>
      <c r="J100" s="19">
        <f>IF($A100="","",COUNTIFS(MUTASI!$C$2:$C$1001,$A100,MUTASI!$D$2:$D$1001,"Keluar",MUTASI!$F$2:$F$1001,"Keuskupan lain",MUTASI!$E$2:$E$1001,"&gt;="&amp;DATE(2026,1,1),MUTASI!$E$2:$E$1001,"&lt;="&amp;DATE(2026,12,31)))</f>
        <v/>
      </c>
      <c r="K100" s="19">
        <f>IF($A100="","",COUNTIFS('PINDAH AGAMA'!$C$2:$C$1001,$A100,'PINDAH AGAMA'!$D$2:$D$1001,"&gt;="&amp;DATE(2026,1,1),'PINDAH AGAMA'!$D$2:$D$1001,"&lt;="&amp;DATE(2026,12,31)))</f>
        <v/>
      </c>
      <c r="L100" s="19">
        <f>IF($A100="","",D100+E100+F100+G100-H100-I100-J100-K100)</f>
        <v/>
      </c>
      <c r="M100" s="19">
        <f>IF($A100="","",COUNTIFS('KOMUNI PERTAMA'!$C$2:$C$1001,$A100,'KOMUNI PERTAMA'!$E$2:$E$1001,"&gt;="&amp;DATE(2026,1,1),'KOMUNI PERTAMA'!$E$2:$E$1001,"&lt;="&amp;DATE(2026,12,31)))</f>
        <v/>
      </c>
      <c r="N100" s="19">
        <f>IF($A100="","",COUNTIFS('PERKAWINAN GEREJANI'!$C$2:$C$1001,$A100,'PERKAWINAN GEREJANI'!$D$2:$D$1001,"&gt;="&amp;DATE(2026,1,1),'PERKAWINAN GEREJANI'!$D$2:$D$1001,"&lt;="&amp;DATE(2026,12,31)))</f>
        <v/>
      </c>
      <c r="O100" s="19">
        <f>IF($A100="","",COUNTIFS(PEMBUBARAN!$C$2:$C$1001,$A100,PEMBUBARAN!$D$2:$D$1001,"&gt;="&amp;DATE(2026,1,1),PEMBUBARAN!$D$2:$D$1001,"&lt;="&amp;DATE(2026,12,31)))</f>
        <v/>
      </c>
      <c r="P100" s="19">
        <f>IF($A100="","",COUNTIFS('PERMINYAKAN SUCI'!$C$2:$C$1001,$A100,'PERMINYAKAN SUCI'!$E$2:$E$1001,"&gt;="&amp;DATE(2026,1,1),'PERMINYAKAN SUCI'!$E$2:$E$1001,"&lt;="&amp;DATE(2026,12,31)))</f>
        <v/>
      </c>
      <c r="Q100" s="19">
        <f>IF($A100="","",H100)</f>
        <v/>
      </c>
      <c r="R100" s="19">
        <f>IF($A100="","",COUNTIFS('SEMINARI BIARA'!$C$2:$C$1001,$A100,'SEMINARI BIARA'!$F$2:$F$1001,"Mulai masuk 2026",'SEMINARI BIARA'!$G$2:$G$1001,"&gt;="&amp;DATE(2026,1,1),'SEMINARI BIARA'!$G$2:$G$1001,"&lt;="&amp;DATE(2026,12,31)))</f>
        <v/>
      </c>
      <c r="S100" s="19">
        <f>IF($A100="","",COUNTIFS('SEMINARI BIARA'!$C$2:$C$1001,$A100,'SEMINARI BIARA'!$F$2:$F$1001,"Sedang belajar 2026"))</f>
        <v/>
      </c>
    </row>
    <row r="101" ht="14.25" customHeight="1" s="38">
      <c r="A101" s="18" t="n"/>
      <c r="B101" s="19">
        <f>IF($A101="","",COUNTIF('DATA KK'!$E$2:$E$501,$A101))</f>
        <v/>
      </c>
      <c r="C101" s="19">
        <f>IF($A101="","",COUNTIF('DATA UMAT'!$H$2:$H$2001,$A101))</f>
        <v/>
      </c>
      <c r="D101" s="19">
        <f>IF($A101="","",COUNTIFS(BAPTIS!$C$2:$C$1001,$A101,BAPTIS!$F$2:$F$1001,"&gt;="&amp;DATE(2026,1,1),BAPTIS!$F$2:$F$1001,"&lt;="&amp;DATE(2026,12,31)))</f>
        <v/>
      </c>
      <c r="E101" s="19">
        <f>IF($A101="","",COUNTIFS('DITERIMA MASUK'!$C$2:$C$1001,$A101,'DITERIMA MASUK'!$D$2:$D$1001,"&gt;="&amp;DATE(2026,1,1),'DITERIMA MASUK'!$D$2:$D$1001,"&lt;="&amp;DATE(2026,12,31)))</f>
        <v/>
      </c>
      <c r="F101" s="19">
        <f>IF($A101="","",COUNTIFS(MUTASI!$C$2:$C$1001,$A101,MUTASI!$D$2:$D$1001,"Masuk",MUTASI!$F$2:$F$1001,"Paroki lain dalam keuskupan",MUTASI!$E$2:$E$1001,"&gt;="&amp;DATE(2026,1,1),MUTASI!$E$2:$E$1001,"&lt;="&amp;DATE(2026,12,31)))</f>
        <v/>
      </c>
      <c r="G101" s="19">
        <f>IF($A101="","",COUNTIFS(MUTASI!$C$2:$C$1001,$A101,MUTASI!$D$2:$D$1001,"Masuk",MUTASI!$F$2:$F$1001,"Keuskupan lain",MUTASI!$E$2:$E$1001,"&gt;="&amp;DATE(2026,1,1),MUTASI!$E$2:$E$1001,"&lt;="&amp;DATE(2026,12,31)))</f>
        <v/>
      </c>
      <c r="H101" s="19">
        <f>IF($A101="","",COUNTIFS(KEMATIAN!$C$2:$C$1001,$A101,KEMATIAN!$F$2:$F$1001,"&gt;="&amp;DATE(2026,1,1),KEMATIAN!$F$2:$F$1001,"&lt;="&amp;DATE(2026,12,31)))</f>
        <v/>
      </c>
      <c r="I101" s="19">
        <f>IF($A101="","",COUNTIFS(MUTASI!$C$2:$C$1001,$A101,MUTASI!$D$2:$D$1001,"Keluar",MUTASI!$F$2:$F$1001,"Paroki lain dalam keuskupan",MUTASI!$E$2:$E$1001,"&gt;="&amp;DATE(2026,1,1),MUTASI!$E$2:$E$1001,"&lt;="&amp;DATE(2026,12,31)))</f>
        <v/>
      </c>
      <c r="J101" s="19">
        <f>IF($A101="","",COUNTIFS(MUTASI!$C$2:$C$1001,$A101,MUTASI!$D$2:$D$1001,"Keluar",MUTASI!$F$2:$F$1001,"Keuskupan lain",MUTASI!$E$2:$E$1001,"&gt;="&amp;DATE(2026,1,1),MUTASI!$E$2:$E$1001,"&lt;="&amp;DATE(2026,12,31)))</f>
        <v/>
      </c>
      <c r="K101" s="19">
        <f>IF($A101="","",COUNTIFS('PINDAH AGAMA'!$C$2:$C$1001,$A101,'PINDAH AGAMA'!$D$2:$D$1001,"&gt;="&amp;DATE(2026,1,1),'PINDAH AGAMA'!$D$2:$D$1001,"&lt;="&amp;DATE(2026,12,31)))</f>
        <v/>
      </c>
      <c r="L101" s="19">
        <f>IF($A101="","",D101+E101+F101+G101-H101-I101-J101-K101)</f>
        <v/>
      </c>
      <c r="M101" s="19">
        <f>IF($A101="","",COUNTIFS('KOMUNI PERTAMA'!$C$2:$C$1001,$A101,'KOMUNI PERTAMA'!$E$2:$E$1001,"&gt;="&amp;DATE(2026,1,1),'KOMUNI PERTAMA'!$E$2:$E$1001,"&lt;="&amp;DATE(2026,12,31)))</f>
        <v/>
      </c>
      <c r="N101" s="19">
        <f>IF($A101="","",COUNTIFS('PERKAWINAN GEREJANI'!$C$2:$C$1001,$A101,'PERKAWINAN GEREJANI'!$D$2:$D$1001,"&gt;="&amp;DATE(2026,1,1),'PERKAWINAN GEREJANI'!$D$2:$D$1001,"&lt;="&amp;DATE(2026,12,31)))</f>
        <v/>
      </c>
      <c r="O101" s="19">
        <f>IF($A101="","",COUNTIFS(PEMBUBARAN!$C$2:$C$1001,$A101,PEMBUBARAN!$D$2:$D$1001,"&gt;="&amp;DATE(2026,1,1),PEMBUBARAN!$D$2:$D$1001,"&lt;="&amp;DATE(2026,12,31)))</f>
        <v/>
      </c>
      <c r="P101" s="19">
        <f>IF($A101="","",COUNTIFS('PERMINYAKAN SUCI'!$C$2:$C$1001,$A101,'PERMINYAKAN SUCI'!$E$2:$E$1001,"&gt;="&amp;DATE(2026,1,1),'PERMINYAKAN SUCI'!$E$2:$E$1001,"&lt;="&amp;DATE(2026,12,31)))</f>
        <v/>
      </c>
      <c r="Q101" s="19">
        <f>IF($A101="","",H101)</f>
        <v/>
      </c>
      <c r="R101" s="19">
        <f>IF($A101="","",COUNTIFS('SEMINARI BIARA'!$C$2:$C$1001,$A101,'SEMINARI BIARA'!$F$2:$F$1001,"Mulai masuk 2026",'SEMINARI BIARA'!$G$2:$G$1001,"&gt;="&amp;DATE(2026,1,1),'SEMINARI BIARA'!$G$2:$G$1001,"&lt;="&amp;DATE(2026,12,31)))</f>
        <v/>
      </c>
      <c r="S101" s="19">
        <f>IF($A101="","",COUNTIFS('SEMINARI BIARA'!$C$2:$C$1001,$A101,'SEMINARI BIARA'!$F$2:$F$1001,"Sedang belajar 2026"))</f>
        <v/>
      </c>
    </row>
    <row r="102" ht="14.25" customHeight="1" s="38">
      <c r="A102" s="18" t="n"/>
      <c r="B102" s="19">
        <f>IF($A102="","",COUNTIF('DATA KK'!$E$2:$E$501,$A102))</f>
        <v/>
      </c>
      <c r="C102" s="19">
        <f>IF($A102="","",COUNTIF('DATA UMAT'!$H$2:$H$2001,$A102))</f>
        <v/>
      </c>
      <c r="D102" s="19">
        <f>IF($A102="","",COUNTIFS(BAPTIS!$C$2:$C$1001,$A102,BAPTIS!$F$2:$F$1001,"&gt;="&amp;DATE(2026,1,1),BAPTIS!$F$2:$F$1001,"&lt;="&amp;DATE(2026,12,31)))</f>
        <v/>
      </c>
      <c r="E102" s="19">
        <f>IF($A102="","",COUNTIFS('DITERIMA MASUK'!$C$2:$C$1001,$A102,'DITERIMA MASUK'!$D$2:$D$1001,"&gt;="&amp;DATE(2026,1,1),'DITERIMA MASUK'!$D$2:$D$1001,"&lt;="&amp;DATE(2026,12,31)))</f>
        <v/>
      </c>
      <c r="F102" s="19">
        <f>IF($A102="","",COUNTIFS(MUTASI!$C$2:$C$1001,$A102,MUTASI!$D$2:$D$1001,"Masuk",MUTASI!$F$2:$F$1001,"Paroki lain dalam keuskupan",MUTASI!$E$2:$E$1001,"&gt;="&amp;DATE(2026,1,1),MUTASI!$E$2:$E$1001,"&lt;="&amp;DATE(2026,12,31)))</f>
        <v/>
      </c>
      <c r="G102" s="19">
        <f>IF($A102="","",COUNTIFS(MUTASI!$C$2:$C$1001,$A102,MUTASI!$D$2:$D$1001,"Masuk",MUTASI!$F$2:$F$1001,"Keuskupan lain",MUTASI!$E$2:$E$1001,"&gt;="&amp;DATE(2026,1,1),MUTASI!$E$2:$E$1001,"&lt;="&amp;DATE(2026,12,31)))</f>
        <v/>
      </c>
      <c r="H102" s="19">
        <f>IF($A102="","",COUNTIFS(KEMATIAN!$C$2:$C$1001,$A102,KEMATIAN!$F$2:$F$1001,"&gt;="&amp;DATE(2026,1,1),KEMATIAN!$F$2:$F$1001,"&lt;="&amp;DATE(2026,12,31)))</f>
        <v/>
      </c>
      <c r="I102" s="19">
        <f>IF($A102="","",COUNTIFS(MUTASI!$C$2:$C$1001,$A102,MUTASI!$D$2:$D$1001,"Keluar",MUTASI!$F$2:$F$1001,"Paroki lain dalam keuskupan",MUTASI!$E$2:$E$1001,"&gt;="&amp;DATE(2026,1,1),MUTASI!$E$2:$E$1001,"&lt;="&amp;DATE(2026,12,31)))</f>
        <v/>
      </c>
      <c r="J102" s="19">
        <f>IF($A102="","",COUNTIFS(MUTASI!$C$2:$C$1001,$A102,MUTASI!$D$2:$D$1001,"Keluar",MUTASI!$F$2:$F$1001,"Keuskupan lain",MUTASI!$E$2:$E$1001,"&gt;="&amp;DATE(2026,1,1),MUTASI!$E$2:$E$1001,"&lt;="&amp;DATE(2026,12,31)))</f>
        <v/>
      </c>
      <c r="K102" s="19">
        <f>IF($A102="","",COUNTIFS('PINDAH AGAMA'!$C$2:$C$1001,$A102,'PINDAH AGAMA'!$D$2:$D$1001,"&gt;="&amp;DATE(2026,1,1),'PINDAH AGAMA'!$D$2:$D$1001,"&lt;="&amp;DATE(2026,12,31)))</f>
        <v/>
      </c>
      <c r="L102" s="19">
        <f>IF($A102="","",D102+E102+F102+G102-H102-I102-J102-K102)</f>
        <v/>
      </c>
      <c r="M102" s="19">
        <f>IF($A102="","",COUNTIFS('KOMUNI PERTAMA'!$C$2:$C$1001,$A102,'KOMUNI PERTAMA'!$E$2:$E$1001,"&gt;="&amp;DATE(2026,1,1),'KOMUNI PERTAMA'!$E$2:$E$1001,"&lt;="&amp;DATE(2026,12,31)))</f>
        <v/>
      </c>
      <c r="N102" s="19">
        <f>IF($A102="","",COUNTIFS('PERKAWINAN GEREJANI'!$C$2:$C$1001,$A102,'PERKAWINAN GEREJANI'!$D$2:$D$1001,"&gt;="&amp;DATE(2026,1,1),'PERKAWINAN GEREJANI'!$D$2:$D$1001,"&lt;="&amp;DATE(2026,12,31)))</f>
        <v/>
      </c>
      <c r="O102" s="19">
        <f>IF($A102="","",COUNTIFS(PEMBUBARAN!$C$2:$C$1001,$A102,PEMBUBARAN!$D$2:$D$1001,"&gt;="&amp;DATE(2026,1,1),PEMBUBARAN!$D$2:$D$1001,"&lt;="&amp;DATE(2026,12,31)))</f>
        <v/>
      </c>
      <c r="P102" s="19">
        <f>IF($A102="","",COUNTIFS('PERMINYAKAN SUCI'!$C$2:$C$1001,$A102,'PERMINYAKAN SUCI'!$E$2:$E$1001,"&gt;="&amp;DATE(2026,1,1),'PERMINYAKAN SUCI'!$E$2:$E$1001,"&lt;="&amp;DATE(2026,12,31)))</f>
        <v/>
      </c>
      <c r="Q102" s="19">
        <f>IF($A102="","",H102)</f>
        <v/>
      </c>
      <c r="R102" s="19">
        <f>IF($A102="","",COUNTIFS('SEMINARI BIARA'!$C$2:$C$1001,$A102,'SEMINARI BIARA'!$F$2:$F$1001,"Mulai masuk 2026",'SEMINARI BIARA'!$G$2:$G$1001,"&gt;="&amp;DATE(2026,1,1),'SEMINARI BIARA'!$G$2:$G$1001,"&lt;="&amp;DATE(2026,12,31)))</f>
        <v/>
      </c>
      <c r="S102" s="19">
        <f>IF($A102="","",COUNTIFS('SEMINARI BIARA'!$C$2:$C$1001,$A102,'SEMINARI BIARA'!$F$2:$F$1001,"Sedang belajar 2026"))</f>
        <v/>
      </c>
    </row>
    <row r="103" ht="14.25" customHeight="1" s="38">
      <c r="A103" s="18" t="n"/>
      <c r="B103" s="19">
        <f>IF($A103="","",COUNTIF('DATA KK'!$E$2:$E$501,$A103))</f>
        <v/>
      </c>
      <c r="C103" s="19">
        <f>IF($A103="","",COUNTIF('DATA UMAT'!$H$2:$H$2001,$A103))</f>
        <v/>
      </c>
      <c r="D103" s="19">
        <f>IF($A103="","",COUNTIFS(BAPTIS!$C$2:$C$1001,$A103,BAPTIS!$F$2:$F$1001,"&gt;="&amp;DATE(2026,1,1),BAPTIS!$F$2:$F$1001,"&lt;="&amp;DATE(2026,12,31)))</f>
        <v/>
      </c>
      <c r="E103" s="19">
        <f>IF($A103="","",COUNTIFS('DITERIMA MASUK'!$C$2:$C$1001,$A103,'DITERIMA MASUK'!$D$2:$D$1001,"&gt;="&amp;DATE(2026,1,1),'DITERIMA MASUK'!$D$2:$D$1001,"&lt;="&amp;DATE(2026,12,31)))</f>
        <v/>
      </c>
      <c r="F103" s="19">
        <f>IF($A103="","",COUNTIFS(MUTASI!$C$2:$C$1001,$A103,MUTASI!$D$2:$D$1001,"Masuk",MUTASI!$F$2:$F$1001,"Paroki lain dalam keuskupan",MUTASI!$E$2:$E$1001,"&gt;="&amp;DATE(2026,1,1),MUTASI!$E$2:$E$1001,"&lt;="&amp;DATE(2026,12,31)))</f>
        <v/>
      </c>
      <c r="G103" s="19">
        <f>IF($A103="","",COUNTIFS(MUTASI!$C$2:$C$1001,$A103,MUTASI!$D$2:$D$1001,"Masuk",MUTASI!$F$2:$F$1001,"Keuskupan lain",MUTASI!$E$2:$E$1001,"&gt;="&amp;DATE(2026,1,1),MUTASI!$E$2:$E$1001,"&lt;="&amp;DATE(2026,12,31)))</f>
        <v/>
      </c>
      <c r="H103" s="19">
        <f>IF($A103="","",COUNTIFS(KEMATIAN!$C$2:$C$1001,$A103,KEMATIAN!$F$2:$F$1001,"&gt;="&amp;DATE(2026,1,1),KEMATIAN!$F$2:$F$1001,"&lt;="&amp;DATE(2026,12,31)))</f>
        <v/>
      </c>
      <c r="I103" s="19">
        <f>IF($A103="","",COUNTIFS(MUTASI!$C$2:$C$1001,$A103,MUTASI!$D$2:$D$1001,"Keluar",MUTASI!$F$2:$F$1001,"Paroki lain dalam keuskupan",MUTASI!$E$2:$E$1001,"&gt;="&amp;DATE(2026,1,1),MUTASI!$E$2:$E$1001,"&lt;="&amp;DATE(2026,12,31)))</f>
        <v/>
      </c>
      <c r="J103" s="19">
        <f>IF($A103="","",COUNTIFS(MUTASI!$C$2:$C$1001,$A103,MUTASI!$D$2:$D$1001,"Keluar",MUTASI!$F$2:$F$1001,"Keuskupan lain",MUTASI!$E$2:$E$1001,"&gt;="&amp;DATE(2026,1,1),MUTASI!$E$2:$E$1001,"&lt;="&amp;DATE(2026,12,31)))</f>
        <v/>
      </c>
      <c r="K103" s="19">
        <f>IF($A103="","",COUNTIFS('PINDAH AGAMA'!$C$2:$C$1001,$A103,'PINDAH AGAMA'!$D$2:$D$1001,"&gt;="&amp;DATE(2026,1,1),'PINDAH AGAMA'!$D$2:$D$1001,"&lt;="&amp;DATE(2026,12,31)))</f>
        <v/>
      </c>
      <c r="L103" s="19">
        <f>IF($A103="","",D103+E103+F103+G103-H103-I103-J103-K103)</f>
        <v/>
      </c>
      <c r="M103" s="19">
        <f>IF($A103="","",COUNTIFS('KOMUNI PERTAMA'!$C$2:$C$1001,$A103,'KOMUNI PERTAMA'!$E$2:$E$1001,"&gt;="&amp;DATE(2026,1,1),'KOMUNI PERTAMA'!$E$2:$E$1001,"&lt;="&amp;DATE(2026,12,31)))</f>
        <v/>
      </c>
      <c r="N103" s="19">
        <f>IF($A103="","",COUNTIFS('PERKAWINAN GEREJANI'!$C$2:$C$1001,$A103,'PERKAWINAN GEREJANI'!$D$2:$D$1001,"&gt;="&amp;DATE(2026,1,1),'PERKAWINAN GEREJANI'!$D$2:$D$1001,"&lt;="&amp;DATE(2026,12,31)))</f>
        <v/>
      </c>
      <c r="O103" s="19">
        <f>IF($A103="","",COUNTIFS(PEMBUBARAN!$C$2:$C$1001,$A103,PEMBUBARAN!$D$2:$D$1001,"&gt;="&amp;DATE(2026,1,1),PEMBUBARAN!$D$2:$D$1001,"&lt;="&amp;DATE(2026,12,31)))</f>
        <v/>
      </c>
      <c r="P103" s="19">
        <f>IF($A103="","",COUNTIFS('PERMINYAKAN SUCI'!$C$2:$C$1001,$A103,'PERMINYAKAN SUCI'!$E$2:$E$1001,"&gt;="&amp;DATE(2026,1,1),'PERMINYAKAN SUCI'!$E$2:$E$1001,"&lt;="&amp;DATE(2026,12,31)))</f>
        <v/>
      </c>
      <c r="Q103" s="19">
        <f>IF($A103="","",H103)</f>
        <v/>
      </c>
      <c r="R103" s="19">
        <f>IF($A103="","",COUNTIFS('SEMINARI BIARA'!$C$2:$C$1001,$A103,'SEMINARI BIARA'!$F$2:$F$1001,"Mulai masuk 2026",'SEMINARI BIARA'!$G$2:$G$1001,"&gt;="&amp;DATE(2026,1,1),'SEMINARI BIARA'!$G$2:$G$1001,"&lt;="&amp;DATE(2026,12,31)))</f>
        <v/>
      </c>
      <c r="S103" s="19">
        <f>IF($A103="","",COUNTIFS('SEMINARI BIARA'!$C$2:$C$1001,$A103,'SEMINARI BIARA'!$F$2:$F$1001,"Sedang belajar 2026"))</f>
        <v/>
      </c>
    </row>
    <row r="104" ht="14.25" customHeight="1" s="38">
      <c r="A104" s="18" t="n"/>
      <c r="B104" s="19">
        <f>IF($A104="","",COUNTIF('DATA KK'!$E$2:$E$501,$A104))</f>
        <v/>
      </c>
      <c r="C104" s="19">
        <f>IF($A104="","",COUNTIF('DATA UMAT'!$H$2:$H$2001,$A104))</f>
        <v/>
      </c>
      <c r="D104" s="19">
        <f>IF($A104="","",COUNTIFS(BAPTIS!$C$2:$C$1001,$A104,BAPTIS!$F$2:$F$1001,"&gt;="&amp;DATE(2026,1,1),BAPTIS!$F$2:$F$1001,"&lt;="&amp;DATE(2026,12,31)))</f>
        <v/>
      </c>
      <c r="E104" s="19">
        <f>IF($A104="","",COUNTIFS('DITERIMA MASUK'!$C$2:$C$1001,$A104,'DITERIMA MASUK'!$D$2:$D$1001,"&gt;="&amp;DATE(2026,1,1),'DITERIMA MASUK'!$D$2:$D$1001,"&lt;="&amp;DATE(2026,12,31)))</f>
        <v/>
      </c>
      <c r="F104" s="19">
        <f>IF($A104="","",COUNTIFS(MUTASI!$C$2:$C$1001,$A104,MUTASI!$D$2:$D$1001,"Masuk",MUTASI!$F$2:$F$1001,"Paroki lain dalam keuskupan",MUTASI!$E$2:$E$1001,"&gt;="&amp;DATE(2026,1,1),MUTASI!$E$2:$E$1001,"&lt;="&amp;DATE(2026,12,31)))</f>
        <v/>
      </c>
      <c r="G104" s="19">
        <f>IF($A104="","",COUNTIFS(MUTASI!$C$2:$C$1001,$A104,MUTASI!$D$2:$D$1001,"Masuk",MUTASI!$F$2:$F$1001,"Keuskupan lain",MUTASI!$E$2:$E$1001,"&gt;="&amp;DATE(2026,1,1),MUTASI!$E$2:$E$1001,"&lt;="&amp;DATE(2026,12,31)))</f>
        <v/>
      </c>
      <c r="H104" s="19">
        <f>IF($A104="","",COUNTIFS(KEMATIAN!$C$2:$C$1001,$A104,KEMATIAN!$F$2:$F$1001,"&gt;="&amp;DATE(2026,1,1),KEMATIAN!$F$2:$F$1001,"&lt;="&amp;DATE(2026,12,31)))</f>
        <v/>
      </c>
      <c r="I104" s="19">
        <f>IF($A104="","",COUNTIFS(MUTASI!$C$2:$C$1001,$A104,MUTASI!$D$2:$D$1001,"Keluar",MUTASI!$F$2:$F$1001,"Paroki lain dalam keuskupan",MUTASI!$E$2:$E$1001,"&gt;="&amp;DATE(2026,1,1),MUTASI!$E$2:$E$1001,"&lt;="&amp;DATE(2026,12,31)))</f>
        <v/>
      </c>
      <c r="J104" s="19">
        <f>IF($A104="","",COUNTIFS(MUTASI!$C$2:$C$1001,$A104,MUTASI!$D$2:$D$1001,"Keluar",MUTASI!$F$2:$F$1001,"Keuskupan lain",MUTASI!$E$2:$E$1001,"&gt;="&amp;DATE(2026,1,1),MUTASI!$E$2:$E$1001,"&lt;="&amp;DATE(2026,12,31)))</f>
        <v/>
      </c>
      <c r="K104" s="19">
        <f>IF($A104="","",COUNTIFS('PINDAH AGAMA'!$C$2:$C$1001,$A104,'PINDAH AGAMA'!$D$2:$D$1001,"&gt;="&amp;DATE(2026,1,1),'PINDAH AGAMA'!$D$2:$D$1001,"&lt;="&amp;DATE(2026,12,31)))</f>
        <v/>
      </c>
      <c r="L104" s="19">
        <f>IF($A104="","",D104+E104+F104+G104-H104-I104-J104-K104)</f>
        <v/>
      </c>
      <c r="M104" s="19">
        <f>IF($A104="","",COUNTIFS('KOMUNI PERTAMA'!$C$2:$C$1001,$A104,'KOMUNI PERTAMA'!$E$2:$E$1001,"&gt;="&amp;DATE(2026,1,1),'KOMUNI PERTAMA'!$E$2:$E$1001,"&lt;="&amp;DATE(2026,12,31)))</f>
        <v/>
      </c>
      <c r="N104" s="19">
        <f>IF($A104="","",COUNTIFS('PERKAWINAN GEREJANI'!$C$2:$C$1001,$A104,'PERKAWINAN GEREJANI'!$D$2:$D$1001,"&gt;="&amp;DATE(2026,1,1),'PERKAWINAN GEREJANI'!$D$2:$D$1001,"&lt;="&amp;DATE(2026,12,31)))</f>
        <v/>
      </c>
      <c r="O104" s="19">
        <f>IF($A104="","",COUNTIFS(PEMBUBARAN!$C$2:$C$1001,$A104,PEMBUBARAN!$D$2:$D$1001,"&gt;="&amp;DATE(2026,1,1),PEMBUBARAN!$D$2:$D$1001,"&lt;="&amp;DATE(2026,12,31)))</f>
        <v/>
      </c>
      <c r="P104" s="19">
        <f>IF($A104="","",COUNTIFS('PERMINYAKAN SUCI'!$C$2:$C$1001,$A104,'PERMINYAKAN SUCI'!$E$2:$E$1001,"&gt;="&amp;DATE(2026,1,1),'PERMINYAKAN SUCI'!$E$2:$E$1001,"&lt;="&amp;DATE(2026,12,31)))</f>
        <v/>
      </c>
      <c r="Q104" s="19">
        <f>IF($A104="","",H104)</f>
        <v/>
      </c>
      <c r="R104" s="19">
        <f>IF($A104="","",COUNTIFS('SEMINARI BIARA'!$C$2:$C$1001,$A104,'SEMINARI BIARA'!$F$2:$F$1001,"Mulai masuk 2026",'SEMINARI BIARA'!$G$2:$G$1001,"&gt;="&amp;DATE(2026,1,1),'SEMINARI BIARA'!$G$2:$G$1001,"&lt;="&amp;DATE(2026,12,31)))</f>
        <v/>
      </c>
      <c r="S104" s="19">
        <f>IF($A104="","",COUNTIFS('SEMINARI BIARA'!$C$2:$C$1001,$A104,'SEMINARI BIARA'!$F$2:$F$1001,"Sedang belajar 2026"))</f>
        <v/>
      </c>
    </row>
    <row r="105" ht="14.25" customHeight="1" s="38">
      <c r="A105" s="36" t="inlineStr">
        <is>
          <t>TOTAL PAROKI</t>
        </is>
      </c>
      <c r="B105" s="36">
        <f>SUM(B5:B104)</f>
        <v/>
      </c>
      <c r="C105" s="36">
        <f>SUM(C5:C104)</f>
        <v/>
      </c>
      <c r="D105" s="36">
        <f>SUM(D5:D104)</f>
        <v/>
      </c>
      <c r="E105" s="36">
        <f>SUM(E5:E104)</f>
        <v/>
      </c>
      <c r="F105" s="36">
        <f>SUM(F5:F104)</f>
        <v/>
      </c>
      <c r="G105" s="36">
        <f>SUM(G5:G104)</f>
        <v/>
      </c>
      <c r="H105" s="36">
        <f>SUM(H5:H104)</f>
        <v/>
      </c>
      <c r="I105" s="36">
        <f>SUM(I5:I104)</f>
        <v/>
      </c>
      <c r="J105" s="36">
        <f>SUM(J5:J104)</f>
        <v/>
      </c>
      <c r="K105" s="36">
        <f>SUM(K5:K104)</f>
        <v/>
      </c>
      <c r="L105" s="36">
        <f>SUM(L5:L104)</f>
        <v/>
      </c>
      <c r="M105" s="36">
        <f>SUM(M5:M104)</f>
        <v/>
      </c>
      <c r="N105" s="36">
        <f>SUM(N5:N104)</f>
        <v/>
      </c>
      <c r="O105" s="36">
        <f>SUM(O5:O104)</f>
        <v/>
      </c>
      <c r="P105" s="36">
        <f>SUM(P5:P104)</f>
        <v/>
      </c>
      <c r="Q105" s="36">
        <f>SUM(Q5:Q104)</f>
        <v/>
      </c>
      <c r="R105" s="36">
        <f>SUM(R5:R104)</f>
        <v/>
      </c>
      <c r="S105" s="36">
        <f>SUM(S5:S104)</f>
        <v/>
      </c>
    </row>
    <row r="106" ht="14.25" customHeight="1" s="38"/>
    <row r="107" ht="14.25" customHeight="1" s="38"/>
    <row r="108" ht="14.25" customHeight="1" s="38"/>
    <row r="109" ht="14.25" customHeight="1" s="38"/>
    <row r="110" ht="14.25" customHeight="1" s="38"/>
    <row r="111" ht="14.25" customHeight="1" s="38"/>
    <row r="112" ht="14.25" customHeight="1" s="38"/>
    <row r="113" ht="14.25" customHeight="1" s="38"/>
    <row r="114" ht="14.25" customHeight="1" s="38"/>
    <row r="115" ht="14.25" customHeight="1" s="38"/>
    <row r="116" ht="14.25" customHeight="1" s="38"/>
    <row r="117" ht="14.25" customHeight="1" s="38"/>
    <row r="118" ht="14.25" customHeight="1" s="38"/>
    <row r="119" ht="14.25" customHeight="1" s="38"/>
    <row r="120" ht="14.25" customHeight="1" s="38"/>
    <row r="121" ht="14.25" customHeight="1" s="38"/>
    <row r="122" ht="14.25" customHeight="1" s="38"/>
    <row r="123" ht="14.25" customHeight="1" s="38"/>
    <row r="124" ht="14.25" customHeight="1" s="38"/>
    <row r="125" ht="14.25" customHeight="1" s="38"/>
    <row r="126" ht="14.25" customHeight="1" s="38"/>
    <row r="127" ht="14.25" customHeight="1" s="38"/>
    <row r="128" ht="14.25" customHeight="1" s="38"/>
    <row r="129" ht="14.25" customHeight="1" s="38"/>
    <row r="130" ht="14.25" customHeight="1" s="38"/>
    <row r="131" ht="14.25" customHeight="1" s="38"/>
    <row r="132" ht="14.25" customHeight="1" s="38"/>
    <row r="133" ht="14.25" customHeight="1" s="38"/>
    <row r="134" ht="14.25" customHeight="1" s="38"/>
    <row r="135" ht="14.25" customHeight="1" s="38"/>
    <row r="136" ht="14.25" customHeight="1" s="38"/>
    <row r="137" ht="14.25" customHeight="1" s="38"/>
    <row r="138" ht="14.25" customHeight="1" s="38"/>
    <row r="139" ht="14.25" customHeight="1" s="38"/>
    <row r="140" ht="14.25" customHeight="1" s="38"/>
    <row r="141" ht="14.25" customHeight="1" s="38"/>
    <row r="142" ht="14.25" customHeight="1" s="38"/>
    <row r="143" ht="14.25" customHeight="1" s="38"/>
    <row r="144" ht="14.25" customHeight="1" s="38"/>
    <row r="145" ht="14.25" customHeight="1" s="38"/>
    <row r="146" ht="14.25" customHeight="1" s="38"/>
    <row r="147" ht="14.25" customHeight="1" s="38"/>
    <row r="148" ht="14.25" customHeight="1" s="38"/>
    <row r="149" ht="14.25" customHeight="1" s="38"/>
    <row r="150" ht="14.25" customHeight="1" s="38"/>
    <row r="151" ht="14.25" customHeight="1" s="38"/>
    <row r="152" ht="14.25" customHeight="1" s="38"/>
    <row r="153" ht="14.25" customHeight="1" s="38"/>
    <row r="154" ht="14.25" customHeight="1" s="38"/>
    <row r="155" ht="14.25" customHeight="1" s="38"/>
    <row r="156" ht="14.25" customHeight="1" s="38"/>
    <row r="157" ht="14.25" customHeight="1" s="38"/>
    <row r="158" ht="14.25" customHeight="1" s="38"/>
    <row r="159" ht="14.25" customHeight="1" s="38"/>
    <row r="160" ht="14.25" customHeight="1" s="38"/>
    <row r="161" ht="14.25" customHeight="1" s="38"/>
    <row r="162" ht="14.25" customHeight="1" s="38"/>
    <row r="163" ht="14.25" customHeight="1" s="38"/>
    <row r="164" ht="14.25" customHeight="1" s="38"/>
    <row r="165" ht="14.25" customHeight="1" s="38"/>
    <row r="166" ht="14.25" customHeight="1" s="38"/>
    <row r="167" ht="14.25" customHeight="1" s="38"/>
    <row r="168" ht="14.25" customHeight="1" s="38"/>
    <row r="169" ht="14.25" customHeight="1" s="38"/>
    <row r="170" ht="14.25" customHeight="1" s="38"/>
    <row r="171" ht="14.25" customHeight="1" s="38"/>
    <row r="172" ht="14.25" customHeight="1" s="38"/>
    <row r="173" ht="14.25" customHeight="1" s="38"/>
    <row r="174" ht="14.25" customHeight="1" s="38"/>
    <row r="175" ht="14.25" customHeight="1" s="38"/>
    <row r="176" ht="14.25" customHeight="1" s="38"/>
    <row r="177" ht="14.25" customHeight="1" s="38"/>
    <row r="178" ht="14.25" customHeight="1" s="38"/>
    <row r="179" ht="14.25" customHeight="1" s="38"/>
    <row r="180" ht="14.25" customHeight="1" s="38"/>
    <row r="181" ht="14.25" customHeight="1" s="38"/>
    <row r="182" ht="14.25" customHeight="1" s="38"/>
    <row r="183" ht="14.25" customHeight="1" s="38"/>
    <row r="184" ht="14.25" customHeight="1" s="38"/>
    <row r="185" ht="14.25" customHeight="1" s="38"/>
    <row r="186" ht="14.25" customHeight="1" s="38"/>
    <row r="187" ht="14.25" customHeight="1" s="38"/>
    <row r="188" ht="14.25" customHeight="1" s="38"/>
    <row r="189" ht="14.25" customHeight="1" s="38"/>
    <row r="190" ht="14.25" customHeight="1" s="38"/>
    <row r="191" ht="14.25" customHeight="1" s="38"/>
    <row r="192" ht="14.25" customHeight="1" s="38"/>
    <row r="193" ht="14.25" customHeight="1" s="38"/>
    <row r="194" ht="14.25" customHeight="1" s="38"/>
    <row r="195" ht="14.25" customHeight="1" s="38"/>
    <row r="196" ht="14.25" customHeight="1" s="38"/>
    <row r="197" ht="14.25" customHeight="1" s="38"/>
    <row r="198" ht="14.25" customHeight="1" s="38"/>
    <row r="199" ht="14.25" customHeight="1" s="38"/>
    <row r="200" ht="14.25" customHeight="1" s="38"/>
    <row r="201" ht="14.25" customHeight="1" s="38"/>
    <row r="202" ht="14.25" customHeight="1" s="38"/>
    <row r="203" ht="14.25" customHeight="1" s="38"/>
    <row r="204" ht="14.25" customHeight="1" s="38"/>
    <row r="205" ht="14.25" customHeight="1" s="38"/>
    <row r="206" ht="14.25" customHeight="1" s="38"/>
    <row r="207" ht="14.25" customHeight="1" s="38"/>
    <row r="208" ht="14.25" customHeight="1" s="38"/>
    <row r="209" ht="14.25" customHeight="1" s="38"/>
    <row r="210" ht="14.25" customHeight="1" s="38"/>
    <row r="211" ht="14.25" customHeight="1" s="38"/>
    <row r="212" ht="14.25" customHeight="1" s="38"/>
    <row r="213" ht="14.25" customHeight="1" s="38"/>
    <row r="214" ht="14.25" customHeight="1" s="38"/>
    <row r="215" ht="14.25" customHeight="1" s="38"/>
    <row r="216" ht="14.25" customHeight="1" s="38"/>
    <row r="217" ht="14.25" customHeight="1" s="38"/>
    <row r="218" ht="14.25" customHeight="1" s="38"/>
    <row r="219" ht="14.25" customHeight="1" s="38"/>
    <row r="220" ht="14.25" customHeight="1" s="38"/>
    <row r="221" ht="14.25" customHeight="1" s="38"/>
    <row r="222" ht="14.25" customHeight="1" s="38"/>
    <row r="223" ht="14.25" customHeight="1" s="38"/>
    <row r="224" ht="14.25" customHeight="1" s="38"/>
    <row r="225" ht="14.25" customHeight="1" s="38"/>
    <row r="226" ht="14.25" customHeight="1" s="38"/>
    <row r="227" ht="14.25" customHeight="1" s="38"/>
    <row r="228" ht="14.25" customHeight="1" s="38"/>
    <row r="229" ht="14.25" customHeight="1" s="38"/>
    <row r="230" ht="14.25" customHeight="1" s="38"/>
    <row r="231" ht="14.25" customHeight="1" s="38"/>
    <row r="232" ht="14.25" customHeight="1" s="38"/>
    <row r="233" ht="14.25" customHeight="1" s="38"/>
    <row r="234" ht="14.25" customHeight="1" s="38"/>
    <row r="235" ht="14.25" customHeight="1" s="38"/>
    <row r="236" ht="14.25" customHeight="1" s="38"/>
    <row r="237" ht="14.25" customHeight="1" s="38"/>
    <row r="238" ht="14.25" customHeight="1" s="38"/>
    <row r="239" ht="14.25" customHeight="1" s="38"/>
    <row r="240" ht="14.25" customHeight="1" s="38"/>
    <row r="241" ht="14.25" customHeight="1" s="38"/>
    <row r="242" ht="14.25" customHeight="1" s="38"/>
    <row r="243" ht="14.25" customHeight="1" s="38"/>
    <row r="244" ht="14.25" customHeight="1" s="38"/>
    <row r="245" ht="14.25" customHeight="1" s="38"/>
    <row r="246" ht="14.25" customHeight="1" s="38"/>
    <row r="247" ht="14.25" customHeight="1" s="38"/>
    <row r="248" ht="14.25" customHeight="1" s="38"/>
    <row r="249" ht="14.25" customHeight="1" s="38"/>
    <row r="250" ht="14.25" customHeight="1" s="38"/>
    <row r="251" ht="14.25" customHeight="1" s="38"/>
    <row r="252" ht="14.25" customHeight="1" s="38"/>
    <row r="253" ht="14.25" customHeight="1" s="38"/>
    <row r="254" ht="14.25" customHeight="1" s="38"/>
    <row r="255" ht="14.25" customHeight="1" s="38"/>
    <row r="256" ht="14.25" customHeight="1" s="38"/>
    <row r="257" ht="14.25" customHeight="1" s="38"/>
    <row r="258" ht="14.25" customHeight="1" s="38"/>
    <row r="259" ht="14.25" customHeight="1" s="38"/>
    <row r="260" ht="14.25" customHeight="1" s="38"/>
    <row r="261" ht="14.25" customHeight="1" s="38"/>
    <row r="262" ht="14.25" customHeight="1" s="38"/>
    <row r="263" ht="14.25" customHeight="1" s="38"/>
    <row r="264" ht="14.25" customHeight="1" s="38"/>
    <row r="265" ht="14.25" customHeight="1" s="38"/>
    <row r="266" ht="14.25" customHeight="1" s="38"/>
    <row r="267" ht="14.25" customHeight="1" s="38"/>
    <row r="268" ht="14.25" customHeight="1" s="38"/>
    <row r="269" ht="14.25" customHeight="1" s="38"/>
    <row r="270" ht="14.25" customHeight="1" s="38"/>
    <row r="271" ht="14.25" customHeight="1" s="38"/>
    <row r="272" ht="14.25" customHeight="1" s="38"/>
    <row r="273" ht="14.25" customHeight="1" s="38"/>
    <row r="274" ht="14.25" customHeight="1" s="38"/>
    <row r="275" ht="14.25" customHeight="1" s="38"/>
    <row r="276" ht="14.25" customHeight="1" s="38"/>
    <row r="277" ht="14.25" customHeight="1" s="38"/>
    <row r="278" ht="14.25" customHeight="1" s="38"/>
    <row r="279" ht="14.25" customHeight="1" s="38"/>
    <row r="280" ht="14.25" customHeight="1" s="38"/>
    <row r="281" ht="14.25" customHeight="1" s="38"/>
    <row r="282" ht="14.25" customHeight="1" s="38"/>
    <row r="283" ht="14.25" customHeight="1" s="38"/>
    <row r="284" ht="14.25" customHeight="1" s="38"/>
    <row r="285" ht="14.25" customHeight="1" s="38"/>
    <row r="286" ht="14.25" customHeight="1" s="38"/>
    <row r="287" ht="14.25" customHeight="1" s="38"/>
    <row r="288" ht="14.25" customHeight="1" s="38"/>
    <row r="289" ht="14.25" customHeight="1" s="38"/>
    <row r="290" ht="14.25" customHeight="1" s="38"/>
    <row r="291" ht="14.25" customHeight="1" s="38"/>
    <row r="292" ht="14.25" customHeight="1" s="38"/>
    <row r="293" ht="14.25" customHeight="1" s="38"/>
    <row r="294" ht="14.25" customHeight="1" s="38"/>
    <row r="295" ht="14.25" customHeight="1" s="38"/>
    <row r="296" ht="14.25" customHeight="1" s="38"/>
    <row r="297" ht="14.25" customHeight="1" s="38"/>
    <row r="298" ht="14.25" customHeight="1" s="38"/>
    <row r="299" ht="14.25" customHeight="1" s="38"/>
    <row r="300" ht="14.25" customHeight="1" s="38"/>
    <row r="301" ht="14.25" customHeight="1" s="38"/>
    <row r="302" ht="14.25" customHeight="1" s="38"/>
    <row r="303" ht="14.25" customHeight="1" s="38"/>
    <row r="304" ht="14.25" customHeight="1" s="38"/>
    <row r="305" ht="14.25" customHeight="1" s="38"/>
    <row r="306" ht="14.25" customHeight="1" s="38"/>
    <row r="307" ht="14.25" customHeight="1" s="38"/>
    <row r="308" ht="14.25" customHeight="1" s="38"/>
    <row r="309" ht="14.25" customHeight="1" s="38"/>
    <row r="310" ht="14.25" customHeight="1" s="38"/>
    <row r="311" ht="14.25" customHeight="1" s="38"/>
    <row r="312" ht="14.25" customHeight="1" s="38"/>
    <row r="313" ht="14.25" customHeight="1" s="38"/>
    <row r="314" ht="14.25" customHeight="1" s="38"/>
    <row r="315" ht="14.25" customHeight="1" s="38"/>
    <row r="316" ht="14.25" customHeight="1" s="38"/>
    <row r="317" ht="14.25" customHeight="1" s="38"/>
    <row r="318" ht="14.25" customHeight="1" s="38"/>
    <row r="319" ht="14.25" customHeight="1" s="38"/>
    <row r="320" ht="14.25" customHeight="1" s="38"/>
    <row r="321" ht="14.25" customHeight="1" s="38"/>
    <row r="322" ht="14.25" customHeight="1" s="38"/>
    <row r="323" ht="14.25" customHeight="1" s="38"/>
    <row r="324" ht="14.25" customHeight="1" s="38"/>
    <row r="325" ht="14.25" customHeight="1" s="38"/>
    <row r="326" ht="14.25" customHeight="1" s="38"/>
    <row r="327" ht="14.25" customHeight="1" s="38"/>
    <row r="328" ht="14.25" customHeight="1" s="38"/>
    <row r="329" ht="14.25" customHeight="1" s="38"/>
    <row r="330" ht="14.25" customHeight="1" s="38"/>
    <row r="331" ht="14.25" customHeight="1" s="38"/>
    <row r="332" ht="14.25" customHeight="1" s="38"/>
    <row r="333" ht="14.25" customHeight="1" s="38"/>
    <row r="334" ht="14.25" customHeight="1" s="38"/>
    <row r="335" ht="14.25" customHeight="1" s="38"/>
    <row r="336" ht="14.25" customHeight="1" s="38"/>
    <row r="337" ht="14.25" customHeight="1" s="38"/>
    <row r="338" ht="14.25" customHeight="1" s="38"/>
    <row r="339" ht="14.25" customHeight="1" s="38"/>
    <row r="340" ht="14.25" customHeight="1" s="38"/>
    <row r="341" ht="14.25" customHeight="1" s="38"/>
    <row r="342" ht="14.25" customHeight="1" s="38"/>
    <row r="343" ht="14.25" customHeight="1" s="38"/>
    <row r="344" ht="14.25" customHeight="1" s="38"/>
    <row r="345" ht="14.25" customHeight="1" s="38"/>
    <row r="346" ht="14.25" customHeight="1" s="38"/>
    <row r="347" ht="14.25" customHeight="1" s="38"/>
    <row r="348" ht="14.25" customHeight="1" s="38"/>
    <row r="349" ht="14.25" customHeight="1" s="38"/>
    <row r="350" ht="14.25" customHeight="1" s="38"/>
    <row r="351" ht="14.25" customHeight="1" s="38"/>
    <row r="352" ht="14.25" customHeight="1" s="38"/>
    <row r="353" ht="14.25" customHeight="1" s="38"/>
    <row r="354" ht="14.25" customHeight="1" s="38"/>
    <row r="355" ht="14.25" customHeight="1" s="38"/>
    <row r="356" ht="14.25" customHeight="1" s="38"/>
    <row r="357" ht="14.25" customHeight="1" s="38"/>
    <row r="358" ht="14.25" customHeight="1" s="38"/>
    <row r="359" ht="14.25" customHeight="1" s="38"/>
    <row r="360" ht="14.25" customHeight="1" s="38"/>
    <row r="361" ht="14.25" customHeight="1" s="38"/>
    <row r="362" ht="14.25" customHeight="1" s="38"/>
    <row r="363" ht="14.25" customHeight="1" s="38"/>
    <row r="364" ht="14.25" customHeight="1" s="38"/>
    <row r="365" ht="14.25" customHeight="1" s="38"/>
    <row r="366" ht="14.25" customHeight="1" s="38"/>
    <row r="367" ht="14.25" customHeight="1" s="38"/>
    <row r="368" ht="14.25" customHeight="1" s="38"/>
    <row r="369" ht="14.25" customHeight="1" s="38"/>
    <row r="370" ht="14.25" customHeight="1" s="38"/>
    <row r="371" ht="14.25" customHeight="1" s="38"/>
    <row r="372" ht="14.25" customHeight="1" s="38"/>
    <row r="373" ht="14.25" customHeight="1" s="38"/>
    <row r="374" ht="14.25" customHeight="1" s="38"/>
    <row r="375" ht="14.25" customHeight="1" s="38"/>
    <row r="376" ht="14.25" customHeight="1" s="38"/>
    <row r="377" ht="14.25" customHeight="1" s="38"/>
    <row r="378" ht="14.25" customHeight="1" s="38"/>
    <row r="379" ht="14.25" customHeight="1" s="38"/>
    <row r="380" ht="14.25" customHeight="1" s="38"/>
    <row r="381" ht="14.25" customHeight="1" s="38"/>
    <row r="382" ht="14.25" customHeight="1" s="38"/>
    <row r="383" ht="14.25" customHeight="1" s="38"/>
    <row r="384" ht="14.25" customHeight="1" s="38"/>
    <row r="385" ht="14.25" customHeight="1" s="38"/>
    <row r="386" ht="14.25" customHeight="1" s="38"/>
    <row r="387" ht="14.25" customHeight="1" s="38"/>
    <row r="388" ht="14.25" customHeight="1" s="38"/>
    <row r="389" ht="14.25" customHeight="1" s="38"/>
    <row r="390" ht="14.25" customHeight="1" s="38"/>
    <row r="391" ht="14.25" customHeight="1" s="38"/>
    <row r="392" ht="14.25" customHeight="1" s="38"/>
    <row r="393" ht="14.25" customHeight="1" s="38"/>
    <row r="394" ht="14.25" customHeight="1" s="38"/>
    <row r="395" ht="14.25" customHeight="1" s="38"/>
    <row r="396" ht="14.25" customHeight="1" s="38"/>
    <row r="397" ht="14.25" customHeight="1" s="38"/>
    <row r="398" ht="14.25" customHeight="1" s="38"/>
    <row r="399" ht="14.25" customHeight="1" s="38"/>
    <row r="400" ht="14.25" customHeight="1" s="38"/>
    <row r="401" ht="14.25" customHeight="1" s="38"/>
    <row r="402" ht="14.25" customHeight="1" s="38"/>
    <row r="403" ht="14.25" customHeight="1" s="38"/>
    <row r="404" ht="14.25" customHeight="1" s="38"/>
    <row r="405" ht="14.25" customHeight="1" s="38"/>
    <row r="406" ht="14.25" customHeight="1" s="38"/>
    <row r="407" ht="14.25" customHeight="1" s="38"/>
    <row r="408" ht="14.25" customHeight="1" s="38"/>
    <row r="409" ht="14.25" customHeight="1" s="38"/>
    <row r="410" ht="14.25" customHeight="1" s="38"/>
    <row r="411" ht="14.25" customHeight="1" s="38"/>
    <row r="412" ht="14.25" customHeight="1" s="38"/>
    <row r="413" ht="14.25" customHeight="1" s="38"/>
    <row r="414" ht="14.25" customHeight="1" s="38"/>
    <row r="415" ht="14.25" customHeight="1" s="38"/>
    <row r="416" ht="14.25" customHeight="1" s="38"/>
    <row r="417" ht="14.25" customHeight="1" s="38"/>
    <row r="418" ht="14.25" customHeight="1" s="38"/>
    <row r="419" ht="14.25" customHeight="1" s="38"/>
    <row r="420" ht="14.25" customHeight="1" s="38"/>
    <row r="421" ht="14.25" customHeight="1" s="38"/>
    <row r="422" ht="14.25" customHeight="1" s="38"/>
    <row r="423" ht="14.25" customHeight="1" s="38"/>
    <row r="424" ht="14.25" customHeight="1" s="38"/>
    <row r="425" ht="14.25" customHeight="1" s="38"/>
    <row r="426" ht="14.25" customHeight="1" s="38"/>
    <row r="427" ht="14.25" customHeight="1" s="38"/>
    <row r="428" ht="14.25" customHeight="1" s="38"/>
    <row r="429" ht="14.25" customHeight="1" s="38"/>
    <row r="430" ht="14.25" customHeight="1" s="38"/>
    <row r="431" ht="14.25" customHeight="1" s="38"/>
    <row r="432" ht="14.25" customHeight="1" s="38"/>
    <row r="433" ht="14.25" customHeight="1" s="38"/>
    <row r="434" ht="14.25" customHeight="1" s="38"/>
    <row r="435" ht="14.25" customHeight="1" s="38"/>
    <row r="436" ht="14.25" customHeight="1" s="38"/>
    <row r="437" ht="14.25" customHeight="1" s="38"/>
    <row r="438" ht="14.25" customHeight="1" s="38"/>
    <row r="439" ht="14.25" customHeight="1" s="38"/>
    <row r="440" ht="14.25" customHeight="1" s="38"/>
    <row r="441" ht="14.25" customHeight="1" s="38"/>
    <row r="442" ht="14.25" customHeight="1" s="38"/>
    <row r="443" ht="14.25" customHeight="1" s="38"/>
    <row r="444" ht="14.25" customHeight="1" s="38"/>
    <row r="445" ht="14.25" customHeight="1" s="38"/>
    <row r="446" ht="14.25" customHeight="1" s="38"/>
    <row r="447" ht="14.25" customHeight="1" s="38"/>
    <row r="448" ht="14.25" customHeight="1" s="38"/>
    <row r="449" ht="14.25" customHeight="1" s="38"/>
    <row r="450" ht="14.25" customHeight="1" s="38"/>
    <row r="451" ht="14.25" customHeight="1" s="38"/>
    <row r="452" ht="14.25" customHeight="1" s="38"/>
    <row r="453" ht="14.25" customHeight="1" s="38"/>
    <row r="454" ht="14.25" customHeight="1" s="38"/>
    <row r="455" ht="14.25" customHeight="1" s="38"/>
    <row r="456" ht="14.25" customHeight="1" s="38"/>
    <row r="457" ht="14.25" customHeight="1" s="38"/>
    <row r="458" ht="14.25" customHeight="1" s="38"/>
    <row r="459" ht="14.25" customHeight="1" s="38"/>
    <row r="460" ht="14.25" customHeight="1" s="38"/>
    <row r="461" ht="14.25" customHeight="1" s="38"/>
    <row r="462" ht="14.25" customHeight="1" s="38"/>
    <row r="463" ht="14.25" customHeight="1" s="38"/>
    <row r="464" ht="14.25" customHeight="1" s="38"/>
    <row r="465" ht="14.25" customHeight="1" s="38"/>
    <row r="466" ht="14.25" customHeight="1" s="38"/>
    <row r="467" ht="14.25" customHeight="1" s="38"/>
    <row r="468" ht="14.25" customHeight="1" s="38"/>
    <row r="469" ht="14.25" customHeight="1" s="38"/>
    <row r="470" ht="14.25" customHeight="1" s="38"/>
    <row r="471" ht="14.25" customHeight="1" s="38"/>
    <row r="472" ht="14.25" customHeight="1" s="38"/>
    <row r="473" ht="14.25" customHeight="1" s="38"/>
    <row r="474" ht="14.25" customHeight="1" s="38"/>
    <row r="475" ht="14.25" customHeight="1" s="38"/>
    <row r="476" ht="14.25" customHeight="1" s="38"/>
    <row r="477" ht="14.25" customHeight="1" s="38"/>
    <row r="478" ht="14.25" customHeight="1" s="38"/>
    <row r="479" ht="14.25" customHeight="1" s="38"/>
    <row r="480" ht="14.25" customHeight="1" s="38"/>
    <row r="481" ht="14.25" customHeight="1" s="38"/>
    <row r="482" ht="14.25" customHeight="1" s="38"/>
    <row r="483" ht="14.25" customHeight="1" s="38"/>
    <row r="484" ht="14.25" customHeight="1" s="38"/>
    <row r="485" ht="14.25" customHeight="1" s="38"/>
    <row r="486" ht="14.25" customHeight="1" s="38"/>
    <row r="487" ht="14.25" customHeight="1" s="38"/>
    <row r="488" ht="14.25" customHeight="1" s="38"/>
    <row r="489" ht="14.25" customHeight="1" s="38"/>
    <row r="490" ht="14.25" customHeight="1" s="38"/>
    <row r="491" ht="14.25" customHeight="1" s="38"/>
    <row r="492" ht="14.25" customHeight="1" s="38"/>
    <row r="493" ht="14.25" customHeight="1" s="38"/>
    <row r="494" ht="14.25" customHeight="1" s="38"/>
    <row r="495" ht="14.25" customHeight="1" s="38"/>
    <row r="496" ht="14.25" customHeight="1" s="38"/>
    <row r="497" ht="14.25" customHeight="1" s="38"/>
    <row r="498" ht="14.25" customHeight="1" s="38"/>
    <row r="499" ht="14.25" customHeight="1" s="38"/>
    <row r="500" ht="14.25" customHeight="1" s="38"/>
    <row r="501" ht="14.25" customHeight="1" s="38"/>
    <row r="502" ht="14.25" customHeight="1" s="38"/>
    <row r="503" ht="14.25" customHeight="1" s="38"/>
    <row r="504" ht="14.25" customHeight="1" s="38"/>
    <row r="505" ht="14.25" customHeight="1" s="38"/>
    <row r="506" ht="14.25" customHeight="1" s="38"/>
    <row r="507" ht="14.25" customHeight="1" s="38"/>
    <row r="508" ht="14.25" customHeight="1" s="38"/>
    <row r="509" ht="14.25" customHeight="1" s="38"/>
    <row r="510" ht="14.25" customHeight="1" s="38"/>
    <row r="511" ht="14.25" customHeight="1" s="38"/>
    <row r="512" ht="14.25" customHeight="1" s="38"/>
    <row r="513" ht="14.25" customHeight="1" s="38"/>
    <row r="514" ht="14.25" customHeight="1" s="38"/>
    <row r="515" ht="14.25" customHeight="1" s="38"/>
    <row r="516" ht="14.25" customHeight="1" s="38"/>
    <row r="517" ht="14.25" customHeight="1" s="38"/>
    <row r="518" ht="14.25" customHeight="1" s="38"/>
    <row r="519" ht="14.25" customHeight="1" s="38"/>
    <row r="520" ht="14.25" customHeight="1" s="38"/>
    <row r="521" ht="14.25" customHeight="1" s="38"/>
    <row r="522" ht="14.25" customHeight="1" s="38"/>
    <row r="523" ht="14.25" customHeight="1" s="38"/>
    <row r="524" ht="14.25" customHeight="1" s="38"/>
    <row r="525" ht="14.25" customHeight="1" s="38"/>
    <row r="526" ht="14.25" customHeight="1" s="38"/>
    <row r="527" ht="14.25" customHeight="1" s="38"/>
    <row r="528" ht="14.25" customHeight="1" s="38"/>
    <row r="529" ht="14.25" customHeight="1" s="38"/>
    <row r="530" ht="14.25" customHeight="1" s="38"/>
    <row r="531" ht="14.25" customHeight="1" s="38"/>
    <row r="532" ht="14.25" customHeight="1" s="38"/>
    <row r="533" ht="14.25" customHeight="1" s="38"/>
    <row r="534" ht="14.25" customHeight="1" s="38"/>
    <row r="535" ht="14.25" customHeight="1" s="38"/>
    <row r="536" ht="14.25" customHeight="1" s="38"/>
    <row r="537" ht="14.25" customHeight="1" s="38"/>
    <row r="538" ht="14.25" customHeight="1" s="38"/>
    <row r="539" ht="14.25" customHeight="1" s="38"/>
    <row r="540" ht="14.25" customHeight="1" s="38"/>
    <row r="541" ht="14.25" customHeight="1" s="38"/>
    <row r="542" ht="14.25" customHeight="1" s="38"/>
    <row r="543" ht="14.25" customHeight="1" s="38"/>
    <row r="544" ht="14.25" customHeight="1" s="38"/>
    <row r="545" ht="14.25" customHeight="1" s="38"/>
    <row r="546" ht="14.25" customHeight="1" s="38"/>
    <row r="547" ht="14.25" customHeight="1" s="38"/>
    <row r="548" ht="14.25" customHeight="1" s="38"/>
    <row r="549" ht="14.25" customHeight="1" s="38"/>
    <row r="550" ht="14.25" customHeight="1" s="38"/>
    <row r="551" ht="14.25" customHeight="1" s="38"/>
    <row r="552" ht="14.25" customHeight="1" s="38"/>
    <row r="553" ht="14.25" customHeight="1" s="38"/>
    <row r="554" ht="14.25" customHeight="1" s="38"/>
    <row r="555" ht="14.25" customHeight="1" s="38"/>
    <row r="556" ht="14.25" customHeight="1" s="38"/>
    <row r="557" ht="14.25" customHeight="1" s="38"/>
    <row r="558" ht="14.25" customHeight="1" s="38"/>
    <row r="559" ht="14.25" customHeight="1" s="38"/>
    <row r="560" ht="14.25" customHeight="1" s="38"/>
    <row r="561" ht="14.25" customHeight="1" s="38"/>
    <row r="562" ht="14.25" customHeight="1" s="38"/>
    <row r="563" ht="14.25" customHeight="1" s="38"/>
    <row r="564" ht="14.25" customHeight="1" s="38"/>
    <row r="565" ht="14.25" customHeight="1" s="38"/>
    <row r="566" ht="14.25" customHeight="1" s="38"/>
    <row r="567" ht="14.25" customHeight="1" s="38"/>
    <row r="568" ht="14.25" customHeight="1" s="38"/>
    <row r="569" ht="14.25" customHeight="1" s="38"/>
    <row r="570" ht="14.25" customHeight="1" s="38"/>
    <row r="571" ht="14.25" customHeight="1" s="38"/>
    <row r="572" ht="14.25" customHeight="1" s="38"/>
    <row r="573" ht="14.25" customHeight="1" s="38"/>
    <row r="574" ht="14.25" customHeight="1" s="38"/>
    <row r="575" ht="14.25" customHeight="1" s="38"/>
    <row r="576" ht="14.25" customHeight="1" s="38"/>
    <row r="577" ht="14.25" customHeight="1" s="38"/>
    <row r="578" ht="14.25" customHeight="1" s="38"/>
    <row r="579" ht="14.25" customHeight="1" s="38"/>
    <row r="580" ht="14.25" customHeight="1" s="38"/>
    <row r="581" ht="14.25" customHeight="1" s="38"/>
    <row r="582" ht="14.25" customHeight="1" s="38"/>
    <row r="583" ht="14.25" customHeight="1" s="38"/>
    <row r="584" ht="14.25" customHeight="1" s="38"/>
    <row r="585" ht="14.25" customHeight="1" s="38"/>
    <row r="586" ht="14.25" customHeight="1" s="38"/>
    <row r="587" ht="14.25" customHeight="1" s="38"/>
    <row r="588" ht="14.25" customHeight="1" s="38"/>
    <row r="589" ht="14.25" customHeight="1" s="38"/>
    <row r="590" ht="14.25" customHeight="1" s="38"/>
    <row r="591" ht="14.25" customHeight="1" s="38"/>
    <row r="592" ht="14.25" customHeight="1" s="38"/>
    <row r="593" ht="14.25" customHeight="1" s="38"/>
    <row r="594" ht="14.25" customHeight="1" s="38"/>
    <row r="595" ht="14.25" customHeight="1" s="38"/>
    <row r="596" ht="14.25" customHeight="1" s="38"/>
    <row r="597" ht="14.25" customHeight="1" s="38"/>
    <row r="598" ht="14.25" customHeight="1" s="38"/>
    <row r="599" ht="14.25" customHeight="1" s="38"/>
    <row r="600" ht="14.25" customHeight="1" s="38"/>
    <row r="601" ht="14.25" customHeight="1" s="38"/>
    <row r="602" ht="14.25" customHeight="1" s="38"/>
    <row r="603" ht="14.25" customHeight="1" s="38"/>
    <row r="604" ht="14.25" customHeight="1" s="38"/>
    <row r="605" ht="14.25" customHeight="1" s="38"/>
    <row r="606" ht="14.25" customHeight="1" s="38"/>
    <row r="607" ht="14.25" customHeight="1" s="38"/>
    <row r="608" ht="14.25" customHeight="1" s="38"/>
    <row r="609" ht="14.25" customHeight="1" s="38"/>
    <row r="610" ht="14.25" customHeight="1" s="38"/>
    <row r="611" ht="14.25" customHeight="1" s="38"/>
    <row r="612" ht="14.25" customHeight="1" s="38"/>
    <row r="613" ht="14.25" customHeight="1" s="38"/>
    <row r="614" ht="14.25" customHeight="1" s="38"/>
    <row r="615" ht="14.25" customHeight="1" s="38"/>
    <row r="616" ht="14.25" customHeight="1" s="38"/>
    <row r="617" ht="14.25" customHeight="1" s="38"/>
    <row r="618" ht="14.25" customHeight="1" s="38"/>
    <row r="619" ht="14.25" customHeight="1" s="38"/>
    <row r="620" ht="14.25" customHeight="1" s="38"/>
    <row r="621" ht="14.25" customHeight="1" s="38"/>
    <row r="622" ht="14.25" customHeight="1" s="38"/>
    <row r="623" ht="14.25" customHeight="1" s="38"/>
    <row r="624" ht="14.25" customHeight="1" s="38"/>
    <row r="625" ht="14.25" customHeight="1" s="38"/>
    <row r="626" ht="14.25" customHeight="1" s="38"/>
    <row r="627" ht="14.25" customHeight="1" s="38"/>
    <row r="628" ht="14.25" customHeight="1" s="38"/>
    <row r="629" ht="14.25" customHeight="1" s="38"/>
    <row r="630" ht="14.25" customHeight="1" s="38"/>
    <row r="631" ht="14.25" customHeight="1" s="38"/>
    <row r="632" ht="14.25" customHeight="1" s="38"/>
    <row r="633" ht="14.25" customHeight="1" s="38"/>
    <row r="634" ht="14.25" customHeight="1" s="38"/>
    <row r="635" ht="14.25" customHeight="1" s="38"/>
    <row r="636" ht="14.25" customHeight="1" s="38"/>
    <row r="637" ht="14.25" customHeight="1" s="38"/>
    <row r="638" ht="14.25" customHeight="1" s="38"/>
    <row r="639" ht="14.25" customHeight="1" s="38"/>
    <row r="640" ht="14.25" customHeight="1" s="38"/>
    <row r="641" ht="14.25" customHeight="1" s="38"/>
    <row r="642" ht="14.25" customHeight="1" s="38"/>
    <row r="643" ht="14.25" customHeight="1" s="38"/>
    <row r="644" ht="14.25" customHeight="1" s="38"/>
    <row r="645" ht="14.25" customHeight="1" s="38"/>
    <row r="646" ht="14.25" customHeight="1" s="38"/>
    <row r="647" ht="14.25" customHeight="1" s="38"/>
    <row r="648" ht="14.25" customHeight="1" s="38"/>
    <row r="649" ht="14.25" customHeight="1" s="38"/>
    <row r="650" ht="14.25" customHeight="1" s="38"/>
    <row r="651" ht="14.25" customHeight="1" s="38"/>
    <row r="652" ht="14.25" customHeight="1" s="38"/>
    <row r="653" ht="14.25" customHeight="1" s="38"/>
    <row r="654" ht="14.25" customHeight="1" s="38"/>
    <row r="655" ht="14.25" customHeight="1" s="38"/>
    <row r="656" ht="14.25" customHeight="1" s="38"/>
    <row r="657" ht="14.25" customHeight="1" s="38"/>
    <row r="658" ht="14.25" customHeight="1" s="38"/>
    <row r="659" ht="14.25" customHeight="1" s="38"/>
    <row r="660" ht="14.25" customHeight="1" s="38"/>
    <row r="661" ht="14.25" customHeight="1" s="38"/>
    <row r="662" ht="14.25" customHeight="1" s="38"/>
    <row r="663" ht="14.25" customHeight="1" s="38"/>
    <row r="664" ht="14.25" customHeight="1" s="38"/>
    <row r="665" ht="14.25" customHeight="1" s="38"/>
    <row r="666" ht="14.25" customHeight="1" s="38"/>
    <row r="667" ht="14.25" customHeight="1" s="38"/>
    <row r="668" ht="14.25" customHeight="1" s="38"/>
    <row r="669" ht="14.25" customHeight="1" s="38"/>
    <row r="670" ht="14.25" customHeight="1" s="38"/>
    <row r="671" ht="14.25" customHeight="1" s="38"/>
    <row r="672" ht="14.25" customHeight="1" s="38"/>
    <row r="673" ht="14.25" customHeight="1" s="38"/>
    <row r="674" ht="14.25" customHeight="1" s="38"/>
    <row r="675" ht="14.25" customHeight="1" s="38"/>
    <row r="676" ht="14.25" customHeight="1" s="38"/>
    <row r="677" ht="14.25" customHeight="1" s="38"/>
    <row r="678" ht="14.25" customHeight="1" s="38"/>
    <row r="679" ht="14.25" customHeight="1" s="38"/>
    <row r="680" ht="14.25" customHeight="1" s="38"/>
    <row r="681" ht="14.25" customHeight="1" s="38"/>
    <row r="682" ht="14.25" customHeight="1" s="38"/>
    <row r="683" ht="14.25" customHeight="1" s="38"/>
    <row r="684" ht="14.25" customHeight="1" s="38"/>
    <row r="685" ht="14.25" customHeight="1" s="38"/>
    <row r="686" ht="14.25" customHeight="1" s="38"/>
    <row r="687" ht="14.25" customHeight="1" s="38"/>
    <row r="688" ht="14.25" customHeight="1" s="38"/>
    <row r="689" ht="14.25" customHeight="1" s="38"/>
    <row r="690" ht="14.25" customHeight="1" s="38"/>
    <row r="691" ht="14.25" customHeight="1" s="38"/>
    <row r="692" ht="14.25" customHeight="1" s="38"/>
    <row r="693" ht="14.25" customHeight="1" s="38"/>
    <row r="694" ht="14.25" customHeight="1" s="38"/>
    <row r="695" ht="14.25" customHeight="1" s="38"/>
    <row r="696" ht="14.25" customHeight="1" s="38"/>
    <row r="697" ht="14.25" customHeight="1" s="38"/>
    <row r="698" ht="14.25" customHeight="1" s="38"/>
    <row r="699" ht="14.25" customHeight="1" s="38"/>
    <row r="700" ht="14.25" customHeight="1" s="38"/>
    <row r="701" ht="14.25" customHeight="1" s="38"/>
    <row r="702" ht="14.25" customHeight="1" s="38"/>
    <row r="703" ht="14.25" customHeight="1" s="38"/>
    <row r="704" ht="14.25" customHeight="1" s="38"/>
    <row r="705" ht="14.25" customHeight="1" s="38"/>
    <row r="706" ht="14.25" customHeight="1" s="38"/>
    <row r="707" ht="14.25" customHeight="1" s="38"/>
    <row r="708" ht="14.25" customHeight="1" s="38"/>
    <row r="709" ht="14.25" customHeight="1" s="38"/>
    <row r="710" ht="14.25" customHeight="1" s="38"/>
    <row r="711" ht="14.25" customHeight="1" s="38"/>
    <row r="712" ht="14.25" customHeight="1" s="38"/>
    <row r="713" ht="14.25" customHeight="1" s="38"/>
    <row r="714" ht="14.25" customHeight="1" s="38"/>
    <row r="715" ht="14.25" customHeight="1" s="38"/>
    <row r="716" ht="14.25" customHeight="1" s="38"/>
    <row r="717" ht="14.25" customHeight="1" s="38"/>
    <row r="718" ht="14.25" customHeight="1" s="38"/>
    <row r="719" ht="14.25" customHeight="1" s="38"/>
    <row r="720" ht="14.25" customHeight="1" s="38"/>
    <row r="721" ht="14.25" customHeight="1" s="38"/>
    <row r="722" ht="14.25" customHeight="1" s="38"/>
    <row r="723" ht="14.25" customHeight="1" s="38"/>
    <row r="724" ht="14.25" customHeight="1" s="38"/>
    <row r="725" ht="14.25" customHeight="1" s="38"/>
    <row r="726" ht="14.25" customHeight="1" s="38"/>
    <row r="727" ht="14.25" customHeight="1" s="38"/>
    <row r="728" ht="14.25" customHeight="1" s="38"/>
    <row r="729" ht="14.25" customHeight="1" s="38"/>
    <row r="730" ht="14.25" customHeight="1" s="38"/>
    <row r="731" ht="14.25" customHeight="1" s="38"/>
    <row r="732" ht="14.25" customHeight="1" s="38"/>
    <row r="733" ht="14.25" customHeight="1" s="38"/>
    <row r="734" ht="14.25" customHeight="1" s="38"/>
    <row r="735" ht="14.25" customHeight="1" s="38"/>
    <row r="736" ht="14.25" customHeight="1" s="38"/>
    <row r="737" ht="14.25" customHeight="1" s="38"/>
    <row r="738" ht="14.25" customHeight="1" s="38"/>
    <row r="739" ht="14.25" customHeight="1" s="38"/>
    <row r="740" ht="14.25" customHeight="1" s="38"/>
    <row r="741" ht="14.25" customHeight="1" s="38"/>
    <row r="742" ht="14.25" customHeight="1" s="38"/>
    <row r="743" ht="14.25" customHeight="1" s="38"/>
    <row r="744" ht="14.25" customHeight="1" s="38"/>
    <row r="745" ht="14.25" customHeight="1" s="38"/>
    <row r="746" ht="14.25" customHeight="1" s="38"/>
    <row r="747" ht="14.25" customHeight="1" s="38"/>
    <row r="748" ht="14.25" customHeight="1" s="38"/>
    <row r="749" ht="14.25" customHeight="1" s="38"/>
    <row r="750" ht="14.25" customHeight="1" s="38"/>
    <row r="751" ht="14.25" customHeight="1" s="38"/>
    <row r="752" ht="14.25" customHeight="1" s="38"/>
    <row r="753" ht="14.25" customHeight="1" s="38"/>
    <row r="754" ht="14.25" customHeight="1" s="38"/>
    <row r="755" ht="14.25" customHeight="1" s="38"/>
    <row r="756" ht="14.25" customHeight="1" s="38"/>
    <row r="757" ht="14.25" customHeight="1" s="38"/>
    <row r="758" ht="14.25" customHeight="1" s="38"/>
    <row r="759" ht="14.25" customHeight="1" s="38"/>
    <row r="760" ht="14.25" customHeight="1" s="38"/>
    <row r="761" ht="14.25" customHeight="1" s="38"/>
    <row r="762" ht="14.25" customHeight="1" s="38"/>
    <row r="763" ht="14.25" customHeight="1" s="38"/>
    <row r="764" ht="14.25" customHeight="1" s="38"/>
    <row r="765" ht="14.25" customHeight="1" s="38"/>
    <row r="766" ht="14.25" customHeight="1" s="38"/>
    <row r="767" ht="14.25" customHeight="1" s="38"/>
    <row r="768" ht="14.25" customHeight="1" s="38"/>
    <row r="769" ht="14.25" customHeight="1" s="38"/>
    <row r="770" ht="14.25" customHeight="1" s="38"/>
    <row r="771" ht="14.25" customHeight="1" s="38"/>
    <row r="772" ht="14.25" customHeight="1" s="38"/>
    <row r="773" ht="14.25" customHeight="1" s="38"/>
    <row r="774" ht="14.25" customHeight="1" s="38"/>
    <row r="775" ht="14.25" customHeight="1" s="38"/>
    <row r="776" ht="14.25" customHeight="1" s="38"/>
    <row r="777" ht="14.25" customHeight="1" s="38"/>
    <row r="778" ht="14.25" customHeight="1" s="38"/>
    <row r="779" ht="14.25" customHeight="1" s="38"/>
    <row r="780" ht="14.25" customHeight="1" s="38"/>
    <row r="781" ht="14.25" customHeight="1" s="38"/>
    <row r="782" ht="14.25" customHeight="1" s="38"/>
    <row r="783" ht="14.25" customHeight="1" s="38"/>
    <row r="784" ht="14.25" customHeight="1" s="38"/>
    <row r="785" ht="14.25" customHeight="1" s="38"/>
    <row r="786" ht="14.25" customHeight="1" s="38"/>
    <row r="787" ht="14.25" customHeight="1" s="38"/>
    <row r="788" ht="14.25" customHeight="1" s="38"/>
    <row r="789" ht="14.25" customHeight="1" s="38"/>
    <row r="790" ht="14.25" customHeight="1" s="38"/>
    <row r="791" ht="14.25" customHeight="1" s="38"/>
    <row r="792" ht="14.25" customHeight="1" s="38"/>
    <row r="793" ht="14.25" customHeight="1" s="38"/>
    <row r="794" ht="14.25" customHeight="1" s="38"/>
    <row r="795" ht="14.25" customHeight="1" s="38"/>
    <row r="796" ht="14.25" customHeight="1" s="38"/>
    <row r="797" ht="14.25" customHeight="1" s="38"/>
    <row r="798" ht="14.25" customHeight="1" s="38"/>
    <row r="799" ht="14.25" customHeight="1" s="38"/>
    <row r="800" ht="14.25" customHeight="1" s="38"/>
    <row r="801" ht="14.25" customHeight="1" s="38"/>
    <row r="802" ht="14.25" customHeight="1" s="38"/>
    <row r="803" ht="14.25" customHeight="1" s="38"/>
    <row r="804" ht="14.25" customHeight="1" s="38"/>
    <row r="805" ht="14.25" customHeight="1" s="38"/>
    <row r="806" ht="14.25" customHeight="1" s="38"/>
    <row r="807" ht="14.25" customHeight="1" s="38"/>
    <row r="808" ht="14.25" customHeight="1" s="38"/>
    <row r="809" ht="14.25" customHeight="1" s="38"/>
    <row r="810" ht="14.25" customHeight="1" s="38"/>
    <row r="811" ht="14.25" customHeight="1" s="38"/>
    <row r="812" ht="14.25" customHeight="1" s="38"/>
    <row r="813" ht="14.25" customHeight="1" s="38"/>
    <row r="814" ht="14.25" customHeight="1" s="38"/>
    <row r="815" ht="14.25" customHeight="1" s="38"/>
    <row r="816" ht="14.25" customHeight="1" s="38"/>
    <row r="817" ht="14.25" customHeight="1" s="38"/>
    <row r="818" ht="14.25" customHeight="1" s="38"/>
    <row r="819" ht="14.25" customHeight="1" s="38"/>
    <row r="820" ht="14.25" customHeight="1" s="38"/>
    <row r="821" ht="14.25" customHeight="1" s="38"/>
    <row r="822" ht="14.25" customHeight="1" s="38"/>
    <row r="823" ht="14.25" customHeight="1" s="38"/>
    <row r="824" ht="14.25" customHeight="1" s="38"/>
    <row r="825" ht="14.25" customHeight="1" s="38"/>
    <row r="826" ht="14.25" customHeight="1" s="38"/>
    <row r="827" ht="14.25" customHeight="1" s="38"/>
    <row r="828" ht="14.25" customHeight="1" s="38"/>
    <row r="829" ht="14.25" customHeight="1" s="38"/>
    <row r="830" ht="14.25" customHeight="1" s="38"/>
    <row r="831" ht="14.25" customHeight="1" s="38"/>
    <row r="832" ht="14.25" customHeight="1" s="38"/>
    <row r="833" ht="14.25" customHeight="1" s="38"/>
    <row r="834" ht="14.25" customHeight="1" s="38"/>
    <row r="835" ht="14.25" customHeight="1" s="38"/>
    <row r="836" ht="14.25" customHeight="1" s="38"/>
    <row r="837" ht="14.25" customHeight="1" s="38"/>
    <row r="838" ht="14.25" customHeight="1" s="38"/>
    <row r="839" ht="14.25" customHeight="1" s="38"/>
    <row r="840" ht="14.25" customHeight="1" s="38"/>
    <row r="841" ht="14.25" customHeight="1" s="38"/>
    <row r="842" ht="14.25" customHeight="1" s="38"/>
    <row r="843" ht="14.25" customHeight="1" s="38"/>
    <row r="844" ht="14.25" customHeight="1" s="38"/>
    <row r="845" ht="14.25" customHeight="1" s="38"/>
    <row r="846" ht="14.25" customHeight="1" s="38"/>
    <row r="847" ht="14.25" customHeight="1" s="38"/>
    <row r="848" ht="14.25" customHeight="1" s="38"/>
    <row r="849" ht="14.25" customHeight="1" s="38"/>
    <row r="850" ht="14.25" customHeight="1" s="38"/>
    <row r="851" ht="14.25" customHeight="1" s="38"/>
    <row r="852" ht="14.25" customHeight="1" s="38"/>
    <row r="853" ht="14.25" customHeight="1" s="38"/>
    <row r="854" ht="14.25" customHeight="1" s="38"/>
    <row r="855" ht="14.25" customHeight="1" s="38"/>
    <row r="856" ht="14.25" customHeight="1" s="38"/>
    <row r="857" ht="14.25" customHeight="1" s="38"/>
    <row r="858" ht="14.25" customHeight="1" s="38"/>
    <row r="859" ht="14.25" customHeight="1" s="38"/>
    <row r="860" ht="14.25" customHeight="1" s="38"/>
    <row r="861" ht="14.25" customHeight="1" s="38"/>
    <row r="862" ht="14.25" customHeight="1" s="38"/>
    <row r="863" ht="14.25" customHeight="1" s="38"/>
    <row r="864" ht="14.25" customHeight="1" s="38"/>
    <row r="865" ht="14.25" customHeight="1" s="38"/>
    <row r="866" ht="14.25" customHeight="1" s="38"/>
    <row r="867" ht="14.25" customHeight="1" s="38"/>
    <row r="868" ht="14.25" customHeight="1" s="38"/>
    <row r="869" ht="14.25" customHeight="1" s="38"/>
    <row r="870" ht="14.25" customHeight="1" s="38"/>
    <row r="871" ht="14.25" customHeight="1" s="38"/>
    <row r="872" ht="14.25" customHeight="1" s="38"/>
    <row r="873" ht="14.25" customHeight="1" s="38"/>
    <row r="874" ht="14.25" customHeight="1" s="38"/>
    <row r="875" ht="14.25" customHeight="1" s="38"/>
    <row r="876" ht="14.25" customHeight="1" s="38"/>
    <row r="877" ht="14.25" customHeight="1" s="38"/>
    <row r="878" ht="14.25" customHeight="1" s="38"/>
    <row r="879" ht="14.25" customHeight="1" s="38"/>
    <row r="880" ht="14.25" customHeight="1" s="38"/>
    <row r="881" ht="14.25" customHeight="1" s="38"/>
    <row r="882" ht="14.25" customHeight="1" s="38"/>
    <row r="883" ht="14.25" customHeight="1" s="38"/>
    <row r="884" ht="14.25" customHeight="1" s="38"/>
    <row r="885" ht="14.25" customHeight="1" s="38"/>
    <row r="886" ht="14.25" customHeight="1" s="38"/>
    <row r="887" ht="14.25" customHeight="1" s="38"/>
    <row r="888" ht="14.25" customHeight="1" s="38"/>
    <row r="889" ht="14.25" customHeight="1" s="38"/>
    <row r="890" ht="14.25" customHeight="1" s="38"/>
    <row r="891" ht="14.25" customHeight="1" s="38"/>
    <row r="892" ht="14.25" customHeight="1" s="38"/>
    <row r="893" ht="14.25" customHeight="1" s="38"/>
    <row r="894" ht="14.25" customHeight="1" s="38"/>
    <row r="895" ht="14.25" customHeight="1" s="38"/>
    <row r="896" ht="14.25" customHeight="1" s="38"/>
    <row r="897" ht="14.25" customHeight="1" s="38"/>
    <row r="898" ht="14.25" customHeight="1" s="38"/>
    <row r="899" ht="14.25" customHeight="1" s="38"/>
    <row r="900" ht="14.25" customHeight="1" s="38"/>
    <row r="901" ht="14.25" customHeight="1" s="38"/>
    <row r="902" ht="14.25" customHeight="1" s="38"/>
    <row r="903" ht="14.25" customHeight="1" s="38"/>
    <row r="904" ht="14.25" customHeight="1" s="38"/>
    <row r="905" ht="14.25" customHeight="1" s="38"/>
    <row r="906" ht="14.25" customHeight="1" s="38"/>
    <row r="907" ht="14.25" customHeight="1" s="38"/>
    <row r="908" ht="14.25" customHeight="1" s="38"/>
    <row r="909" ht="14.25" customHeight="1" s="38"/>
    <row r="910" ht="14.25" customHeight="1" s="38"/>
    <row r="911" ht="14.25" customHeight="1" s="38"/>
    <row r="912" ht="14.25" customHeight="1" s="38"/>
    <row r="913" ht="14.25" customHeight="1" s="38"/>
    <row r="914" ht="14.25" customHeight="1" s="38"/>
    <row r="915" ht="14.25" customHeight="1" s="38"/>
    <row r="916" ht="14.25" customHeight="1" s="38"/>
    <row r="917" ht="14.25" customHeight="1" s="38"/>
    <row r="918" ht="14.25" customHeight="1" s="38"/>
    <row r="919" ht="14.25" customHeight="1" s="38"/>
    <row r="920" ht="14.25" customHeight="1" s="38"/>
    <row r="921" ht="14.25" customHeight="1" s="38"/>
    <row r="922" ht="14.25" customHeight="1" s="38"/>
    <row r="923" ht="14.25" customHeight="1" s="38"/>
    <row r="924" ht="14.25" customHeight="1" s="38"/>
    <row r="925" ht="14.25" customHeight="1" s="38"/>
    <row r="926" ht="14.25" customHeight="1" s="38"/>
    <row r="927" ht="14.25" customHeight="1" s="38"/>
    <row r="928" ht="14.25" customHeight="1" s="38"/>
    <row r="929" ht="14.25" customHeight="1" s="38"/>
    <row r="930" ht="14.25" customHeight="1" s="38"/>
    <row r="931" ht="14.25" customHeight="1" s="38"/>
    <row r="932" ht="14.25" customHeight="1" s="38"/>
    <row r="933" ht="14.25" customHeight="1" s="38"/>
    <row r="934" ht="14.25" customHeight="1" s="38"/>
    <row r="935" ht="14.25" customHeight="1" s="38"/>
    <row r="936" ht="14.25" customHeight="1" s="38"/>
    <row r="937" ht="14.25" customHeight="1" s="38"/>
    <row r="938" ht="14.25" customHeight="1" s="38"/>
    <row r="939" ht="14.25" customHeight="1" s="38"/>
    <row r="940" ht="14.25" customHeight="1" s="38"/>
    <row r="941" ht="14.25" customHeight="1" s="38"/>
    <row r="942" ht="14.25" customHeight="1" s="38"/>
    <row r="943" ht="14.25" customHeight="1" s="38"/>
    <row r="944" ht="14.25" customHeight="1" s="38"/>
    <row r="945" ht="14.25" customHeight="1" s="38"/>
    <row r="946" ht="14.25" customHeight="1" s="38"/>
    <row r="947" ht="14.25" customHeight="1" s="38"/>
    <row r="948" ht="14.25" customHeight="1" s="38"/>
    <row r="949" ht="14.25" customHeight="1" s="38"/>
    <row r="950" ht="14.25" customHeight="1" s="38"/>
    <row r="951" ht="14.25" customHeight="1" s="38"/>
    <row r="952" ht="14.25" customHeight="1" s="38"/>
    <row r="953" ht="14.25" customHeight="1" s="38"/>
    <row r="954" ht="14.25" customHeight="1" s="38"/>
    <row r="955" ht="14.25" customHeight="1" s="38"/>
    <row r="956" ht="14.25" customHeight="1" s="38"/>
    <row r="957" ht="14.25" customHeight="1" s="38"/>
    <row r="958" ht="14.25" customHeight="1" s="38"/>
    <row r="959" ht="14.25" customHeight="1" s="38"/>
    <row r="960" ht="14.25" customHeight="1" s="38"/>
    <row r="961" ht="14.25" customHeight="1" s="38"/>
    <row r="962" ht="14.25" customHeight="1" s="38"/>
    <row r="963" ht="14.25" customHeight="1" s="38"/>
    <row r="964" ht="14.25" customHeight="1" s="38"/>
    <row r="965" ht="14.25" customHeight="1" s="38"/>
    <row r="966" ht="14.25" customHeight="1" s="38"/>
    <row r="967" ht="14.25" customHeight="1" s="38"/>
    <row r="968" ht="14.25" customHeight="1" s="38"/>
    <row r="969" ht="14.25" customHeight="1" s="38"/>
    <row r="970" ht="14.25" customHeight="1" s="38"/>
    <row r="971" ht="14.25" customHeight="1" s="38"/>
    <row r="972" ht="14.25" customHeight="1" s="38"/>
    <row r="973" ht="14.25" customHeight="1" s="38"/>
    <row r="974" ht="14.25" customHeight="1" s="38"/>
    <row r="975" ht="14.25" customHeight="1" s="38"/>
    <row r="976" ht="14.25" customHeight="1" s="38"/>
    <row r="977" ht="14.25" customHeight="1" s="38"/>
    <row r="978" ht="14.25" customHeight="1" s="38"/>
    <row r="979" ht="14.25" customHeight="1" s="38"/>
    <row r="980" ht="14.25" customHeight="1" s="38"/>
    <row r="981" ht="14.25" customHeight="1" s="38"/>
    <row r="982" ht="14.25" customHeight="1" s="38"/>
    <row r="983" ht="14.25" customHeight="1" s="38"/>
    <row r="984" ht="14.25" customHeight="1" s="38"/>
    <row r="985" ht="14.25" customHeight="1" s="38"/>
    <row r="986" ht="14.25" customHeight="1" s="38"/>
    <row r="987" ht="14.25" customHeight="1" s="38"/>
    <row r="988" ht="14.25" customHeight="1" s="38"/>
    <row r="989" ht="14.25" customHeight="1" s="38"/>
    <row r="990" ht="14.25" customHeight="1" s="38"/>
    <row r="991" ht="14.25" customHeight="1" s="38"/>
    <row r="992" ht="14.25" customHeight="1" s="38"/>
    <row r="993" ht="14.25" customHeight="1" s="38"/>
    <row r="994" ht="14.25" customHeight="1" s="38"/>
    <row r="995" ht="14.25" customHeight="1" s="38"/>
    <row r="996" ht="14.25" customHeight="1" s="38"/>
    <row r="997" ht="14.25" customHeight="1" s="38"/>
    <row r="998" ht="14.25" customHeight="1" s="38"/>
    <row r="999" ht="14.25" customHeight="1" s="38"/>
    <row r="1000" ht="14.25" customHeight="1" s="38"/>
  </sheetData>
  <autoFilter ref="$A$4:$S$104"/>
  <mergeCells count="3">
    <mergeCell ref="A3:S3"/>
    <mergeCell ref="A2:S2"/>
    <mergeCell ref="A1:S1"/>
  </mergeCells>
  <pageMargins left="0.25" right="0.25" top="0.35" bottom="0.35" header="0" footer="0"/>
  <pageSetup orientation="landscape" paperSize="9" fitToHeight="0"/>
  <headerFooter>
    <oddHeader/>
    <oddFooter>&amp;CParoki St. Klement I Sepinggan Balikpapan • Statistik 2026&amp;RHalaman &amp;P dari 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G37"/>
  <sheetViews>
    <sheetView showGridLines="0" workbookViewId="0">
      <selection activeCell="A1" sqref="A1"/>
    </sheetView>
  </sheetViews>
  <sheetFormatPr baseColWidth="8" defaultColWidth="14.43" defaultRowHeight="15" customHeight="1"/>
  <cols>
    <col width="32" customWidth="1" style="38" min="1" max="1"/>
    <col width="14" customWidth="1" style="38" min="2" max="4"/>
    <col width="4" customWidth="1" style="38" min="5" max="5"/>
    <col width="32" customWidth="1" style="38" min="6" max="6"/>
    <col width="14" customWidth="1" style="38" min="7" max="7"/>
    <col width="9" customWidth="1" style="38" min="8" max="26"/>
  </cols>
  <sheetData>
    <row r="1" ht="14.25" customHeight="1" s="38">
      <c r="A1" s="42" t="inlineStr">
        <is>
          <t>REKAP DETAIL STATISTIK 2026</t>
        </is>
      </c>
      <c r="B1" s="43" t="n"/>
      <c r="C1" s="43" t="n"/>
      <c r="D1" s="43" t="n"/>
      <c r="E1" s="43" t="n"/>
      <c r="F1" s="43" t="n"/>
      <c r="G1" s="44" t="n"/>
    </row>
    <row r="2" ht="14.25" customHeight="1" s="38">
      <c r="A2" s="23" t="n"/>
      <c r="B2" s="23" t="n"/>
      <c r="C2" s="23" t="n"/>
      <c r="D2" s="23" t="n"/>
      <c r="E2" s="23" t="n"/>
      <c r="F2" s="23" t="n"/>
      <c r="G2" s="23" t="n"/>
    </row>
    <row r="3" ht="14.25" customHeight="1" s="38">
      <c r="A3" s="24" t="inlineStr">
        <is>
          <t>2. JUMLAH YANG DIBAPTIS — UMUR &amp; JENIS KELAMIN</t>
        </is>
      </c>
      <c r="B3" s="23" t="n"/>
      <c r="C3" s="23" t="n"/>
      <c r="D3" s="23" t="n"/>
      <c r="E3" s="23" t="n"/>
      <c r="F3" s="24" t="inlineStr">
        <is>
          <t>3. PINDAH AGAMA — AGAMA BARU</t>
        </is>
      </c>
      <c r="G3" s="23" t="n"/>
    </row>
    <row r="4" ht="14.25" customHeight="1" s="38">
      <c r="A4" s="25" t="inlineStr">
        <is>
          <t>Kelompok Umur</t>
        </is>
      </c>
      <c r="B4" s="25" t="inlineStr">
        <is>
          <t>Pria/Laki-laki</t>
        </is>
      </c>
      <c r="C4" s="25" t="inlineStr">
        <is>
          <t>Wanita/Perempuan</t>
        </is>
      </c>
      <c r="D4" s="25" t="inlineStr">
        <is>
          <t>Jumlah</t>
        </is>
      </c>
      <c r="E4" s="23" t="n"/>
      <c r="F4" s="25" t="inlineStr">
        <is>
          <t>Agama Baru</t>
        </is>
      </c>
      <c r="G4" s="25" t="inlineStr">
        <is>
          <t>Jumlah</t>
        </is>
      </c>
    </row>
    <row r="5" ht="14.25" customHeight="1" s="38">
      <c r="A5" s="23" t="inlineStr">
        <is>
          <t>&lt; 1 tahun</t>
        </is>
      </c>
      <c r="B5" s="23">
        <f>COUNTIFS(BAPTIS!$D$2:$D$1001,"Pria/Laki-laki",BAPTIS!$F$2:$F$1001,"&gt;="&amp;DATE(2026,1,1),BAPTIS!$F$2:$F$1001,"&lt;="&amp;DATE(2026,12,31),BAPTIS!$G$2:$G$1001,0)</f>
        <v/>
      </c>
      <c r="C5" s="23">
        <f>COUNTIFS(BAPTIS!$D$2:$D$1001,"Wanita/Perempuan",BAPTIS!$F$2:$F$1001,"&gt;="&amp;DATE(2026,1,1),BAPTIS!$F$2:$F$1001,"&lt;="&amp;DATE(2026,12,31),BAPTIS!$G$2:$G$1001,0)</f>
        <v/>
      </c>
      <c r="D5" s="23">
        <f>SUM(B5:C5)</f>
        <v/>
      </c>
      <c r="E5" s="23" t="n"/>
      <c r="F5" s="23" t="inlineStr">
        <is>
          <t>Kristen Lain</t>
        </is>
      </c>
      <c r="G5" s="23">
        <f>COUNTIFS('PINDAH AGAMA'!$E$2:$E$1001,F5,'PINDAH AGAMA'!$D$2:$D$1001,"&gt;="&amp;DATE(2026,1,1),'PINDAH AGAMA'!$D$2:$D$1001,"&lt;="&amp;DATE(2026,12,31))</f>
        <v/>
      </c>
    </row>
    <row r="6" ht="14.25" customHeight="1" s="38">
      <c r="A6" s="23" t="inlineStr">
        <is>
          <t>1 tahun s/d hampir 7 tahun</t>
        </is>
      </c>
      <c r="B6" s="23">
        <f>COUNTIFS(BAPTIS!$D$2:$D$1001,"Pria/Laki-laki",BAPTIS!$F$2:$F$1001,"&gt;="&amp;DATE(2026,1,1),BAPTIS!$F$2:$F$1001,"&lt;="&amp;DATE(2026,12,31),BAPTIS!$G$2:$G$1001,"&gt;=1",BAPTIS!$G$2:$G$1001,"&lt;7")</f>
        <v/>
      </c>
      <c r="C6" s="23">
        <f>COUNTIFS(BAPTIS!$D$2:$D$1001,"Wanita/Perempuan",BAPTIS!$F$2:$F$1001,"&gt;="&amp;DATE(2026,1,1),BAPTIS!$F$2:$F$1001,"&lt;="&amp;DATE(2026,12,31),BAPTIS!$G$2:$G$1001,"&gt;=1",BAPTIS!$G$2:$G$1001,"&lt;7")</f>
        <v/>
      </c>
      <c r="D6" s="23">
        <f>SUM(B6:C6)</f>
        <v/>
      </c>
      <c r="E6" s="23" t="n"/>
      <c r="F6" s="23" t="inlineStr">
        <is>
          <t>Buddha</t>
        </is>
      </c>
      <c r="G6" s="23">
        <f>COUNTIFS('PINDAH AGAMA'!$E$2:$E$1001,F6,'PINDAH AGAMA'!$D$2:$D$1001,"&gt;="&amp;DATE(2026,1,1),'PINDAH AGAMA'!$D$2:$D$1001,"&lt;="&amp;DATE(2026,12,31))</f>
        <v/>
      </c>
    </row>
    <row r="7" ht="14.25" customHeight="1" s="38">
      <c r="A7" s="23" t="inlineStr">
        <is>
          <t>7 tahun ke atas</t>
        </is>
      </c>
      <c r="B7" s="23">
        <f>COUNTIFS(BAPTIS!$D$2:$D$1001,"Pria/Laki-laki",BAPTIS!$F$2:$F$1001,"&gt;="&amp;DATE(2026,1,1),BAPTIS!$F$2:$F$1001,"&lt;="&amp;DATE(2026,12,31),BAPTIS!$G$2:$G$1001,"&gt;=7")</f>
        <v/>
      </c>
      <c r="C7" s="23">
        <f>COUNTIFS(BAPTIS!$D$2:$D$1001,"Wanita/Perempuan",BAPTIS!$F$2:$F$1001,"&gt;="&amp;DATE(2026,1,1),BAPTIS!$F$2:$F$1001,"&lt;="&amp;DATE(2026,12,31),BAPTIS!$G$2:$G$1001,"&gt;=7")</f>
        <v/>
      </c>
      <c r="D7" s="23">
        <f>SUM(B7:C7)</f>
        <v/>
      </c>
      <c r="E7" s="23" t="n"/>
      <c r="F7" s="23" t="inlineStr">
        <is>
          <t>Konghucu</t>
        </is>
      </c>
      <c r="G7" s="23">
        <f>COUNTIFS('PINDAH AGAMA'!$E$2:$E$1001,F7,'PINDAH AGAMA'!$D$2:$D$1001,"&gt;="&amp;DATE(2026,1,1),'PINDAH AGAMA'!$D$2:$D$1001,"&lt;="&amp;DATE(2026,12,31))</f>
        <v/>
      </c>
    </row>
    <row r="8" ht="14.25" customHeight="1" s="38">
      <c r="A8" s="23" t="inlineStr">
        <is>
          <t>JUMLAH TOTAL</t>
        </is>
      </c>
      <c r="B8" s="23">
        <f>SUM(B5:B7)</f>
        <v/>
      </c>
      <c r="C8" s="23">
        <f>SUM(C5:C7)</f>
        <v/>
      </c>
      <c r="D8" s="23">
        <f>SUM(D5:D7)</f>
        <v/>
      </c>
      <c r="E8" s="23" t="n"/>
      <c r="F8" s="23" t="inlineStr">
        <is>
          <t>Islam</t>
        </is>
      </c>
      <c r="G8" s="23">
        <f>COUNTIFS('PINDAH AGAMA'!$E$2:$E$1001,F8,'PINDAH AGAMA'!$D$2:$D$1001,"&gt;="&amp;DATE(2026,1,1),'PINDAH AGAMA'!$D$2:$D$1001,"&lt;="&amp;DATE(2026,12,31))</f>
        <v/>
      </c>
    </row>
    <row r="9" ht="14.25" customHeight="1" s="38">
      <c r="A9" s="23" t="n"/>
      <c r="B9" s="23" t="n"/>
      <c r="C9" s="23" t="n"/>
      <c r="D9" s="23" t="n"/>
      <c r="E9" s="23" t="n"/>
      <c r="F9" s="23" t="inlineStr">
        <is>
          <t>Hindu</t>
        </is>
      </c>
      <c r="G9" s="23">
        <f>COUNTIFS('PINDAH AGAMA'!$E$2:$E$1001,F9,'PINDAH AGAMA'!$D$2:$D$1001,"&gt;="&amp;DATE(2026,1,1),'PINDAH AGAMA'!$D$2:$D$1001,"&lt;="&amp;DATE(2026,12,31))</f>
        <v/>
      </c>
    </row>
    <row r="10" ht="14.25" customHeight="1" s="38">
      <c r="A10" s="24" t="inlineStr">
        <is>
          <t>4. JUMLAH PENERIMA KOMUNI PERTAMA</t>
        </is>
      </c>
      <c r="B10" s="23" t="n"/>
      <c r="C10" s="23" t="n"/>
      <c r="D10" s="23" t="n"/>
      <c r="E10" s="23" t="n"/>
      <c r="F10" s="23" t="inlineStr">
        <is>
          <t>Lain-lain</t>
        </is>
      </c>
      <c r="G10" s="23">
        <f>COUNTIFS('PINDAH AGAMA'!$E$2:$E$1001,F10,'PINDAH AGAMA'!$D$2:$D$1001,"&gt;="&amp;DATE(2026,1,1),'PINDAH AGAMA'!$D$2:$D$1001,"&lt;="&amp;DATE(2026,12,31))</f>
        <v/>
      </c>
    </row>
    <row r="11" ht="14.25" customHeight="1" s="38">
      <c r="A11" s="25" t="inlineStr">
        <is>
          <t>Jenis Kelamin</t>
        </is>
      </c>
      <c r="B11" s="25" t="inlineStr">
        <is>
          <t>Jumlah</t>
        </is>
      </c>
      <c r="C11" s="23" t="n"/>
      <c r="D11" s="23" t="n"/>
      <c r="E11" s="23" t="n"/>
      <c r="F11" s="23" t="inlineStr">
        <is>
          <t>JUMLAH KESELURUHAN</t>
        </is>
      </c>
      <c r="G11" s="23">
        <f>SUM(G5:G10)</f>
        <v/>
      </c>
    </row>
    <row r="12" ht="14.25" customHeight="1" s="38">
      <c r="A12" s="23" t="inlineStr">
        <is>
          <t>Pria/Laki-laki</t>
        </is>
      </c>
      <c r="B12" s="23">
        <f>COUNTIFS('KOMUNI PERTAMA'!$D$2:$D$1001,A12,'KOMUNI PERTAMA'!$E$2:$E$1001,"&gt;="&amp;DATE(2026,1,1),'KOMUNI PERTAMA'!$E$2:$E$1001,"&lt;="&amp;DATE(2026,12,31))</f>
        <v/>
      </c>
      <c r="C12" s="23" t="n"/>
      <c r="D12" s="23" t="n"/>
      <c r="E12" s="23" t="n"/>
      <c r="F12" s="23" t="n"/>
      <c r="G12" s="23" t="n"/>
    </row>
    <row r="13" ht="14.25" customHeight="1" s="38">
      <c r="A13" s="23" t="inlineStr">
        <is>
          <t>Wanita/Perempuan</t>
        </is>
      </c>
      <c r="B13" s="23">
        <f>COUNTIFS('KOMUNI PERTAMA'!$D$2:$D$1001,A13,'KOMUNI PERTAMA'!$E$2:$E$1001,"&gt;="&amp;DATE(2026,1,1),'KOMUNI PERTAMA'!$E$2:$E$1001,"&lt;="&amp;DATE(2026,12,31))</f>
        <v/>
      </c>
      <c r="C13" s="23" t="n"/>
      <c r="D13" s="23" t="n"/>
      <c r="E13" s="23" t="n"/>
      <c r="F13" s="24" t="inlineStr">
        <is>
          <t>5. JUMLAH PASANGAN PERKAWINAN GEREJANI</t>
        </is>
      </c>
      <c r="G13" s="23" t="n"/>
    </row>
    <row r="14" ht="14.25" customHeight="1" s="38">
      <c r="A14" s="23" t="inlineStr">
        <is>
          <t>JUMLAH</t>
        </is>
      </c>
      <c r="B14" s="23">
        <f>SUM(B12:B13)</f>
        <v/>
      </c>
      <c r="C14" s="23" t="n"/>
      <c r="D14" s="23" t="n"/>
      <c r="E14" s="23" t="n"/>
      <c r="F14" s="25" t="inlineStr">
        <is>
          <t>Agama Pasangan</t>
        </is>
      </c>
      <c r="G14" s="25" t="inlineStr">
        <is>
          <t>Jumlah</t>
        </is>
      </c>
    </row>
    <row r="15" ht="14.25" customHeight="1" s="38">
      <c r="A15" s="23" t="n"/>
      <c r="B15" s="23" t="n"/>
      <c r="C15" s="23" t="n"/>
      <c r="D15" s="23" t="n"/>
      <c r="E15" s="23" t="n"/>
      <c r="F15" s="23" t="inlineStr">
        <is>
          <t>Keduanya Katolik</t>
        </is>
      </c>
      <c r="G15" s="23">
        <f>COUNTIFS('PERKAWINAN GEREJANI'!$E$2:$E$1001,F15,'PERKAWINAN GEREJANI'!$D$2:$D$1001,"&gt;="&amp;DATE(2026,1,1),'PERKAWINAN GEREJANI'!$D$2:$D$1001,"&lt;="&amp;DATE(2026,12,31))</f>
        <v/>
      </c>
    </row>
    <row r="16" ht="14.25" customHeight="1" s="38">
      <c r="A16" s="23" t="n"/>
      <c r="B16" s="23" t="n"/>
      <c r="C16" s="23" t="n"/>
      <c r="D16" s="23" t="n"/>
      <c r="E16" s="23" t="n"/>
      <c r="F16" s="23" t="inlineStr">
        <is>
          <t>Katolik dan Katekumen</t>
        </is>
      </c>
      <c r="G16" s="23">
        <f>COUNTIFS('PERKAWINAN GEREJANI'!$E$2:$E$1001,F16,'PERKAWINAN GEREJANI'!$D$2:$D$1001,"&gt;="&amp;DATE(2026,1,1),'PERKAWINAN GEREJANI'!$D$2:$D$1001,"&lt;="&amp;DATE(2026,12,31))</f>
        <v/>
      </c>
    </row>
    <row r="17" ht="14.25" customHeight="1" s="38">
      <c r="A17" s="24" t="inlineStr">
        <is>
          <t>6. PEMBUBARAN PERKAWINAN</t>
        </is>
      </c>
      <c r="B17" s="23" t="n"/>
      <c r="C17" s="23" t="n"/>
      <c r="D17" s="23" t="n"/>
      <c r="E17" s="23" t="n"/>
      <c r="F17" s="23" t="inlineStr">
        <is>
          <t>Katolik dan Kristen Lain</t>
        </is>
      </c>
      <c r="G17" s="23">
        <f>COUNTIFS('PERKAWINAN GEREJANI'!$E$2:$E$1001,F17,'PERKAWINAN GEREJANI'!$D$2:$D$1001,"&gt;="&amp;DATE(2026,1,1),'PERKAWINAN GEREJANI'!$D$2:$D$1001,"&lt;="&amp;DATE(2026,12,31))</f>
        <v/>
      </c>
    </row>
    <row r="18" ht="14.25" customHeight="1" s="38">
      <c r="A18" s="25" t="inlineStr">
        <is>
          <t>Pelaksanaan Lewat</t>
        </is>
      </c>
      <c r="B18" s="25" t="inlineStr">
        <is>
          <t>Jumlah</t>
        </is>
      </c>
      <c r="C18" s="23" t="n"/>
      <c r="D18" s="23" t="n"/>
      <c r="E18" s="23" t="n"/>
      <c r="F18" s="23" t="inlineStr">
        <is>
          <t>Katolik dan Non-Kristen</t>
        </is>
      </c>
      <c r="G18" s="23">
        <f>COUNTIFS('PERKAWINAN GEREJANI'!$E$2:$E$1001,F18,'PERKAWINAN GEREJANI'!$D$2:$D$1001,"&gt;="&amp;DATE(2026,1,1),'PERKAWINAN GEREJANI'!$D$2:$D$1001,"&lt;="&amp;DATE(2026,12,31))</f>
        <v/>
      </c>
    </row>
    <row r="19" ht="14.25" customHeight="1" s="38">
      <c r="A19" s="23" t="inlineStr">
        <is>
          <t>Penguasa Gereja</t>
        </is>
      </c>
      <c r="B19" s="23">
        <f>COUNTIFS(PEMBUBARAN!$E$2:$E$1001,A19,PEMBUBARAN!$D$2:$D$1001,"&gt;="&amp;DATE(2026,1,1),PEMBUBARAN!$D$2:$D$1001,"&lt;="&amp;DATE(2026,12,31))</f>
        <v/>
      </c>
      <c r="C19" s="23" t="n"/>
      <c r="D19" s="23" t="n"/>
      <c r="E19" s="23" t="n"/>
      <c r="F19" s="23" t="inlineStr">
        <is>
          <t>JUMLAH KESELURUHAN</t>
        </is>
      </c>
      <c r="G19" s="23">
        <f>SUM(G15:G18)</f>
        <v/>
      </c>
    </row>
    <row r="20" ht="14.25" customHeight="1" s="38">
      <c r="A20" s="23" t="inlineStr">
        <is>
          <t>Catatan Sipil saja</t>
        </is>
      </c>
      <c r="B20" s="23">
        <f>COUNTIFS(PEMBUBARAN!$E$2:$E$1001,A20,PEMBUBARAN!$D$2:$D$1001,"&gt;="&amp;DATE(2026,1,1),PEMBUBARAN!$D$2:$D$1001,"&lt;="&amp;DATE(2026,12,31))</f>
        <v/>
      </c>
      <c r="C20" s="23" t="n"/>
      <c r="D20" s="23" t="n"/>
      <c r="E20" s="23" t="n"/>
      <c r="F20" s="23" t="n"/>
      <c r="G20" s="23" t="n"/>
    </row>
    <row r="21" ht="14.25" customHeight="1" s="38">
      <c r="A21" s="23" t="inlineStr">
        <is>
          <t>Lainnya</t>
        </is>
      </c>
      <c r="B21" s="23">
        <f>COUNTIFS(PEMBUBARAN!$E$2:$E$1001,A21,PEMBUBARAN!$D$2:$D$1001,"&gt;="&amp;DATE(2026,1,1),PEMBUBARAN!$D$2:$D$1001,"&lt;="&amp;DATE(2026,12,31))</f>
        <v/>
      </c>
      <c r="C21" s="23" t="n"/>
      <c r="D21" s="23" t="n"/>
      <c r="E21" s="23" t="n"/>
      <c r="F21" s="24" t="inlineStr">
        <is>
          <t>7. PENERIMA SAKRAMEN PERMINYAKAN SUCI</t>
        </is>
      </c>
      <c r="G21" s="23" t="n"/>
    </row>
    <row r="22" ht="14.25" customHeight="1" s="38">
      <c r="A22" s="23" t="inlineStr">
        <is>
          <t>JUMLAH</t>
        </is>
      </c>
      <c r="B22" s="23">
        <f>SUM(B19:B21)</f>
        <v/>
      </c>
      <c r="C22" s="23" t="n"/>
      <c r="D22" s="23" t="n"/>
      <c r="E22" s="23" t="n"/>
      <c r="F22" s="25" t="inlineStr">
        <is>
          <t>Jenis Kelamin</t>
        </is>
      </c>
      <c r="G22" s="25" t="inlineStr">
        <is>
          <t>Jumlah</t>
        </is>
      </c>
    </row>
    <row r="23" ht="14.25" customHeight="1" s="38">
      <c r="A23" s="23" t="n"/>
      <c r="B23" s="23" t="n"/>
      <c r="C23" s="23" t="n"/>
      <c r="D23" s="23" t="n"/>
      <c r="E23" s="23" t="n"/>
      <c r="F23" s="23" t="inlineStr">
        <is>
          <t>Pria/Laki-laki</t>
        </is>
      </c>
      <c r="G23" s="23">
        <f>COUNTIFS('PERMINYAKAN SUCI'!$D$2:$D$1001,F23,'PERMINYAKAN SUCI'!$E$2:$E$1001,"&gt;="&amp;DATE(2026,1,1),'PERMINYAKAN SUCI'!$E$2:$E$1001,"&lt;="&amp;DATE(2026,12,31))</f>
        <v/>
      </c>
    </row>
    <row r="24" ht="14.25" customHeight="1" s="38">
      <c r="A24" s="23" t="n"/>
      <c r="B24" s="23" t="n"/>
      <c r="C24" s="23" t="n"/>
      <c r="D24" s="23" t="n"/>
      <c r="E24" s="23" t="n"/>
      <c r="F24" s="23" t="inlineStr">
        <is>
          <t>Wanita/Perempuan</t>
        </is>
      </c>
      <c r="G24" s="23">
        <f>COUNTIFS('PERMINYAKAN SUCI'!$D$2:$D$1001,F24,'PERMINYAKAN SUCI'!$E$2:$E$1001,"&gt;="&amp;DATE(2026,1,1),'PERMINYAKAN SUCI'!$E$2:$E$1001,"&lt;="&amp;DATE(2026,12,31))</f>
        <v/>
      </c>
    </row>
    <row r="25" ht="14.25" customHeight="1" s="38">
      <c r="A25" s="24" t="inlineStr">
        <is>
          <t>8. UMAT MENINGGAL — UMUR &amp; JENIS KELAMIN</t>
        </is>
      </c>
      <c r="B25" s="23" t="n"/>
      <c r="C25" s="23" t="n"/>
      <c r="D25" s="23" t="n"/>
      <c r="E25" s="23" t="n"/>
      <c r="F25" s="23" t="inlineStr">
        <is>
          <t>JUMLAH</t>
        </is>
      </c>
      <c r="G25" s="23">
        <f>SUM(G23:G24)</f>
        <v/>
      </c>
    </row>
    <row r="26" ht="14.25" customHeight="1" s="38">
      <c r="A26" s="25" t="inlineStr">
        <is>
          <t>Kelompok Umur</t>
        </is>
      </c>
      <c r="B26" s="25" t="inlineStr">
        <is>
          <t>Pria</t>
        </is>
      </c>
      <c r="C26" s="25" t="inlineStr">
        <is>
          <t>Wanita</t>
        </is>
      </c>
      <c r="D26" s="25" t="inlineStr">
        <is>
          <t>Jumlah</t>
        </is>
      </c>
      <c r="E26" s="23" t="n"/>
      <c r="F26" s="23" t="n"/>
      <c r="G26" s="23" t="n"/>
    </row>
    <row r="27" ht="14.25" customHeight="1" s="38">
      <c r="A27" s="23" t="inlineStr">
        <is>
          <t>Anak-anak (7 tahun ke bawah)</t>
        </is>
      </c>
      <c r="B27" s="23">
        <f>COUNTIFS(KEMATIAN!$D$2:$D$1001,"Pria/Laki-laki",KEMATIAN!$G$2:$G$1001,"&lt;=7",KEMATIAN!$F$2:$F$1001,"&gt;="&amp;DATE(2026,1,1),KEMATIAN!$F$2:$F$1001,"&lt;="&amp;DATE(2026,12,31))</f>
        <v/>
      </c>
      <c r="C27" s="23">
        <f>COUNTIFS(KEMATIAN!$D$2:$D$1001,"Wanita/Perempuan",KEMATIAN!$G$2:$G$1001,"&lt;=7",KEMATIAN!$F$2:$F$1001,"&gt;="&amp;DATE(2026,1,1),KEMATIAN!$F$2:$F$1001,"&lt;="&amp;DATE(2026,12,31))</f>
        <v/>
      </c>
      <c r="D27" s="23">
        <f>SUM(B27:C27)</f>
        <v/>
      </c>
      <c r="E27" s="23" t="n"/>
      <c r="F27" s="24" t="inlineStr">
        <is>
          <t>9. MULAI MASUK SEMINARI/BIARA 2026</t>
        </is>
      </c>
      <c r="G27" s="23" t="n"/>
    </row>
    <row r="28" ht="14.25" customHeight="1" s="38">
      <c r="A28" s="23" t="inlineStr">
        <is>
          <t>Dewasa (di atas 7 tahun)</t>
        </is>
      </c>
      <c r="B28" s="23">
        <f>COUNTIFS(KEMATIAN!$D$2:$D$1001,"Pria/Laki-laki",KEMATIAN!$G$2:$G$1001,"&gt;7",KEMATIAN!$F$2:$F$1001,"&gt;="&amp;DATE(2026,1,1),KEMATIAN!$F$2:$F$1001,"&lt;="&amp;DATE(2026,12,31))</f>
        <v/>
      </c>
      <c r="C28" s="23">
        <f>COUNTIFS(KEMATIAN!$D$2:$D$1001,"Wanita/Perempuan",KEMATIAN!$G$2:$G$1001,"&gt;7",KEMATIAN!$F$2:$F$1001,"&gt;="&amp;DATE(2026,1,1),KEMATIAN!$F$2:$F$1001,"&lt;="&amp;DATE(2026,12,31))</f>
        <v/>
      </c>
      <c r="D28" s="23">
        <f>SUM(B28:C28)</f>
        <v/>
      </c>
      <c r="E28" s="23" t="n"/>
      <c r="F28" s="25" t="inlineStr">
        <is>
          <t>Jalur</t>
        </is>
      </c>
      <c r="G28" s="25" t="inlineStr">
        <is>
          <t>Jumlah</t>
        </is>
      </c>
    </row>
    <row r="29" ht="14.25" customHeight="1" s="38">
      <c r="A29" s="23" t="inlineStr">
        <is>
          <t>JUMLAH</t>
        </is>
      </c>
      <c r="B29" s="23">
        <f>SUM(B27:B28)</f>
        <v/>
      </c>
      <c r="C29" s="23">
        <f>SUM(C27:C28)</f>
        <v/>
      </c>
      <c r="D29" s="23">
        <f>SUM(D27:D28)</f>
        <v/>
      </c>
      <c r="E29" s="23" t="n"/>
      <c r="F29" s="23" t="inlineStr">
        <is>
          <t>Seminari Menengah</t>
        </is>
      </c>
      <c r="G29" s="23">
        <f>COUNTIFS('SEMINARI BIARA'!$E$2:$E$1001,F29,'SEMINARI BIARA'!$F$2:$F$1001,"Mulai masuk 2026",'SEMINARI BIARA'!$G$2:$G$1001,"&gt;="&amp;DATE(2026,1,1),'SEMINARI BIARA'!$G$2:$G$1001,"&lt;="&amp;DATE(2026,12,31))</f>
        <v/>
      </c>
    </row>
    <row r="30" ht="14.25" customHeight="1" s="38">
      <c r="A30" s="23" t="n"/>
      <c r="B30" s="23" t="n"/>
      <c r="C30" s="23" t="n"/>
      <c r="D30" s="23" t="n"/>
      <c r="E30" s="23" t="n"/>
      <c r="F30" s="23" t="inlineStr">
        <is>
          <t>Seminari Tinggi/Frater</t>
        </is>
      </c>
      <c r="G30" s="23">
        <f>COUNTIFS('SEMINARI BIARA'!$E$2:$E$1001,F30,'SEMINARI BIARA'!$F$2:$F$1001,"Mulai masuk 2026",'SEMINARI BIARA'!$G$2:$G$1001,"&gt;="&amp;DATE(2026,1,1),'SEMINARI BIARA'!$G$2:$G$1001,"&lt;="&amp;DATE(2026,12,31))</f>
        <v/>
      </c>
    </row>
    <row r="31" ht="14.25" customHeight="1" s="38">
      <c r="A31" s="23" t="n"/>
      <c r="B31" s="23" t="n"/>
      <c r="C31" s="23" t="n"/>
      <c r="D31" s="23" t="n"/>
      <c r="E31" s="23" t="n"/>
      <c r="F31" s="23" t="inlineStr">
        <is>
          <t>Biara/Novisiat Bruder</t>
        </is>
      </c>
      <c r="G31" s="23">
        <f>COUNTIFS('SEMINARI BIARA'!$E$2:$E$1001,F31,'SEMINARI BIARA'!$F$2:$F$1001,"Mulai masuk 2026",'SEMINARI BIARA'!$G$2:$G$1001,"&gt;="&amp;DATE(2026,1,1),'SEMINARI BIARA'!$G$2:$G$1001,"&lt;="&amp;DATE(2026,12,31))</f>
        <v/>
      </c>
    </row>
    <row r="32" ht="14.25" customHeight="1" s="38">
      <c r="A32" s="23" t="n"/>
      <c r="B32" s="23" t="n"/>
      <c r="C32" s="23" t="n"/>
      <c r="D32" s="23" t="n"/>
      <c r="E32" s="23" t="n"/>
      <c r="F32" s="23" t="inlineStr">
        <is>
          <t>Biara/Novisiat Suster</t>
        </is>
      </c>
      <c r="G32" s="23">
        <f>COUNTIFS('SEMINARI BIARA'!$E$2:$E$1001,F32,'SEMINARI BIARA'!$F$2:$F$1001,"Mulai masuk 2026",'SEMINARI BIARA'!$G$2:$G$1001,"&gt;="&amp;DATE(2026,1,1),'SEMINARI BIARA'!$G$2:$G$1001,"&lt;="&amp;DATE(2026,12,31))</f>
        <v/>
      </c>
    </row>
    <row r="33" ht="14.25" customHeight="1" s="38">
      <c r="A33" s="23" t="n"/>
      <c r="B33" s="23" t="n"/>
      <c r="C33" s="23" t="n"/>
      <c r="D33" s="23" t="n"/>
      <c r="E33" s="23" t="n"/>
      <c r="F33" s="24" t="inlineStr">
        <is>
          <t>10. SEDANG BELAJAR DI SEMINARI 2026</t>
        </is>
      </c>
      <c r="G33" s="23" t="n"/>
    </row>
    <row r="34" ht="14.25" customHeight="1" s="38">
      <c r="A34" s="23" t="n"/>
      <c r="B34" s="23" t="n"/>
      <c r="C34" s="23" t="n"/>
      <c r="D34" s="23" t="n"/>
      <c r="E34" s="23" t="n"/>
      <c r="F34" s="25" t="inlineStr">
        <is>
          <t>Jalur</t>
        </is>
      </c>
      <c r="G34" s="25" t="inlineStr">
        <is>
          <t>Jumlah</t>
        </is>
      </c>
    </row>
    <row r="35" ht="14.25" customHeight="1" s="38">
      <c r="A35" s="23" t="n"/>
      <c r="B35" s="23" t="n"/>
      <c r="C35" s="23" t="n"/>
      <c r="D35" s="23" t="n"/>
      <c r="E35" s="23" t="n"/>
      <c r="F35" s="23" t="inlineStr">
        <is>
          <t>Seminari Menengah</t>
        </is>
      </c>
      <c r="G35" s="23">
        <f>COUNTIFS('SEMINARI BIARA'!$E$2:$E$1001,F35,'SEMINARI BIARA'!$F$2:$F$1001,"Sedang belajar 2026")</f>
        <v/>
      </c>
    </row>
    <row r="36" ht="14.25" customHeight="1" s="38">
      <c r="A36" s="23" t="n"/>
      <c r="B36" s="23" t="n"/>
      <c r="C36" s="23" t="n"/>
      <c r="D36" s="23" t="n"/>
      <c r="E36" s="23" t="n"/>
      <c r="F36" s="23" t="inlineStr">
        <is>
          <t>Seminari Tinggi/Frater</t>
        </is>
      </c>
      <c r="G36" s="23">
        <f>COUNTIFS('SEMINARI BIARA'!$E$2:$E$1001,F36,'SEMINARI BIARA'!$F$2:$F$1001,"Sedang belajar 2026")</f>
        <v/>
      </c>
    </row>
    <row r="37" ht="14.25" customHeight="1" s="38">
      <c r="A37" s="23" t="n"/>
      <c r="B37" s="23" t="n"/>
      <c r="C37" s="23" t="n"/>
      <c r="D37" s="23" t="n"/>
      <c r="E37" s="23" t="n"/>
      <c r="F37" s="23" t="n"/>
      <c r="G37" s="23" t="n"/>
    </row>
    <row r="38" ht="14.25" customHeight="1" s="38"/>
    <row r="39" ht="14.25" customHeight="1" s="38"/>
    <row r="40" ht="14.25" customHeight="1" s="38"/>
    <row r="41" ht="14.25" customHeight="1" s="38"/>
    <row r="42" ht="14.25" customHeight="1" s="38"/>
    <row r="43" ht="14.25" customHeight="1" s="38"/>
    <row r="44" ht="14.25" customHeight="1" s="38"/>
    <row r="45" ht="14.25" customHeight="1" s="38"/>
    <row r="46" ht="14.25" customHeight="1" s="38"/>
    <row r="47" ht="14.25" customHeight="1" s="38"/>
    <row r="48" ht="14.25" customHeight="1" s="38"/>
    <row r="49" ht="14.25" customHeight="1" s="38"/>
    <row r="50" ht="14.25" customHeight="1" s="38"/>
    <row r="51" ht="14.25" customHeight="1" s="38"/>
    <row r="52" ht="14.25" customHeight="1" s="38"/>
    <row r="53" ht="14.25" customHeight="1" s="38"/>
    <row r="54" ht="14.25" customHeight="1" s="38"/>
    <row r="55" ht="14.25" customHeight="1" s="38"/>
    <row r="56" ht="14.25" customHeight="1" s="38"/>
    <row r="57" ht="14.25" customHeight="1" s="38"/>
    <row r="58" ht="14.25" customHeight="1" s="38"/>
    <row r="59" ht="14.25" customHeight="1" s="38"/>
    <row r="60" ht="14.25" customHeight="1" s="38"/>
    <row r="61" ht="14.25" customHeight="1" s="38"/>
    <row r="62" ht="14.25" customHeight="1" s="38"/>
    <row r="63" ht="14.25" customHeight="1" s="38"/>
    <row r="64" ht="14.25" customHeight="1" s="38"/>
    <row r="65" ht="14.25" customHeight="1" s="38"/>
    <row r="66" ht="14.25" customHeight="1" s="38"/>
    <row r="67" ht="14.25" customHeight="1" s="38"/>
    <row r="68" ht="14.25" customHeight="1" s="38"/>
    <row r="69" ht="14.25" customHeight="1" s="38"/>
    <row r="70" ht="14.25" customHeight="1" s="38"/>
    <row r="71" ht="14.25" customHeight="1" s="38"/>
    <row r="72" ht="14.25" customHeight="1" s="38"/>
    <row r="73" ht="14.25" customHeight="1" s="38"/>
    <row r="74" ht="14.25" customHeight="1" s="38"/>
    <row r="75" ht="14.25" customHeight="1" s="38"/>
    <row r="76" ht="14.25" customHeight="1" s="38"/>
    <row r="77" ht="14.25" customHeight="1" s="38"/>
    <row r="78" ht="14.25" customHeight="1" s="38"/>
    <row r="79" ht="14.25" customHeight="1" s="38"/>
    <row r="80" ht="14.25" customHeight="1" s="38"/>
    <row r="81" ht="14.25" customHeight="1" s="38"/>
    <row r="82" ht="14.25" customHeight="1" s="38"/>
    <row r="83" ht="14.25" customHeight="1" s="38"/>
    <row r="84" ht="14.25" customHeight="1" s="38"/>
    <row r="85" ht="14.25" customHeight="1" s="38"/>
    <row r="86" ht="14.25" customHeight="1" s="38"/>
    <row r="87" ht="14.25" customHeight="1" s="38"/>
    <row r="88" ht="14.25" customHeight="1" s="38"/>
    <row r="89" ht="14.25" customHeight="1" s="38"/>
    <row r="90" ht="14.25" customHeight="1" s="38"/>
    <row r="91" ht="14.25" customHeight="1" s="38"/>
    <row r="92" ht="14.25" customHeight="1" s="38"/>
    <row r="93" ht="14.25" customHeight="1" s="38"/>
    <row r="94" ht="14.25" customHeight="1" s="38"/>
    <row r="95" ht="14.25" customHeight="1" s="38"/>
    <row r="96" ht="14.25" customHeight="1" s="38"/>
    <row r="97" ht="14.25" customHeight="1" s="38"/>
    <row r="98" ht="14.25" customHeight="1" s="38"/>
    <row r="99" ht="14.25" customHeight="1" s="38"/>
    <row r="100" ht="14.25" customHeight="1" s="38"/>
    <row r="101" ht="14.25" customHeight="1" s="38"/>
    <row r="102" ht="14.25" customHeight="1" s="38"/>
    <row r="103" ht="14.25" customHeight="1" s="38"/>
    <row r="104" ht="14.25" customHeight="1" s="38"/>
    <row r="105" ht="14.25" customHeight="1" s="38"/>
    <row r="106" ht="14.25" customHeight="1" s="38"/>
    <row r="107" ht="14.25" customHeight="1" s="38"/>
    <row r="108" ht="14.25" customHeight="1" s="38"/>
    <row r="109" ht="14.25" customHeight="1" s="38"/>
    <row r="110" ht="14.25" customHeight="1" s="38"/>
    <row r="111" ht="14.25" customHeight="1" s="38"/>
    <row r="112" ht="14.25" customHeight="1" s="38"/>
    <row r="113" ht="14.25" customHeight="1" s="38"/>
    <row r="114" ht="14.25" customHeight="1" s="38"/>
    <row r="115" ht="14.25" customHeight="1" s="38"/>
    <row r="116" ht="14.25" customHeight="1" s="38"/>
    <row r="117" ht="14.25" customHeight="1" s="38"/>
    <row r="118" ht="14.25" customHeight="1" s="38"/>
    <row r="119" ht="14.25" customHeight="1" s="38"/>
    <row r="120" ht="14.25" customHeight="1" s="38"/>
    <row r="121" ht="14.25" customHeight="1" s="38"/>
    <row r="122" ht="14.25" customHeight="1" s="38"/>
    <row r="123" ht="14.25" customHeight="1" s="38"/>
    <row r="124" ht="14.25" customHeight="1" s="38"/>
    <row r="125" ht="14.25" customHeight="1" s="38"/>
    <row r="126" ht="14.25" customHeight="1" s="38"/>
    <row r="127" ht="14.25" customHeight="1" s="38"/>
    <row r="128" ht="14.25" customHeight="1" s="38"/>
    <row r="129" ht="14.25" customHeight="1" s="38"/>
    <row r="130" ht="14.25" customHeight="1" s="38"/>
    <row r="131" ht="14.25" customHeight="1" s="38"/>
    <row r="132" ht="14.25" customHeight="1" s="38"/>
    <row r="133" ht="14.25" customHeight="1" s="38"/>
    <row r="134" ht="14.25" customHeight="1" s="38"/>
    <row r="135" ht="14.25" customHeight="1" s="38"/>
    <row r="136" ht="14.25" customHeight="1" s="38"/>
    <row r="137" ht="14.25" customHeight="1" s="38"/>
    <row r="138" ht="14.25" customHeight="1" s="38"/>
    <row r="139" ht="14.25" customHeight="1" s="38"/>
    <row r="140" ht="14.25" customHeight="1" s="38"/>
    <row r="141" ht="14.25" customHeight="1" s="38"/>
    <row r="142" ht="14.25" customHeight="1" s="38"/>
    <row r="143" ht="14.25" customHeight="1" s="38"/>
    <row r="144" ht="14.25" customHeight="1" s="38"/>
    <row r="145" ht="14.25" customHeight="1" s="38"/>
    <row r="146" ht="14.25" customHeight="1" s="38"/>
    <row r="147" ht="14.25" customHeight="1" s="38"/>
    <row r="148" ht="14.25" customHeight="1" s="38"/>
    <row r="149" ht="14.25" customHeight="1" s="38"/>
    <row r="150" ht="14.25" customHeight="1" s="38"/>
    <row r="151" ht="14.25" customHeight="1" s="38"/>
    <row r="152" ht="14.25" customHeight="1" s="38"/>
    <row r="153" ht="14.25" customHeight="1" s="38"/>
    <row r="154" ht="14.25" customHeight="1" s="38"/>
    <row r="155" ht="14.25" customHeight="1" s="38"/>
    <row r="156" ht="14.25" customHeight="1" s="38"/>
    <row r="157" ht="14.25" customHeight="1" s="38"/>
    <row r="158" ht="14.25" customHeight="1" s="38"/>
    <row r="159" ht="14.25" customHeight="1" s="38"/>
    <row r="160" ht="14.25" customHeight="1" s="38"/>
    <row r="161" ht="14.25" customHeight="1" s="38"/>
    <row r="162" ht="14.25" customHeight="1" s="38"/>
    <row r="163" ht="14.25" customHeight="1" s="38"/>
    <row r="164" ht="14.25" customHeight="1" s="38"/>
    <row r="165" ht="14.25" customHeight="1" s="38"/>
    <row r="166" ht="14.25" customHeight="1" s="38"/>
    <row r="167" ht="14.25" customHeight="1" s="38"/>
    <row r="168" ht="14.25" customHeight="1" s="38"/>
    <row r="169" ht="14.25" customHeight="1" s="38"/>
    <row r="170" ht="14.25" customHeight="1" s="38"/>
    <row r="171" ht="14.25" customHeight="1" s="38"/>
    <row r="172" ht="14.25" customHeight="1" s="38"/>
    <row r="173" ht="14.25" customHeight="1" s="38"/>
    <row r="174" ht="14.25" customHeight="1" s="38"/>
    <row r="175" ht="14.25" customHeight="1" s="38"/>
    <row r="176" ht="14.25" customHeight="1" s="38"/>
    <row r="177" ht="14.25" customHeight="1" s="38"/>
    <row r="178" ht="14.25" customHeight="1" s="38"/>
    <row r="179" ht="14.25" customHeight="1" s="38"/>
    <row r="180" ht="14.25" customHeight="1" s="38"/>
    <row r="181" ht="14.25" customHeight="1" s="38"/>
    <row r="182" ht="14.25" customHeight="1" s="38"/>
    <row r="183" ht="14.25" customHeight="1" s="38"/>
    <row r="184" ht="14.25" customHeight="1" s="38"/>
    <row r="185" ht="14.25" customHeight="1" s="38"/>
    <row r="186" ht="14.25" customHeight="1" s="38"/>
    <row r="187" ht="14.25" customHeight="1" s="38"/>
    <row r="188" ht="14.25" customHeight="1" s="38"/>
    <row r="189" ht="14.25" customHeight="1" s="38"/>
    <row r="190" ht="14.25" customHeight="1" s="38"/>
    <row r="191" ht="14.25" customHeight="1" s="38"/>
    <row r="192" ht="14.25" customHeight="1" s="38"/>
    <row r="193" ht="14.25" customHeight="1" s="38"/>
    <row r="194" ht="14.25" customHeight="1" s="38"/>
    <row r="195" ht="14.25" customHeight="1" s="38"/>
    <row r="196" ht="14.25" customHeight="1" s="38"/>
    <row r="197" ht="14.25" customHeight="1" s="38"/>
    <row r="198" ht="14.25" customHeight="1" s="38"/>
    <row r="199" ht="14.25" customHeight="1" s="38"/>
    <row r="200" ht="14.25" customHeight="1" s="38"/>
    <row r="201" ht="14.25" customHeight="1" s="38"/>
    <row r="202" ht="14.25" customHeight="1" s="38"/>
    <row r="203" ht="14.25" customHeight="1" s="38"/>
    <row r="204" ht="14.25" customHeight="1" s="38"/>
    <row r="205" ht="14.25" customHeight="1" s="38"/>
    <row r="206" ht="14.25" customHeight="1" s="38"/>
    <row r="207" ht="14.25" customHeight="1" s="38"/>
    <row r="208" ht="14.25" customHeight="1" s="38"/>
    <row r="209" ht="14.25" customHeight="1" s="38"/>
    <row r="210" ht="14.25" customHeight="1" s="38"/>
    <row r="211" ht="14.25" customHeight="1" s="38"/>
    <row r="212" ht="14.25" customHeight="1" s="38"/>
    <row r="213" ht="14.25" customHeight="1" s="38"/>
    <row r="214" ht="14.25" customHeight="1" s="38"/>
    <row r="215" ht="14.25" customHeight="1" s="38"/>
    <row r="216" ht="14.25" customHeight="1" s="38"/>
    <row r="217" ht="14.25" customHeight="1" s="38"/>
    <row r="218" ht="14.25" customHeight="1" s="38"/>
    <row r="219" ht="14.25" customHeight="1" s="38"/>
    <row r="220" ht="14.25" customHeight="1" s="38"/>
    <row r="221" ht="14.25" customHeight="1" s="38"/>
    <row r="222" ht="14.25" customHeight="1" s="38"/>
    <row r="223" ht="14.25" customHeight="1" s="38"/>
    <row r="224" ht="14.25" customHeight="1" s="38"/>
    <row r="225" ht="14.25" customHeight="1" s="38"/>
    <row r="226" ht="14.25" customHeight="1" s="38"/>
    <row r="227" ht="14.25" customHeight="1" s="38"/>
    <row r="228" ht="14.25" customHeight="1" s="38"/>
    <row r="229" ht="14.25" customHeight="1" s="38"/>
    <row r="230" ht="14.25" customHeight="1" s="38"/>
    <row r="231" ht="14.25" customHeight="1" s="38"/>
    <row r="232" ht="14.25" customHeight="1" s="38"/>
    <row r="233" ht="14.25" customHeight="1" s="38"/>
    <row r="234" ht="14.25" customHeight="1" s="38"/>
    <row r="235" ht="14.25" customHeight="1" s="38"/>
    <row r="236" ht="14.25" customHeight="1" s="38"/>
    <row r="237" ht="14.25" customHeight="1" s="38"/>
    <row r="238" ht="14.25" customHeight="1" s="38"/>
    <row r="239" ht="14.25" customHeight="1" s="38"/>
    <row r="240" ht="14.25" customHeight="1" s="38"/>
    <row r="241" ht="14.25" customHeight="1" s="38"/>
    <row r="242" ht="14.25" customHeight="1" s="38"/>
    <row r="243" ht="14.25" customHeight="1" s="38"/>
    <row r="244" ht="14.25" customHeight="1" s="38"/>
    <row r="245" ht="14.25" customHeight="1" s="38"/>
    <row r="246" ht="14.25" customHeight="1" s="38"/>
    <row r="247" ht="14.25" customHeight="1" s="38"/>
    <row r="248" ht="14.25" customHeight="1" s="38"/>
    <row r="249" ht="14.25" customHeight="1" s="38"/>
    <row r="250" ht="14.25" customHeight="1" s="38"/>
    <row r="251" ht="14.25" customHeight="1" s="38"/>
    <row r="252" ht="14.25" customHeight="1" s="38"/>
    <row r="253" ht="14.25" customHeight="1" s="38"/>
    <row r="254" ht="14.25" customHeight="1" s="38"/>
    <row r="255" ht="14.25" customHeight="1" s="38"/>
    <row r="256" ht="14.25" customHeight="1" s="38"/>
    <row r="257" ht="14.25" customHeight="1" s="38"/>
    <row r="258" ht="14.25" customHeight="1" s="38"/>
    <row r="259" ht="14.25" customHeight="1" s="38"/>
    <row r="260" ht="14.25" customHeight="1" s="38"/>
    <row r="261" ht="14.25" customHeight="1" s="38"/>
    <row r="262" ht="14.25" customHeight="1" s="38"/>
    <row r="263" ht="14.25" customHeight="1" s="38"/>
    <row r="264" ht="14.25" customHeight="1" s="38"/>
    <row r="265" ht="14.25" customHeight="1" s="38"/>
    <row r="266" ht="14.25" customHeight="1" s="38"/>
    <row r="267" ht="14.25" customHeight="1" s="38"/>
    <row r="268" ht="14.25" customHeight="1" s="38"/>
    <row r="269" ht="14.25" customHeight="1" s="38"/>
    <row r="270" ht="14.25" customHeight="1" s="38"/>
    <row r="271" ht="14.25" customHeight="1" s="38"/>
    <row r="272" ht="14.25" customHeight="1" s="38"/>
    <row r="273" ht="14.25" customHeight="1" s="38"/>
    <row r="274" ht="14.25" customHeight="1" s="38"/>
    <row r="275" ht="14.25" customHeight="1" s="38"/>
    <row r="276" ht="14.25" customHeight="1" s="38"/>
    <row r="277" ht="14.25" customHeight="1" s="38"/>
    <row r="278" ht="14.25" customHeight="1" s="38"/>
    <row r="279" ht="14.25" customHeight="1" s="38"/>
    <row r="280" ht="14.25" customHeight="1" s="38"/>
    <row r="281" ht="14.25" customHeight="1" s="38"/>
    <row r="282" ht="14.25" customHeight="1" s="38"/>
    <row r="283" ht="14.25" customHeight="1" s="38"/>
    <row r="284" ht="14.25" customHeight="1" s="38"/>
    <row r="285" ht="14.25" customHeight="1" s="38"/>
    <row r="286" ht="14.25" customHeight="1" s="38"/>
    <row r="287" ht="14.25" customHeight="1" s="38"/>
    <row r="288" ht="14.25" customHeight="1" s="38"/>
    <row r="289" ht="14.25" customHeight="1" s="38"/>
    <row r="290" ht="14.25" customHeight="1" s="38"/>
    <row r="291" ht="14.25" customHeight="1" s="38"/>
    <row r="292" ht="14.25" customHeight="1" s="38"/>
    <row r="293" ht="14.25" customHeight="1" s="38"/>
    <row r="294" ht="14.25" customHeight="1" s="38"/>
    <row r="295" ht="14.25" customHeight="1" s="38"/>
    <row r="296" ht="14.25" customHeight="1" s="38"/>
    <row r="297" ht="14.25" customHeight="1" s="38"/>
    <row r="298" ht="14.25" customHeight="1" s="38"/>
    <row r="299" ht="14.25" customHeight="1" s="38"/>
    <row r="300" ht="14.25" customHeight="1" s="38"/>
    <row r="301" ht="14.25" customHeight="1" s="38"/>
    <row r="302" ht="14.25" customHeight="1" s="38"/>
    <row r="303" ht="14.25" customHeight="1" s="38"/>
    <row r="304" ht="14.25" customHeight="1" s="38"/>
    <row r="305" ht="14.25" customHeight="1" s="38"/>
    <row r="306" ht="14.25" customHeight="1" s="38"/>
    <row r="307" ht="14.25" customHeight="1" s="38"/>
    <row r="308" ht="14.25" customHeight="1" s="38"/>
    <row r="309" ht="14.25" customHeight="1" s="38"/>
    <row r="310" ht="14.25" customHeight="1" s="38"/>
    <row r="311" ht="14.25" customHeight="1" s="38"/>
    <row r="312" ht="14.25" customHeight="1" s="38"/>
    <row r="313" ht="14.25" customHeight="1" s="38"/>
    <row r="314" ht="14.25" customHeight="1" s="38"/>
    <row r="315" ht="14.25" customHeight="1" s="38"/>
    <row r="316" ht="14.25" customHeight="1" s="38"/>
    <row r="317" ht="14.25" customHeight="1" s="38"/>
    <row r="318" ht="14.25" customHeight="1" s="38"/>
    <row r="319" ht="14.25" customHeight="1" s="38"/>
    <row r="320" ht="14.25" customHeight="1" s="38"/>
    <row r="321" ht="14.25" customHeight="1" s="38"/>
    <row r="322" ht="14.25" customHeight="1" s="38"/>
    <row r="323" ht="14.25" customHeight="1" s="38"/>
    <row r="324" ht="14.25" customHeight="1" s="38"/>
    <row r="325" ht="14.25" customHeight="1" s="38"/>
    <row r="326" ht="14.25" customHeight="1" s="38"/>
    <row r="327" ht="14.25" customHeight="1" s="38"/>
    <row r="328" ht="14.25" customHeight="1" s="38"/>
    <row r="329" ht="14.25" customHeight="1" s="38"/>
    <row r="330" ht="14.25" customHeight="1" s="38"/>
    <row r="331" ht="14.25" customHeight="1" s="38"/>
    <row r="332" ht="14.25" customHeight="1" s="38"/>
    <row r="333" ht="14.25" customHeight="1" s="38"/>
    <row r="334" ht="14.25" customHeight="1" s="38"/>
    <row r="335" ht="14.25" customHeight="1" s="38"/>
    <row r="336" ht="14.25" customHeight="1" s="38"/>
    <row r="337" ht="14.25" customHeight="1" s="38"/>
    <row r="338" ht="14.25" customHeight="1" s="38"/>
    <row r="339" ht="14.25" customHeight="1" s="38"/>
    <row r="340" ht="14.25" customHeight="1" s="38"/>
    <row r="341" ht="14.25" customHeight="1" s="38"/>
    <row r="342" ht="14.25" customHeight="1" s="38"/>
    <row r="343" ht="14.25" customHeight="1" s="38"/>
    <row r="344" ht="14.25" customHeight="1" s="38"/>
    <row r="345" ht="14.25" customHeight="1" s="38"/>
    <row r="346" ht="14.25" customHeight="1" s="38"/>
    <row r="347" ht="14.25" customHeight="1" s="38"/>
    <row r="348" ht="14.25" customHeight="1" s="38"/>
    <row r="349" ht="14.25" customHeight="1" s="38"/>
    <row r="350" ht="14.25" customHeight="1" s="38"/>
    <row r="351" ht="14.25" customHeight="1" s="38"/>
    <row r="352" ht="14.25" customHeight="1" s="38"/>
    <row r="353" ht="14.25" customHeight="1" s="38"/>
    <row r="354" ht="14.25" customHeight="1" s="38"/>
    <row r="355" ht="14.25" customHeight="1" s="38"/>
    <row r="356" ht="14.25" customHeight="1" s="38"/>
    <row r="357" ht="14.25" customHeight="1" s="38"/>
    <row r="358" ht="14.25" customHeight="1" s="38"/>
    <row r="359" ht="14.25" customHeight="1" s="38"/>
    <row r="360" ht="14.25" customHeight="1" s="38"/>
    <row r="361" ht="14.25" customHeight="1" s="38"/>
    <row r="362" ht="14.25" customHeight="1" s="38"/>
    <row r="363" ht="14.25" customHeight="1" s="38"/>
    <row r="364" ht="14.25" customHeight="1" s="38"/>
    <row r="365" ht="14.25" customHeight="1" s="38"/>
    <row r="366" ht="14.25" customHeight="1" s="38"/>
    <row r="367" ht="14.25" customHeight="1" s="38"/>
    <row r="368" ht="14.25" customHeight="1" s="38"/>
    <row r="369" ht="14.25" customHeight="1" s="38"/>
    <row r="370" ht="14.25" customHeight="1" s="38"/>
    <row r="371" ht="14.25" customHeight="1" s="38"/>
    <row r="372" ht="14.25" customHeight="1" s="38"/>
    <row r="373" ht="14.25" customHeight="1" s="38"/>
    <row r="374" ht="14.25" customHeight="1" s="38"/>
    <row r="375" ht="14.25" customHeight="1" s="38"/>
    <row r="376" ht="14.25" customHeight="1" s="38"/>
    <row r="377" ht="14.25" customHeight="1" s="38"/>
    <row r="378" ht="14.25" customHeight="1" s="38"/>
    <row r="379" ht="14.25" customHeight="1" s="38"/>
    <row r="380" ht="14.25" customHeight="1" s="38"/>
    <row r="381" ht="14.25" customHeight="1" s="38"/>
    <row r="382" ht="14.25" customHeight="1" s="38"/>
    <row r="383" ht="14.25" customHeight="1" s="38"/>
    <row r="384" ht="14.25" customHeight="1" s="38"/>
    <row r="385" ht="14.25" customHeight="1" s="38"/>
    <row r="386" ht="14.25" customHeight="1" s="38"/>
    <row r="387" ht="14.25" customHeight="1" s="38"/>
    <row r="388" ht="14.25" customHeight="1" s="38"/>
    <row r="389" ht="14.25" customHeight="1" s="38"/>
    <row r="390" ht="14.25" customHeight="1" s="38"/>
    <row r="391" ht="14.25" customHeight="1" s="38"/>
    <row r="392" ht="14.25" customHeight="1" s="38"/>
    <row r="393" ht="14.25" customHeight="1" s="38"/>
    <row r="394" ht="14.25" customHeight="1" s="38"/>
    <row r="395" ht="14.25" customHeight="1" s="38"/>
    <row r="396" ht="14.25" customHeight="1" s="38"/>
    <row r="397" ht="14.25" customHeight="1" s="38"/>
    <row r="398" ht="14.25" customHeight="1" s="38"/>
    <row r="399" ht="14.25" customHeight="1" s="38"/>
    <row r="400" ht="14.25" customHeight="1" s="38"/>
    <row r="401" ht="14.25" customHeight="1" s="38"/>
    <row r="402" ht="14.25" customHeight="1" s="38"/>
    <row r="403" ht="14.25" customHeight="1" s="38"/>
    <row r="404" ht="14.25" customHeight="1" s="38"/>
    <row r="405" ht="14.25" customHeight="1" s="38"/>
    <row r="406" ht="14.25" customHeight="1" s="38"/>
    <row r="407" ht="14.25" customHeight="1" s="38"/>
    <row r="408" ht="14.25" customHeight="1" s="38"/>
    <row r="409" ht="14.25" customHeight="1" s="38"/>
    <row r="410" ht="14.25" customHeight="1" s="38"/>
    <row r="411" ht="14.25" customHeight="1" s="38"/>
    <row r="412" ht="14.25" customHeight="1" s="38"/>
    <row r="413" ht="14.25" customHeight="1" s="38"/>
    <row r="414" ht="14.25" customHeight="1" s="38"/>
    <row r="415" ht="14.25" customHeight="1" s="38"/>
    <row r="416" ht="14.25" customHeight="1" s="38"/>
    <row r="417" ht="14.25" customHeight="1" s="38"/>
    <row r="418" ht="14.25" customHeight="1" s="38"/>
    <row r="419" ht="14.25" customHeight="1" s="38"/>
    <row r="420" ht="14.25" customHeight="1" s="38"/>
    <row r="421" ht="14.25" customHeight="1" s="38"/>
    <row r="422" ht="14.25" customHeight="1" s="38"/>
    <row r="423" ht="14.25" customHeight="1" s="38"/>
    <row r="424" ht="14.25" customHeight="1" s="38"/>
    <row r="425" ht="14.25" customHeight="1" s="38"/>
    <row r="426" ht="14.25" customHeight="1" s="38"/>
    <row r="427" ht="14.25" customHeight="1" s="38"/>
    <row r="428" ht="14.25" customHeight="1" s="38"/>
    <row r="429" ht="14.25" customHeight="1" s="38"/>
    <row r="430" ht="14.25" customHeight="1" s="38"/>
    <row r="431" ht="14.25" customHeight="1" s="38"/>
    <row r="432" ht="14.25" customHeight="1" s="38"/>
    <row r="433" ht="14.25" customHeight="1" s="38"/>
    <row r="434" ht="14.25" customHeight="1" s="38"/>
    <row r="435" ht="14.25" customHeight="1" s="38"/>
    <row r="436" ht="14.25" customHeight="1" s="38"/>
    <row r="437" ht="14.25" customHeight="1" s="38"/>
    <row r="438" ht="14.25" customHeight="1" s="38"/>
    <row r="439" ht="14.25" customHeight="1" s="38"/>
    <row r="440" ht="14.25" customHeight="1" s="38"/>
    <row r="441" ht="14.25" customHeight="1" s="38"/>
    <row r="442" ht="14.25" customHeight="1" s="38"/>
    <row r="443" ht="14.25" customHeight="1" s="38"/>
    <row r="444" ht="14.25" customHeight="1" s="38"/>
    <row r="445" ht="14.25" customHeight="1" s="38"/>
    <row r="446" ht="14.25" customHeight="1" s="38"/>
    <row r="447" ht="14.25" customHeight="1" s="38"/>
    <row r="448" ht="14.25" customHeight="1" s="38"/>
    <row r="449" ht="14.25" customHeight="1" s="38"/>
    <row r="450" ht="14.25" customHeight="1" s="38"/>
    <row r="451" ht="14.25" customHeight="1" s="38"/>
    <row r="452" ht="14.25" customHeight="1" s="38"/>
    <row r="453" ht="14.25" customHeight="1" s="38"/>
    <row r="454" ht="14.25" customHeight="1" s="38"/>
    <row r="455" ht="14.25" customHeight="1" s="38"/>
    <row r="456" ht="14.25" customHeight="1" s="38"/>
    <row r="457" ht="14.25" customHeight="1" s="38"/>
    <row r="458" ht="14.25" customHeight="1" s="38"/>
    <row r="459" ht="14.25" customHeight="1" s="38"/>
    <row r="460" ht="14.25" customHeight="1" s="38"/>
    <row r="461" ht="14.25" customHeight="1" s="38"/>
    <row r="462" ht="14.25" customHeight="1" s="38"/>
    <row r="463" ht="14.25" customHeight="1" s="38"/>
    <row r="464" ht="14.25" customHeight="1" s="38"/>
    <row r="465" ht="14.25" customHeight="1" s="38"/>
    <row r="466" ht="14.25" customHeight="1" s="38"/>
    <row r="467" ht="14.25" customHeight="1" s="38"/>
    <row r="468" ht="14.25" customHeight="1" s="38"/>
    <row r="469" ht="14.25" customHeight="1" s="38"/>
    <row r="470" ht="14.25" customHeight="1" s="38"/>
    <row r="471" ht="14.25" customHeight="1" s="38"/>
    <row r="472" ht="14.25" customHeight="1" s="38"/>
    <row r="473" ht="14.25" customHeight="1" s="38"/>
    <row r="474" ht="14.25" customHeight="1" s="38"/>
    <row r="475" ht="14.25" customHeight="1" s="38"/>
    <row r="476" ht="14.25" customHeight="1" s="38"/>
    <row r="477" ht="14.25" customHeight="1" s="38"/>
    <row r="478" ht="14.25" customHeight="1" s="38"/>
    <row r="479" ht="14.25" customHeight="1" s="38"/>
    <row r="480" ht="14.25" customHeight="1" s="38"/>
    <row r="481" ht="14.25" customHeight="1" s="38"/>
    <row r="482" ht="14.25" customHeight="1" s="38"/>
    <row r="483" ht="14.25" customHeight="1" s="38"/>
    <row r="484" ht="14.25" customHeight="1" s="38"/>
    <row r="485" ht="14.25" customHeight="1" s="38"/>
    <row r="486" ht="14.25" customHeight="1" s="38"/>
    <row r="487" ht="14.25" customHeight="1" s="38"/>
    <row r="488" ht="14.25" customHeight="1" s="38"/>
    <row r="489" ht="14.25" customHeight="1" s="38"/>
    <row r="490" ht="14.25" customHeight="1" s="38"/>
    <row r="491" ht="14.25" customHeight="1" s="38"/>
    <row r="492" ht="14.25" customHeight="1" s="38"/>
    <row r="493" ht="14.25" customHeight="1" s="38"/>
    <row r="494" ht="14.25" customHeight="1" s="38"/>
    <row r="495" ht="14.25" customHeight="1" s="38"/>
    <row r="496" ht="14.25" customHeight="1" s="38"/>
    <row r="497" ht="14.25" customHeight="1" s="38"/>
    <row r="498" ht="14.25" customHeight="1" s="38"/>
    <row r="499" ht="14.25" customHeight="1" s="38"/>
    <row r="500" ht="14.25" customHeight="1" s="38"/>
    <row r="501" ht="14.25" customHeight="1" s="38"/>
    <row r="502" ht="14.25" customHeight="1" s="38"/>
    <row r="503" ht="14.25" customHeight="1" s="38"/>
    <row r="504" ht="14.25" customHeight="1" s="38"/>
    <row r="505" ht="14.25" customHeight="1" s="38"/>
    <row r="506" ht="14.25" customHeight="1" s="38"/>
    <row r="507" ht="14.25" customHeight="1" s="38"/>
    <row r="508" ht="14.25" customHeight="1" s="38"/>
    <row r="509" ht="14.25" customHeight="1" s="38"/>
    <row r="510" ht="14.25" customHeight="1" s="38"/>
    <row r="511" ht="14.25" customHeight="1" s="38"/>
    <row r="512" ht="14.25" customHeight="1" s="38"/>
    <row r="513" ht="14.25" customHeight="1" s="38"/>
    <row r="514" ht="14.25" customHeight="1" s="38"/>
    <row r="515" ht="14.25" customHeight="1" s="38"/>
    <row r="516" ht="14.25" customHeight="1" s="38"/>
    <row r="517" ht="14.25" customHeight="1" s="38"/>
    <row r="518" ht="14.25" customHeight="1" s="38"/>
    <row r="519" ht="14.25" customHeight="1" s="38"/>
    <row r="520" ht="14.25" customHeight="1" s="38"/>
    <row r="521" ht="14.25" customHeight="1" s="38"/>
    <row r="522" ht="14.25" customHeight="1" s="38"/>
    <row r="523" ht="14.25" customHeight="1" s="38"/>
    <row r="524" ht="14.25" customHeight="1" s="38"/>
    <row r="525" ht="14.25" customHeight="1" s="38"/>
    <row r="526" ht="14.25" customHeight="1" s="38"/>
    <row r="527" ht="14.25" customHeight="1" s="38"/>
    <row r="528" ht="14.25" customHeight="1" s="38"/>
    <row r="529" ht="14.25" customHeight="1" s="38"/>
    <row r="530" ht="14.25" customHeight="1" s="38"/>
    <row r="531" ht="14.25" customHeight="1" s="38"/>
    <row r="532" ht="14.25" customHeight="1" s="38"/>
    <row r="533" ht="14.25" customHeight="1" s="38"/>
    <row r="534" ht="14.25" customHeight="1" s="38"/>
    <row r="535" ht="14.25" customHeight="1" s="38"/>
    <row r="536" ht="14.25" customHeight="1" s="38"/>
    <row r="537" ht="14.25" customHeight="1" s="38"/>
    <row r="538" ht="14.25" customHeight="1" s="38"/>
    <row r="539" ht="14.25" customHeight="1" s="38"/>
    <row r="540" ht="14.25" customHeight="1" s="38"/>
    <row r="541" ht="14.25" customHeight="1" s="38"/>
    <row r="542" ht="14.25" customHeight="1" s="38"/>
    <row r="543" ht="14.25" customHeight="1" s="38"/>
    <row r="544" ht="14.25" customHeight="1" s="38"/>
    <row r="545" ht="14.25" customHeight="1" s="38"/>
    <row r="546" ht="14.25" customHeight="1" s="38"/>
    <row r="547" ht="14.25" customHeight="1" s="38"/>
    <row r="548" ht="14.25" customHeight="1" s="38"/>
    <row r="549" ht="14.25" customHeight="1" s="38"/>
    <row r="550" ht="14.25" customHeight="1" s="38"/>
    <row r="551" ht="14.25" customHeight="1" s="38"/>
    <row r="552" ht="14.25" customHeight="1" s="38"/>
    <row r="553" ht="14.25" customHeight="1" s="38"/>
    <row r="554" ht="14.25" customHeight="1" s="38"/>
    <row r="555" ht="14.25" customHeight="1" s="38"/>
    <row r="556" ht="14.25" customHeight="1" s="38"/>
    <row r="557" ht="14.25" customHeight="1" s="38"/>
    <row r="558" ht="14.25" customHeight="1" s="38"/>
    <row r="559" ht="14.25" customHeight="1" s="38"/>
    <row r="560" ht="14.25" customHeight="1" s="38"/>
    <row r="561" ht="14.25" customHeight="1" s="38"/>
    <row r="562" ht="14.25" customHeight="1" s="38"/>
    <row r="563" ht="14.25" customHeight="1" s="38"/>
    <row r="564" ht="14.25" customHeight="1" s="38"/>
    <row r="565" ht="14.25" customHeight="1" s="38"/>
    <row r="566" ht="14.25" customHeight="1" s="38"/>
    <row r="567" ht="14.25" customHeight="1" s="38"/>
    <row r="568" ht="14.25" customHeight="1" s="38"/>
    <row r="569" ht="14.25" customHeight="1" s="38"/>
    <row r="570" ht="14.25" customHeight="1" s="38"/>
    <row r="571" ht="14.25" customHeight="1" s="38"/>
    <row r="572" ht="14.25" customHeight="1" s="38"/>
    <row r="573" ht="14.25" customHeight="1" s="38"/>
    <row r="574" ht="14.25" customHeight="1" s="38"/>
    <row r="575" ht="14.25" customHeight="1" s="38"/>
    <row r="576" ht="14.25" customHeight="1" s="38"/>
    <row r="577" ht="14.25" customHeight="1" s="38"/>
    <row r="578" ht="14.25" customHeight="1" s="38"/>
    <row r="579" ht="14.25" customHeight="1" s="38"/>
    <row r="580" ht="14.25" customHeight="1" s="38"/>
    <row r="581" ht="14.25" customHeight="1" s="38"/>
    <row r="582" ht="14.25" customHeight="1" s="38"/>
    <row r="583" ht="14.25" customHeight="1" s="38"/>
    <row r="584" ht="14.25" customHeight="1" s="38"/>
    <row r="585" ht="14.25" customHeight="1" s="38"/>
    <row r="586" ht="14.25" customHeight="1" s="38"/>
    <row r="587" ht="14.25" customHeight="1" s="38"/>
    <row r="588" ht="14.25" customHeight="1" s="38"/>
    <row r="589" ht="14.25" customHeight="1" s="38"/>
    <row r="590" ht="14.25" customHeight="1" s="38"/>
    <row r="591" ht="14.25" customHeight="1" s="38"/>
    <row r="592" ht="14.25" customHeight="1" s="38"/>
    <row r="593" ht="14.25" customHeight="1" s="38"/>
    <row r="594" ht="14.25" customHeight="1" s="38"/>
    <row r="595" ht="14.25" customHeight="1" s="38"/>
    <row r="596" ht="14.25" customHeight="1" s="38"/>
    <row r="597" ht="14.25" customHeight="1" s="38"/>
    <row r="598" ht="14.25" customHeight="1" s="38"/>
    <row r="599" ht="14.25" customHeight="1" s="38"/>
    <row r="600" ht="14.25" customHeight="1" s="38"/>
    <row r="601" ht="14.25" customHeight="1" s="38"/>
    <row r="602" ht="14.25" customHeight="1" s="38"/>
    <row r="603" ht="14.25" customHeight="1" s="38"/>
    <row r="604" ht="14.25" customHeight="1" s="38"/>
    <row r="605" ht="14.25" customHeight="1" s="38"/>
    <row r="606" ht="14.25" customHeight="1" s="38"/>
    <row r="607" ht="14.25" customHeight="1" s="38"/>
    <row r="608" ht="14.25" customHeight="1" s="38"/>
    <row r="609" ht="14.25" customHeight="1" s="38"/>
    <row r="610" ht="14.25" customHeight="1" s="38"/>
    <row r="611" ht="14.25" customHeight="1" s="38"/>
    <row r="612" ht="14.25" customHeight="1" s="38"/>
    <row r="613" ht="14.25" customHeight="1" s="38"/>
    <row r="614" ht="14.25" customHeight="1" s="38"/>
    <row r="615" ht="14.25" customHeight="1" s="38"/>
    <row r="616" ht="14.25" customHeight="1" s="38"/>
    <row r="617" ht="14.25" customHeight="1" s="38"/>
    <row r="618" ht="14.25" customHeight="1" s="38"/>
    <row r="619" ht="14.25" customHeight="1" s="38"/>
    <row r="620" ht="14.25" customHeight="1" s="38"/>
    <row r="621" ht="14.25" customHeight="1" s="38"/>
    <row r="622" ht="14.25" customHeight="1" s="38"/>
    <row r="623" ht="14.25" customHeight="1" s="38"/>
    <row r="624" ht="14.25" customHeight="1" s="38"/>
    <row r="625" ht="14.25" customHeight="1" s="38"/>
    <row r="626" ht="14.25" customHeight="1" s="38"/>
    <row r="627" ht="14.25" customHeight="1" s="38"/>
    <row r="628" ht="14.25" customHeight="1" s="38"/>
    <row r="629" ht="14.25" customHeight="1" s="38"/>
    <row r="630" ht="14.25" customHeight="1" s="38"/>
    <row r="631" ht="14.25" customHeight="1" s="38"/>
    <row r="632" ht="14.25" customHeight="1" s="38"/>
    <row r="633" ht="14.25" customHeight="1" s="38"/>
    <row r="634" ht="14.25" customHeight="1" s="38"/>
    <row r="635" ht="14.25" customHeight="1" s="38"/>
    <row r="636" ht="14.25" customHeight="1" s="38"/>
    <row r="637" ht="14.25" customHeight="1" s="38"/>
    <row r="638" ht="14.25" customHeight="1" s="38"/>
    <row r="639" ht="14.25" customHeight="1" s="38"/>
    <row r="640" ht="14.25" customHeight="1" s="38"/>
    <row r="641" ht="14.25" customHeight="1" s="38"/>
    <row r="642" ht="14.25" customHeight="1" s="38"/>
    <row r="643" ht="14.25" customHeight="1" s="38"/>
    <row r="644" ht="14.25" customHeight="1" s="38"/>
    <row r="645" ht="14.25" customHeight="1" s="38"/>
    <row r="646" ht="14.25" customHeight="1" s="38"/>
    <row r="647" ht="14.25" customHeight="1" s="38"/>
    <row r="648" ht="14.25" customHeight="1" s="38"/>
    <row r="649" ht="14.25" customHeight="1" s="38"/>
    <row r="650" ht="14.25" customHeight="1" s="38"/>
    <row r="651" ht="14.25" customHeight="1" s="38"/>
    <row r="652" ht="14.25" customHeight="1" s="38"/>
    <row r="653" ht="14.25" customHeight="1" s="38"/>
    <row r="654" ht="14.25" customHeight="1" s="38"/>
    <row r="655" ht="14.25" customHeight="1" s="38"/>
    <row r="656" ht="14.25" customHeight="1" s="38"/>
    <row r="657" ht="14.25" customHeight="1" s="38"/>
    <row r="658" ht="14.25" customHeight="1" s="38"/>
    <row r="659" ht="14.25" customHeight="1" s="38"/>
    <row r="660" ht="14.25" customHeight="1" s="38"/>
    <row r="661" ht="14.25" customHeight="1" s="38"/>
    <row r="662" ht="14.25" customHeight="1" s="38"/>
    <row r="663" ht="14.25" customHeight="1" s="38"/>
    <row r="664" ht="14.25" customHeight="1" s="38"/>
    <row r="665" ht="14.25" customHeight="1" s="38"/>
    <row r="666" ht="14.25" customHeight="1" s="38"/>
    <row r="667" ht="14.25" customHeight="1" s="38"/>
    <row r="668" ht="14.25" customHeight="1" s="38"/>
    <row r="669" ht="14.25" customHeight="1" s="38"/>
    <row r="670" ht="14.25" customHeight="1" s="38"/>
    <row r="671" ht="14.25" customHeight="1" s="38"/>
    <row r="672" ht="14.25" customHeight="1" s="38"/>
    <row r="673" ht="14.25" customHeight="1" s="38"/>
    <row r="674" ht="14.25" customHeight="1" s="38"/>
    <row r="675" ht="14.25" customHeight="1" s="38"/>
    <row r="676" ht="14.25" customHeight="1" s="38"/>
    <row r="677" ht="14.25" customHeight="1" s="38"/>
    <row r="678" ht="14.25" customHeight="1" s="38"/>
    <row r="679" ht="14.25" customHeight="1" s="38"/>
    <row r="680" ht="14.25" customHeight="1" s="38"/>
    <row r="681" ht="14.25" customHeight="1" s="38"/>
    <row r="682" ht="14.25" customHeight="1" s="38"/>
    <row r="683" ht="14.25" customHeight="1" s="38"/>
    <row r="684" ht="14.25" customHeight="1" s="38"/>
    <row r="685" ht="14.25" customHeight="1" s="38"/>
    <row r="686" ht="14.25" customHeight="1" s="38"/>
    <row r="687" ht="14.25" customHeight="1" s="38"/>
    <row r="688" ht="14.25" customHeight="1" s="38"/>
    <row r="689" ht="14.25" customHeight="1" s="38"/>
    <row r="690" ht="14.25" customHeight="1" s="38"/>
    <row r="691" ht="14.25" customHeight="1" s="38"/>
    <row r="692" ht="14.25" customHeight="1" s="38"/>
    <row r="693" ht="14.25" customHeight="1" s="38"/>
    <row r="694" ht="14.25" customHeight="1" s="38"/>
    <row r="695" ht="14.25" customHeight="1" s="38"/>
    <row r="696" ht="14.25" customHeight="1" s="38"/>
    <row r="697" ht="14.25" customHeight="1" s="38"/>
    <row r="698" ht="14.25" customHeight="1" s="38"/>
    <row r="699" ht="14.25" customHeight="1" s="38"/>
    <row r="700" ht="14.25" customHeight="1" s="38"/>
    <row r="701" ht="14.25" customHeight="1" s="38"/>
    <row r="702" ht="14.25" customHeight="1" s="38"/>
    <row r="703" ht="14.25" customHeight="1" s="38"/>
    <row r="704" ht="14.25" customHeight="1" s="38"/>
    <row r="705" ht="14.25" customHeight="1" s="38"/>
    <row r="706" ht="14.25" customHeight="1" s="38"/>
    <row r="707" ht="14.25" customHeight="1" s="38"/>
    <row r="708" ht="14.25" customHeight="1" s="38"/>
    <row r="709" ht="14.25" customHeight="1" s="38"/>
    <row r="710" ht="14.25" customHeight="1" s="38"/>
    <row r="711" ht="14.25" customHeight="1" s="38"/>
    <row r="712" ht="14.25" customHeight="1" s="38"/>
    <row r="713" ht="14.25" customHeight="1" s="38"/>
    <row r="714" ht="14.25" customHeight="1" s="38"/>
    <row r="715" ht="14.25" customHeight="1" s="38"/>
    <row r="716" ht="14.25" customHeight="1" s="38"/>
    <row r="717" ht="14.25" customHeight="1" s="38"/>
    <row r="718" ht="14.25" customHeight="1" s="38"/>
    <row r="719" ht="14.25" customHeight="1" s="38"/>
    <row r="720" ht="14.25" customHeight="1" s="38"/>
    <row r="721" ht="14.25" customHeight="1" s="38"/>
    <row r="722" ht="14.25" customHeight="1" s="38"/>
    <row r="723" ht="14.25" customHeight="1" s="38"/>
    <row r="724" ht="14.25" customHeight="1" s="38"/>
    <row r="725" ht="14.25" customHeight="1" s="38"/>
    <row r="726" ht="14.25" customHeight="1" s="38"/>
    <row r="727" ht="14.25" customHeight="1" s="38"/>
    <row r="728" ht="14.25" customHeight="1" s="38"/>
    <row r="729" ht="14.25" customHeight="1" s="38"/>
    <row r="730" ht="14.25" customHeight="1" s="38"/>
    <row r="731" ht="14.25" customHeight="1" s="38"/>
    <row r="732" ht="14.25" customHeight="1" s="38"/>
    <row r="733" ht="14.25" customHeight="1" s="38"/>
    <row r="734" ht="14.25" customHeight="1" s="38"/>
    <row r="735" ht="14.25" customHeight="1" s="38"/>
    <row r="736" ht="14.25" customHeight="1" s="38"/>
    <row r="737" ht="14.25" customHeight="1" s="38"/>
    <row r="738" ht="14.25" customHeight="1" s="38"/>
    <row r="739" ht="14.25" customHeight="1" s="38"/>
    <row r="740" ht="14.25" customHeight="1" s="38"/>
    <row r="741" ht="14.25" customHeight="1" s="38"/>
    <row r="742" ht="14.25" customHeight="1" s="38"/>
    <row r="743" ht="14.25" customHeight="1" s="38"/>
    <row r="744" ht="14.25" customHeight="1" s="38"/>
    <row r="745" ht="14.25" customHeight="1" s="38"/>
    <row r="746" ht="14.25" customHeight="1" s="38"/>
    <row r="747" ht="14.25" customHeight="1" s="38"/>
    <row r="748" ht="14.25" customHeight="1" s="38"/>
    <row r="749" ht="14.25" customHeight="1" s="38"/>
    <row r="750" ht="14.25" customHeight="1" s="38"/>
    <row r="751" ht="14.25" customHeight="1" s="38"/>
    <row r="752" ht="14.25" customHeight="1" s="38"/>
    <row r="753" ht="14.25" customHeight="1" s="38"/>
    <row r="754" ht="14.25" customHeight="1" s="38"/>
    <row r="755" ht="14.25" customHeight="1" s="38"/>
    <row r="756" ht="14.25" customHeight="1" s="38"/>
    <row r="757" ht="14.25" customHeight="1" s="38"/>
    <row r="758" ht="14.25" customHeight="1" s="38"/>
    <row r="759" ht="14.25" customHeight="1" s="38"/>
    <row r="760" ht="14.25" customHeight="1" s="38"/>
    <row r="761" ht="14.25" customHeight="1" s="38"/>
    <row r="762" ht="14.25" customHeight="1" s="38"/>
    <row r="763" ht="14.25" customHeight="1" s="38"/>
    <row r="764" ht="14.25" customHeight="1" s="38"/>
    <row r="765" ht="14.25" customHeight="1" s="38"/>
    <row r="766" ht="14.25" customHeight="1" s="38"/>
    <row r="767" ht="14.25" customHeight="1" s="38"/>
    <row r="768" ht="14.25" customHeight="1" s="38"/>
    <row r="769" ht="14.25" customHeight="1" s="38"/>
    <row r="770" ht="14.25" customHeight="1" s="38"/>
    <row r="771" ht="14.25" customHeight="1" s="38"/>
    <row r="772" ht="14.25" customHeight="1" s="38"/>
    <row r="773" ht="14.25" customHeight="1" s="38"/>
    <row r="774" ht="14.25" customHeight="1" s="38"/>
    <row r="775" ht="14.25" customHeight="1" s="38"/>
    <row r="776" ht="14.25" customHeight="1" s="38"/>
    <row r="777" ht="14.25" customHeight="1" s="38"/>
    <row r="778" ht="14.25" customHeight="1" s="38"/>
    <row r="779" ht="14.25" customHeight="1" s="38"/>
    <row r="780" ht="14.25" customHeight="1" s="38"/>
    <row r="781" ht="14.25" customHeight="1" s="38"/>
    <row r="782" ht="14.25" customHeight="1" s="38"/>
    <row r="783" ht="14.25" customHeight="1" s="38"/>
    <row r="784" ht="14.25" customHeight="1" s="38"/>
    <row r="785" ht="14.25" customHeight="1" s="38"/>
    <row r="786" ht="14.25" customHeight="1" s="38"/>
    <row r="787" ht="14.25" customHeight="1" s="38"/>
    <row r="788" ht="14.25" customHeight="1" s="38"/>
    <row r="789" ht="14.25" customHeight="1" s="38"/>
    <row r="790" ht="14.25" customHeight="1" s="38"/>
    <row r="791" ht="14.25" customHeight="1" s="38"/>
    <row r="792" ht="14.25" customHeight="1" s="38"/>
    <row r="793" ht="14.25" customHeight="1" s="38"/>
    <row r="794" ht="14.25" customHeight="1" s="38"/>
    <row r="795" ht="14.25" customHeight="1" s="38"/>
    <row r="796" ht="14.25" customHeight="1" s="38"/>
    <row r="797" ht="14.25" customHeight="1" s="38"/>
    <row r="798" ht="14.25" customHeight="1" s="38"/>
    <row r="799" ht="14.25" customHeight="1" s="38"/>
    <row r="800" ht="14.25" customHeight="1" s="38"/>
    <row r="801" ht="14.25" customHeight="1" s="38"/>
    <row r="802" ht="14.25" customHeight="1" s="38"/>
    <row r="803" ht="14.25" customHeight="1" s="38"/>
    <row r="804" ht="14.25" customHeight="1" s="38"/>
    <row r="805" ht="14.25" customHeight="1" s="38"/>
    <row r="806" ht="14.25" customHeight="1" s="38"/>
    <row r="807" ht="14.25" customHeight="1" s="38"/>
    <row r="808" ht="14.25" customHeight="1" s="38"/>
    <row r="809" ht="14.25" customHeight="1" s="38"/>
    <row r="810" ht="14.25" customHeight="1" s="38"/>
    <row r="811" ht="14.25" customHeight="1" s="38"/>
    <row r="812" ht="14.25" customHeight="1" s="38"/>
    <row r="813" ht="14.25" customHeight="1" s="38"/>
    <row r="814" ht="14.25" customHeight="1" s="38"/>
    <row r="815" ht="14.25" customHeight="1" s="38"/>
    <row r="816" ht="14.25" customHeight="1" s="38"/>
    <row r="817" ht="14.25" customHeight="1" s="38"/>
    <row r="818" ht="14.25" customHeight="1" s="38"/>
    <row r="819" ht="14.25" customHeight="1" s="38"/>
    <row r="820" ht="14.25" customHeight="1" s="38"/>
    <row r="821" ht="14.25" customHeight="1" s="38"/>
    <row r="822" ht="14.25" customHeight="1" s="38"/>
    <row r="823" ht="14.25" customHeight="1" s="38"/>
    <row r="824" ht="14.25" customHeight="1" s="38"/>
    <row r="825" ht="14.25" customHeight="1" s="38"/>
    <row r="826" ht="14.25" customHeight="1" s="38"/>
    <row r="827" ht="14.25" customHeight="1" s="38"/>
    <row r="828" ht="14.25" customHeight="1" s="38"/>
    <row r="829" ht="14.25" customHeight="1" s="38"/>
    <row r="830" ht="14.25" customHeight="1" s="38"/>
    <row r="831" ht="14.25" customHeight="1" s="38"/>
    <row r="832" ht="14.25" customHeight="1" s="38"/>
    <row r="833" ht="14.25" customHeight="1" s="38"/>
    <row r="834" ht="14.25" customHeight="1" s="38"/>
    <row r="835" ht="14.25" customHeight="1" s="38"/>
    <row r="836" ht="14.25" customHeight="1" s="38"/>
    <row r="837" ht="14.25" customHeight="1" s="38"/>
    <row r="838" ht="14.25" customHeight="1" s="38"/>
    <row r="839" ht="14.25" customHeight="1" s="38"/>
    <row r="840" ht="14.25" customHeight="1" s="38"/>
    <row r="841" ht="14.25" customHeight="1" s="38"/>
    <row r="842" ht="14.25" customHeight="1" s="38"/>
    <row r="843" ht="14.25" customHeight="1" s="38"/>
    <row r="844" ht="14.25" customHeight="1" s="38"/>
    <row r="845" ht="14.25" customHeight="1" s="38"/>
    <row r="846" ht="14.25" customHeight="1" s="38"/>
    <row r="847" ht="14.25" customHeight="1" s="38"/>
    <row r="848" ht="14.25" customHeight="1" s="38"/>
    <row r="849" ht="14.25" customHeight="1" s="38"/>
    <row r="850" ht="14.25" customHeight="1" s="38"/>
    <row r="851" ht="14.25" customHeight="1" s="38"/>
    <row r="852" ht="14.25" customHeight="1" s="38"/>
    <row r="853" ht="14.25" customHeight="1" s="38"/>
    <row r="854" ht="14.25" customHeight="1" s="38"/>
    <row r="855" ht="14.25" customHeight="1" s="38"/>
    <row r="856" ht="14.25" customHeight="1" s="38"/>
    <row r="857" ht="14.25" customHeight="1" s="38"/>
    <row r="858" ht="14.25" customHeight="1" s="38"/>
    <row r="859" ht="14.25" customHeight="1" s="38"/>
    <row r="860" ht="14.25" customHeight="1" s="38"/>
    <row r="861" ht="14.25" customHeight="1" s="38"/>
    <row r="862" ht="14.25" customHeight="1" s="38"/>
    <row r="863" ht="14.25" customHeight="1" s="38"/>
    <row r="864" ht="14.25" customHeight="1" s="38"/>
    <row r="865" ht="14.25" customHeight="1" s="38"/>
    <row r="866" ht="14.25" customHeight="1" s="38"/>
    <row r="867" ht="14.25" customHeight="1" s="38"/>
    <row r="868" ht="14.25" customHeight="1" s="38"/>
    <row r="869" ht="14.25" customHeight="1" s="38"/>
    <row r="870" ht="14.25" customHeight="1" s="38"/>
    <row r="871" ht="14.25" customHeight="1" s="38"/>
    <row r="872" ht="14.25" customHeight="1" s="38"/>
    <row r="873" ht="14.25" customHeight="1" s="38"/>
    <row r="874" ht="14.25" customHeight="1" s="38"/>
    <row r="875" ht="14.25" customHeight="1" s="38"/>
    <row r="876" ht="14.25" customHeight="1" s="38"/>
    <row r="877" ht="14.25" customHeight="1" s="38"/>
    <row r="878" ht="14.25" customHeight="1" s="38"/>
    <row r="879" ht="14.25" customHeight="1" s="38"/>
    <row r="880" ht="14.25" customHeight="1" s="38"/>
    <row r="881" ht="14.25" customHeight="1" s="38"/>
    <row r="882" ht="14.25" customHeight="1" s="38"/>
    <row r="883" ht="14.25" customHeight="1" s="38"/>
    <row r="884" ht="14.25" customHeight="1" s="38"/>
    <row r="885" ht="14.25" customHeight="1" s="38"/>
    <row r="886" ht="14.25" customHeight="1" s="38"/>
    <row r="887" ht="14.25" customHeight="1" s="38"/>
    <row r="888" ht="14.25" customHeight="1" s="38"/>
    <row r="889" ht="14.25" customHeight="1" s="38"/>
    <row r="890" ht="14.25" customHeight="1" s="38"/>
    <row r="891" ht="14.25" customHeight="1" s="38"/>
    <row r="892" ht="14.25" customHeight="1" s="38"/>
    <row r="893" ht="14.25" customHeight="1" s="38"/>
    <row r="894" ht="14.25" customHeight="1" s="38"/>
    <row r="895" ht="14.25" customHeight="1" s="38"/>
    <row r="896" ht="14.25" customHeight="1" s="38"/>
    <row r="897" ht="14.25" customHeight="1" s="38"/>
    <row r="898" ht="14.25" customHeight="1" s="38"/>
    <row r="899" ht="14.25" customHeight="1" s="38"/>
    <row r="900" ht="14.25" customHeight="1" s="38"/>
    <row r="901" ht="14.25" customHeight="1" s="38"/>
    <row r="902" ht="14.25" customHeight="1" s="38"/>
    <row r="903" ht="14.25" customHeight="1" s="38"/>
    <row r="904" ht="14.25" customHeight="1" s="38"/>
    <row r="905" ht="14.25" customHeight="1" s="38"/>
    <row r="906" ht="14.25" customHeight="1" s="38"/>
    <row r="907" ht="14.25" customHeight="1" s="38"/>
    <row r="908" ht="14.25" customHeight="1" s="38"/>
    <row r="909" ht="14.25" customHeight="1" s="38"/>
    <row r="910" ht="14.25" customHeight="1" s="38"/>
    <row r="911" ht="14.25" customHeight="1" s="38"/>
    <row r="912" ht="14.25" customHeight="1" s="38"/>
    <row r="913" ht="14.25" customHeight="1" s="38"/>
    <row r="914" ht="14.25" customHeight="1" s="38"/>
    <row r="915" ht="14.25" customHeight="1" s="38"/>
    <row r="916" ht="14.25" customHeight="1" s="38"/>
    <row r="917" ht="14.25" customHeight="1" s="38"/>
    <row r="918" ht="14.25" customHeight="1" s="38"/>
    <row r="919" ht="14.25" customHeight="1" s="38"/>
    <row r="920" ht="14.25" customHeight="1" s="38"/>
    <row r="921" ht="14.25" customHeight="1" s="38"/>
    <row r="922" ht="14.25" customHeight="1" s="38"/>
    <row r="923" ht="14.25" customHeight="1" s="38"/>
    <row r="924" ht="14.25" customHeight="1" s="38"/>
    <row r="925" ht="14.25" customHeight="1" s="38"/>
    <row r="926" ht="14.25" customHeight="1" s="38"/>
    <row r="927" ht="14.25" customHeight="1" s="38"/>
    <row r="928" ht="14.25" customHeight="1" s="38"/>
    <row r="929" ht="14.25" customHeight="1" s="38"/>
    <row r="930" ht="14.25" customHeight="1" s="38"/>
    <row r="931" ht="14.25" customHeight="1" s="38"/>
    <row r="932" ht="14.25" customHeight="1" s="38"/>
    <row r="933" ht="14.25" customHeight="1" s="38"/>
    <row r="934" ht="14.25" customHeight="1" s="38"/>
    <row r="935" ht="14.25" customHeight="1" s="38"/>
    <row r="936" ht="14.25" customHeight="1" s="38"/>
    <row r="937" ht="14.25" customHeight="1" s="38"/>
    <row r="938" ht="14.25" customHeight="1" s="38"/>
    <row r="939" ht="14.25" customHeight="1" s="38"/>
    <row r="940" ht="14.25" customHeight="1" s="38"/>
    <row r="941" ht="14.25" customHeight="1" s="38"/>
    <row r="942" ht="14.25" customHeight="1" s="38"/>
    <row r="943" ht="14.25" customHeight="1" s="38"/>
    <row r="944" ht="14.25" customHeight="1" s="38"/>
    <row r="945" ht="14.25" customHeight="1" s="38"/>
    <row r="946" ht="14.25" customHeight="1" s="38"/>
    <row r="947" ht="14.25" customHeight="1" s="38"/>
    <row r="948" ht="14.25" customHeight="1" s="38"/>
    <row r="949" ht="14.25" customHeight="1" s="38"/>
    <row r="950" ht="14.25" customHeight="1" s="38"/>
    <row r="951" ht="14.25" customHeight="1" s="38"/>
    <row r="952" ht="14.25" customHeight="1" s="38"/>
    <row r="953" ht="14.25" customHeight="1" s="38"/>
    <row r="954" ht="14.25" customHeight="1" s="38"/>
    <row r="955" ht="14.25" customHeight="1" s="38"/>
    <row r="956" ht="14.25" customHeight="1" s="38"/>
    <row r="957" ht="14.25" customHeight="1" s="38"/>
    <row r="958" ht="14.25" customHeight="1" s="38"/>
    <row r="959" ht="14.25" customHeight="1" s="38"/>
    <row r="960" ht="14.25" customHeight="1" s="38"/>
    <row r="961" ht="14.25" customHeight="1" s="38"/>
    <row r="962" ht="14.25" customHeight="1" s="38"/>
    <row r="963" ht="14.25" customHeight="1" s="38"/>
    <row r="964" ht="14.25" customHeight="1" s="38"/>
    <row r="965" ht="14.25" customHeight="1" s="38"/>
    <row r="966" ht="14.25" customHeight="1" s="38"/>
    <row r="967" ht="14.25" customHeight="1" s="38"/>
    <row r="968" ht="14.25" customHeight="1" s="38"/>
    <row r="969" ht="14.25" customHeight="1" s="38"/>
    <row r="970" ht="14.25" customHeight="1" s="38"/>
    <row r="971" ht="14.25" customHeight="1" s="38"/>
    <row r="972" ht="14.25" customHeight="1" s="38"/>
    <row r="973" ht="14.25" customHeight="1" s="38"/>
    <row r="974" ht="14.25" customHeight="1" s="38"/>
    <row r="975" ht="14.25" customHeight="1" s="38"/>
    <row r="976" ht="14.25" customHeight="1" s="38"/>
    <row r="977" ht="14.25" customHeight="1" s="38"/>
    <row r="978" ht="14.25" customHeight="1" s="38"/>
    <row r="979" ht="14.25" customHeight="1" s="38"/>
    <row r="980" ht="14.25" customHeight="1" s="38"/>
    <row r="981" ht="14.25" customHeight="1" s="38"/>
    <row r="982" ht="14.25" customHeight="1" s="38"/>
    <row r="983" ht="14.25" customHeight="1" s="38"/>
    <row r="984" ht="14.25" customHeight="1" s="38"/>
    <row r="985" ht="14.25" customHeight="1" s="38"/>
    <row r="986" ht="14.25" customHeight="1" s="38"/>
    <row r="987" ht="14.25" customHeight="1" s="38"/>
    <row r="988" ht="14.25" customHeight="1" s="38"/>
    <row r="989" ht="14.25" customHeight="1" s="38"/>
    <row r="990" ht="14.25" customHeight="1" s="38"/>
    <row r="991" ht="14.25" customHeight="1" s="38"/>
    <row r="992" ht="14.25" customHeight="1" s="38"/>
    <row r="993" ht="14.25" customHeight="1" s="38"/>
    <row r="994" ht="14.25" customHeight="1" s="38"/>
    <row r="995" ht="14.25" customHeight="1" s="38"/>
    <row r="996" ht="14.25" customHeight="1" s="38"/>
    <row r="997" ht="14.25" customHeight="1" s="38"/>
    <row r="998" ht="14.25" customHeight="1" s="38"/>
    <row r="999" ht="14.25" customHeight="1" s="38"/>
    <row r="1000" ht="14.25" customHeight="1" s="38"/>
  </sheetData>
  <mergeCells count="1">
    <mergeCell ref="A1:G1"/>
  </mergeCells>
  <pageMargins left="0.25" right="0.25" top="0.35" bottom="0.35" header="0" footer="0"/>
  <pageSetup orientation="landscape" paperSize="9" fitToHeight="0"/>
  <headerFooter>
    <oddHeader/>
    <oddFooter>&amp;CParoki St. Klement I Sepinggan Balikpapan • Statistik 2026&amp;RHalaman &amp;P dari 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G33"/>
  <sheetViews>
    <sheetView showGridLines="0" workbookViewId="0">
      <selection activeCell="A1" sqref="A1"/>
    </sheetView>
  </sheetViews>
  <sheetFormatPr baseColWidth="8" defaultColWidth="14.43" defaultRowHeight="15" customHeight="1"/>
  <cols>
    <col width="18" customWidth="1" style="38" min="1" max="7"/>
    <col width="9" customWidth="1" style="38" min="8" max="26"/>
  </cols>
  <sheetData>
    <row r="1" ht="14.25" customHeight="1" s="38">
      <c r="A1" s="45" t="inlineStr">
        <is>
          <t>DASHBOARD STATISTIK UMAT — 2026</t>
        </is>
      </c>
    </row>
    <row r="2" ht="14.25" customHeight="1" s="38">
      <c r="A2" s="27" t="inlineStr">
        <is>
          <t>Paroki St. Klement I Sepinggan Balikpapan</t>
        </is>
      </c>
    </row>
    <row r="3" ht="14.25" customHeight="1" s="38"/>
    <row r="4" ht="14.25" customHeight="1" s="38">
      <c r="A4" s="29" t="inlineStr">
        <is>
          <t>Total KK</t>
        </is>
      </c>
      <c r="C4" s="29" t="inlineStr">
        <is>
          <t>Total Jiwa</t>
        </is>
      </c>
      <c r="E4" s="29" t="inlineStr">
        <is>
          <t>Baptis</t>
        </is>
      </c>
      <c r="G4" s="29" t="inlineStr">
        <is>
          <t>Komuni I</t>
        </is>
      </c>
    </row>
    <row r="5" ht="14.25" customHeight="1" s="38">
      <c r="A5" s="46">
        <f>'REKAP LINGKUNGAN'!B105</f>
        <v/>
      </c>
      <c r="C5" s="46">
        <f>'REKAP LINGKUNGAN'!C105</f>
        <v/>
      </c>
      <c r="E5" s="46">
        <f>'REKAP LINGKUNGAN'!D105</f>
        <v/>
      </c>
      <c r="G5" s="46">
        <f>'REKAP LINGKUNGAN'!M105</f>
        <v/>
      </c>
    </row>
    <row r="6" ht="14.25" customHeight="1" s="38"/>
    <row r="7" ht="14.25" customHeight="1" s="38"/>
    <row r="8" ht="14.25" customHeight="1" s="38">
      <c r="A8" s="29" t="inlineStr">
        <is>
          <t>Perkawinan</t>
        </is>
      </c>
      <c r="C8" s="29" t="inlineStr">
        <is>
          <t>Meninggal</t>
        </is>
      </c>
      <c r="E8" s="29" t="inlineStr">
        <is>
          <t>Pindah Agama</t>
        </is>
      </c>
      <c r="G8" s="29" t="inlineStr">
        <is>
          <t>Saldo Perubahan</t>
        </is>
      </c>
    </row>
    <row r="9" ht="14.25" customHeight="1" s="38">
      <c r="A9" s="46">
        <f>'REKAP LINGKUNGAN'!N105</f>
        <v/>
      </c>
      <c r="C9" s="46">
        <f>'REKAP LINGKUNGAN'!H105</f>
        <v/>
      </c>
      <c r="E9" s="46">
        <f>'REKAP LINGKUNGAN'!K105</f>
        <v/>
      </c>
      <c r="G9" s="46">
        <f>'REKAP LINGKUNGAN'!L105</f>
        <v/>
      </c>
    </row>
    <row r="10" ht="14.25" customHeight="1" s="38"/>
    <row r="11" ht="14.25" customHeight="1" s="38"/>
    <row r="12" ht="14.25" customHeight="1" s="38"/>
    <row r="13" ht="14.25" customHeight="1" s="38">
      <c r="A13" s="7" t="inlineStr">
        <is>
          <t>LINGKUNGAN</t>
        </is>
      </c>
      <c r="B13" s="7" t="inlineStr">
        <is>
          <t>JUMLAH JIWA</t>
        </is>
      </c>
    </row>
    <row r="14" ht="14.25" customHeight="1" s="38">
      <c r="A14" s="3">
        <f>'REKAP LINGKUNGAN'!A5</f>
        <v/>
      </c>
      <c r="B14" s="3">
        <f>'REKAP LINGKUNGAN'!C5</f>
        <v/>
      </c>
    </row>
    <row r="15" ht="14.25" customHeight="1" s="38">
      <c r="A15" s="3">
        <f>'REKAP LINGKUNGAN'!A6</f>
        <v/>
      </c>
      <c r="B15" s="3">
        <f>'REKAP LINGKUNGAN'!C6</f>
        <v/>
      </c>
    </row>
    <row r="16" ht="14.25" customHeight="1" s="38">
      <c r="A16" s="3">
        <f>'REKAP LINGKUNGAN'!A7</f>
        <v/>
      </c>
      <c r="B16" s="3">
        <f>'REKAP LINGKUNGAN'!C7</f>
        <v/>
      </c>
    </row>
    <row r="17" ht="14.25" customHeight="1" s="38">
      <c r="A17" s="3">
        <f>'REKAP LINGKUNGAN'!A8</f>
        <v/>
      </c>
      <c r="B17" s="3">
        <f>'REKAP LINGKUNGAN'!C8</f>
        <v/>
      </c>
    </row>
    <row r="18" ht="14.25" customHeight="1" s="38">
      <c r="A18" s="3">
        <f>'REKAP LINGKUNGAN'!A9</f>
        <v/>
      </c>
      <c r="B18" s="3">
        <f>'REKAP LINGKUNGAN'!C9</f>
        <v/>
      </c>
    </row>
    <row r="19" ht="14.25" customHeight="1" s="38">
      <c r="A19" s="3">
        <f>'REKAP LINGKUNGAN'!A10</f>
        <v/>
      </c>
      <c r="B19" s="3">
        <f>'REKAP LINGKUNGAN'!C10</f>
        <v/>
      </c>
    </row>
    <row r="20" ht="14.25" customHeight="1" s="38">
      <c r="A20" s="3">
        <f>'REKAP LINGKUNGAN'!A11</f>
        <v/>
      </c>
      <c r="B20" s="3">
        <f>'REKAP LINGKUNGAN'!C11</f>
        <v/>
      </c>
    </row>
    <row r="21" ht="14.25" customHeight="1" s="38">
      <c r="A21" s="3">
        <f>'REKAP LINGKUNGAN'!A12</f>
        <v/>
      </c>
      <c r="B21" s="3">
        <f>'REKAP LINGKUNGAN'!C12</f>
        <v/>
      </c>
    </row>
    <row r="22" ht="14.25" customHeight="1" s="38">
      <c r="A22" s="3">
        <f>'REKAP LINGKUNGAN'!A13</f>
        <v/>
      </c>
      <c r="B22" s="3">
        <f>'REKAP LINGKUNGAN'!C13</f>
        <v/>
      </c>
    </row>
    <row r="23" ht="14.25" customHeight="1" s="38">
      <c r="A23" s="3">
        <f>'REKAP LINGKUNGAN'!A14</f>
        <v/>
      </c>
      <c r="B23" s="3">
        <f>'REKAP LINGKUNGAN'!C14</f>
        <v/>
      </c>
    </row>
    <row r="24" ht="14.25" customHeight="1" s="38">
      <c r="A24" s="3">
        <f>'REKAP LINGKUNGAN'!A15</f>
        <v/>
      </c>
      <c r="B24" s="3">
        <f>'REKAP LINGKUNGAN'!C15</f>
        <v/>
      </c>
    </row>
    <row r="25" ht="14.25" customHeight="1" s="38">
      <c r="A25" s="3">
        <f>'REKAP LINGKUNGAN'!A16</f>
        <v/>
      </c>
      <c r="B25" s="3">
        <f>'REKAP LINGKUNGAN'!C16</f>
        <v/>
      </c>
    </row>
    <row r="26" ht="14.25" customHeight="1" s="38">
      <c r="A26" s="3">
        <f>'REKAP LINGKUNGAN'!A17</f>
        <v/>
      </c>
      <c r="B26" s="3">
        <f>'REKAP LINGKUNGAN'!C17</f>
        <v/>
      </c>
    </row>
    <row r="27" ht="14.25" customHeight="1" s="38">
      <c r="A27" s="3">
        <f>'REKAP LINGKUNGAN'!A18</f>
        <v/>
      </c>
      <c r="B27" s="3">
        <f>'REKAP LINGKUNGAN'!C18</f>
        <v/>
      </c>
    </row>
    <row r="28" ht="14.25" customHeight="1" s="38">
      <c r="A28" s="3">
        <f>'REKAP LINGKUNGAN'!A19</f>
        <v/>
      </c>
      <c r="B28" s="3">
        <f>'REKAP LINGKUNGAN'!C19</f>
        <v/>
      </c>
    </row>
    <row r="29" ht="14.25" customHeight="1" s="38">
      <c r="A29" s="3">
        <f>'REKAP LINGKUNGAN'!A20</f>
        <v/>
      </c>
      <c r="B29" s="3">
        <f>'REKAP LINGKUNGAN'!C20</f>
        <v/>
      </c>
    </row>
    <row r="30" ht="14.25" customHeight="1" s="38">
      <c r="A30" s="3">
        <f>'REKAP LINGKUNGAN'!A21</f>
        <v/>
      </c>
      <c r="B30" s="3">
        <f>'REKAP LINGKUNGAN'!C21</f>
        <v/>
      </c>
    </row>
    <row r="31" ht="14.25" customHeight="1" s="38">
      <c r="A31" s="3">
        <f>'REKAP LINGKUNGAN'!A22</f>
        <v/>
      </c>
      <c r="B31" s="3">
        <f>'REKAP LINGKUNGAN'!C22</f>
        <v/>
      </c>
    </row>
    <row r="32" ht="14.25" customHeight="1" s="38">
      <c r="A32" s="3">
        <f>'REKAP LINGKUNGAN'!A23</f>
        <v/>
      </c>
      <c r="B32" s="3">
        <f>'REKAP LINGKUNGAN'!C23</f>
        <v/>
      </c>
    </row>
    <row r="33" ht="14.25" customHeight="1" s="38">
      <c r="A33" s="3">
        <f>'REKAP LINGKUNGAN'!A24</f>
        <v/>
      </c>
      <c r="B33" s="3">
        <f>'REKAP LINGKUNGAN'!C24</f>
        <v/>
      </c>
    </row>
    <row r="34" ht="14.25" customHeight="1" s="38"/>
    <row r="35" ht="14.25" customHeight="1" s="38"/>
    <row r="36" ht="14.25" customHeight="1" s="38"/>
    <row r="37" ht="14.25" customHeight="1" s="38"/>
    <row r="38" ht="14.25" customHeight="1" s="38"/>
    <row r="39" ht="14.25" customHeight="1" s="38"/>
    <row r="40" ht="14.25" customHeight="1" s="38"/>
    <row r="41" ht="14.25" customHeight="1" s="38"/>
    <row r="42" ht="14.25" customHeight="1" s="38"/>
    <row r="43" ht="14.25" customHeight="1" s="38"/>
    <row r="44" ht="14.25" customHeight="1" s="38"/>
    <row r="45" ht="14.25" customHeight="1" s="38"/>
    <row r="46" ht="14.25" customHeight="1" s="38"/>
    <row r="47" ht="14.25" customHeight="1" s="38"/>
    <row r="48" ht="14.25" customHeight="1" s="38"/>
    <row r="49" ht="14.25" customHeight="1" s="38"/>
    <row r="50" ht="14.25" customHeight="1" s="38"/>
    <row r="51" ht="14.25" customHeight="1" s="38"/>
    <row r="52" ht="14.25" customHeight="1" s="38"/>
    <row r="53" ht="14.25" customHeight="1" s="38"/>
    <row r="54" ht="14.25" customHeight="1" s="38"/>
    <row r="55" ht="14.25" customHeight="1" s="38"/>
    <row r="56" ht="14.25" customHeight="1" s="38"/>
    <row r="57" ht="14.25" customHeight="1" s="38"/>
    <row r="58" ht="14.25" customHeight="1" s="38"/>
    <row r="59" ht="14.25" customHeight="1" s="38"/>
    <row r="60" ht="14.25" customHeight="1" s="38"/>
    <row r="61" ht="14.25" customHeight="1" s="38"/>
    <row r="62" ht="14.25" customHeight="1" s="38"/>
    <row r="63" ht="14.25" customHeight="1" s="38"/>
    <row r="64" ht="14.25" customHeight="1" s="38"/>
    <row r="65" ht="14.25" customHeight="1" s="38"/>
    <row r="66" ht="14.25" customHeight="1" s="38"/>
    <row r="67" ht="14.25" customHeight="1" s="38"/>
    <row r="68" ht="14.25" customHeight="1" s="38"/>
    <row r="69" ht="14.25" customHeight="1" s="38"/>
    <row r="70" ht="14.25" customHeight="1" s="38"/>
    <row r="71" ht="14.25" customHeight="1" s="38"/>
    <row r="72" ht="14.25" customHeight="1" s="38"/>
    <row r="73" ht="14.25" customHeight="1" s="38"/>
    <row r="74" ht="14.25" customHeight="1" s="38"/>
    <row r="75" ht="14.25" customHeight="1" s="38"/>
    <row r="76" ht="14.25" customHeight="1" s="38"/>
    <row r="77" ht="14.25" customHeight="1" s="38"/>
    <row r="78" ht="14.25" customHeight="1" s="38"/>
    <row r="79" ht="14.25" customHeight="1" s="38"/>
    <row r="80" ht="14.25" customHeight="1" s="38"/>
    <row r="81" ht="14.25" customHeight="1" s="38"/>
    <row r="82" ht="14.25" customHeight="1" s="38"/>
    <row r="83" ht="14.25" customHeight="1" s="38"/>
    <row r="84" ht="14.25" customHeight="1" s="38"/>
    <row r="85" ht="14.25" customHeight="1" s="38"/>
    <row r="86" ht="14.25" customHeight="1" s="38"/>
    <row r="87" ht="14.25" customHeight="1" s="38"/>
    <row r="88" ht="14.25" customHeight="1" s="38"/>
    <row r="89" ht="14.25" customHeight="1" s="38"/>
    <row r="90" ht="14.25" customHeight="1" s="38"/>
    <row r="91" ht="14.25" customHeight="1" s="38"/>
    <row r="92" ht="14.25" customHeight="1" s="38"/>
    <row r="93" ht="14.25" customHeight="1" s="38"/>
    <row r="94" ht="14.25" customHeight="1" s="38"/>
    <row r="95" ht="14.25" customHeight="1" s="38"/>
    <row r="96" ht="14.25" customHeight="1" s="38"/>
    <row r="97" ht="14.25" customHeight="1" s="38"/>
    <row r="98" ht="14.25" customHeight="1" s="38"/>
    <row r="99" ht="14.25" customHeight="1" s="38"/>
    <row r="100" ht="14.25" customHeight="1" s="38"/>
    <row r="101" ht="14.25" customHeight="1" s="38"/>
    <row r="102" ht="14.25" customHeight="1" s="38"/>
    <row r="103" ht="14.25" customHeight="1" s="38"/>
    <row r="104" ht="14.25" customHeight="1" s="38"/>
    <row r="105" ht="14.25" customHeight="1" s="38"/>
    <row r="106" ht="14.25" customHeight="1" s="38"/>
    <row r="107" ht="14.25" customHeight="1" s="38"/>
    <row r="108" ht="14.25" customHeight="1" s="38"/>
    <row r="109" ht="14.25" customHeight="1" s="38"/>
    <row r="110" ht="14.25" customHeight="1" s="38"/>
    <row r="111" ht="14.25" customHeight="1" s="38"/>
    <row r="112" ht="14.25" customHeight="1" s="38"/>
    <row r="113" ht="14.25" customHeight="1" s="38"/>
    <row r="114" ht="14.25" customHeight="1" s="38"/>
    <row r="115" ht="14.25" customHeight="1" s="38"/>
    <row r="116" ht="14.25" customHeight="1" s="38"/>
    <row r="117" ht="14.25" customHeight="1" s="38"/>
    <row r="118" ht="14.25" customHeight="1" s="38"/>
    <row r="119" ht="14.25" customHeight="1" s="38"/>
    <row r="120" ht="14.25" customHeight="1" s="38"/>
    <row r="121" ht="14.25" customHeight="1" s="38"/>
    <row r="122" ht="14.25" customHeight="1" s="38"/>
    <row r="123" ht="14.25" customHeight="1" s="38"/>
    <row r="124" ht="14.25" customHeight="1" s="38"/>
    <row r="125" ht="14.25" customHeight="1" s="38"/>
    <row r="126" ht="14.25" customHeight="1" s="38"/>
    <row r="127" ht="14.25" customHeight="1" s="38"/>
    <row r="128" ht="14.25" customHeight="1" s="38"/>
    <row r="129" ht="14.25" customHeight="1" s="38"/>
    <row r="130" ht="14.25" customHeight="1" s="38"/>
    <row r="131" ht="14.25" customHeight="1" s="38"/>
    <row r="132" ht="14.25" customHeight="1" s="38"/>
    <row r="133" ht="14.25" customHeight="1" s="38"/>
    <row r="134" ht="14.25" customHeight="1" s="38"/>
    <row r="135" ht="14.25" customHeight="1" s="38"/>
    <row r="136" ht="14.25" customHeight="1" s="38"/>
    <row r="137" ht="14.25" customHeight="1" s="38"/>
    <row r="138" ht="14.25" customHeight="1" s="38"/>
    <row r="139" ht="14.25" customHeight="1" s="38"/>
    <row r="140" ht="14.25" customHeight="1" s="38"/>
    <row r="141" ht="14.25" customHeight="1" s="38"/>
    <row r="142" ht="14.25" customHeight="1" s="38"/>
    <row r="143" ht="14.25" customHeight="1" s="38"/>
    <row r="144" ht="14.25" customHeight="1" s="38"/>
    <row r="145" ht="14.25" customHeight="1" s="38"/>
    <row r="146" ht="14.25" customHeight="1" s="38"/>
    <row r="147" ht="14.25" customHeight="1" s="38"/>
    <row r="148" ht="14.25" customHeight="1" s="38"/>
    <row r="149" ht="14.25" customHeight="1" s="38"/>
    <row r="150" ht="14.25" customHeight="1" s="38"/>
    <row r="151" ht="14.25" customHeight="1" s="38"/>
    <row r="152" ht="14.25" customHeight="1" s="38"/>
    <row r="153" ht="14.25" customHeight="1" s="38"/>
    <row r="154" ht="14.25" customHeight="1" s="38"/>
    <row r="155" ht="14.25" customHeight="1" s="38"/>
    <row r="156" ht="14.25" customHeight="1" s="38"/>
    <row r="157" ht="14.25" customHeight="1" s="38"/>
    <row r="158" ht="14.25" customHeight="1" s="38"/>
    <row r="159" ht="14.25" customHeight="1" s="38"/>
    <row r="160" ht="14.25" customHeight="1" s="38"/>
    <row r="161" ht="14.25" customHeight="1" s="38"/>
    <row r="162" ht="14.25" customHeight="1" s="38"/>
    <row r="163" ht="14.25" customHeight="1" s="38"/>
    <row r="164" ht="14.25" customHeight="1" s="38"/>
    <row r="165" ht="14.25" customHeight="1" s="38"/>
    <row r="166" ht="14.25" customHeight="1" s="38"/>
    <row r="167" ht="14.25" customHeight="1" s="38"/>
    <row r="168" ht="14.25" customHeight="1" s="38"/>
    <row r="169" ht="14.25" customHeight="1" s="38"/>
    <row r="170" ht="14.25" customHeight="1" s="38"/>
    <row r="171" ht="14.25" customHeight="1" s="38"/>
    <row r="172" ht="14.25" customHeight="1" s="38"/>
    <row r="173" ht="14.25" customHeight="1" s="38"/>
    <row r="174" ht="14.25" customHeight="1" s="38"/>
    <row r="175" ht="14.25" customHeight="1" s="38"/>
    <row r="176" ht="14.25" customHeight="1" s="38"/>
    <row r="177" ht="14.25" customHeight="1" s="38"/>
    <row r="178" ht="14.25" customHeight="1" s="38"/>
    <row r="179" ht="14.25" customHeight="1" s="38"/>
    <row r="180" ht="14.25" customHeight="1" s="38"/>
    <row r="181" ht="14.25" customHeight="1" s="38"/>
    <row r="182" ht="14.25" customHeight="1" s="38"/>
    <row r="183" ht="14.25" customHeight="1" s="38"/>
    <row r="184" ht="14.25" customHeight="1" s="38"/>
    <row r="185" ht="14.25" customHeight="1" s="38"/>
    <row r="186" ht="14.25" customHeight="1" s="38"/>
    <row r="187" ht="14.25" customHeight="1" s="38"/>
    <row r="188" ht="14.25" customHeight="1" s="38"/>
    <row r="189" ht="14.25" customHeight="1" s="38"/>
    <row r="190" ht="14.25" customHeight="1" s="38"/>
    <row r="191" ht="14.25" customHeight="1" s="38"/>
    <row r="192" ht="14.25" customHeight="1" s="38"/>
    <row r="193" ht="14.25" customHeight="1" s="38"/>
    <row r="194" ht="14.25" customHeight="1" s="38"/>
    <row r="195" ht="14.25" customHeight="1" s="38"/>
    <row r="196" ht="14.25" customHeight="1" s="38"/>
    <row r="197" ht="14.25" customHeight="1" s="38"/>
    <row r="198" ht="14.25" customHeight="1" s="38"/>
    <row r="199" ht="14.25" customHeight="1" s="38"/>
    <row r="200" ht="14.25" customHeight="1" s="38"/>
    <row r="201" ht="14.25" customHeight="1" s="38"/>
    <row r="202" ht="14.25" customHeight="1" s="38"/>
    <row r="203" ht="14.25" customHeight="1" s="38"/>
    <row r="204" ht="14.25" customHeight="1" s="38"/>
    <row r="205" ht="14.25" customHeight="1" s="38"/>
    <row r="206" ht="14.25" customHeight="1" s="38"/>
    <row r="207" ht="14.25" customHeight="1" s="38"/>
    <row r="208" ht="14.25" customHeight="1" s="38"/>
    <row r="209" ht="14.25" customHeight="1" s="38"/>
    <row r="210" ht="14.25" customHeight="1" s="38"/>
    <row r="211" ht="14.25" customHeight="1" s="38"/>
    <row r="212" ht="14.25" customHeight="1" s="38"/>
    <row r="213" ht="14.25" customHeight="1" s="38"/>
    <row r="214" ht="14.25" customHeight="1" s="38"/>
    <row r="215" ht="14.25" customHeight="1" s="38"/>
    <row r="216" ht="14.25" customHeight="1" s="38"/>
    <row r="217" ht="14.25" customHeight="1" s="38"/>
    <row r="218" ht="14.25" customHeight="1" s="38"/>
    <row r="219" ht="14.25" customHeight="1" s="38"/>
    <row r="220" ht="14.25" customHeight="1" s="38"/>
    <row r="221" ht="14.25" customHeight="1" s="38"/>
    <row r="222" ht="14.25" customHeight="1" s="38"/>
    <row r="223" ht="14.25" customHeight="1" s="38"/>
    <row r="224" ht="14.25" customHeight="1" s="38"/>
    <row r="225" ht="14.25" customHeight="1" s="38"/>
    <row r="226" ht="14.25" customHeight="1" s="38"/>
    <row r="227" ht="14.25" customHeight="1" s="38"/>
    <row r="228" ht="14.25" customHeight="1" s="38"/>
    <row r="229" ht="14.25" customHeight="1" s="38"/>
    <row r="230" ht="14.25" customHeight="1" s="38"/>
    <row r="231" ht="14.25" customHeight="1" s="38"/>
    <row r="232" ht="14.25" customHeight="1" s="38"/>
    <row r="233" ht="14.25" customHeight="1" s="38"/>
    <row r="234" ht="14.25" customHeight="1" s="38"/>
    <row r="235" ht="14.25" customHeight="1" s="38"/>
    <row r="236" ht="14.25" customHeight="1" s="38"/>
    <row r="237" ht="14.25" customHeight="1" s="38"/>
    <row r="238" ht="14.25" customHeight="1" s="38"/>
    <row r="239" ht="14.25" customHeight="1" s="38"/>
    <row r="240" ht="14.25" customHeight="1" s="38"/>
    <row r="241" ht="14.25" customHeight="1" s="38"/>
    <row r="242" ht="14.25" customHeight="1" s="38"/>
    <row r="243" ht="14.25" customHeight="1" s="38"/>
    <row r="244" ht="14.25" customHeight="1" s="38"/>
    <row r="245" ht="14.25" customHeight="1" s="38"/>
    <row r="246" ht="14.25" customHeight="1" s="38"/>
    <row r="247" ht="14.25" customHeight="1" s="38"/>
    <row r="248" ht="14.25" customHeight="1" s="38"/>
    <row r="249" ht="14.25" customHeight="1" s="38"/>
    <row r="250" ht="14.25" customHeight="1" s="38"/>
    <row r="251" ht="14.25" customHeight="1" s="38"/>
    <row r="252" ht="14.25" customHeight="1" s="38"/>
    <row r="253" ht="14.25" customHeight="1" s="38"/>
    <row r="254" ht="14.25" customHeight="1" s="38"/>
    <row r="255" ht="14.25" customHeight="1" s="38"/>
    <row r="256" ht="14.25" customHeight="1" s="38"/>
    <row r="257" ht="14.25" customHeight="1" s="38"/>
    <row r="258" ht="14.25" customHeight="1" s="38"/>
    <row r="259" ht="14.25" customHeight="1" s="38"/>
    <row r="260" ht="14.25" customHeight="1" s="38"/>
    <row r="261" ht="14.25" customHeight="1" s="38"/>
    <row r="262" ht="14.25" customHeight="1" s="38"/>
    <row r="263" ht="14.25" customHeight="1" s="38"/>
    <row r="264" ht="14.25" customHeight="1" s="38"/>
    <row r="265" ht="14.25" customHeight="1" s="38"/>
    <row r="266" ht="14.25" customHeight="1" s="38"/>
    <row r="267" ht="14.25" customHeight="1" s="38"/>
    <row r="268" ht="14.25" customHeight="1" s="38"/>
    <row r="269" ht="14.25" customHeight="1" s="38"/>
    <row r="270" ht="14.25" customHeight="1" s="38"/>
    <row r="271" ht="14.25" customHeight="1" s="38"/>
    <row r="272" ht="14.25" customHeight="1" s="38"/>
    <row r="273" ht="14.25" customHeight="1" s="38"/>
    <row r="274" ht="14.25" customHeight="1" s="38"/>
    <row r="275" ht="14.25" customHeight="1" s="38"/>
    <row r="276" ht="14.25" customHeight="1" s="38"/>
    <row r="277" ht="14.25" customHeight="1" s="38"/>
    <row r="278" ht="14.25" customHeight="1" s="38"/>
    <row r="279" ht="14.25" customHeight="1" s="38"/>
    <row r="280" ht="14.25" customHeight="1" s="38"/>
    <row r="281" ht="14.25" customHeight="1" s="38"/>
    <row r="282" ht="14.25" customHeight="1" s="38"/>
    <row r="283" ht="14.25" customHeight="1" s="38"/>
    <row r="284" ht="14.25" customHeight="1" s="38"/>
    <row r="285" ht="14.25" customHeight="1" s="38"/>
    <row r="286" ht="14.25" customHeight="1" s="38"/>
    <row r="287" ht="14.25" customHeight="1" s="38"/>
    <row r="288" ht="14.25" customHeight="1" s="38"/>
    <row r="289" ht="14.25" customHeight="1" s="38"/>
    <row r="290" ht="14.25" customHeight="1" s="38"/>
    <row r="291" ht="14.25" customHeight="1" s="38"/>
    <row r="292" ht="14.25" customHeight="1" s="38"/>
    <row r="293" ht="14.25" customHeight="1" s="38"/>
    <row r="294" ht="14.25" customHeight="1" s="38"/>
    <row r="295" ht="14.25" customHeight="1" s="38"/>
    <row r="296" ht="14.25" customHeight="1" s="38"/>
    <row r="297" ht="14.25" customHeight="1" s="38"/>
    <row r="298" ht="14.25" customHeight="1" s="38"/>
    <row r="299" ht="14.25" customHeight="1" s="38"/>
    <row r="300" ht="14.25" customHeight="1" s="38"/>
    <row r="301" ht="14.25" customHeight="1" s="38"/>
    <row r="302" ht="14.25" customHeight="1" s="38"/>
    <row r="303" ht="14.25" customHeight="1" s="38"/>
    <row r="304" ht="14.25" customHeight="1" s="38"/>
    <row r="305" ht="14.25" customHeight="1" s="38"/>
    <row r="306" ht="14.25" customHeight="1" s="38"/>
    <row r="307" ht="14.25" customHeight="1" s="38"/>
    <row r="308" ht="14.25" customHeight="1" s="38"/>
    <row r="309" ht="14.25" customHeight="1" s="38"/>
    <row r="310" ht="14.25" customHeight="1" s="38"/>
    <row r="311" ht="14.25" customHeight="1" s="38"/>
    <row r="312" ht="14.25" customHeight="1" s="38"/>
    <row r="313" ht="14.25" customHeight="1" s="38"/>
    <row r="314" ht="14.25" customHeight="1" s="38"/>
    <row r="315" ht="14.25" customHeight="1" s="38"/>
    <row r="316" ht="14.25" customHeight="1" s="38"/>
    <row r="317" ht="14.25" customHeight="1" s="38"/>
    <row r="318" ht="14.25" customHeight="1" s="38"/>
    <row r="319" ht="14.25" customHeight="1" s="38"/>
    <row r="320" ht="14.25" customHeight="1" s="38"/>
    <row r="321" ht="14.25" customHeight="1" s="38"/>
    <row r="322" ht="14.25" customHeight="1" s="38"/>
    <row r="323" ht="14.25" customHeight="1" s="38"/>
    <row r="324" ht="14.25" customHeight="1" s="38"/>
    <row r="325" ht="14.25" customHeight="1" s="38"/>
    <row r="326" ht="14.25" customHeight="1" s="38"/>
    <row r="327" ht="14.25" customHeight="1" s="38"/>
    <row r="328" ht="14.25" customHeight="1" s="38"/>
    <row r="329" ht="14.25" customHeight="1" s="38"/>
    <row r="330" ht="14.25" customHeight="1" s="38"/>
    <row r="331" ht="14.25" customHeight="1" s="38"/>
    <row r="332" ht="14.25" customHeight="1" s="38"/>
    <row r="333" ht="14.25" customHeight="1" s="38"/>
    <row r="334" ht="14.25" customHeight="1" s="38"/>
    <row r="335" ht="14.25" customHeight="1" s="38"/>
    <row r="336" ht="14.25" customHeight="1" s="38"/>
    <row r="337" ht="14.25" customHeight="1" s="38"/>
    <row r="338" ht="14.25" customHeight="1" s="38"/>
    <row r="339" ht="14.25" customHeight="1" s="38"/>
    <row r="340" ht="14.25" customHeight="1" s="38"/>
    <row r="341" ht="14.25" customHeight="1" s="38"/>
    <row r="342" ht="14.25" customHeight="1" s="38"/>
    <row r="343" ht="14.25" customHeight="1" s="38"/>
    <row r="344" ht="14.25" customHeight="1" s="38"/>
    <row r="345" ht="14.25" customHeight="1" s="38"/>
    <row r="346" ht="14.25" customHeight="1" s="38"/>
    <row r="347" ht="14.25" customHeight="1" s="38"/>
    <row r="348" ht="14.25" customHeight="1" s="38"/>
    <row r="349" ht="14.25" customHeight="1" s="38"/>
    <row r="350" ht="14.25" customHeight="1" s="38"/>
    <row r="351" ht="14.25" customHeight="1" s="38"/>
    <row r="352" ht="14.25" customHeight="1" s="38"/>
    <row r="353" ht="14.25" customHeight="1" s="38"/>
    <row r="354" ht="14.25" customHeight="1" s="38"/>
    <row r="355" ht="14.25" customHeight="1" s="38"/>
    <row r="356" ht="14.25" customHeight="1" s="38"/>
    <row r="357" ht="14.25" customHeight="1" s="38"/>
    <row r="358" ht="14.25" customHeight="1" s="38"/>
    <row r="359" ht="14.25" customHeight="1" s="38"/>
    <row r="360" ht="14.25" customHeight="1" s="38"/>
    <row r="361" ht="14.25" customHeight="1" s="38"/>
    <row r="362" ht="14.25" customHeight="1" s="38"/>
    <row r="363" ht="14.25" customHeight="1" s="38"/>
    <row r="364" ht="14.25" customHeight="1" s="38"/>
    <row r="365" ht="14.25" customHeight="1" s="38"/>
    <row r="366" ht="14.25" customHeight="1" s="38"/>
    <row r="367" ht="14.25" customHeight="1" s="38"/>
    <row r="368" ht="14.25" customHeight="1" s="38"/>
    <row r="369" ht="14.25" customHeight="1" s="38"/>
    <row r="370" ht="14.25" customHeight="1" s="38"/>
    <row r="371" ht="14.25" customHeight="1" s="38"/>
    <row r="372" ht="14.25" customHeight="1" s="38"/>
    <row r="373" ht="14.25" customHeight="1" s="38"/>
    <row r="374" ht="14.25" customHeight="1" s="38"/>
    <row r="375" ht="14.25" customHeight="1" s="38"/>
    <row r="376" ht="14.25" customHeight="1" s="38"/>
    <row r="377" ht="14.25" customHeight="1" s="38"/>
    <row r="378" ht="14.25" customHeight="1" s="38"/>
    <row r="379" ht="14.25" customHeight="1" s="38"/>
    <row r="380" ht="14.25" customHeight="1" s="38"/>
    <row r="381" ht="14.25" customHeight="1" s="38"/>
    <row r="382" ht="14.25" customHeight="1" s="38"/>
    <row r="383" ht="14.25" customHeight="1" s="38"/>
    <row r="384" ht="14.25" customHeight="1" s="38"/>
    <row r="385" ht="14.25" customHeight="1" s="38"/>
    <row r="386" ht="14.25" customHeight="1" s="38"/>
    <row r="387" ht="14.25" customHeight="1" s="38"/>
    <row r="388" ht="14.25" customHeight="1" s="38"/>
    <row r="389" ht="14.25" customHeight="1" s="38"/>
    <row r="390" ht="14.25" customHeight="1" s="38"/>
    <row r="391" ht="14.25" customHeight="1" s="38"/>
    <row r="392" ht="14.25" customHeight="1" s="38"/>
    <row r="393" ht="14.25" customHeight="1" s="38"/>
    <row r="394" ht="14.25" customHeight="1" s="38"/>
    <row r="395" ht="14.25" customHeight="1" s="38"/>
    <row r="396" ht="14.25" customHeight="1" s="38"/>
    <row r="397" ht="14.25" customHeight="1" s="38"/>
    <row r="398" ht="14.25" customHeight="1" s="38"/>
    <row r="399" ht="14.25" customHeight="1" s="38"/>
    <row r="400" ht="14.25" customHeight="1" s="38"/>
    <row r="401" ht="14.25" customHeight="1" s="38"/>
    <row r="402" ht="14.25" customHeight="1" s="38"/>
    <row r="403" ht="14.25" customHeight="1" s="38"/>
    <row r="404" ht="14.25" customHeight="1" s="38"/>
    <row r="405" ht="14.25" customHeight="1" s="38"/>
    <row r="406" ht="14.25" customHeight="1" s="38"/>
    <row r="407" ht="14.25" customHeight="1" s="38"/>
    <row r="408" ht="14.25" customHeight="1" s="38"/>
    <row r="409" ht="14.25" customHeight="1" s="38"/>
    <row r="410" ht="14.25" customHeight="1" s="38"/>
    <row r="411" ht="14.25" customHeight="1" s="38"/>
    <row r="412" ht="14.25" customHeight="1" s="38"/>
    <row r="413" ht="14.25" customHeight="1" s="38"/>
    <row r="414" ht="14.25" customHeight="1" s="38"/>
    <row r="415" ht="14.25" customHeight="1" s="38"/>
    <row r="416" ht="14.25" customHeight="1" s="38"/>
    <row r="417" ht="14.25" customHeight="1" s="38"/>
    <row r="418" ht="14.25" customHeight="1" s="38"/>
    <row r="419" ht="14.25" customHeight="1" s="38"/>
    <row r="420" ht="14.25" customHeight="1" s="38"/>
    <row r="421" ht="14.25" customHeight="1" s="38"/>
    <row r="422" ht="14.25" customHeight="1" s="38"/>
    <row r="423" ht="14.25" customHeight="1" s="38"/>
    <row r="424" ht="14.25" customHeight="1" s="38"/>
    <row r="425" ht="14.25" customHeight="1" s="38"/>
    <row r="426" ht="14.25" customHeight="1" s="38"/>
    <row r="427" ht="14.25" customHeight="1" s="38"/>
    <row r="428" ht="14.25" customHeight="1" s="38"/>
    <row r="429" ht="14.25" customHeight="1" s="38"/>
    <row r="430" ht="14.25" customHeight="1" s="38"/>
    <row r="431" ht="14.25" customHeight="1" s="38"/>
    <row r="432" ht="14.25" customHeight="1" s="38"/>
    <row r="433" ht="14.25" customHeight="1" s="38"/>
    <row r="434" ht="14.25" customHeight="1" s="38"/>
    <row r="435" ht="14.25" customHeight="1" s="38"/>
    <row r="436" ht="14.25" customHeight="1" s="38"/>
    <row r="437" ht="14.25" customHeight="1" s="38"/>
    <row r="438" ht="14.25" customHeight="1" s="38"/>
    <row r="439" ht="14.25" customHeight="1" s="38"/>
    <row r="440" ht="14.25" customHeight="1" s="38"/>
    <row r="441" ht="14.25" customHeight="1" s="38"/>
    <row r="442" ht="14.25" customHeight="1" s="38"/>
    <row r="443" ht="14.25" customHeight="1" s="38"/>
    <row r="444" ht="14.25" customHeight="1" s="38"/>
    <row r="445" ht="14.25" customHeight="1" s="38"/>
    <row r="446" ht="14.25" customHeight="1" s="38"/>
    <row r="447" ht="14.25" customHeight="1" s="38"/>
    <row r="448" ht="14.25" customHeight="1" s="38"/>
    <row r="449" ht="14.25" customHeight="1" s="38"/>
    <row r="450" ht="14.25" customHeight="1" s="38"/>
    <row r="451" ht="14.25" customHeight="1" s="38"/>
    <row r="452" ht="14.25" customHeight="1" s="38"/>
    <row r="453" ht="14.25" customHeight="1" s="38"/>
    <row r="454" ht="14.25" customHeight="1" s="38"/>
    <row r="455" ht="14.25" customHeight="1" s="38"/>
    <row r="456" ht="14.25" customHeight="1" s="38"/>
    <row r="457" ht="14.25" customHeight="1" s="38"/>
    <row r="458" ht="14.25" customHeight="1" s="38"/>
    <row r="459" ht="14.25" customHeight="1" s="38"/>
    <row r="460" ht="14.25" customHeight="1" s="38"/>
    <row r="461" ht="14.25" customHeight="1" s="38"/>
    <row r="462" ht="14.25" customHeight="1" s="38"/>
    <row r="463" ht="14.25" customHeight="1" s="38"/>
    <row r="464" ht="14.25" customHeight="1" s="38"/>
    <row r="465" ht="14.25" customHeight="1" s="38"/>
    <row r="466" ht="14.25" customHeight="1" s="38"/>
    <row r="467" ht="14.25" customHeight="1" s="38"/>
    <row r="468" ht="14.25" customHeight="1" s="38"/>
    <row r="469" ht="14.25" customHeight="1" s="38"/>
    <row r="470" ht="14.25" customHeight="1" s="38"/>
    <row r="471" ht="14.25" customHeight="1" s="38"/>
    <row r="472" ht="14.25" customHeight="1" s="38"/>
    <row r="473" ht="14.25" customHeight="1" s="38"/>
    <row r="474" ht="14.25" customHeight="1" s="38"/>
    <row r="475" ht="14.25" customHeight="1" s="38"/>
    <row r="476" ht="14.25" customHeight="1" s="38"/>
    <row r="477" ht="14.25" customHeight="1" s="38"/>
    <row r="478" ht="14.25" customHeight="1" s="38"/>
    <row r="479" ht="14.25" customHeight="1" s="38"/>
    <row r="480" ht="14.25" customHeight="1" s="38"/>
    <row r="481" ht="14.25" customHeight="1" s="38"/>
    <row r="482" ht="14.25" customHeight="1" s="38"/>
    <row r="483" ht="14.25" customHeight="1" s="38"/>
    <row r="484" ht="14.25" customHeight="1" s="38"/>
    <row r="485" ht="14.25" customHeight="1" s="38"/>
    <row r="486" ht="14.25" customHeight="1" s="38"/>
    <row r="487" ht="14.25" customHeight="1" s="38"/>
    <row r="488" ht="14.25" customHeight="1" s="38"/>
    <row r="489" ht="14.25" customHeight="1" s="38"/>
    <row r="490" ht="14.25" customHeight="1" s="38"/>
    <row r="491" ht="14.25" customHeight="1" s="38"/>
    <row r="492" ht="14.25" customHeight="1" s="38"/>
    <row r="493" ht="14.25" customHeight="1" s="38"/>
    <row r="494" ht="14.25" customHeight="1" s="38"/>
    <row r="495" ht="14.25" customHeight="1" s="38"/>
    <row r="496" ht="14.25" customHeight="1" s="38"/>
    <row r="497" ht="14.25" customHeight="1" s="38"/>
    <row r="498" ht="14.25" customHeight="1" s="38"/>
    <row r="499" ht="14.25" customHeight="1" s="38"/>
    <row r="500" ht="14.25" customHeight="1" s="38"/>
    <row r="501" ht="14.25" customHeight="1" s="38"/>
    <row r="502" ht="14.25" customHeight="1" s="38"/>
    <row r="503" ht="14.25" customHeight="1" s="38"/>
    <row r="504" ht="14.25" customHeight="1" s="38"/>
    <row r="505" ht="14.25" customHeight="1" s="38"/>
    <row r="506" ht="14.25" customHeight="1" s="38"/>
    <row r="507" ht="14.25" customHeight="1" s="38"/>
    <row r="508" ht="14.25" customHeight="1" s="38"/>
    <row r="509" ht="14.25" customHeight="1" s="38"/>
    <row r="510" ht="14.25" customHeight="1" s="38"/>
    <row r="511" ht="14.25" customHeight="1" s="38"/>
    <row r="512" ht="14.25" customHeight="1" s="38"/>
    <row r="513" ht="14.25" customHeight="1" s="38"/>
    <row r="514" ht="14.25" customHeight="1" s="38"/>
    <row r="515" ht="14.25" customHeight="1" s="38"/>
    <row r="516" ht="14.25" customHeight="1" s="38"/>
    <row r="517" ht="14.25" customHeight="1" s="38"/>
    <row r="518" ht="14.25" customHeight="1" s="38"/>
    <row r="519" ht="14.25" customHeight="1" s="38"/>
    <row r="520" ht="14.25" customHeight="1" s="38"/>
    <row r="521" ht="14.25" customHeight="1" s="38"/>
    <row r="522" ht="14.25" customHeight="1" s="38"/>
    <row r="523" ht="14.25" customHeight="1" s="38"/>
    <row r="524" ht="14.25" customHeight="1" s="38"/>
    <row r="525" ht="14.25" customHeight="1" s="38"/>
    <row r="526" ht="14.25" customHeight="1" s="38"/>
    <row r="527" ht="14.25" customHeight="1" s="38"/>
    <row r="528" ht="14.25" customHeight="1" s="38"/>
    <row r="529" ht="14.25" customHeight="1" s="38"/>
    <row r="530" ht="14.25" customHeight="1" s="38"/>
    <row r="531" ht="14.25" customHeight="1" s="38"/>
    <row r="532" ht="14.25" customHeight="1" s="38"/>
    <row r="533" ht="14.25" customHeight="1" s="38"/>
    <row r="534" ht="14.25" customHeight="1" s="38"/>
    <row r="535" ht="14.25" customHeight="1" s="38"/>
    <row r="536" ht="14.25" customHeight="1" s="38"/>
    <row r="537" ht="14.25" customHeight="1" s="38"/>
    <row r="538" ht="14.25" customHeight="1" s="38"/>
    <row r="539" ht="14.25" customHeight="1" s="38"/>
    <row r="540" ht="14.25" customHeight="1" s="38"/>
    <row r="541" ht="14.25" customHeight="1" s="38"/>
    <row r="542" ht="14.25" customHeight="1" s="38"/>
    <row r="543" ht="14.25" customHeight="1" s="38"/>
    <row r="544" ht="14.25" customHeight="1" s="38"/>
    <row r="545" ht="14.25" customHeight="1" s="38"/>
    <row r="546" ht="14.25" customHeight="1" s="38"/>
    <row r="547" ht="14.25" customHeight="1" s="38"/>
    <row r="548" ht="14.25" customHeight="1" s="38"/>
    <row r="549" ht="14.25" customHeight="1" s="38"/>
    <row r="550" ht="14.25" customHeight="1" s="38"/>
    <row r="551" ht="14.25" customHeight="1" s="38"/>
    <row r="552" ht="14.25" customHeight="1" s="38"/>
    <row r="553" ht="14.25" customHeight="1" s="38"/>
    <row r="554" ht="14.25" customHeight="1" s="38"/>
    <row r="555" ht="14.25" customHeight="1" s="38"/>
    <row r="556" ht="14.25" customHeight="1" s="38"/>
    <row r="557" ht="14.25" customHeight="1" s="38"/>
    <row r="558" ht="14.25" customHeight="1" s="38"/>
    <row r="559" ht="14.25" customHeight="1" s="38"/>
    <row r="560" ht="14.25" customHeight="1" s="38"/>
    <row r="561" ht="14.25" customHeight="1" s="38"/>
    <row r="562" ht="14.25" customHeight="1" s="38"/>
    <row r="563" ht="14.25" customHeight="1" s="38"/>
    <row r="564" ht="14.25" customHeight="1" s="38"/>
    <row r="565" ht="14.25" customHeight="1" s="38"/>
    <row r="566" ht="14.25" customHeight="1" s="38"/>
    <row r="567" ht="14.25" customHeight="1" s="38"/>
    <row r="568" ht="14.25" customHeight="1" s="38"/>
    <row r="569" ht="14.25" customHeight="1" s="38"/>
    <row r="570" ht="14.25" customHeight="1" s="38"/>
    <row r="571" ht="14.25" customHeight="1" s="38"/>
    <row r="572" ht="14.25" customHeight="1" s="38"/>
    <row r="573" ht="14.25" customHeight="1" s="38"/>
    <row r="574" ht="14.25" customHeight="1" s="38"/>
    <row r="575" ht="14.25" customHeight="1" s="38"/>
    <row r="576" ht="14.25" customHeight="1" s="38"/>
    <row r="577" ht="14.25" customHeight="1" s="38"/>
    <row r="578" ht="14.25" customHeight="1" s="38"/>
    <row r="579" ht="14.25" customHeight="1" s="38"/>
    <row r="580" ht="14.25" customHeight="1" s="38"/>
    <row r="581" ht="14.25" customHeight="1" s="38"/>
    <row r="582" ht="14.25" customHeight="1" s="38"/>
    <row r="583" ht="14.25" customHeight="1" s="38"/>
    <row r="584" ht="14.25" customHeight="1" s="38"/>
    <row r="585" ht="14.25" customHeight="1" s="38"/>
    <row r="586" ht="14.25" customHeight="1" s="38"/>
    <row r="587" ht="14.25" customHeight="1" s="38"/>
    <row r="588" ht="14.25" customHeight="1" s="38"/>
    <row r="589" ht="14.25" customHeight="1" s="38"/>
    <row r="590" ht="14.25" customHeight="1" s="38"/>
    <row r="591" ht="14.25" customHeight="1" s="38"/>
    <row r="592" ht="14.25" customHeight="1" s="38"/>
    <row r="593" ht="14.25" customHeight="1" s="38"/>
    <row r="594" ht="14.25" customHeight="1" s="38"/>
    <row r="595" ht="14.25" customHeight="1" s="38"/>
    <row r="596" ht="14.25" customHeight="1" s="38"/>
    <row r="597" ht="14.25" customHeight="1" s="38"/>
    <row r="598" ht="14.25" customHeight="1" s="38"/>
    <row r="599" ht="14.25" customHeight="1" s="38"/>
    <row r="600" ht="14.25" customHeight="1" s="38"/>
    <row r="601" ht="14.25" customHeight="1" s="38"/>
    <row r="602" ht="14.25" customHeight="1" s="38"/>
    <row r="603" ht="14.25" customHeight="1" s="38"/>
    <row r="604" ht="14.25" customHeight="1" s="38"/>
    <row r="605" ht="14.25" customHeight="1" s="38"/>
    <row r="606" ht="14.25" customHeight="1" s="38"/>
    <row r="607" ht="14.25" customHeight="1" s="38"/>
    <row r="608" ht="14.25" customHeight="1" s="38"/>
    <row r="609" ht="14.25" customHeight="1" s="38"/>
    <row r="610" ht="14.25" customHeight="1" s="38"/>
    <row r="611" ht="14.25" customHeight="1" s="38"/>
    <row r="612" ht="14.25" customHeight="1" s="38"/>
    <row r="613" ht="14.25" customHeight="1" s="38"/>
    <row r="614" ht="14.25" customHeight="1" s="38"/>
    <row r="615" ht="14.25" customHeight="1" s="38"/>
    <row r="616" ht="14.25" customHeight="1" s="38"/>
    <row r="617" ht="14.25" customHeight="1" s="38"/>
    <row r="618" ht="14.25" customHeight="1" s="38"/>
    <row r="619" ht="14.25" customHeight="1" s="38"/>
    <row r="620" ht="14.25" customHeight="1" s="38"/>
    <row r="621" ht="14.25" customHeight="1" s="38"/>
    <row r="622" ht="14.25" customHeight="1" s="38"/>
    <row r="623" ht="14.25" customHeight="1" s="38"/>
    <row r="624" ht="14.25" customHeight="1" s="38"/>
    <row r="625" ht="14.25" customHeight="1" s="38"/>
    <row r="626" ht="14.25" customHeight="1" s="38"/>
    <row r="627" ht="14.25" customHeight="1" s="38"/>
    <row r="628" ht="14.25" customHeight="1" s="38"/>
    <row r="629" ht="14.25" customHeight="1" s="38"/>
    <row r="630" ht="14.25" customHeight="1" s="38"/>
    <row r="631" ht="14.25" customHeight="1" s="38"/>
    <row r="632" ht="14.25" customHeight="1" s="38"/>
    <row r="633" ht="14.25" customHeight="1" s="38"/>
    <row r="634" ht="14.25" customHeight="1" s="38"/>
    <row r="635" ht="14.25" customHeight="1" s="38"/>
    <row r="636" ht="14.25" customHeight="1" s="38"/>
    <row r="637" ht="14.25" customHeight="1" s="38"/>
    <row r="638" ht="14.25" customHeight="1" s="38"/>
    <row r="639" ht="14.25" customHeight="1" s="38"/>
    <row r="640" ht="14.25" customHeight="1" s="38"/>
    <row r="641" ht="14.25" customHeight="1" s="38"/>
    <row r="642" ht="14.25" customHeight="1" s="38"/>
    <row r="643" ht="14.25" customHeight="1" s="38"/>
    <row r="644" ht="14.25" customHeight="1" s="38"/>
    <row r="645" ht="14.25" customHeight="1" s="38"/>
    <row r="646" ht="14.25" customHeight="1" s="38"/>
    <row r="647" ht="14.25" customHeight="1" s="38"/>
    <row r="648" ht="14.25" customHeight="1" s="38"/>
    <row r="649" ht="14.25" customHeight="1" s="38"/>
    <row r="650" ht="14.25" customHeight="1" s="38"/>
    <row r="651" ht="14.25" customHeight="1" s="38"/>
    <row r="652" ht="14.25" customHeight="1" s="38"/>
    <row r="653" ht="14.25" customHeight="1" s="38"/>
    <row r="654" ht="14.25" customHeight="1" s="38"/>
    <row r="655" ht="14.25" customHeight="1" s="38"/>
    <row r="656" ht="14.25" customHeight="1" s="38"/>
    <row r="657" ht="14.25" customHeight="1" s="38"/>
    <row r="658" ht="14.25" customHeight="1" s="38"/>
    <row r="659" ht="14.25" customHeight="1" s="38"/>
    <row r="660" ht="14.25" customHeight="1" s="38"/>
    <row r="661" ht="14.25" customHeight="1" s="38"/>
    <row r="662" ht="14.25" customHeight="1" s="38"/>
    <row r="663" ht="14.25" customHeight="1" s="38"/>
    <row r="664" ht="14.25" customHeight="1" s="38"/>
    <row r="665" ht="14.25" customHeight="1" s="38"/>
    <row r="666" ht="14.25" customHeight="1" s="38"/>
    <row r="667" ht="14.25" customHeight="1" s="38"/>
    <row r="668" ht="14.25" customHeight="1" s="38"/>
    <row r="669" ht="14.25" customHeight="1" s="38"/>
    <row r="670" ht="14.25" customHeight="1" s="38"/>
    <row r="671" ht="14.25" customHeight="1" s="38"/>
    <row r="672" ht="14.25" customHeight="1" s="38"/>
    <row r="673" ht="14.25" customHeight="1" s="38"/>
    <row r="674" ht="14.25" customHeight="1" s="38"/>
    <row r="675" ht="14.25" customHeight="1" s="38"/>
    <row r="676" ht="14.25" customHeight="1" s="38"/>
    <row r="677" ht="14.25" customHeight="1" s="38"/>
    <row r="678" ht="14.25" customHeight="1" s="38"/>
    <row r="679" ht="14.25" customHeight="1" s="38"/>
    <row r="680" ht="14.25" customHeight="1" s="38"/>
    <row r="681" ht="14.25" customHeight="1" s="38"/>
    <row r="682" ht="14.25" customHeight="1" s="38"/>
    <row r="683" ht="14.25" customHeight="1" s="38"/>
    <row r="684" ht="14.25" customHeight="1" s="38"/>
    <row r="685" ht="14.25" customHeight="1" s="38"/>
    <row r="686" ht="14.25" customHeight="1" s="38"/>
    <row r="687" ht="14.25" customHeight="1" s="38"/>
    <row r="688" ht="14.25" customHeight="1" s="38"/>
    <row r="689" ht="14.25" customHeight="1" s="38"/>
    <row r="690" ht="14.25" customHeight="1" s="38"/>
    <row r="691" ht="14.25" customHeight="1" s="38"/>
    <row r="692" ht="14.25" customHeight="1" s="38"/>
    <row r="693" ht="14.25" customHeight="1" s="38"/>
    <row r="694" ht="14.25" customHeight="1" s="38"/>
    <row r="695" ht="14.25" customHeight="1" s="38"/>
    <row r="696" ht="14.25" customHeight="1" s="38"/>
    <row r="697" ht="14.25" customHeight="1" s="38"/>
    <row r="698" ht="14.25" customHeight="1" s="38"/>
    <row r="699" ht="14.25" customHeight="1" s="38"/>
    <row r="700" ht="14.25" customHeight="1" s="38"/>
    <row r="701" ht="14.25" customHeight="1" s="38"/>
    <row r="702" ht="14.25" customHeight="1" s="38"/>
    <row r="703" ht="14.25" customHeight="1" s="38"/>
    <row r="704" ht="14.25" customHeight="1" s="38"/>
    <row r="705" ht="14.25" customHeight="1" s="38"/>
    <row r="706" ht="14.25" customHeight="1" s="38"/>
    <row r="707" ht="14.25" customHeight="1" s="38"/>
    <row r="708" ht="14.25" customHeight="1" s="38"/>
    <row r="709" ht="14.25" customHeight="1" s="38"/>
    <row r="710" ht="14.25" customHeight="1" s="38"/>
    <row r="711" ht="14.25" customHeight="1" s="38"/>
    <row r="712" ht="14.25" customHeight="1" s="38"/>
    <row r="713" ht="14.25" customHeight="1" s="38"/>
    <row r="714" ht="14.25" customHeight="1" s="38"/>
    <row r="715" ht="14.25" customHeight="1" s="38"/>
    <row r="716" ht="14.25" customHeight="1" s="38"/>
    <row r="717" ht="14.25" customHeight="1" s="38"/>
    <row r="718" ht="14.25" customHeight="1" s="38"/>
    <row r="719" ht="14.25" customHeight="1" s="38"/>
    <row r="720" ht="14.25" customHeight="1" s="38"/>
    <row r="721" ht="14.25" customHeight="1" s="38"/>
    <row r="722" ht="14.25" customHeight="1" s="38"/>
    <row r="723" ht="14.25" customHeight="1" s="38"/>
    <row r="724" ht="14.25" customHeight="1" s="38"/>
    <row r="725" ht="14.25" customHeight="1" s="38"/>
    <row r="726" ht="14.25" customHeight="1" s="38"/>
    <row r="727" ht="14.25" customHeight="1" s="38"/>
    <row r="728" ht="14.25" customHeight="1" s="38"/>
    <row r="729" ht="14.25" customHeight="1" s="38"/>
    <row r="730" ht="14.25" customHeight="1" s="38"/>
    <row r="731" ht="14.25" customHeight="1" s="38"/>
    <row r="732" ht="14.25" customHeight="1" s="38"/>
    <row r="733" ht="14.25" customHeight="1" s="38"/>
    <row r="734" ht="14.25" customHeight="1" s="38"/>
    <row r="735" ht="14.25" customHeight="1" s="38"/>
    <row r="736" ht="14.25" customHeight="1" s="38"/>
    <row r="737" ht="14.25" customHeight="1" s="38"/>
    <row r="738" ht="14.25" customHeight="1" s="38"/>
    <row r="739" ht="14.25" customHeight="1" s="38"/>
    <row r="740" ht="14.25" customHeight="1" s="38"/>
    <row r="741" ht="14.25" customHeight="1" s="38"/>
    <row r="742" ht="14.25" customHeight="1" s="38"/>
    <row r="743" ht="14.25" customHeight="1" s="38"/>
    <row r="744" ht="14.25" customHeight="1" s="38"/>
    <row r="745" ht="14.25" customHeight="1" s="38"/>
    <row r="746" ht="14.25" customHeight="1" s="38"/>
    <row r="747" ht="14.25" customHeight="1" s="38"/>
    <row r="748" ht="14.25" customHeight="1" s="38"/>
    <row r="749" ht="14.25" customHeight="1" s="38"/>
    <row r="750" ht="14.25" customHeight="1" s="38"/>
    <row r="751" ht="14.25" customHeight="1" s="38"/>
    <row r="752" ht="14.25" customHeight="1" s="38"/>
    <row r="753" ht="14.25" customHeight="1" s="38"/>
    <row r="754" ht="14.25" customHeight="1" s="38"/>
    <row r="755" ht="14.25" customHeight="1" s="38"/>
    <row r="756" ht="14.25" customHeight="1" s="38"/>
    <row r="757" ht="14.25" customHeight="1" s="38"/>
    <row r="758" ht="14.25" customHeight="1" s="38"/>
    <row r="759" ht="14.25" customHeight="1" s="38"/>
    <row r="760" ht="14.25" customHeight="1" s="38"/>
    <row r="761" ht="14.25" customHeight="1" s="38"/>
    <row r="762" ht="14.25" customHeight="1" s="38"/>
    <row r="763" ht="14.25" customHeight="1" s="38"/>
    <row r="764" ht="14.25" customHeight="1" s="38"/>
    <row r="765" ht="14.25" customHeight="1" s="38"/>
    <row r="766" ht="14.25" customHeight="1" s="38"/>
    <row r="767" ht="14.25" customHeight="1" s="38"/>
    <row r="768" ht="14.25" customHeight="1" s="38"/>
    <row r="769" ht="14.25" customHeight="1" s="38"/>
    <row r="770" ht="14.25" customHeight="1" s="38"/>
    <row r="771" ht="14.25" customHeight="1" s="38"/>
    <row r="772" ht="14.25" customHeight="1" s="38"/>
    <row r="773" ht="14.25" customHeight="1" s="38"/>
    <row r="774" ht="14.25" customHeight="1" s="38"/>
    <row r="775" ht="14.25" customHeight="1" s="38"/>
    <row r="776" ht="14.25" customHeight="1" s="38"/>
    <row r="777" ht="14.25" customHeight="1" s="38"/>
    <row r="778" ht="14.25" customHeight="1" s="38"/>
    <row r="779" ht="14.25" customHeight="1" s="38"/>
    <row r="780" ht="14.25" customHeight="1" s="38"/>
    <row r="781" ht="14.25" customHeight="1" s="38"/>
    <row r="782" ht="14.25" customHeight="1" s="38"/>
    <row r="783" ht="14.25" customHeight="1" s="38"/>
    <row r="784" ht="14.25" customHeight="1" s="38"/>
    <row r="785" ht="14.25" customHeight="1" s="38"/>
    <row r="786" ht="14.25" customHeight="1" s="38"/>
    <row r="787" ht="14.25" customHeight="1" s="38"/>
    <row r="788" ht="14.25" customHeight="1" s="38"/>
    <row r="789" ht="14.25" customHeight="1" s="38"/>
    <row r="790" ht="14.25" customHeight="1" s="38"/>
    <row r="791" ht="14.25" customHeight="1" s="38"/>
    <row r="792" ht="14.25" customHeight="1" s="38"/>
    <row r="793" ht="14.25" customHeight="1" s="38"/>
    <row r="794" ht="14.25" customHeight="1" s="38"/>
    <row r="795" ht="14.25" customHeight="1" s="38"/>
    <row r="796" ht="14.25" customHeight="1" s="38"/>
    <row r="797" ht="14.25" customHeight="1" s="38"/>
    <row r="798" ht="14.25" customHeight="1" s="38"/>
    <row r="799" ht="14.25" customHeight="1" s="38"/>
    <row r="800" ht="14.25" customHeight="1" s="38"/>
    <row r="801" ht="14.25" customHeight="1" s="38"/>
    <row r="802" ht="14.25" customHeight="1" s="38"/>
    <row r="803" ht="14.25" customHeight="1" s="38"/>
    <row r="804" ht="14.25" customHeight="1" s="38"/>
    <row r="805" ht="14.25" customHeight="1" s="38"/>
    <row r="806" ht="14.25" customHeight="1" s="38"/>
    <row r="807" ht="14.25" customHeight="1" s="38"/>
    <row r="808" ht="14.25" customHeight="1" s="38"/>
    <row r="809" ht="14.25" customHeight="1" s="38"/>
    <row r="810" ht="14.25" customHeight="1" s="38"/>
    <row r="811" ht="14.25" customHeight="1" s="38"/>
    <row r="812" ht="14.25" customHeight="1" s="38"/>
    <row r="813" ht="14.25" customHeight="1" s="38"/>
    <row r="814" ht="14.25" customHeight="1" s="38"/>
    <row r="815" ht="14.25" customHeight="1" s="38"/>
    <row r="816" ht="14.25" customHeight="1" s="38"/>
    <row r="817" ht="14.25" customHeight="1" s="38"/>
    <row r="818" ht="14.25" customHeight="1" s="38"/>
    <row r="819" ht="14.25" customHeight="1" s="38"/>
    <row r="820" ht="14.25" customHeight="1" s="38"/>
    <row r="821" ht="14.25" customHeight="1" s="38"/>
    <row r="822" ht="14.25" customHeight="1" s="38"/>
    <row r="823" ht="14.25" customHeight="1" s="38"/>
    <row r="824" ht="14.25" customHeight="1" s="38"/>
    <row r="825" ht="14.25" customHeight="1" s="38"/>
    <row r="826" ht="14.25" customHeight="1" s="38"/>
    <row r="827" ht="14.25" customHeight="1" s="38"/>
    <row r="828" ht="14.25" customHeight="1" s="38"/>
    <row r="829" ht="14.25" customHeight="1" s="38"/>
    <row r="830" ht="14.25" customHeight="1" s="38"/>
    <row r="831" ht="14.25" customHeight="1" s="38"/>
    <row r="832" ht="14.25" customHeight="1" s="38"/>
    <row r="833" ht="14.25" customHeight="1" s="38"/>
    <row r="834" ht="14.25" customHeight="1" s="38"/>
    <row r="835" ht="14.25" customHeight="1" s="38"/>
    <row r="836" ht="14.25" customHeight="1" s="38"/>
    <row r="837" ht="14.25" customHeight="1" s="38"/>
    <row r="838" ht="14.25" customHeight="1" s="38"/>
    <row r="839" ht="14.25" customHeight="1" s="38"/>
    <row r="840" ht="14.25" customHeight="1" s="38"/>
    <row r="841" ht="14.25" customHeight="1" s="38"/>
    <row r="842" ht="14.25" customHeight="1" s="38"/>
    <row r="843" ht="14.25" customHeight="1" s="38"/>
    <row r="844" ht="14.25" customHeight="1" s="38"/>
    <row r="845" ht="14.25" customHeight="1" s="38"/>
    <row r="846" ht="14.25" customHeight="1" s="38"/>
    <row r="847" ht="14.25" customHeight="1" s="38"/>
    <row r="848" ht="14.25" customHeight="1" s="38"/>
    <row r="849" ht="14.25" customHeight="1" s="38"/>
    <row r="850" ht="14.25" customHeight="1" s="38"/>
    <row r="851" ht="14.25" customHeight="1" s="38"/>
    <row r="852" ht="14.25" customHeight="1" s="38"/>
    <row r="853" ht="14.25" customHeight="1" s="38"/>
    <row r="854" ht="14.25" customHeight="1" s="38"/>
    <row r="855" ht="14.25" customHeight="1" s="38"/>
    <row r="856" ht="14.25" customHeight="1" s="38"/>
    <row r="857" ht="14.25" customHeight="1" s="38"/>
    <row r="858" ht="14.25" customHeight="1" s="38"/>
    <row r="859" ht="14.25" customHeight="1" s="38"/>
    <row r="860" ht="14.25" customHeight="1" s="38"/>
    <row r="861" ht="14.25" customHeight="1" s="38"/>
    <row r="862" ht="14.25" customHeight="1" s="38"/>
    <row r="863" ht="14.25" customHeight="1" s="38"/>
    <row r="864" ht="14.25" customHeight="1" s="38"/>
    <row r="865" ht="14.25" customHeight="1" s="38"/>
    <row r="866" ht="14.25" customHeight="1" s="38"/>
    <row r="867" ht="14.25" customHeight="1" s="38"/>
    <row r="868" ht="14.25" customHeight="1" s="38"/>
    <row r="869" ht="14.25" customHeight="1" s="38"/>
    <row r="870" ht="14.25" customHeight="1" s="38"/>
    <row r="871" ht="14.25" customHeight="1" s="38"/>
    <row r="872" ht="14.25" customHeight="1" s="38"/>
    <row r="873" ht="14.25" customHeight="1" s="38"/>
    <row r="874" ht="14.25" customHeight="1" s="38"/>
    <row r="875" ht="14.25" customHeight="1" s="38"/>
    <row r="876" ht="14.25" customHeight="1" s="38"/>
    <row r="877" ht="14.25" customHeight="1" s="38"/>
    <row r="878" ht="14.25" customHeight="1" s="38"/>
    <row r="879" ht="14.25" customHeight="1" s="38"/>
    <row r="880" ht="14.25" customHeight="1" s="38"/>
    <row r="881" ht="14.25" customHeight="1" s="38"/>
    <row r="882" ht="14.25" customHeight="1" s="38"/>
    <row r="883" ht="14.25" customHeight="1" s="38"/>
    <row r="884" ht="14.25" customHeight="1" s="38"/>
    <row r="885" ht="14.25" customHeight="1" s="38"/>
    <row r="886" ht="14.25" customHeight="1" s="38"/>
    <row r="887" ht="14.25" customHeight="1" s="38"/>
    <row r="888" ht="14.25" customHeight="1" s="38"/>
    <row r="889" ht="14.25" customHeight="1" s="38"/>
    <row r="890" ht="14.25" customHeight="1" s="38"/>
    <row r="891" ht="14.25" customHeight="1" s="38"/>
    <row r="892" ht="14.25" customHeight="1" s="38"/>
    <row r="893" ht="14.25" customHeight="1" s="38"/>
    <row r="894" ht="14.25" customHeight="1" s="38"/>
    <row r="895" ht="14.25" customHeight="1" s="38"/>
    <row r="896" ht="14.25" customHeight="1" s="38"/>
    <row r="897" ht="14.25" customHeight="1" s="38"/>
    <row r="898" ht="14.25" customHeight="1" s="38"/>
    <row r="899" ht="14.25" customHeight="1" s="38"/>
    <row r="900" ht="14.25" customHeight="1" s="38"/>
    <row r="901" ht="14.25" customHeight="1" s="38"/>
    <row r="902" ht="14.25" customHeight="1" s="38"/>
    <row r="903" ht="14.25" customHeight="1" s="38"/>
    <row r="904" ht="14.25" customHeight="1" s="38"/>
    <row r="905" ht="14.25" customHeight="1" s="38"/>
    <row r="906" ht="14.25" customHeight="1" s="38"/>
    <row r="907" ht="14.25" customHeight="1" s="38"/>
    <row r="908" ht="14.25" customHeight="1" s="38"/>
    <row r="909" ht="14.25" customHeight="1" s="38"/>
    <row r="910" ht="14.25" customHeight="1" s="38"/>
    <row r="911" ht="14.25" customHeight="1" s="38"/>
    <row r="912" ht="14.25" customHeight="1" s="38"/>
    <row r="913" ht="14.25" customHeight="1" s="38"/>
    <row r="914" ht="14.25" customHeight="1" s="38"/>
    <row r="915" ht="14.25" customHeight="1" s="38"/>
    <row r="916" ht="14.25" customHeight="1" s="38"/>
    <row r="917" ht="14.25" customHeight="1" s="38"/>
    <row r="918" ht="14.25" customHeight="1" s="38"/>
    <row r="919" ht="14.25" customHeight="1" s="38"/>
    <row r="920" ht="14.25" customHeight="1" s="38"/>
    <row r="921" ht="14.25" customHeight="1" s="38"/>
    <row r="922" ht="14.25" customHeight="1" s="38"/>
    <row r="923" ht="14.25" customHeight="1" s="38"/>
    <row r="924" ht="14.25" customHeight="1" s="38"/>
    <row r="925" ht="14.25" customHeight="1" s="38"/>
    <row r="926" ht="14.25" customHeight="1" s="38"/>
    <row r="927" ht="14.25" customHeight="1" s="38"/>
    <row r="928" ht="14.25" customHeight="1" s="38"/>
    <row r="929" ht="14.25" customHeight="1" s="38"/>
    <row r="930" ht="14.25" customHeight="1" s="38"/>
    <row r="931" ht="14.25" customHeight="1" s="38"/>
    <row r="932" ht="14.25" customHeight="1" s="38"/>
    <row r="933" ht="14.25" customHeight="1" s="38"/>
    <row r="934" ht="14.25" customHeight="1" s="38"/>
    <row r="935" ht="14.25" customHeight="1" s="38"/>
    <row r="936" ht="14.25" customHeight="1" s="38"/>
    <row r="937" ht="14.25" customHeight="1" s="38"/>
    <row r="938" ht="14.25" customHeight="1" s="38"/>
    <row r="939" ht="14.25" customHeight="1" s="38"/>
    <row r="940" ht="14.25" customHeight="1" s="38"/>
    <row r="941" ht="14.25" customHeight="1" s="38"/>
    <row r="942" ht="14.25" customHeight="1" s="38"/>
    <row r="943" ht="14.25" customHeight="1" s="38"/>
    <row r="944" ht="14.25" customHeight="1" s="38"/>
    <row r="945" ht="14.25" customHeight="1" s="38"/>
    <row r="946" ht="14.25" customHeight="1" s="38"/>
    <row r="947" ht="14.25" customHeight="1" s="38"/>
    <row r="948" ht="14.25" customHeight="1" s="38"/>
    <row r="949" ht="14.25" customHeight="1" s="38"/>
    <row r="950" ht="14.25" customHeight="1" s="38"/>
    <row r="951" ht="14.25" customHeight="1" s="38"/>
    <row r="952" ht="14.25" customHeight="1" s="38"/>
    <row r="953" ht="14.25" customHeight="1" s="38"/>
    <row r="954" ht="14.25" customHeight="1" s="38"/>
    <row r="955" ht="14.25" customHeight="1" s="38"/>
    <row r="956" ht="14.25" customHeight="1" s="38"/>
    <row r="957" ht="14.25" customHeight="1" s="38"/>
    <row r="958" ht="14.25" customHeight="1" s="38"/>
    <row r="959" ht="14.25" customHeight="1" s="38"/>
    <row r="960" ht="14.25" customHeight="1" s="38"/>
    <row r="961" ht="14.25" customHeight="1" s="38"/>
    <row r="962" ht="14.25" customHeight="1" s="38"/>
    <row r="963" ht="14.25" customHeight="1" s="38"/>
    <row r="964" ht="14.25" customHeight="1" s="38"/>
    <row r="965" ht="14.25" customHeight="1" s="38"/>
    <row r="966" ht="14.25" customHeight="1" s="38"/>
    <row r="967" ht="14.25" customHeight="1" s="38"/>
    <row r="968" ht="14.25" customHeight="1" s="38"/>
    <row r="969" ht="14.25" customHeight="1" s="38"/>
    <row r="970" ht="14.25" customHeight="1" s="38"/>
    <row r="971" ht="14.25" customHeight="1" s="38"/>
    <row r="972" ht="14.25" customHeight="1" s="38"/>
    <row r="973" ht="14.25" customHeight="1" s="38"/>
    <row r="974" ht="14.25" customHeight="1" s="38"/>
    <row r="975" ht="14.25" customHeight="1" s="38"/>
    <row r="976" ht="14.25" customHeight="1" s="38"/>
    <row r="977" ht="14.25" customHeight="1" s="38"/>
    <row r="978" ht="14.25" customHeight="1" s="38"/>
    <row r="979" ht="14.25" customHeight="1" s="38"/>
    <row r="980" ht="14.25" customHeight="1" s="38"/>
    <row r="981" ht="14.25" customHeight="1" s="38"/>
    <row r="982" ht="14.25" customHeight="1" s="38"/>
    <row r="983" ht="14.25" customHeight="1" s="38"/>
    <row r="984" ht="14.25" customHeight="1" s="38"/>
    <row r="985" ht="14.25" customHeight="1" s="38"/>
    <row r="986" ht="14.25" customHeight="1" s="38"/>
    <row r="987" ht="14.25" customHeight="1" s="38"/>
    <row r="988" ht="14.25" customHeight="1" s="38"/>
    <row r="989" ht="14.25" customHeight="1" s="38"/>
    <row r="990" ht="14.25" customHeight="1" s="38"/>
    <row r="991" ht="14.25" customHeight="1" s="38"/>
    <row r="992" ht="14.25" customHeight="1" s="38"/>
    <row r="993" ht="14.25" customHeight="1" s="38"/>
    <row r="994" ht="14.25" customHeight="1" s="38"/>
    <row r="995" ht="14.25" customHeight="1" s="38"/>
    <row r="996" ht="14.25" customHeight="1" s="38"/>
    <row r="997" ht="14.25" customHeight="1" s="38"/>
    <row r="998" ht="14.25" customHeight="1" s="38"/>
    <row r="999" ht="14.25" customHeight="1" s="38"/>
    <row r="1000" ht="14.25" customHeight="1" s="38"/>
  </sheetData>
  <mergeCells count="16">
    <mergeCell ref="A4:B4"/>
    <mergeCell ref="G5:G6"/>
    <mergeCell ref="E4:F4"/>
    <mergeCell ref="G9:G10"/>
    <mergeCell ref="A1:G1"/>
    <mergeCell ref="C8:D8"/>
    <mergeCell ref="C5:D6"/>
    <mergeCell ref="A5:B6"/>
    <mergeCell ref="A2:G2"/>
    <mergeCell ref="E5:F6"/>
    <mergeCell ref="A8:B8"/>
    <mergeCell ref="C9:D10"/>
    <mergeCell ref="A9:B10"/>
    <mergeCell ref="E8:F8"/>
    <mergeCell ref="E9:F10"/>
    <mergeCell ref="C4:D4"/>
  </mergeCells>
  <pageMargins left="0.25" right="0.25" top="0.35" bottom="0.35" header="0" footer="0"/>
  <pageSetup orientation="landscape" paperSize="9" fitToHeight="0"/>
  <headerFooter>
    <oddHeader/>
    <oddFooter>&amp;CParoki St. Klement I Sepinggan Balikpapan • Statistik 2026&amp;RHalaman &amp;P dari 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2026-09-24T04:29:04Z</dcterms:created>
  <dcterms:modified xmlns:dcterms="http://purl.org/dc/terms/" xmlns:xsi="http://www.w3.org/2001/XMLSchema-instance" xsi:type="dcterms:W3CDTF">2026-09-24T04:29:04Z</dcterms:modified>
</cp:coreProperties>
</file>